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bajuwa\Documents\Code\PokePP\Dev\"/>
    </mc:Choice>
  </mc:AlternateContent>
  <bookViews>
    <workbookView xWindow="7185" yWindow="315" windowWidth="8310" windowHeight="6210" tabRatio="839"/>
  </bookViews>
  <sheets>
    <sheet name="Welcome to PokePP!" sheetId="11" r:id="rId1"/>
    <sheet name="Party Pkm" sheetId="1" r:id="rId2"/>
    <sheet name="Type Table" sheetId="5" r:id="rId3"/>
    <sheet name="Analysis" sheetId="10" r:id="rId4"/>
    <sheet name="Pokedex" sheetId="9" r:id="rId5"/>
    <sheet name="Movedex" sheetId="8" r:id="rId6"/>
    <sheet name="Hidden Type Chart" sheetId="7" state="hidden" r:id="rId7"/>
    <sheet name="Hidden Party Saves" sheetId="12" state="hidden" r:id="rId8"/>
  </sheets>
  <functionGroups builtInGroupCount="18"/>
  <externalReferences>
    <externalReference r:id="rId9"/>
  </externalReferences>
  <calcPr calcId="152511"/>
</workbook>
</file>

<file path=xl/calcChain.xml><?xml version="1.0" encoding="utf-8"?>
<calcChain xmlns="http://schemas.openxmlformats.org/spreadsheetml/2006/main">
  <c r="W6" i="1" l="1"/>
  <c r="W7" i="1"/>
  <c r="W8" i="1"/>
  <c r="W9" i="1"/>
  <c r="W10" i="1"/>
  <c r="W11" i="1"/>
  <c r="W12" i="1"/>
  <c r="W13" i="1"/>
  <c r="W14" i="1"/>
  <c r="W15" i="1"/>
  <c r="W16" i="1"/>
  <c r="W17" i="1"/>
  <c r="B6" i="1"/>
  <c r="H6" i="1"/>
  <c r="L6" i="1"/>
  <c r="Q6" i="1"/>
  <c r="U6" i="1"/>
  <c r="P7" i="1"/>
  <c r="T7" i="1"/>
  <c r="S8" i="1"/>
  <c r="R9" i="1"/>
  <c r="V9" i="1"/>
  <c r="S10" i="1"/>
  <c r="R11" i="1"/>
  <c r="Q12" i="1"/>
  <c r="U12" i="1"/>
  <c r="T13" i="1"/>
  <c r="B14" i="1"/>
  <c r="L14" i="1"/>
  <c r="U14" i="1"/>
  <c r="T15" i="1"/>
  <c r="S16" i="1"/>
  <c r="R17" i="1"/>
  <c r="V17" i="1"/>
  <c r="P17" i="1"/>
  <c r="E6" i="1"/>
  <c r="I6" i="1"/>
  <c r="M6" i="1"/>
  <c r="R6" i="1"/>
  <c r="V6" i="1"/>
  <c r="Q7" i="1"/>
  <c r="U7" i="1"/>
  <c r="P8" i="1"/>
  <c r="T8" i="1"/>
  <c r="O9" i="1"/>
  <c r="S9" i="1"/>
  <c r="P10" i="1"/>
  <c r="T10" i="1"/>
  <c r="S11" i="1"/>
  <c r="R12" i="1"/>
  <c r="Q13" i="1"/>
  <c r="U13" i="1"/>
  <c r="E14" i="1"/>
  <c r="I14" i="1"/>
  <c r="M14" i="1"/>
  <c r="R14" i="1"/>
  <c r="V14" i="1"/>
  <c r="Q15" i="1"/>
  <c r="U15" i="1"/>
  <c r="P16" i="1"/>
  <c r="T16" i="1"/>
  <c r="O17" i="1"/>
  <c r="S17" i="1"/>
  <c r="R7" i="1"/>
  <c r="U8" i="1"/>
  <c r="T9" i="1"/>
  <c r="U10" i="1"/>
  <c r="T11" i="1"/>
  <c r="R13" i="1"/>
  <c r="J14" i="1"/>
  <c r="R15" i="1"/>
  <c r="U16" i="1"/>
  <c r="T17" i="1"/>
  <c r="F6" i="1"/>
  <c r="J6" i="1"/>
  <c r="O6" i="1"/>
  <c r="S6" i="1"/>
  <c r="V7" i="1"/>
  <c r="Q8" i="1"/>
  <c r="P9" i="1"/>
  <c r="B10" i="1"/>
  <c r="P11" i="1"/>
  <c r="S12" i="1"/>
  <c r="F14" i="1"/>
  <c r="O14" i="1"/>
  <c r="Q16" i="1"/>
  <c r="G6" i="1"/>
  <c r="K6" i="1"/>
  <c r="P6" i="1"/>
  <c r="T6" i="1"/>
  <c r="O7" i="1"/>
  <c r="S7" i="1"/>
  <c r="R8" i="1"/>
  <c r="V8" i="1"/>
  <c r="O8" i="1" s="1"/>
  <c r="Q9" i="1"/>
  <c r="U9" i="1"/>
  <c r="E10" i="1"/>
  <c r="I10" i="1"/>
  <c r="M10" i="1"/>
  <c r="R10" i="1"/>
  <c r="V10" i="1"/>
  <c r="O10" i="1" s="1"/>
  <c r="Q11" i="1"/>
  <c r="U11" i="1"/>
  <c r="P12" i="1"/>
  <c r="T12" i="1"/>
  <c r="S13" i="1"/>
  <c r="G14" i="1"/>
  <c r="K14" i="1"/>
  <c r="P14" i="1"/>
  <c r="T14" i="1"/>
  <c r="S15" i="1"/>
  <c r="R16" i="1"/>
  <c r="V16" i="1"/>
  <c r="Q17" i="1"/>
  <c r="U17" i="1"/>
  <c r="P13" i="1"/>
  <c r="H14" i="1"/>
  <c r="Q14" i="1"/>
  <c r="P15" i="1"/>
  <c r="O16" i="1"/>
  <c r="Q10" i="1"/>
  <c r="V13" i="1"/>
  <c r="O13" i="1" s="1"/>
  <c r="S14" i="1"/>
  <c r="V15" i="1"/>
  <c r="O15" i="1" s="1"/>
  <c r="H10" i="1"/>
  <c r="V12" i="1"/>
  <c r="O12" i="1" s="1"/>
  <c r="K10" i="1"/>
  <c r="G10" i="1"/>
  <c r="L10" i="1"/>
  <c r="V11" i="1"/>
  <c r="O11" i="1" s="1"/>
  <c r="J10" i="1"/>
  <c r="F10" i="1"/>
  <c r="U22" i="10" l="1"/>
  <c r="J22" i="10"/>
  <c r="U21" i="10"/>
  <c r="M21" i="10"/>
  <c r="I21" i="10"/>
  <c r="H21" i="10" s="1"/>
  <c r="U20" i="10"/>
  <c r="O20" i="10"/>
  <c r="M20" i="10"/>
  <c r="P20" i="10" s="1"/>
  <c r="I20" i="10"/>
  <c r="J20" i="10" s="1"/>
  <c r="U19" i="10"/>
  <c r="P19" i="10"/>
  <c r="M19" i="10"/>
  <c r="O19" i="10" s="1"/>
  <c r="I19" i="10"/>
  <c r="J19" i="10" s="1"/>
  <c r="U18" i="10"/>
  <c r="O18" i="10"/>
  <c r="M18" i="10"/>
  <c r="P18" i="10" s="1"/>
  <c r="I18" i="10"/>
  <c r="J18" i="10" s="1"/>
  <c r="U17" i="10"/>
  <c r="M17" i="10"/>
  <c r="P17" i="10" s="1"/>
  <c r="I17" i="10"/>
  <c r="H17" i="10" s="1"/>
  <c r="U16" i="10"/>
  <c r="P16" i="10"/>
  <c r="O16" i="10"/>
  <c r="M16" i="10"/>
  <c r="I16" i="10"/>
  <c r="J16" i="10" s="1"/>
  <c r="U15" i="10"/>
  <c r="P15" i="10"/>
  <c r="M15" i="10"/>
  <c r="O15" i="10" s="1"/>
  <c r="I15" i="10"/>
  <c r="J15" i="10" s="1"/>
  <c r="U14" i="10"/>
  <c r="O14" i="10"/>
  <c r="M14" i="10"/>
  <c r="P14" i="10" s="1"/>
  <c r="I14" i="10"/>
  <c r="J14" i="10" s="1"/>
  <c r="U13" i="10"/>
  <c r="M13" i="10"/>
  <c r="P13" i="10" s="1"/>
  <c r="I13" i="10"/>
  <c r="H13" i="10" s="1"/>
  <c r="U12" i="10"/>
  <c r="P12" i="10"/>
  <c r="O12" i="10"/>
  <c r="M12" i="10"/>
  <c r="I12" i="10"/>
  <c r="J12" i="10" s="1"/>
  <c r="U11" i="10"/>
  <c r="P11" i="10"/>
  <c r="M11" i="10"/>
  <c r="O11" i="10" s="1"/>
  <c r="I11" i="10"/>
  <c r="J11" i="10" s="1"/>
  <c r="U10" i="10"/>
  <c r="O10" i="10"/>
  <c r="M10" i="10"/>
  <c r="P10" i="10" s="1"/>
  <c r="I10" i="10"/>
  <c r="J10" i="10" s="1"/>
  <c r="U9" i="10"/>
  <c r="M9" i="10"/>
  <c r="P9" i="10" s="1"/>
  <c r="I9" i="10"/>
  <c r="H9" i="10" s="1"/>
  <c r="P8" i="10"/>
  <c r="O8" i="10"/>
  <c r="J8" i="10"/>
  <c r="H8" i="10"/>
  <c r="U7" i="10"/>
  <c r="P7" i="10"/>
  <c r="O7" i="10"/>
  <c r="M7" i="10"/>
  <c r="I7" i="10"/>
  <c r="J7" i="10" s="1"/>
  <c r="U6" i="10"/>
  <c r="P6" i="10"/>
  <c r="M6" i="10"/>
  <c r="O6" i="10" s="1"/>
  <c r="I6" i="10"/>
  <c r="J6" i="10" s="1"/>
  <c r="U5" i="10"/>
  <c r="O5" i="10"/>
  <c r="M5" i="10"/>
  <c r="P5" i="10" s="1"/>
  <c r="I5" i="10"/>
  <c r="J5" i="10" s="1"/>
  <c r="U4" i="10"/>
  <c r="P4" i="10"/>
  <c r="M4" i="10"/>
  <c r="O4" i="10" s="1"/>
  <c r="I4" i="10"/>
  <c r="H4" i="10" s="1"/>
  <c r="O20" i="5"/>
  <c r="G20" i="5"/>
  <c r="D20" i="5"/>
  <c r="B20" i="5"/>
  <c r="S19" i="5"/>
  <c r="G19" i="5"/>
  <c r="B19" i="5"/>
  <c r="G18" i="5"/>
  <c r="B18" i="5"/>
  <c r="K17" i="5"/>
  <c r="G17" i="5"/>
  <c r="F17" i="5"/>
  <c r="B17" i="5"/>
  <c r="T16" i="5"/>
  <c r="O16" i="5"/>
  <c r="G16" i="5"/>
  <c r="B16" i="5"/>
  <c r="S15" i="5"/>
  <c r="G15" i="5"/>
  <c r="C15" i="5"/>
  <c r="B15" i="5"/>
  <c r="G14" i="5"/>
  <c r="D14" i="5"/>
  <c r="B14" i="5"/>
  <c r="G13" i="5"/>
  <c r="F13" i="5"/>
  <c r="B13" i="5"/>
  <c r="O12" i="5"/>
  <c r="G12" i="5"/>
  <c r="D12" i="5"/>
  <c r="B12" i="5"/>
  <c r="S11" i="5"/>
  <c r="G11" i="5"/>
  <c r="B11" i="5"/>
  <c r="G10" i="5"/>
  <c r="B10" i="5"/>
  <c r="K9" i="5"/>
  <c r="G9" i="5"/>
  <c r="F9" i="5"/>
  <c r="B9" i="5"/>
  <c r="G8" i="5"/>
  <c r="B8" i="5"/>
  <c r="H7" i="5"/>
  <c r="G7" i="5"/>
  <c r="K6" i="5"/>
  <c r="G6" i="5"/>
  <c r="B6" i="5"/>
  <c r="O5" i="5"/>
  <c r="M5" i="5"/>
  <c r="G5" i="5"/>
  <c r="F5" i="5"/>
  <c r="B5" i="5"/>
  <c r="G4" i="5"/>
  <c r="F4" i="5"/>
  <c r="D4" i="5"/>
  <c r="B4" i="5"/>
  <c r="G3" i="5"/>
  <c r="G1" i="5" s="1"/>
  <c r="F3" i="5"/>
  <c r="C3" i="5"/>
  <c r="B3" i="5"/>
  <c r="T2" i="5"/>
  <c r="T19" i="5" s="1"/>
  <c r="S2" i="5"/>
  <c r="S20" i="5" s="1"/>
  <c r="R2" i="5"/>
  <c r="R19" i="5" s="1"/>
  <c r="Q2" i="5"/>
  <c r="Q5" i="5" s="1"/>
  <c r="P2" i="5"/>
  <c r="P20" i="5" s="1"/>
  <c r="O2" i="5"/>
  <c r="O17" i="5" s="1"/>
  <c r="N2" i="5"/>
  <c r="N20" i="5" s="1"/>
  <c r="M2" i="5"/>
  <c r="M6" i="5" s="1"/>
  <c r="L2" i="5"/>
  <c r="L17" i="5" s="1"/>
  <c r="K2" i="5"/>
  <c r="K18" i="5" s="1"/>
  <c r="J2" i="5"/>
  <c r="J17" i="5" s="1"/>
  <c r="I2" i="5"/>
  <c r="I6" i="5" s="1"/>
  <c r="H2" i="5"/>
  <c r="H6" i="5" s="1"/>
  <c r="F2" i="5"/>
  <c r="F18" i="5" s="1"/>
  <c r="E2" i="5"/>
  <c r="D2" i="5"/>
  <c r="D6" i="5" s="1"/>
  <c r="C2" i="5"/>
  <c r="C20" i="5" s="1"/>
  <c r="E11" i="11"/>
  <c r="E10" i="11"/>
  <c r="E9" i="11"/>
  <c r="E8" i="11"/>
  <c r="E7" i="11"/>
  <c r="W11" i="10"/>
  <c r="W6" i="10"/>
  <c r="R11" i="10"/>
  <c r="W4" i="10"/>
  <c r="R17" i="10"/>
  <c r="W12" i="10"/>
  <c r="W17" i="10"/>
  <c r="W9" i="10"/>
  <c r="S16" i="10"/>
  <c r="W7" i="10"/>
  <c r="S5" i="10"/>
  <c r="R18" i="10"/>
  <c r="R16" i="10"/>
  <c r="X14" i="10"/>
  <c r="S7" i="10"/>
  <c r="S15" i="10"/>
  <c r="D3" i="5" l="1"/>
  <c r="C4" i="5"/>
  <c r="F6" i="5"/>
  <c r="Q6" i="5"/>
  <c r="S7" i="5"/>
  <c r="O8" i="5"/>
  <c r="D10" i="5"/>
  <c r="C11" i="5"/>
  <c r="T12" i="5"/>
  <c r="K13" i="5"/>
  <c r="D16" i="5"/>
  <c r="P17" i="5"/>
  <c r="L18" i="5"/>
  <c r="H19" i="5"/>
  <c r="C5" i="5"/>
  <c r="C7" i="5"/>
  <c r="T8" i="5"/>
  <c r="P13" i="5"/>
  <c r="L14" i="5"/>
  <c r="H15" i="5"/>
  <c r="D5" i="5"/>
  <c r="D8" i="5"/>
  <c r="P9" i="5"/>
  <c r="L10" i="5"/>
  <c r="H11" i="5"/>
  <c r="D18" i="5"/>
  <c r="C19" i="5"/>
  <c r="T20" i="5"/>
  <c r="E20" i="5"/>
  <c r="E19" i="5"/>
  <c r="E18" i="5"/>
  <c r="E17" i="5"/>
  <c r="E16" i="5"/>
  <c r="E15" i="5"/>
  <c r="E14" i="5"/>
  <c r="E13" i="5"/>
  <c r="E12" i="5"/>
  <c r="E11" i="5"/>
  <c r="E10" i="5"/>
  <c r="E9" i="5"/>
  <c r="E8" i="5"/>
  <c r="E7" i="5"/>
  <c r="J3" i="5"/>
  <c r="N3" i="5"/>
  <c r="R3" i="5"/>
  <c r="J4" i="5"/>
  <c r="N4" i="5"/>
  <c r="R4" i="5"/>
  <c r="J5" i="5"/>
  <c r="N7" i="5"/>
  <c r="J8" i="5"/>
  <c r="R10" i="5"/>
  <c r="N11" i="5"/>
  <c r="J12" i="5"/>
  <c r="R14" i="5"/>
  <c r="N15" i="5"/>
  <c r="J16" i="5"/>
  <c r="R18" i="5"/>
  <c r="N19" i="5"/>
  <c r="J20" i="5"/>
  <c r="K5" i="5"/>
  <c r="R6" i="5"/>
  <c r="D7" i="5"/>
  <c r="J7" i="5"/>
  <c r="O7" i="5"/>
  <c r="T7" i="5"/>
  <c r="F8" i="5"/>
  <c r="K8" i="5"/>
  <c r="P8" i="5"/>
  <c r="L9" i="5"/>
  <c r="R9" i="5"/>
  <c r="C10" i="5"/>
  <c r="H10" i="5"/>
  <c r="N10" i="5"/>
  <c r="S10" i="5"/>
  <c r="D11" i="5"/>
  <c r="J11" i="5"/>
  <c r="O11" i="5"/>
  <c r="T11" i="5"/>
  <c r="F12" i="5"/>
  <c r="K12" i="5"/>
  <c r="P12" i="5"/>
  <c r="L13" i="5"/>
  <c r="R13" i="5"/>
  <c r="C14" i="5"/>
  <c r="H14" i="5"/>
  <c r="N14" i="5"/>
  <c r="S14" i="5"/>
  <c r="D15" i="5"/>
  <c r="J15" i="5"/>
  <c r="O15" i="5"/>
  <c r="T15" i="5"/>
  <c r="F16" i="5"/>
  <c r="K16" i="5"/>
  <c r="P16" i="5"/>
  <c r="R17" i="5"/>
  <c r="C18" i="5"/>
  <c r="H18" i="5"/>
  <c r="N18" i="5"/>
  <c r="S18" i="5"/>
  <c r="D19" i="5"/>
  <c r="J19" i="5"/>
  <c r="O19" i="5"/>
  <c r="F20" i="5"/>
  <c r="K20" i="5"/>
  <c r="O9" i="10"/>
  <c r="O17" i="10"/>
  <c r="P21" i="10"/>
  <c r="O21" i="10"/>
  <c r="K3" i="5"/>
  <c r="O3" i="5"/>
  <c r="S3" i="5"/>
  <c r="K4" i="5"/>
  <c r="O4" i="5"/>
  <c r="S4" i="5"/>
  <c r="L6" i="5"/>
  <c r="L5" i="5"/>
  <c r="P6" i="5"/>
  <c r="P5" i="5"/>
  <c r="T6" i="5"/>
  <c r="T5" i="5"/>
  <c r="H3" i="5"/>
  <c r="L3" i="5"/>
  <c r="P3" i="5"/>
  <c r="T3" i="5"/>
  <c r="H4" i="5"/>
  <c r="L4" i="5"/>
  <c r="P4" i="5"/>
  <c r="T4" i="5"/>
  <c r="H5" i="5"/>
  <c r="R5" i="5"/>
  <c r="C6" i="5"/>
  <c r="N6" i="5"/>
  <c r="S6" i="5"/>
  <c r="F7" i="5"/>
  <c r="F1" i="5" s="1"/>
  <c r="K7" i="5"/>
  <c r="P7" i="5"/>
  <c r="L8" i="5"/>
  <c r="R8" i="5"/>
  <c r="C9" i="5"/>
  <c r="H9" i="5"/>
  <c r="N9" i="5"/>
  <c r="S9" i="5"/>
  <c r="J10" i="5"/>
  <c r="O10" i="5"/>
  <c r="T10" i="5"/>
  <c r="F11" i="5"/>
  <c r="K11" i="5"/>
  <c r="P11" i="5"/>
  <c r="L12" i="5"/>
  <c r="R12" i="5"/>
  <c r="C13" i="5"/>
  <c r="H13" i="5"/>
  <c r="N13" i="5"/>
  <c r="S13" i="5"/>
  <c r="J14" i="5"/>
  <c r="O14" i="5"/>
  <c r="T14" i="5"/>
  <c r="F15" i="5"/>
  <c r="K15" i="5"/>
  <c r="P15" i="5"/>
  <c r="L16" i="5"/>
  <c r="R16" i="5"/>
  <c r="C17" i="5"/>
  <c r="H17" i="5"/>
  <c r="N17" i="5"/>
  <c r="S17" i="5"/>
  <c r="J18" i="5"/>
  <c r="O18" i="5"/>
  <c r="T18" i="5"/>
  <c r="F19" i="5"/>
  <c r="K19" i="5"/>
  <c r="P19" i="5"/>
  <c r="L20" i="5"/>
  <c r="R20" i="5"/>
  <c r="I20" i="5"/>
  <c r="I19" i="5"/>
  <c r="I18" i="5"/>
  <c r="I17" i="5"/>
  <c r="I16" i="5"/>
  <c r="I15" i="5"/>
  <c r="I14" i="5"/>
  <c r="I13" i="5"/>
  <c r="I12" i="5"/>
  <c r="I11" i="5"/>
  <c r="I10" i="5"/>
  <c r="I9" i="5"/>
  <c r="I8" i="5"/>
  <c r="I7" i="5"/>
  <c r="M20" i="5"/>
  <c r="M19" i="5"/>
  <c r="M18" i="5"/>
  <c r="M17" i="5"/>
  <c r="M16" i="5"/>
  <c r="M15" i="5"/>
  <c r="M14" i="5"/>
  <c r="M13" i="5"/>
  <c r="M12" i="5"/>
  <c r="M11" i="5"/>
  <c r="M10" i="5"/>
  <c r="M9" i="5"/>
  <c r="M8" i="5"/>
  <c r="M7" i="5"/>
  <c r="Q20" i="5"/>
  <c r="Q19" i="5"/>
  <c r="Q18" i="5"/>
  <c r="Q17" i="5"/>
  <c r="Q16" i="5"/>
  <c r="Q15" i="5"/>
  <c r="Q14" i="5"/>
  <c r="Q13" i="5"/>
  <c r="Q12" i="5"/>
  <c r="Q11" i="5"/>
  <c r="Q10" i="5"/>
  <c r="Q9" i="5"/>
  <c r="Q8" i="5"/>
  <c r="Q7" i="5"/>
  <c r="E3" i="5"/>
  <c r="I3" i="5"/>
  <c r="M3" i="5"/>
  <c r="Q3" i="5"/>
  <c r="E4" i="5"/>
  <c r="I4" i="5"/>
  <c r="M4" i="5"/>
  <c r="Q4" i="5"/>
  <c r="E5" i="5"/>
  <c r="I5" i="5"/>
  <c r="N5" i="5"/>
  <c r="S5" i="5"/>
  <c r="E6" i="5"/>
  <c r="J6" i="5"/>
  <c r="O6" i="5"/>
  <c r="L7" i="5"/>
  <c r="R7" i="5"/>
  <c r="C8" i="5"/>
  <c r="H8" i="5"/>
  <c r="N8" i="5"/>
  <c r="S8" i="5"/>
  <c r="D9" i="5"/>
  <c r="J9" i="5"/>
  <c r="O9" i="5"/>
  <c r="T9" i="5"/>
  <c r="F10" i="5"/>
  <c r="K10" i="5"/>
  <c r="P10" i="5"/>
  <c r="L11" i="5"/>
  <c r="R11" i="5"/>
  <c r="C12" i="5"/>
  <c r="H12" i="5"/>
  <c r="N12" i="5"/>
  <c r="S12" i="5"/>
  <c r="D13" i="5"/>
  <c r="J13" i="5"/>
  <c r="O13" i="5"/>
  <c r="T13" i="5"/>
  <c r="F14" i="5"/>
  <c r="K14" i="5"/>
  <c r="P14" i="5"/>
  <c r="L15" i="5"/>
  <c r="R15" i="5"/>
  <c r="C16" i="5"/>
  <c r="H16" i="5"/>
  <c r="N16" i="5"/>
  <c r="S16" i="5"/>
  <c r="D17" i="5"/>
  <c r="T17" i="5"/>
  <c r="P18" i="5"/>
  <c r="L19" i="5"/>
  <c r="H20" i="5"/>
  <c r="O13" i="10"/>
  <c r="H10" i="10"/>
  <c r="H18" i="10"/>
  <c r="H5" i="10"/>
  <c r="H14" i="10"/>
  <c r="H20" i="10"/>
  <c r="H7" i="10"/>
  <c r="H16" i="10"/>
  <c r="H12" i="10"/>
  <c r="J4" i="10"/>
  <c r="H6" i="10"/>
  <c r="J9" i="10"/>
  <c r="H11" i="10"/>
  <c r="J13" i="10"/>
  <c r="H15" i="10"/>
  <c r="J17" i="10"/>
  <c r="H19" i="10"/>
  <c r="J21" i="10"/>
  <c r="T16" i="10"/>
  <c r="R8" i="10"/>
  <c r="S21" i="10"/>
  <c r="S17" i="10"/>
  <c r="X15" i="10"/>
  <c r="X11" i="10"/>
  <c r="W5" i="10"/>
  <c r="R20" i="10"/>
  <c r="W8" i="10"/>
  <c r="R6" i="10"/>
  <c r="S12" i="10"/>
  <c r="W14" i="10"/>
  <c r="X8" i="10"/>
  <c r="S13" i="10"/>
  <c r="R21" i="10"/>
  <c r="W10" i="10"/>
  <c r="W16" i="10"/>
  <c r="R7" i="10"/>
  <c r="R9" i="10"/>
  <c r="R5" i="10"/>
  <c r="S11" i="10"/>
  <c r="R12" i="10"/>
  <c r="W20" i="10"/>
  <c r="W13" i="10"/>
  <c r="S18" i="10"/>
  <c r="R14" i="10"/>
  <c r="X12" i="10"/>
  <c r="X4" i="10"/>
  <c r="S4" i="10"/>
  <c r="R15" i="10"/>
  <c r="S19" i="10"/>
  <c r="W21" i="10"/>
  <c r="R10" i="10"/>
  <c r="W18" i="10"/>
  <c r="X6" i="10"/>
  <c r="S14" i="10"/>
  <c r="X10" i="10"/>
  <c r="X21" i="10"/>
  <c r="S6" i="10"/>
  <c r="R13" i="10"/>
  <c r="X13" i="10"/>
  <c r="R19" i="10"/>
  <c r="W15" i="10"/>
  <c r="X19" i="10"/>
  <c r="W19" i="10"/>
  <c r="S20" i="10"/>
  <c r="S10" i="10"/>
  <c r="X16" i="10"/>
  <c r="X5" i="10"/>
  <c r="X7" i="10"/>
  <c r="X18" i="10"/>
  <c r="X9" i="10"/>
  <c r="X20" i="10"/>
  <c r="R4" i="10"/>
  <c r="S8" i="10"/>
  <c r="S9" i="10"/>
  <c r="X17" i="10"/>
  <c r="A11" i="5" l="1"/>
  <c r="A5" i="5"/>
  <c r="A4" i="5"/>
  <c r="K1" i="5"/>
  <c r="A19" i="5"/>
  <c r="A15" i="5"/>
  <c r="A20" i="5"/>
  <c r="A8" i="5"/>
  <c r="I1" i="5"/>
  <c r="L1" i="5"/>
  <c r="O1" i="5"/>
  <c r="D1" i="5"/>
  <c r="E1" i="5"/>
  <c r="H1" i="5"/>
  <c r="R1" i="5"/>
  <c r="A16" i="5"/>
  <c r="Q1" i="5"/>
  <c r="T1" i="5"/>
  <c r="A18" i="5"/>
  <c r="A14" i="5"/>
  <c r="N1" i="5"/>
  <c r="A3" i="5"/>
  <c r="A12" i="5"/>
  <c r="M1" i="5"/>
  <c r="A17" i="5"/>
  <c r="A13" i="5"/>
  <c r="A9" i="5"/>
  <c r="A6" i="5"/>
  <c r="C1" i="5"/>
  <c r="P1" i="5"/>
  <c r="S1" i="5"/>
  <c r="A10" i="5"/>
  <c r="J1" i="5"/>
  <c r="A7" i="5"/>
  <c r="V12" i="10"/>
  <c r="N12" i="10" s="1"/>
  <c r="V6" i="10"/>
  <c r="N6" i="10" s="1"/>
  <c r="T5" i="10"/>
  <c r="V10" i="10"/>
  <c r="N10" i="10" s="1"/>
  <c r="T17" i="10"/>
  <c r="T11" i="10"/>
  <c r="V13" i="10"/>
  <c r="N13" i="10" s="1"/>
  <c r="V5" i="10"/>
  <c r="N5" i="10" s="1"/>
  <c r="T12" i="10"/>
  <c r="V18" i="10"/>
  <c r="N18" i="10" s="1"/>
  <c r="T21" i="10"/>
  <c r="V17" i="10"/>
  <c r="N17" i="10" s="1"/>
  <c r="T13" i="10"/>
  <c r="V11" i="10"/>
  <c r="N11" i="10" s="1"/>
  <c r="T14" i="10"/>
  <c r="T19" i="10"/>
  <c r="V4" i="10"/>
  <c r="N4" i="10" s="1"/>
  <c r="T7" i="10"/>
  <c r="V9" i="10"/>
  <c r="N9" i="10" s="1"/>
  <c r="V20" i="10"/>
  <c r="N20" i="10" s="1"/>
  <c r="V19" i="10"/>
  <c r="N19" i="10" s="1"/>
  <c r="V16" i="10"/>
  <c r="N16" i="10" s="1"/>
  <c r="V15" i="10"/>
  <c r="N15" i="10" s="1"/>
  <c r="T18" i="10"/>
  <c r="T4" i="10"/>
  <c r="V8" i="10"/>
  <c r="N8" i="10" s="1"/>
  <c r="T10" i="10"/>
  <c r="T20" i="10"/>
  <c r="T9" i="10"/>
  <c r="T8" i="10"/>
  <c r="T6" i="10"/>
  <c r="T15" i="10"/>
  <c r="V7" i="10"/>
  <c r="N7" i="10" s="1"/>
  <c r="V21" i="10"/>
  <c r="N21" i="10" s="1"/>
  <c r="V14" i="10"/>
  <c r="N14" i="10" s="1"/>
  <c r="N22" i="10" l="1"/>
</calcChain>
</file>

<file path=xl/sharedStrings.xml><?xml version="1.0" encoding="utf-8"?>
<sst xmlns="http://schemas.openxmlformats.org/spreadsheetml/2006/main" count="57550" uniqueCount="2932">
  <si>
    <t>Pokemon</t>
  </si>
  <si>
    <t>Type 1</t>
  </si>
  <si>
    <t>Type 2</t>
  </si>
  <si>
    <t>Moves</t>
  </si>
  <si>
    <t>Move Type</t>
  </si>
  <si>
    <t>Move Cat.</t>
  </si>
  <si>
    <t>Power</t>
  </si>
  <si>
    <t>Accuracy</t>
  </si>
  <si>
    <t>PP</t>
  </si>
  <si>
    <t>Psychic</t>
  </si>
  <si>
    <t>Ghost</t>
  </si>
  <si>
    <t>Poison</t>
  </si>
  <si>
    <t>Att\Def</t>
  </si>
  <si>
    <t>1/2</t>
  </si>
  <si>
    <t>Bug</t>
  </si>
  <si>
    <t>Dark</t>
  </si>
  <si>
    <t>Dragon</t>
  </si>
  <si>
    <t>Electric</t>
  </si>
  <si>
    <t>Fighting</t>
  </si>
  <si>
    <t>Fire</t>
  </si>
  <si>
    <t>Flying</t>
  </si>
  <si>
    <t>Grass</t>
  </si>
  <si>
    <t>Ground</t>
  </si>
  <si>
    <t>Ice</t>
  </si>
  <si>
    <t>Normal</t>
  </si>
  <si>
    <t>Rock</t>
  </si>
  <si>
    <t>Steel</t>
  </si>
  <si>
    <t>Water</t>
  </si>
  <si>
    <t>2</t>
  </si>
  <si>
    <t>0</t>
  </si>
  <si>
    <t>Att Rating</t>
  </si>
  <si>
    <t>Def Rating</t>
  </si>
  <si>
    <t>Offense:</t>
  </si>
  <si>
    <t>Super effective:</t>
  </si>
  <si>
    <t>Not very effective:</t>
  </si>
  <si>
    <t>Defense:</t>
  </si>
  <si>
    <t>Immune:</t>
  </si>
  <si>
    <t>Type</t>
  </si>
  <si>
    <t>For example, a pokemon with a psychic type move will be super effective against fighting, poison, and psychic types, so each will be incremented by 1 in the offensive list.</t>
  </si>
  <si>
    <t>Formatting Preferences:</t>
  </si>
  <si>
    <t>Super Effective:</t>
  </si>
  <si>
    <t>Not Very Effective:</t>
  </si>
  <si>
    <t>Ghost, Psychic</t>
  </si>
  <si>
    <t>Dark, Grass, Psychic</t>
  </si>
  <si>
    <t>Flying, Water</t>
  </si>
  <si>
    <t>Dragon, Electric, Grass</t>
  </si>
  <si>
    <t>Bug, Grass, Ice, Steel</t>
  </si>
  <si>
    <t>Dragon, Fire, Rock, Water</t>
  </si>
  <si>
    <t>Bug, Fighting, Grass</t>
  </si>
  <si>
    <t>Electric, Rock, Steel</t>
  </si>
  <si>
    <t>Dark, Steel</t>
  </si>
  <si>
    <t>Ground, Rock, Water</t>
  </si>
  <si>
    <t>Bug, Dragon, Fire, Flying, Grass, Poison</t>
  </si>
  <si>
    <t>Bug, Grass</t>
  </si>
  <si>
    <t>Dragon, Flying, Grass, Ground</t>
  </si>
  <si>
    <t>Fire, Ice, Steel, Water</t>
  </si>
  <si>
    <t>Rock, Steel</t>
  </si>
  <si>
    <t>Ghost, Ground, Poison, Rock</t>
  </si>
  <si>
    <t>Fighting, Poison</t>
  </si>
  <si>
    <t>Psychic, Steel</t>
  </si>
  <si>
    <t>Bug, Fire, Flying, Ice</t>
  </si>
  <si>
    <t>Fighting, Ground, Steel</t>
  </si>
  <si>
    <t>Electric, Fire, Steel, Water</t>
  </si>
  <si>
    <t>Fire, Ground, Rock</t>
  </si>
  <si>
    <t>Dragon, Grass, Water</t>
  </si>
  <si>
    <t>Note: Formatting can be changed via  "Conditional Formatting" settings, only text is updated dynamically using these preferences</t>
  </si>
  <si>
    <t>Formula Weightings: (change these values to affect how each type is rated)</t>
  </si>
  <si>
    <t>Att: Super</t>
  </si>
  <si>
    <t>Att: Not Very</t>
  </si>
  <si>
    <t>Att: Immune</t>
  </si>
  <si>
    <t>Def: Immune</t>
  </si>
  <si>
    <t>Fighting, Grass, Ground</t>
  </si>
  <si>
    <t>Fire, Flying, Rock</t>
  </si>
  <si>
    <t>Dark, Ghost</t>
  </si>
  <si>
    <t>Electric, Fire, Grass, Water</t>
  </si>
  <si>
    <t>Electric, Steel</t>
  </si>
  <si>
    <t>Bug, Dark, Fighting, Rock</t>
  </si>
  <si>
    <t>Electric, Ice, Rock</t>
  </si>
  <si>
    <t>Bug, Poison</t>
  </si>
  <si>
    <t>Fighting, Normal</t>
  </si>
  <si>
    <t>Electric, Grass, Ground, Water</t>
  </si>
  <si>
    <t>Bug, Fire, Flying, Ice, Poison</t>
  </si>
  <si>
    <t>Poison, Rock</t>
  </si>
  <si>
    <t>Grass, Ice, Water</t>
  </si>
  <si>
    <t>Fighting, Fire, Rock, Steel</t>
  </si>
  <si>
    <t>Ground, Psychic</t>
  </si>
  <si>
    <t>Fighting, Psychic</t>
  </si>
  <si>
    <t>Bug, Dark, Ghost</t>
  </si>
  <si>
    <t>Fire, Flying, Normal, Poison</t>
  </si>
  <si>
    <t>Fighting, Ground, Water</t>
  </si>
  <si>
    <t>Dark, Ice, Normal, Rock, Steel</t>
  </si>
  <si>
    <t>Fire, Fighting, Ground</t>
  </si>
  <si>
    <t>Electric, Grass, Ground</t>
  </si>
  <si>
    <t>--</t>
  </si>
  <si>
    <t>PokePP</t>
  </si>
  <si>
    <t>Appendix</t>
  </si>
  <si>
    <t>Line</t>
  </si>
  <si>
    <t>Content</t>
  </si>
  <si>
    <t>Setup</t>
  </si>
  <si>
    <t>Taking Your First Steps</t>
  </si>
  <si>
    <t>Interpretting the Data</t>
  </si>
  <si>
    <t>FAQ</t>
  </si>
  <si>
    <t>-</t>
  </si>
  <si>
    <t>Generation I</t>
  </si>
  <si>
    <t>Generation II</t>
  </si>
  <si>
    <t>Generation III</t>
  </si>
  <si>
    <t>Generation IV</t>
  </si>
  <si>
    <t>Generation V</t>
  </si>
  <si>
    <t>Generation</t>
  </si>
  <si>
    <t>Region</t>
  </si>
  <si>
    <t>Nat. Dex Range</t>
  </si>
  <si>
    <t>Games</t>
  </si>
  <si>
    <t>Johto</t>
  </si>
  <si>
    <t>The first thing you should do is generate the Pokedex you plan on using.  Doing so will load all the available pokemon into this workbook, as well as all the available moves and which pokemon are able to learn these moves.</t>
  </si>
  <si>
    <t>Note:</t>
  </si>
  <si>
    <t>Nat Dex</t>
  </si>
  <si>
    <t>Kanto</t>
  </si>
  <si>
    <t>Hoenn</t>
  </si>
  <si>
    <t>Sinnoh</t>
  </si>
  <si>
    <t>Unova</t>
  </si>
  <si>
    <t>Sprite</t>
  </si>
  <si>
    <t>DEV:PokemonTopRow</t>
  </si>
  <si>
    <t>Party</t>
  </si>
  <si>
    <t>Saved</t>
  </si>
  <si>
    <t>Move1</t>
  </si>
  <si>
    <t>Move2</t>
  </si>
  <si>
    <t>Move3</t>
  </si>
  <si>
    <t>Move4</t>
  </si>
  <si>
    <t>Order</t>
  </si>
  <si>
    <t>Electric, Fire, Poison, Rock, Steel</t>
  </si>
  <si>
    <t>Bulbasaur</t>
  </si>
  <si>
    <t>Charmander</t>
  </si>
  <si>
    <t>Squirtle</t>
  </si>
  <si>
    <t>Gengar</t>
  </si>
  <si>
    <t>Lapras</t>
  </si>
  <si>
    <t>Dragonite</t>
  </si>
  <si>
    <t>Earthquake</t>
  </si>
  <si>
    <t>Fire Punch</t>
  </si>
  <si>
    <t>Fly</t>
  </si>
  <si>
    <t>Glare</t>
  </si>
  <si>
    <t>Hydro Pump</t>
  </si>
  <si>
    <t>Ice Beam</t>
  </si>
  <si>
    <t>Leech Seed</t>
  </si>
  <si>
    <t>Rock Slide</t>
  </si>
  <si>
    <t>Surf</t>
  </si>
  <si>
    <t>Swords Dance</t>
  </si>
  <si>
    <t>Thunderbolt</t>
  </si>
  <si>
    <t>ThunderPunch</t>
  </si>
  <si>
    <t>Toxic</t>
  </si>
  <si>
    <t>Vine Whip</t>
  </si>
  <si>
    <t>HP</t>
  </si>
  <si>
    <t>ATT</t>
  </si>
  <si>
    <t>DEF</t>
  </si>
  <si>
    <t>SPATT</t>
  </si>
  <si>
    <t>SPDEF</t>
  </si>
  <si>
    <t>SPEED</t>
  </si>
  <si>
    <t>TOTAL</t>
  </si>
  <si>
    <t>DEV:MovesetRange</t>
  </si>
  <si>
    <t>Def: Good Against</t>
  </si>
  <si>
    <t>Def: Weak to</t>
  </si>
  <si>
    <t>Your Party Has:</t>
  </si>
  <si>
    <t>n/a</t>
  </si>
  <si>
    <t>Weak Def.</t>
  </si>
  <si>
    <t>Weak Att.</t>
  </si>
  <si>
    <t>Overall</t>
  </si>
  <si>
    <t>Strong Att</t>
  </si>
  <si>
    <t>Strong Def</t>
  </si>
  <si>
    <t>Your Party Strength/Weakness Breakdown</t>
  </si>
  <si>
    <t>Aggron</t>
  </si>
  <si>
    <t>Serperior</t>
  </si>
  <si>
    <t>AncientPower</t>
  </si>
  <si>
    <t>Giga Drain</t>
  </si>
  <si>
    <t>Hidden Power</t>
  </si>
  <si>
    <t>Rapid Spin</t>
  </si>
  <si>
    <t>Shadow Ball</t>
  </si>
  <si>
    <t>Bounce</t>
  </si>
  <si>
    <t>Fake Out</t>
  </si>
  <si>
    <t>Iron Defense</t>
  </si>
  <si>
    <t>Aqua Ring</t>
  </si>
  <si>
    <t>Aqua Tail</t>
  </si>
  <si>
    <t>Dragon Rush</t>
  </si>
  <si>
    <t>Drain Punch</t>
  </si>
  <si>
    <t>Fire Fang</t>
  </si>
  <si>
    <t>Stone Edge</t>
  </si>
  <si>
    <t>Heavy Slam</t>
  </si>
  <si>
    <t>Inferno</t>
  </si>
  <si>
    <t>Sludge Wave</t>
  </si>
  <si>
    <t>Description</t>
  </si>
  <si>
    <t>Learn By</t>
  </si>
  <si>
    <t>These tables to the right show which types you are have advantages over in regards to offense and defensive types.</t>
  </si>
  <si>
    <t>A Ghost pokemon will gain a defensive boost from normal, fighting, bug and poison attacks, so each will be incremented by 1 in the 'Ghost' defensive column.</t>
  </si>
  <si>
    <t>Rating</t>
  </si>
  <si>
    <t># of Pokemon</t>
  </si>
  <si>
    <t>Once you've got things setup, now it's time to start planning your party!  Your first step is to pop on over to the 'Party Pokemon' sheet and add a new pokemon row by clicking "Add Pokemon" on the top right.  This will insert a set of specially formatted rows to help display pokemon information.</t>
  </si>
  <si>
    <t>Now that an empty row is waiting, go to the cell in the 'Pokemon' column and select which pokemon you want by either typing in the name, or selecting from the drop down that will appear after clicking on the cell.  Once you do so some information about that pokemon will automatically appear!</t>
  </si>
  <si>
    <t>If your pokemon row doesn't load an image, simply go up to the top right and press 'Load Sprite'!  This will hit the internet and grab you a picture of your new pokemon.</t>
  </si>
  <si>
    <t>Next are the moves.  To the right of your pokemon you'll see a lot of empty formatted rows that will soon hold this information.  First go to one of the 4 slots under the 'Moves' column and pick a move.  Each move listed is available to the pokemon you've chosen, so don't worry about picking a move your pokemon can't learn!</t>
  </si>
  <si>
    <t>After you go adding a bunch of pokemon, you may decide later that you no longer want one.  In that case, select one of the cells in that pokemons row, then press 'Remove Pokemon' in the top right.</t>
  </si>
  <si>
    <t>So now you have a party, you'll probably want to save it!                                           Again, there's a button at the top for this, but before that:  Name your party by changing the text in the center of the header bar, this is the name you'll use to save and reload the party!</t>
  </si>
  <si>
    <t>Now before  you go, you may want to know one more thing.  If you want to see the base stats for any of the pokemon in your party, hit the 'Toggle Stats' button to reveal those hidden columns!</t>
  </si>
  <si>
    <t>Learn more about PokePP</t>
  </si>
  <si>
    <t>Other than having a nice place to organize your plans, you also get something else from PokePP: an automated analysis of how your party will perform!  For now it's fairly basic, and more is explained on the 'Analysis' sheet where the results are listed, but I will go over a bit of an explanation of 'why' the analysis is so benefitial.</t>
  </si>
  <si>
    <t>Oh how wrong you are.  Well, how wrong I was actually.  It wasn't until I got to the Elite Four that I realized how much this guy on the right here could kick my party's butt.</t>
  </si>
  <si>
    <t>What I didn't notice is that my party on the left had a major weakness to both Ground and Dark.  Not just in their defensive types, but also because their attacks weren't that effective.  After running this party through PokePP's analysis I was able to see how low my party ranked against those two types.</t>
  </si>
  <si>
    <t>And looking at that analysis I was also able to see all the other holes in my defense.  The series of charts that pair with this one were able to break down where and how the holes were formed, better enabling me to make the party better.  Hopefully this will help you do the same!</t>
  </si>
  <si>
    <t>So we've got our party on the left, from the 5th generation games.  Looks pretty good, right?  You've got a tank or two, your sweepers, your tacticians, no pokemon of a single type, no horrendous holes….. Right?</t>
  </si>
  <si>
    <t>Want to know more about PokePP?  It's simple, just follow the PokePP blog at:</t>
  </si>
  <si>
    <t>http://pokepp.wikidot.com/</t>
  </si>
  <si>
    <t>Found a bug, or have a suggestion to make PokePP better?  Walk on over to:</t>
  </si>
  <si>
    <t>http://pokepp-feedback.wikidot.com/</t>
  </si>
  <si>
    <t>justcallmebaj@gmail.com</t>
  </si>
  <si>
    <t>Got something else to say, or a question for the FAQ?  Contact me at:</t>
  </si>
  <si>
    <t>Why is it called 'PokePP'?</t>
  </si>
  <si>
    <t>PokePP' stands for 'Pokemon Party Planner'.  Obviously the latter wasn't that original… Also I'm pretty lazy and needed to find something shorter to type!</t>
  </si>
  <si>
    <t>The one-stop Pokemon Party Planner for all your partying needs!</t>
  </si>
  <si>
    <t>Growth</t>
  </si>
  <si>
    <t>Signal Beam</t>
  </si>
  <si>
    <t>Please note that generating a Pokedex requires an internet connection and will override your previous pokedex information.  This will not delete any of your saved parties and can be changed at any time.</t>
  </si>
  <si>
    <t>http://img.pokemondb.net/sprites/black-white/normal/bulbasaur.png</t>
  </si>
  <si>
    <t>Tackle</t>
  </si>
  <si>
    <t>Growl</t>
  </si>
  <si>
    <t>PoisonPowder</t>
  </si>
  <si>
    <t>Sleep Powder</t>
  </si>
  <si>
    <t>Take Down</t>
  </si>
  <si>
    <t>Razor Leaf</t>
  </si>
  <si>
    <t>Double-Edge</t>
  </si>
  <si>
    <t>Cut</t>
  </si>
  <si>
    <t>Strength</t>
  </si>
  <si>
    <t>Light Screen</t>
  </si>
  <si>
    <t>SolarBeam</t>
  </si>
  <si>
    <t>Double Team</t>
  </si>
  <si>
    <t>Rest</t>
  </si>
  <si>
    <t>Flash</t>
  </si>
  <si>
    <t>Substitute</t>
  </si>
  <si>
    <t>---EGG---</t>
  </si>
  <si>
    <t>Amnesia</t>
  </si>
  <si>
    <t>Petal Dance</t>
  </si>
  <si>
    <t>Skull Bash</t>
  </si>
  <si>
    <t>Sludge</t>
  </si>
  <si>
    <t>---TUTOR---</t>
  </si>
  <si>
    <t>Bind</t>
  </si>
  <si>
    <t>---PREVO---</t>
  </si>
  <si>
    <t>http://img.pokemondb.net/sprites/black-white/normal/ivysaur.png</t>
  </si>
  <si>
    <t>Ivysaur</t>
  </si>
  <si>
    <t>http://img.pokemondb.net/sprites/black-white/normal/venusaur.png</t>
  </si>
  <si>
    <t>Venusaur</t>
  </si>
  <si>
    <t>Roar</t>
  </si>
  <si>
    <t>Hyper Beam</t>
  </si>
  <si>
    <t>http://img.pokemondb.net/sprites/black-white/normal/charmander.png</t>
  </si>
  <si>
    <t>Scratch</t>
  </si>
  <si>
    <t>Ember</t>
  </si>
  <si>
    <t>SmokeScreen</t>
  </si>
  <si>
    <t>Dragon Rage</t>
  </si>
  <si>
    <t>Slash</t>
  </si>
  <si>
    <t>Flamethrower</t>
  </si>
  <si>
    <t>Fire Spin</t>
  </si>
  <si>
    <t>Dig</t>
  </si>
  <si>
    <t>Fire Blast</t>
  </si>
  <si>
    <t>Bite</t>
  </si>
  <si>
    <t>Counter</t>
  </si>
  <si>
    <t>http://img.pokemondb.net/sprites/black-white/normal/charmeleon.png</t>
  </si>
  <si>
    <t>Charmeleon</t>
  </si>
  <si>
    <t>http://img.pokemondb.net/sprites/black-white/normal/charizard.png</t>
  </si>
  <si>
    <t>Charizard</t>
  </si>
  <si>
    <t>Wing Attack</t>
  </si>
  <si>
    <t>http://img.pokemondb.net/sprites/black-white/normal/squirtle.png</t>
  </si>
  <si>
    <t>Tail Whip</t>
  </si>
  <si>
    <t>Bubble</t>
  </si>
  <si>
    <t>Withdraw</t>
  </si>
  <si>
    <t>Water Gun</t>
  </si>
  <si>
    <t>Waterfall</t>
  </si>
  <si>
    <t>Blizzard</t>
  </si>
  <si>
    <t>Haze</t>
  </si>
  <si>
    <t>Mist</t>
  </si>
  <si>
    <t>Ice Punch</t>
  </si>
  <si>
    <t>http://img.pokemondb.net/sprites/black-white/normal/wartortle.png</t>
  </si>
  <si>
    <t>Wartortle</t>
  </si>
  <si>
    <t>http://img.pokemondb.net/sprites/black-white/normal/blastoise.png</t>
  </si>
  <si>
    <t>Blastoise</t>
  </si>
  <si>
    <t>http://img.pokemondb.net/sprites/black-white/normal/caterpie.png</t>
  </si>
  <si>
    <t>Caterpie</t>
  </si>
  <si>
    <t>String Shot</t>
  </si>
  <si>
    <t>http://img.pokemondb.net/sprites/black-white/normal/metapod.png</t>
  </si>
  <si>
    <t>Metapod</t>
  </si>
  <si>
    <t>Harden</t>
  </si>
  <si>
    <t>http://img.pokemondb.net/sprites/black-white/normal/butterfree.png</t>
  </si>
  <si>
    <t>Butterfree</t>
  </si>
  <si>
    <t>Confusion</t>
  </si>
  <si>
    <t>Stun Spore</t>
  </si>
  <si>
    <t>Gust</t>
  </si>
  <si>
    <t>Supersonic</t>
  </si>
  <si>
    <t>Whirlwind</t>
  </si>
  <si>
    <t>Psybeam</t>
  </si>
  <si>
    <t>Dream Eater</t>
  </si>
  <si>
    <t>http://img.pokemondb.net/sprites/black-white/normal/weedle.png</t>
  </si>
  <si>
    <t>Weedle</t>
  </si>
  <si>
    <t>Poison Sting</t>
  </si>
  <si>
    <t>http://img.pokemondb.net/sprites/black-white/normal/kakuna.png</t>
  </si>
  <si>
    <t>Kakuna</t>
  </si>
  <si>
    <t>http://img.pokemondb.net/sprites/black-white/normal/beedrill.png</t>
  </si>
  <si>
    <t>Beedrill</t>
  </si>
  <si>
    <t>Fury Attack</t>
  </si>
  <si>
    <t>Focus Energy</t>
  </si>
  <si>
    <t>Twineedle</t>
  </si>
  <si>
    <t>Rage</t>
  </si>
  <si>
    <t>Pin Missile</t>
  </si>
  <si>
    <t>Agility</t>
  </si>
  <si>
    <t>http://img.pokemondb.net/sprites/black-white/normal/pidgey.png</t>
  </si>
  <si>
    <t>Pidgey</t>
  </si>
  <si>
    <t>Sand-Attack</t>
  </si>
  <si>
    <t>Quick Attack</t>
  </si>
  <si>
    <t>Mirror Move</t>
  </si>
  <si>
    <t>http://img.pokemondb.net/sprites/black-white/normal/pidgeotto.png</t>
  </si>
  <si>
    <t>Pidgeotto</t>
  </si>
  <si>
    <t>http://img.pokemondb.net/sprites/black-white/normal/pidgeot.png</t>
  </si>
  <si>
    <t>Pidgeot</t>
  </si>
  <si>
    <t>Sky Attack</t>
  </si>
  <si>
    <t>http://img.pokemondb.net/sprites/black-white/normal/rattata.png</t>
  </si>
  <si>
    <t>Rattata</t>
  </si>
  <si>
    <t>Hyper Fang</t>
  </si>
  <si>
    <t>Super Fang</t>
  </si>
  <si>
    <t>Thunder</t>
  </si>
  <si>
    <t>Thunder Wave</t>
  </si>
  <si>
    <t>Fury Swipes</t>
  </si>
  <si>
    <t>Screech</t>
  </si>
  <si>
    <t>http://img.pokemondb.net/sprites/black-white/normal/raticate.png</t>
  </si>
  <si>
    <t>Raticate</t>
  </si>
  <si>
    <t>http://img.pokemondb.net/sprites/black-white/normal/spearow.png</t>
  </si>
  <si>
    <t>Spearow</t>
  </si>
  <si>
    <t>Peck</t>
  </si>
  <si>
    <t>Leer</t>
  </si>
  <si>
    <t>Drill Peck</t>
  </si>
  <si>
    <t>Razor Wind</t>
  </si>
  <si>
    <t>Tri Attack</t>
  </si>
  <si>
    <t>http://img.pokemondb.net/sprites/black-white/normal/fearow.png</t>
  </si>
  <si>
    <t>Fearow</t>
  </si>
  <si>
    <t>http://img.pokemondb.net/sprites/black-white/normal/ekans.png</t>
  </si>
  <si>
    <t>Ekans</t>
  </si>
  <si>
    <t>Wrap</t>
  </si>
  <si>
    <t>Acid</t>
  </si>
  <si>
    <t>Disable</t>
  </si>
  <si>
    <t>Slam</t>
  </si>
  <si>
    <t>http://img.pokemondb.net/sprites/black-white/normal/arbok.png</t>
  </si>
  <si>
    <t>Arbok</t>
  </si>
  <si>
    <t>http://img.pokemondb.net/sprites/black-white/normal/pikachu.png</t>
  </si>
  <si>
    <t>Pikachu</t>
  </si>
  <si>
    <t>ThunderShock</t>
  </si>
  <si>
    <t>Bide</t>
  </si>
  <si>
    <t>DoubleSlap</t>
  </si>
  <si>
    <t>http://img.pokemondb.net/sprites/black-white/normal/raichu.png</t>
  </si>
  <si>
    <t>Raichu</t>
  </si>
  <si>
    <t>http://img.pokemondb.net/sprites/black-white/normal/sandshrew.png</t>
  </si>
  <si>
    <t>Sandshrew</t>
  </si>
  <si>
    <t>Defense Curl</t>
  </si>
  <si>
    <t>Swift</t>
  </si>
  <si>
    <t>http://img.pokemondb.net/sprites/black-white/normal/sandslash.png</t>
  </si>
  <si>
    <t>Sandslash</t>
  </si>
  <si>
    <t>http://img.pokemondb.net/sprites/black-white/normal/nidoran-f.png</t>
  </si>
  <si>
    <t>Nidoran-f</t>
  </si>
  <si>
    <t>Double Kick</t>
  </si>
  <si>
    <t>http://img.pokemondb.net/sprites/black-white/normal/nidorina.png</t>
  </si>
  <si>
    <t>Nidorina</t>
  </si>
  <si>
    <t>http://img.pokemondb.net/sprites/black-white/normal/nidoqueen.png</t>
  </si>
  <si>
    <t>Nidoqueen</t>
  </si>
  <si>
    <t>Body Slam</t>
  </si>
  <si>
    <t>http://img.pokemondb.net/sprites/black-white/normal/nidoran-m.png</t>
  </si>
  <si>
    <t>Nidoran-m</t>
  </si>
  <si>
    <t>Horn Attack</t>
  </si>
  <si>
    <t>Horn Drill</t>
  </si>
  <si>
    <t>http://img.pokemondb.net/sprites/black-white/normal/nidorino.png</t>
  </si>
  <si>
    <t>Nidorino</t>
  </si>
  <si>
    <t>http://img.pokemondb.net/sprites/black-white/normal/nidoking.png</t>
  </si>
  <si>
    <t>Nidoking</t>
  </si>
  <si>
    <t>Thrash</t>
  </si>
  <si>
    <t>http://img.pokemondb.net/sprites/black-white/normal/clefairy.png</t>
  </si>
  <si>
    <t>Clefairy</t>
  </si>
  <si>
    <t>Pound</t>
  </si>
  <si>
    <t>Sing</t>
  </si>
  <si>
    <t>Minimize</t>
  </si>
  <si>
    <t>Metronome</t>
  </si>
  <si>
    <t>Reflect</t>
  </si>
  <si>
    <t>Mimic</t>
  </si>
  <si>
    <t>Splash</t>
  </si>
  <si>
    <t>http://img.pokemondb.net/sprites/black-white/normal/clefable.png</t>
  </si>
  <si>
    <t>Clefable</t>
  </si>
  <si>
    <t>http://img.pokemondb.net/sprites/black-white/normal/vulpix.png</t>
  </si>
  <si>
    <t>Vulpix</t>
  </si>
  <si>
    <t>Confuse Ray</t>
  </si>
  <si>
    <t>Hypnosis</t>
  </si>
  <si>
    <t>http://img.pokemondb.net/sprites/black-white/normal/ninetales.png</t>
  </si>
  <si>
    <t>Ninetales</t>
  </si>
  <si>
    <t>http://img.pokemondb.net/sprites/black-white/normal/jigglypuff.png</t>
  </si>
  <si>
    <t>Jigglypuff</t>
  </si>
  <si>
    <t>http://img.pokemondb.net/sprites/black-white/normal/wigglytuff.png</t>
  </si>
  <si>
    <t>Wigglytuff</t>
  </si>
  <si>
    <t>http://img.pokemondb.net/sprites/black-white/normal/zubat.png</t>
  </si>
  <si>
    <t>Zubat</t>
  </si>
  <si>
    <t>Leech Life</t>
  </si>
  <si>
    <t>http://img.pokemondb.net/sprites/black-white/normal/golbat.png</t>
  </si>
  <si>
    <t>Golbat</t>
  </si>
  <si>
    <t>http://img.pokemondb.net/sprites/black-white/normal/oddish.png</t>
  </si>
  <si>
    <t>Oddish</t>
  </si>
  <si>
    <t>Absorb</t>
  </si>
  <si>
    <t>Mega Drain</t>
  </si>
  <si>
    <t>http://img.pokemondb.net/sprites/black-white/normal/gloom.png</t>
  </si>
  <si>
    <t>Gloom</t>
  </si>
  <si>
    <t>http://img.pokemondb.net/sprites/black-white/normal/vileplume.png</t>
  </si>
  <si>
    <t>Vileplume</t>
  </si>
  <si>
    <t>http://img.pokemondb.net/sprites/black-white/normal/paras.png</t>
  </si>
  <si>
    <t>Paras</t>
  </si>
  <si>
    <t>Spore</t>
  </si>
  <si>
    <t>http://img.pokemondb.net/sprites/black-white/normal/parasect.png</t>
  </si>
  <si>
    <t>Parasect</t>
  </si>
  <si>
    <t>http://img.pokemondb.net/sprites/black-white/normal/venonat.png</t>
  </si>
  <si>
    <t>Venonat</t>
  </si>
  <si>
    <t>http://img.pokemondb.net/sprites/black-white/normal/venomoth.png</t>
  </si>
  <si>
    <t>Venomoth</t>
  </si>
  <si>
    <t>http://img.pokemondb.net/sprites/black-white/normal/diglett.png</t>
  </si>
  <si>
    <t>Diglett</t>
  </si>
  <si>
    <t>Fissure</t>
  </si>
  <si>
    <t>Headbutt</t>
  </si>
  <si>
    <t>http://img.pokemondb.net/sprites/black-white/normal/dugtrio.png</t>
  </si>
  <si>
    <t>Dugtrio</t>
  </si>
  <si>
    <t>http://img.pokemondb.net/sprites/black-white/normal/meowth.png</t>
  </si>
  <si>
    <t>Meowth</t>
  </si>
  <si>
    <t>Pay Day</t>
  </si>
  <si>
    <t>http://img.pokemondb.net/sprites/black-white/normal/persian.png</t>
  </si>
  <si>
    <t>Persian</t>
  </si>
  <si>
    <t>http://img.pokemondb.net/sprites/black-white/normal/psyduck.png</t>
  </si>
  <si>
    <t>Psyduck</t>
  </si>
  <si>
    <t>http://img.pokemondb.net/sprites/black-white/normal/golduck.png</t>
  </si>
  <si>
    <t>Golduck</t>
  </si>
  <si>
    <t>Low Kick</t>
  </si>
  <si>
    <t>http://img.pokemondb.net/sprites/black-white/normal/mankey.png</t>
  </si>
  <si>
    <t>Mankey</t>
  </si>
  <si>
    <t>Karate Chop</t>
  </si>
  <si>
    <t>Seismic Toss</t>
  </si>
  <si>
    <t>Meditate</t>
  </si>
  <si>
    <t>http://img.pokemondb.net/sprites/black-white/normal/primeape.png</t>
  </si>
  <si>
    <t>Primeape</t>
  </si>
  <si>
    <t>http://img.pokemondb.net/sprites/black-white/normal/growlithe.png</t>
  </si>
  <si>
    <t>Growlithe</t>
  </si>
  <si>
    <t>http://img.pokemondb.net/sprites/black-white/normal/arcanine.png</t>
  </si>
  <si>
    <t>Arcanine</t>
  </si>
  <si>
    <t>http://img.pokemondb.net/sprites/black-white/normal/poliwag.png</t>
  </si>
  <si>
    <t>Poliwag</t>
  </si>
  <si>
    <t>BubbleBeam</t>
  </si>
  <si>
    <t>http://img.pokemondb.net/sprites/black-white/normal/poliwhirl.png</t>
  </si>
  <si>
    <t>Poliwhirl</t>
  </si>
  <si>
    <t>http://img.pokemondb.net/sprites/black-white/normal/poliwrath.png</t>
  </si>
  <si>
    <t>Poliwrath</t>
  </si>
  <si>
    <t>Submission</t>
  </si>
  <si>
    <t>http://img.pokemondb.net/sprites/black-white/normal/abra.png</t>
  </si>
  <si>
    <t>Abra</t>
  </si>
  <si>
    <t>Teleport</t>
  </si>
  <si>
    <t>Barrier</t>
  </si>
  <si>
    <t>http://img.pokemondb.net/sprites/black-white/normal/kadabra.png</t>
  </si>
  <si>
    <t>Kadabra</t>
  </si>
  <si>
    <t>Kinesis</t>
  </si>
  <si>
    <t>Recover</t>
  </si>
  <si>
    <t>http://img.pokemondb.net/sprites/black-white/normal/alakazam.png</t>
  </si>
  <si>
    <t>Alakazam</t>
  </si>
  <si>
    <t>http://img.pokemondb.net/sprites/black-white/normal/machop.png</t>
  </si>
  <si>
    <t>Machop</t>
  </si>
  <si>
    <t>Rolling Kick</t>
  </si>
  <si>
    <t>http://img.pokemondb.net/sprites/black-white/normal/machoke.png</t>
  </si>
  <si>
    <t>Machoke</t>
  </si>
  <si>
    <t>http://img.pokemondb.net/sprites/black-white/normal/machamp.png</t>
  </si>
  <si>
    <t>Machamp</t>
  </si>
  <si>
    <t>http://img.pokemondb.net/sprites/black-white/normal/bellsprout.png</t>
  </si>
  <si>
    <t>Bellsprout</t>
  </si>
  <si>
    <t>http://img.pokemondb.net/sprites/black-white/normal/weepinbell.png</t>
  </si>
  <si>
    <t>Weepinbell</t>
  </si>
  <si>
    <t>http://img.pokemondb.net/sprites/black-white/normal/victreebel.png</t>
  </si>
  <si>
    <t>Victreebel</t>
  </si>
  <si>
    <t>http://img.pokemondb.net/sprites/black-white/normal/tentacool.png</t>
  </si>
  <si>
    <t>Tentacool</t>
  </si>
  <si>
    <t>Constrict</t>
  </si>
  <si>
    <t>Aurora Beam</t>
  </si>
  <si>
    <t>http://img.pokemondb.net/sprites/black-white/normal/tentacruel.png</t>
  </si>
  <si>
    <t>Tentacruel</t>
  </si>
  <si>
    <t>http://img.pokemondb.net/sprites/black-white/normal/geodude.png</t>
  </si>
  <si>
    <t>Geodude</t>
  </si>
  <si>
    <t>Rock Throw</t>
  </si>
  <si>
    <t>Selfdestruct</t>
  </si>
  <si>
    <t>Explosion</t>
  </si>
  <si>
    <t>Mega Punch</t>
  </si>
  <si>
    <t>http://img.pokemondb.net/sprites/black-white/normal/graveler.png</t>
  </si>
  <si>
    <t>Graveler</t>
  </si>
  <si>
    <t>http://img.pokemondb.net/sprites/black-white/normal/golem.png</t>
  </si>
  <si>
    <t>Golem</t>
  </si>
  <si>
    <t>http://img.pokemondb.net/sprites/black-white/normal/ponyta.png</t>
  </si>
  <si>
    <t>Ponyta</t>
  </si>
  <si>
    <t>Stomp</t>
  </si>
  <si>
    <t>http://img.pokemondb.net/sprites/black-white/normal/rapidash.png</t>
  </si>
  <si>
    <t>Rapidash</t>
  </si>
  <si>
    <t>http://img.pokemondb.net/sprites/black-white/normal/slowpoke.png</t>
  </si>
  <si>
    <t>Slowpoke</t>
  </si>
  <si>
    <t>http://img.pokemondb.net/sprites/black-white/normal/slowbro.png</t>
  </si>
  <si>
    <t>Slowbro</t>
  </si>
  <si>
    <t>http://img.pokemondb.net/sprites/black-white/normal/magnemite.png</t>
  </si>
  <si>
    <t>Magnemite</t>
  </si>
  <si>
    <t>SonicBoom</t>
  </si>
  <si>
    <t>http://img.pokemondb.net/sprites/black-white/normal/magneton.png</t>
  </si>
  <si>
    <t>Magneton</t>
  </si>
  <si>
    <t>http://img.pokemondb.net/sprites/black-white/normal/doduo.png</t>
  </si>
  <si>
    <t>Doduo</t>
  </si>
  <si>
    <t>http://img.pokemondb.net/sprites/black-white/normal/dodrio.png</t>
  </si>
  <si>
    <t>Dodrio</t>
  </si>
  <si>
    <t>http://img.pokemondb.net/sprites/black-white/normal/seel.png</t>
  </si>
  <si>
    <t>Seel</t>
  </si>
  <si>
    <t>Lick</t>
  </si>
  <si>
    <t>http://img.pokemondb.net/sprites/black-white/normal/dewgong.png</t>
  </si>
  <si>
    <t>Dewgong</t>
  </si>
  <si>
    <t>http://img.pokemondb.net/sprites/black-white/normal/grimer.png</t>
  </si>
  <si>
    <t>Grimer</t>
  </si>
  <si>
    <t>Poison Gas</t>
  </si>
  <si>
    <t>Acid Armor</t>
  </si>
  <si>
    <t>http://img.pokemondb.net/sprites/black-white/normal/muk.png</t>
  </si>
  <si>
    <t>Muk</t>
  </si>
  <si>
    <t>http://img.pokemondb.net/sprites/black-white/normal/shellder.png</t>
  </si>
  <si>
    <t>Shellder</t>
  </si>
  <si>
    <t>Clamp</t>
  </si>
  <si>
    <t>http://img.pokemondb.net/sprites/black-white/normal/cloyster.png</t>
  </si>
  <si>
    <t>Cloyster</t>
  </si>
  <si>
    <t>Spike Cannon</t>
  </si>
  <si>
    <t>http://img.pokemondb.net/sprites/black-white/normal/gastly.png</t>
  </si>
  <si>
    <t>Gastly</t>
  </si>
  <si>
    <t>Night Shade</t>
  </si>
  <si>
    <t>Psywave</t>
  </si>
  <si>
    <t>Smog</t>
  </si>
  <si>
    <t>http://img.pokemondb.net/sprites/black-white/normal/haunter.png</t>
  </si>
  <si>
    <t>Haunter</t>
  </si>
  <si>
    <t>http://img.pokemondb.net/sprites/black-white/normal/gengar.png</t>
  </si>
  <si>
    <t>http://img.pokemondb.net/sprites/black-white/normal/onix.png</t>
  </si>
  <si>
    <t>Onix</t>
  </si>
  <si>
    <t>http://img.pokemondb.net/sprites/black-white/normal/drowzee.png</t>
  </si>
  <si>
    <t>Drowzee</t>
  </si>
  <si>
    <t>http://img.pokemondb.net/sprites/black-white/normal/hypno.png</t>
  </si>
  <si>
    <t>Hypno</t>
  </si>
  <si>
    <t>http://img.pokemondb.net/sprites/black-white/normal/krabby.png</t>
  </si>
  <si>
    <t>Krabby</t>
  </si>
  <si>
    <t>ViceGrip</t>
  </si>
  <si>
    <t>Guillotine</t>
  </si>
  <si>
    <t>Crabhammer</t>
  </si>
  <si>
    <t>http://img.pokemondb.net/sprites/black-white/normal/kingler.png</t>
  </si>
  <si>
    <t>Kingler</t>
  </si>
  <si>
    <t>http://img.pokemondb.net/sprites/black-white/normal/voltorb.png</t>
  </si>
  <si>
    <t>Voltorb</t>
  </si>
  <si>
    <t>http://img.pokemondb.net/sprites/black-white/normal/electrode.png</t>
  </si>
  <si>
    <t>Electrode</t>
  </si>
  <si>
    <t>http://img.pokemondb.net/sprites/black-white/normal/exeggcute.png</t>
  </si>
  <si>
    <t>Exeggcute</t>
  </si>
  <si>
    <t>Barrage</t>
  </si>
  <si>
    <t>http://img.pokemondb.net/sprites/black-white/normal/exeggutor.png</t>
  </si>
  <si>
    <t>Exeggutor</t>
  </si>
  <si>
    <t>Egg Bomb</t>
  </si>
  <si>
    <t>http://img.pokemondb.net/sprites/black-white/normal/cubone.png</t>
  </si>
  <si>
    <t>Cubone</t>
  </si>
  <si>
    <t>Bone Club</t>
  </si>
  <si>
    <t>Bonemerang</t>
  </si>
  <si>
    <t>http://img.pokemondb.net/sprites/black-white/normal/marowak.png</t>
  </si>
  <si>
    <t>Marowak</t>
  </si>
  <si>
    <t>http://img.pokemondb.net/sprites/black-white/normal/hitmonlee.png</t>
  </si>
  <si>
    <t>Hitmonlee</t>
  </si>
  <si>
    <t>Jump Kick</t>
  </si>
  <si>
    <t>Hi Jump Kick</t>
  </si>
  <si>
    <t>Mega Kick</t>
  </si>
  <si>
    <t>http://img.pokemondb.net/sprites/black-white/normal/hitmonchan.png</t>
  </si>
  <si>
    <t>Hitmonchan</t>
  </si>
  <si>
    <t>Comet Punch</t>
  </si>
  <si>
    <t>http://img.pokemondb.net/sprites/black-white/normal/lickitung.png</t>
  </si>
  <si>
    <t>Lickitung</t>
  </si>
  <si>
    <t>http://img.pokemondb.net/sprites/black-white/normal/koffing.png</t>
  </si>
  <si>
    <t>Koffing</t>
  </si>
  <si>
    <t>http://img.pokemondb.net/sprites/black-white/normal/weezing.png</t>
  </si>
  <si>
    <t>Weezing</t>
  </si>
  <si>
    <t>http://img.pokemondb.net/sprites/black-white/normal/rhyhorn.png</t>
  </si>
  <si>
    <t>Rhyhorn</t>
  </si>
  <si>
    <t>http://img.pokemondb.net/sprites/black-white/normal/rhydon.png</t>
  </si>
  <si>
    <t>Rhydon</t>
  </si>
  <si>
    <t>http://img.pokemondb.net/sprites/black-white/normal/chansey.png</t>
  </si>
  <si>
    <t>Chansey</t>
  </si>
  <si>
    <t>Softboiled</t>
  </si>
  <si>
    <t>http://img.pokemondb.net/sprites/black-white/normal/tangela.png</t>
  </si>
  <si>
    <t>Tangela</t>
  </si>
  <si>
    <t>http://img.pokemondb.net/sprites/black-white/normal/kangaskhan.png</t>
  </si>
  <si>
    <t>Kangaskhan</t>
  </si>
  <si>
    <t>Dizzy Punch</t>
  </si>
  <si>
    <t>http://img.pokemondb.net/sprites/black-white/normal/horsea.png</t>
  </si>
  <si>
    <t>Horsea</t>
  </si>
  <si>
    <t>http://img.pokemondb.net/sprites/black-white/normal/seadra.png</t>
  </si>
  <si>
    <t>Seadra</t>
  </si>
  <si>
    <t>http://img.pokemondb.net/sprites/black-white/normal/goldeen.png</t>
  </si>
  <si>
    <t>Goldeen</t>
  </si>
  <si>
    <t>http://img.pokemondb.net/sprites/black-white/normal/seaking.png</t>
  </si>
  <si>
    <t>Seaking</t>
  </si>
  <si>
    <t>http://img.pokemondb.net/sprites/black-white/normal/staryu.png</t>
  </si>
  <si>
    <t>Staryu</t>
  </si>
  <si>
    <t>http://img.pokemondb.net/sprites/black-white/normal/starmie.png</t>
  </si>
  <si>
    <t>Starmie</t>
  </si>
  <si>
    <t>http://img.pokemondb.net/sprites/black-white/normal/scyther.png</t>
  </si>
  <si>
    <t>Scyther</t>
  </si>
  <si>
    <t>http://img.pokemondb.net/sprites/black-white/normal/jynx.png</t>
  </si>
  <si>
    <t>Jynx</t>
  </si>
  <si>
    <t>Lovely Kiss</t>
  </si>
  <si>
    <t>http://img.pokemondb.net/sprites/black-white/normal/electabuzz.png</t>
  </si>
  <si>
    <t>Electabuzz</t>
  </si>
  <si>
    <t>http://img.pokemondb.net/sprites/black-white/normal/magmar.png</t>
  </si>
  <si>
    <t>Magmar</t>
  </si>
  <si>
    <t>http://img.pokemondb.net/sprites/black-white/normal/pinsir.png</t>
  </si>
  <si>
    <t>Pinsir</t>
  </si>
  <si>
    <t>http://img.pokemondb.net/sprites/black-white/normal/tauros.png</t>
  </si>
  <si>
    <t>Tauros</t>
  </si>
  <si>
    <t>http://img.pokemondb.net/sprites/black-white/normal/magikarp.png</t>
  </si>
  <si>
    <t>Magikarp</t>
  </si>
  <si>
    <t>http://img.pokemondb.net/sprites/black-white/normal/gyarados.png</t>
  </si>
  <si>
    <t>Gyarados</t>
  </si>
  <si>
    <t>http://img.pokemondb.net/sprites/black-white/normal/lapras.png</t>
  </si>
  <si>
    <t>http://img.pokemondb.net/sprites/black-white/normal/ditto.png</t>
  </si>
  <si>
    <t>Ditto</t>
  </si>
  <si>
    <t>Transform</t>
  </si>
  <si>
    <t>http://img.pokemondb.net/sprites/black-white/normal/eevee.png</t>
  </si>
  <si>
    <t>Eevee</t>
  </si>
  <si>
    <t>http://img.pokemondb.net/sprites/black-white/normal/vaporeon.png</t>
  </si>
  <si>
    <t>Vaporeon</t>
  </si>
  <si>
    <t>http://img.pokemondb.net/sprites/black-white/normal/jolteon.png</t>
  </si>
  <si>
    <t>Jolteon</t>
  </si>
  <si>
    <t>http://img.pokemondb.net/sprites/black-white/normal/flareon.png</t>
  </si>
  <si>
    <t>Flareon</t>
  </si>
  <si>
    <t>http://img.pokemondb.net/sprites/black-white/normal/porygon.png</t>
  </si>
  <si>
    <t>Porygon</t>
  </si>
  <si>
    <t>Sharpen</t>
  </si>
  <si>
    <t>Conversion</t>
  </si>
  <si>
    <t>http://img.pokemondb.net/sprites/black-white/normal/omanyte.png</t>
  </si>
  <si>
    <t>Omanyte</t>
  </si>
  <si>
    <t>http://img.pokemondb.net/sprites/black-white/normal/omastar.png</t>
  </si>
  <si>
    <t>Omastar</t>
  </si>
  <si>
    <t>http://img.pokemondb.net/sprites/black-white/normal/kabuto.png</t>
  </si>
  <si>
    <t>Kabuto</t>
  </si>
  <si>
    <t>http://img.pokemondb.net/sprites/black-white/normal/kabutops.png</t>
  </si>
  <si>
    <t>Kabutops</t>
  </si>
  <si>
    <t>http://img.pokemondb.net/sprites/black-white/normal/aerodactyl.png</t>
  </si>
  <si>
    <t>Aerodactyl</t>
  </si>
  <si>
    <t>http://img.pokemondb.net/sprites/black-white/normal/snorlax.png</t>
  </si>
  <si>
    <t>Snorlax</t>
  </si>
  <si>
    <t>http://img.pokemondb.net/sprites/black-white/normal/articuno.png</t>
  </si>
  <si>
    <t>Articuno</t>
  </si>
  <si>
    <t>http://img.pokemondb.net/sprites/black-white/normal/zapdos.png</t>
  </si>
  <si>
    <t>Zapdos</t>
  </si>
  <si>
    <t>http://img.pokemondb.net/sprites/black-white/normal/moltres.png</t>
  </si>
  <si>
    <t>Moltres</t>
  </si>
  <si>
    <t>http://img.pokemondb.net/sprites/black-white/normal/dratini.png</t>
  </si>
  <si>
    <t>Dratini</t>
  </si>
  <si>
    <t>http://img.pokemondb.net/sprites/black-white/normal/dragonair.png</t>
  </si>
  <si>
    <t>Dragonair</t>
  </si>
  <si>
    <t>http://img.pokemondb.net/sprites/black-white/normal/dragonite.png</t>
  </si>
  <si>
    <t>http://img.pokemondb.net/sprites/black-white/normal/mewtwo.png</t>
  </si>
  <si>
    <t>Mewtwo</t>
  </si>
  <si>
    <t>http://img.pokemondb.net/sprites/black-white/normal/mew.png</t>
  </si>
  <si>
    <t>Mew</t>
  </si>
  <si>
    <t>Special</t>
  </si>
  <si>
    <t>User recovers half the HP inflicted on opponent.</t>
  </si>
  <si>
    <t>May lower opponent's Special Defense.</t>
  </si>
  <si>
    <t>Status</t>
  </si>
  <si>
    <t>Sharply raises user's Defense.</t>
  </si>
  <si>
    <t>Sharply raises user's Speed.</t>
  </si>
  <si>
    <t>Sharply raises user's Special Defense.</t>
  </si>
  <si>
    <t>May lower opponent's Attack.</t>
  </si>
  <si>
    <t>Physical</t>
  </si>
  <si>
    <t>Hits 2-5 times in one turn.</t>
  </si>
  <si>
    <t>User takes damage for two turns then strikes back double.</t>
  </si>
  <si>
    <t>Traps opponent, damaging them for 4-5 turns.</t>
  </si>
  <si>
    <t>May cause flinching.</t>
  </si>
  <si>
    <t>May freeze opponent.</t>
  </si>
  <si>
    <t>May paralyze opponent.</t>
  </si>
  <si>
    <t>Hits twice in one turn.</t>
  </si>
  <si>
    <t>May lower opponent's Speed.</t>
  </si>
  <si>
    <t>Confuses opponent.</t>
  </si>
  <si>
    <t>May confuse opponent.</t>
  </si>
  <si>
    <t>May lower opponent's Speed by one stage.</t>
  </si>
  <si>
    <t>Changes user's type to a type of one of its own moves.</t>
  </si>
  <si>
    <t>When hit by a Physical Attack, user strikes back with 2x power.</t>
  </si>
  <si>
    <t>High critical hit ratio.</t>
  </si>
  <si>
    <t>Raises user's Defense.</t>
  </si>
  <si>
    <t>Digs underground on first turn, attacks on second. Can also escape from caves.</t>
  </si>
  <si>
    <t>Opponent can't use its last attack for a few turns.</t>
  </si>
  <si>
    <t>Raises user's Evasiveness.</t>
  </si>
  <si>
    <t>User receives recoil damage.</t>
  </si>
  <si>
    <t>Always inflicts 40 HP.</t>
  </si>
  <si>
    <t>User recovers half the HP inflicted on a sleeping opponent.</t>
  </si>
  <si>
    <t>Power is doubled if opponent is underground from using Dig.</t>
  </si>
  <si>
    <t>May burn opponent.</t>
  </si>
  <si>
    <t>User faints.</t>
  </si>
  <si>
    <t>One-Hit-KO, if it hits.</t>
  </si>
  <si>
    <t>Lowers opponent's Accuracy.</t>
  </si>
  <si>
    <t>Flies up on first turn, attacks on second turn.</t>
  </si>
  <si>
    <t>Increases critical hit ratio.</t>
  </si>
  <si>
    <t>Paralyzes opponent.</t>
  </si>
  <si>
    <t>Lowers opponent's Attack.</t>
  </si>
  <si>
    <t>Raises user's Attack and Special Attack.</t>
  </si>
  <si>
    <t>Hits Pokémon using Fly/Bounce with double power.</t>
  </si>
  <si>
    <t>Resets all stat changes.</t>
  </si>
  <si>
    <t>If it misses, the user loses half their HP.</t>
  </si>
  <si>
    <t>User must recharge next turn.</t>
  </si>
  <si>
    <t>Put opponent to sleep, if it hits.</t>
  </si>
  <si>
    <t>User steals HP from opponent each turn.</t>
  </si>
  <si>
    <t>Lowers opponent's Defense.</t>
  </si>
  <si>
    <t>Halves damage from Special attacks for 5 turns.</t>
  </si>
  <si>
    <t>Puts the opponent to sleep, if it hits.</t>
  </si>
  <si>
    <t>The heavier the opponent, the stronger the attack.</t>
  </si>
  <si>
    <t>Raises user's Attack.</t>
  </si>
  <si>
    <t>User performs any move in the game at random.</t>
  </si>
  <si>
    <t>Copies the opponent's last move.</t>
  </si>
  <si>
    <t>Sharply raises user's Evasiveness.</t>
  </si>
  <si>
    <t>User performs the opponent's last move.</t>
  </si>
  <si>
    <t>User's stats cannot be changed for a period of time.</t>
  </si>
  <si>
    <t>Inflicts damage equal to user's level.</t>
  </si>
  <si>
    <t>A small amount of money is gained after the battle resolves.</t>
  </si>
  <si>
    <t>User attacks for 2-3 turns but then becomes confused.</t>
  </si>
  <si>
    <t>Poisons opponent.</t>
  </si>
  <si>
    <t>May poison the opponent.</t>
  </si>
  <si>
    <t>Inflicts damage 50-150% of user's level.</t>
  </si>
  <si>
    <t>User attacks first.</t>
  </si>
  <si>
    <t>Raises user's Attack when hit.</t>
  </si>
  <si>
    <t>Charges on first turn, attacks on second. High critical hit ratio.</t>
  </si>
  <si>
    <t>User recovers 50% of its max HP.</t>
  </si>
  <si>
    <t>Halves damage from Physical attacks for 5 turns.</t>
  </si>
  <si>
    <t>User sleeps for 2 turns, but user is fully healed.</t>
  </si>
  <si>
    <t>In battles, the opponent switches. In the wild, the Pokémon runs.</t>
  </si>
  <si>
    <t>Sharply lowers opponent's Defense.</t>
  </si>
  <si>
    <t>Raises Defense on first turn, attacks on second.</t>
  </si>
  <si>
    <t>Charges on first turn, attacks on second. May cause flinching.</t>
  </si>
  <si>
    <t>May poison opponent.</t>
  </si>
  <si>
    <t>Charges on first turn, attacks on second.</t>
  </si>
  <si>
    <t>Always inflicts 20 HP.</t>
  </si>
  <si>
    <t>Doesn't do ANYTHING.</t>
  </si>
  <si>
    <t>Puts the opponent to sleep.</t>
  </si>
  <si>
    <t>Lowers opponent's Speed.</t>
  </si>
  <si>
    <t>Struggle</t>
  </si>
  <si>
    <t>Only usable when all PP are gone. Hurts the user.</t>
  </si>
  <si>
    <t>Uses HP to creates a decoy that takes hits.</t>
  </si>
  <si>
    <t>Always takes off half of the opponent's HP.</t>
  </si>
  <si>
    <t>Ignores Accuracy and Evasiveness.</t>
  </si>
  <si>
    <t>Sharply raises user's Attack.</t>
  </si>
  <si>
    <t>Allows user to switch out. In the wild, the battle ends.</t>
  </si>
  <si>
    <t>Badly poisons opponent.</t>
  </si>
  <si>
    <t>User takes on the form and attacks of the opponent.</t>
  </si>
  <si>
    <t>May paralyze, burn or freeze opponent.</t>
  </si>
  <si>
    <t>Hits twice in one turn. May poison opponent.</t>
  </si>
  <si>
    <t>Synthesis</t>
  </si>
  <si>
    <t>Curse</t>
  </si>
  <si>
    <t>Sunny Day</t>
  </si>
  <si>
    <t>Snore</t>
  </si>
  <si>
    <t>Endure</t>
  </si>
  <si>
    <t>Mud-Slap</t>
  </si>
  <si>
    <t>Swagger</t>
  </si>
  <si>
    <t>Sleep Talk</t>
  </si>
  <si>
    <t>Fury Cutter</t>
  </si>
  <si>
    <t>Safeguard</t>
  </si>
  <si>
    <t>Rock Smash</t>
  </si>
  <si>
    <t>Iron Tail</t>
  </si>
  <si>
    <t>DragonBreath</t>
  </si>
  <si>
    <t>Beat Up</t>
  </si>
  <si>
    <t>Outrage</t>
  </si>
  <si>
    <t>Sandstorm</t>
  </si>
  <si>
    <t>Rain Dance</t>
  </si>
  <si>
    <t>Whirlpool</t>
  </si>
  <si>
    <t>Rollout</t>
  </si>
  <si>
    <t>Icy Wind</t>
  </si>
  <si>
    <t>Flail</t>
  </si>
  <si>
    <t>Foresight</t>
  </si>
  <si>
    <t>Mirror Coat</t>
  </si>
  <si>
    <t>Pursuit</t>
  </si>
  <si>
    <t>Faint Attack</t>
  </si>
  <si>
    <t>Reversal</t>
  </si>
  <si>
    <t>False Swipe</t>
  </si>
  <si>
    <t>Crunch</t>
  </si>
  <si>
    <t>Spite</t>
  </si>
  <si>
    <t>Encore</t>
  </si>
  <si>
    <t>Present</t>
  </si>
  <si>
    <t>Charm</t>
  </si>
  <si>
    <t>Sweet Kiss</t>
  </si>
  <si>
    <t>Metal Claw</t>
  </si>
  <si>
    <t>Moonlight</t>
  </si>
  <si>
    <t>Psych Up</t>
  </si>
  <si>
    <t>Perish Song</t>
  </si>
  <si>
    <t>Mean Look</t>
  </si>
  <si>
    <t>Baton Pass</t>
  </si>
  <si>
    <t>Magnitude</t>
  </si>
  <si>
    <t>Future Sight</t>
  </si>
  <si>
    <t>ExtremeSpeed</t>
  </si>
  <si>
    <t>Mind Reader</t>
  </si>
  <si>
    <t>Destiny Bond</t>
  </si>
  <si>
    <t>Pain Split</t>
  </si>
  <si>
    <t>Heal Bell</t>
  </si>
  <si>
    <t>Twister</t>
  </si>
  <si>
    <t>Megahorn</t>
  </si>
  <si>
    <t># of Moves</t>
  </si>
  <si>
    <t>Party Rating</t>
  </si>
  <si>
    <t>Head Smash</t>
  </si>
  <si>
    <t>Farfetch'd</t>
  </si>
  <si>
    <t>Mr. Mime</t>
  </si>
  <si>
    <t>http://img.pokemondb.net/sprites/black-white/normal/farfetch'd.png</t>
  </si>
  <si>
    <t>http://img.pokemondb.net/sprites/black-white/normal/mr. mime.png</t>
  </si>
  <si>
    <t>---SPECIAL---</t>
  </si>
  <si>
    <t>---DREAM---</t>
  </si>
  <si>
    <t>Column1</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</si>
  <si>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</si>
  <si>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</si>
  <si>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</si>
  <si>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</si>
  <si>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</si>
  <si>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</si>
  <si>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</si>
  <si>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</si>
  <si>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</si>
  <si>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</si>
  <si>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</si>
  <si>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</si>
  <si>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</si>
  <si>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</si>
  <si>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</si>
  <si>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</si>
  <si>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</si>
  <si>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</si>
  <si>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</si>
  <si>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</si>
  <si>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</si>
  <si>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</si>
  <si>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</si>
  <si>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</si>
  <si>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</si>
  <si>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</si>
  <si>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</si>
  <si>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</si>
  <si>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</si>
  <si>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</si>
  <si>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</si>
  <si>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</si>
  <si>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</si>
  <si>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</si>
  <si>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</si>
  <si>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</si>
  <si>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</si>
  <si>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Natdex #</t>
  </si>
  <si>
    <t>Sprite Url</t>
  </si>
  <si>
    <t>Name</t>
  </si>
  <si>
    <t>Type One</t>
  </si>
  <si>
    <t>Type Two</t>
  </si>
  <si>
    <t>Attack</t>
  </si>
  <si>
    <t>Def</t>
  </si>
  <si>
    <t>Spatt</t>
  </si>
  <si>
    <t>Spdef</t>
  </si>
  <si>
    <t>Speed</t>
  </si>
  <si>
    <t>Total</t>
  </si>
  <si>
    <t>Moveset</t>
  </si>
  <si>
    <t>Column2</t>
  </si>
  <si>
    <t>Column3</t>
  </si>
  <si>
    <t>Column4</t>
  </si>
  <si>
    <t>Column5</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</si>
  <si>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</si>
  <si>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</si>
  <si>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</si>
  <si>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</si>
  <si>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</si>
  <si>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</si>
  <si>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</si>
  <si>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</si>
  <si>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</si>
  <si>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</si>
  <si>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</si>
  <si>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</si>
  <si>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</si>
  <si>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</si>
  <si>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</si>
  <si>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</si>
  <si>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</si>
  <si>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</si>
  <si>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</si>
  <si>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</si>
  <si>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</si>
  <si>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</si>
  <si>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</si>
  <si>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</si>
  <si>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</si>
  <si>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</si>
  <si>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</si>
  <si>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Category</t>
  </si>
  <si>
    <t>Column70</t>
  </si>
  <si>
    <t>Column71</t>
  </si>
  <si>
    <t>Column72</t>
  </si>
  <si>
    <t>Kalos</t>
  </si>
  <si>
    <t>Generation VI</t>
  </si>
  <si>
    <t>Fairy</t>
  </si>
  <si>
    <t>Dark, Dragon, Fighting</t>
  </si>
  <si>
    <t>Fire, Poison, Steel</t>
  </si>
  <si>
    <t>Bug, Dark, Fighting</t>
  </si>
  <si>
    <t>Poison, Steel</t>
  </si>
  <si>
    <t>Bug, Fairy,Fighting</t>
  </si>
  <si>
    <t>Dragon, Fairy, Ice</t>
  </si>
  <si>
    <t>Fairy, Flying, Psychic</t>
  </si>
  <si>
    <t>Bug, Fairy, Fire, Grass, Ice, Steel</t>
  </si>
  <si>
    <t>Bug, Fairy, Fighting, Poison</t>
  </si>
  <si>
    <t>Bug, Dark, Dragon, Fairy, Flying, Grass, Ice, Normal, Psychic, Rock, Steel</t>
  </si>
  <si>
    <t>Fairy, Fighting, Fire, Flying, Ghost, Poison, Steel</t>
  </si>
  <si>
    <t>Dark, Fairy, Fighting, Steel</t>
  </si>
  <si>
    <t>Bug, Fairy, Fighting, Flying, Poison, Psychic</t>
  </si>
  <si>
    <t>Fairy, Grass</t>
  </si>
  <si>
    <t>Fairy, Ice, Rock</t>
  </si>
  <si>
    <t>Blast Burn</t>
  </si>
  <si>
    <t>Block</t>
  </si>
  <si>
    <t>Calm Mind</t>
  </si>
  <si>
    <t>Covet</t>
  </si>
  <si>
    <t>Dive</t>
  </si>
  <si>
    <t>Dragon Dance</t>
  </si>
  <si>
    <t>Endeavor</t>
  </si>
  <si>
    <t>Facade</t>
  </si>
  <si>
    <t>Fake Tears</t>
  </si>
  <si>
    <t>Flatter</t>
  </si>
  <si>
    <t>Focus Punch</t>
  </si>
  <si>
    <t>Follow Me</t>
  </si>
  <si>
    <t>Frenzy Plant</t>
  </si>
  <si>
    <t>Grudge</t>
  </si>
  <si>
    <t>Heat Wave</t>
  </si>
  <si>
    <t>Helping Hand</t>
  </si>
  <si>
    <t>Hydro Cannon</t>
  </si>
  <si>
    <t>Imprison</t>
  </si>
  <si>
    <t>Knock Off</t>
  </si>
  <si>
    <t>Magic Coat</t>
  </si>
  <si>
    <t>Magical Leaf</t>
  </si>
  <si>
    <t>Memento</t>
  </si>
  <si>
    <t>Meteor Mash</t>
  </si>
  <si>
    <t>Mud Sport</t>
  </si>
  <si>
    <t>Odor Sleuth</t>
  </si>
  <si>
    <t>Poison Fang</t>
  </si>
  <si>
    <t>Poison Tail</t>
  </si>
  <si>
    <t>Recycle</t>
  </si>
  <si>
    <t>Role Play</t>
  </si>
  <si>
    <t>Sand Tomb</t>
  </si>
  <si>
    <t>Secret Power</t>
  </si>
  <si>
    <t>Skill Swap</t>
  </si>
  <si>
    <t>Sky Uppercut</t>
  </si>
  <si>
    <t>Slack Off</t>
  </si>
  <si>
    <t>SmellingSalt</t>
  </si>
  <si>
    <t>Snatch</t>
  </si>
  <si>
    <t>Stockpile</t>
  </si>
  <si>
    <t>Superpower</t>
  </si>
  <si>
    <t>Swallow</t>
  </si>
  <si>
    <t>Teeter Dance</t>
  </si>
  <si>
    <t>Tickle</t>
  </si>
  <si>
    <t>Torment</t>
  </si>
  <si>
    <t>Trick</t>
  </si>
  <si>
    <t>Uproar</t>
  </si>
  <si>
    <t>Water Pulse</t>
  </si>
  <si>
    <t>Water Sport</t>
  </si>
  <si>
    <t>Will-O-Wisp</t>
  </si>
  <si>
    <t>Wish</t>
  </si>
  <si>
    <t>Yawn</t>
  </si>
  <si>
    <t>Aqua Jet</t>
  </si>
  <si>
    <t>Assurance</t>
  </si>
  <si>
    <t>Brine</t>
  </si>
  <si>
    <t>Captivate</t>
  </si>
  <si>
    <t>Charge Beam</t>
  </si>
  <si>
    <t>Copycat</t>
  </si>
  <si>
    <t>Double Hit</t>
  </si>
  <si>
    <t>Draco Meteor</t>
  </si>
  <si>
    <t>Dragon Pulse</t>
  </si>
  <si>
    <t>Earth Power</t>
  </si>
  <si>
    <t>Embargo</t>
  </si>
  <si>
    <t>Energy Ball</t>
  </si>
  <si>
    <t>Feint</t>
  </si>
  <si>
    <t>Flare Blitz</t>
  </si>
  <si>
    <t>Flash Cannon</t>
  </si>
  <si>
    <t>Fling</t>
  </si>
  <si>
    <t>Gastro Acid</t>
  </si>
  <si>
    <t>Giga Impact</t>
  </si>
  <si>
    <t>Grass Knot</t>
  </si>
  <si>
    <t>Gravity</t>
  </si>
  <si>
    <t>Gunk Shot</t>
  </si>
  <si>
    <t>Gyro Ball</t>
  </si>
  <si>
    <t>Hammer Arm</t>
  </si>
  <si>
    <t>Healing Wish</t>
  </si>
  <si>
    <t>Ice Fang</t>
  </si>
  <si>
    <t>Ice Shard</t>
  </si>
  <si>
    <t>Iron Head</t>
  </si>
  <si>
    <t>Last Resort</t>
  </si>
  <si>
    <t>Lucky Chant</t>
  </si>
  <si>
    <t>Magnet Rise</t>
  </si>
  <si>
    <t>Me First</t>
  </si>
  <si>
    <t>Mud Bomb</t>
  </si>
  <si>
    <t>Nasty Plot</t>
  </si>
  <si>
    <t>Natural Gift</t>
  </si>
  <si>
    <t>Night Slash</t>
  </si>
  <si>
    <t>Ominous Wind</t>
  </si>
  <si>
    <t>Payback</t>
  </si>
  <si>
    <t>Pluck</t>
  </si>
  <si>
    <t>Poison Jab</t>
  </si>
  <si>
    <t>Power Swap</t>
  </si>
  <si>
    <t>Power Trick</t>
  </si>
  <si>
    <t>Psycho Cut</t>
  </si>
  <si>
    <t>Punishment</t>
  </si>
  <si>
    <t>Rock Climb</t>
  </si>
  <si>
    <t>Rock Polish</t>
  </si>
  <si>
    <t>Seed Bomb</t>
  </si>
  <si>
    <t>Shadow Claw</t>
  </si>
  <si>
    <t>Shadow Sneak</t>
  </si>
  <si>
    <t>Stealth Rock</t>
  </si>
  <si>
    <t>Sucker Punch</t>
  </si>
  <si>
    <t>Tailwind</t>
  </si>
  <si>
    <t>Thunder Fang</t>
  </si>
  <si>
    <t>Toxic Spikes</t>
  </si>
  <si>
    <t>Trick Room</t>
  </si>
  <si>
    <t>Trump Card</t>
  </si>
  <si>
    <t>U-turn</t>
  </si>
  <si>
    <t>Vacuum Wave</t>
  </si>
  <si>
    <t>Wake-Up Slap</t>
  </si>
  <si>
    <t>Worry Seed</t>
  </si>
  <si>
    <t>X-Scissor</t>
  </si>
  <si>
    <t>Zen Headbutt</t>
  </si>
  <si>
    <t>Acrobatics</t>
  </si>
  <si>
    <t>Bulldoze</t>
  </si>
  <si>
    <t>Dragon Tail</t>
  </si>
  <si>
    <t>Electro Ball</t>
  </si>
  <si>
    <t>Final Gambit</t>
  </si>
  <si>
    <t>Fire Pledge</t>
  </si>
  <si>
    <t>Flame Burst</t>
  </si>
  <si>
    <t>Frost Breath</t>
  </si>
  <si>
    <t>Grass Pledge</t>
  </si>
  <si>
    <t>Hex</t>
  </si>
  <si>
    <t>Hone Claws</t>
  </si>
  <si>
    <t>Incinerate</t>
  </si>
  <si>
    <t>Magic Room</t>
  </si>
  <si>
    <t>Power Split</t>
  </si>
  <si>
    <t>Quash</t>
  </si>
  <si>
    <t>Quick Guard</t>
  </si>
  <si>
    <t>Retaliate</t>
  </si>
  <si>
    <t>Round</t>
  </si>
  <si>
    <t>Scald</t>
  </si>
  <si>
    <t>Sky Drop</t>
  </si>
  <si>
    <t>Snarl</t>
  </si>
  <si>
    <t>Stored Power</t>
  </si>
  <si>
    <t>Struggle Bug</t>
  </si>
  <si>
    <t>Synchronoise</t>
  </si>
  <si>
    <t>V-create</t>
  </si>
  <si>
    <t>Volt Switch</t>
  </si>
  <si>
    <t>Water Pledge</t>
  </si>
  <si>
    <t>Wild Charge</t>
  </si>
  <si>
    <t>Wonder Room</t>
  </si>
  <si>
    <t>Work Up</t>
  </si>
  <si>
    <t>Column73</t>
  </si>
  <si>
    <t>Column74</t>
  </si>
  <si>
    <t>Weak Defense</t>
  </si>
  <si>
    <t>Weak Attack</t>
  </si>
  <si>
    <t>Strong Attack</t>
  </si>
  <si>
    <t>Strong Defense</t>
  </si>
  <si>
    <t>Following types have Weak Attack against coloured type</t>
  </si>
  <si>
    <t>Following types have Strong Defense against coloured type</t>
  </si>
  <si>
    <t>Following types have Strong Attack against coloured type</t>
  </si>
  <si>
    <t>Following types have Weak Defense against coloured type</t>
  </si>
  <si>
    <t>Game</t>
  </si>
  <si>
    <t>---LEVEL---</t>
  </si>
  <si>
    <t>---HM---</t>
  </si>
  <si>
    <t>---TM---</t>
  </si>
  <si>
    <t>Y</t>
  </si>
  <si>
    <t>BM</t>
  </si>
  <si>
    <t>BN</t>
  </si>
  <si>
    <t>BK</t>
  </si>
  <si>
    <t>BJ</t>
  </si>
  <si>
    <t>BD</t>
  </si>
  <si>
    <t>BE</t>
  </si>
  <si>
    <t>BP</t>
  </si>
  <si>
    <t>W</t>
  </si>
  <si>
    <t>BO</t>
  </si>
  <si>
    <t>CD</t>
  </si>
  <si>
    <t>BY</t>
  </si>
  <si>
    <t>Sweet Scent</t>
  </si>
  <si>
    <t>Venoshock</t>
  </si>
  <si>
    <t>Protect</t>
  </si>
  <si>
    <t>Frustration</t>
  </si>
  <si>
    <t>Return</t>
  </si>
  <si>
    <t>Sludge Bomb</t>
  </si>
  <si>
    <t>Attract</t>
  </si>
  <si>
    <t>Echoed Voice</t>
  </si>
  <si>
    <t>GrassWhistle</t>
  </si>
  <si>
    <t>Ingrain</t>
  </si>
  <si>
    <t>Leaf Storm</t>
  </si>
  <si>
    <t>Nature Power</t>
  </si>
  <si>
    <t>Power Whip</t>
  </si>
  <si>
    <t>CB</t>
  </si>
  <si>
    <t>CJ</t>
  </si>
  <si>
    <t>CC</t>
  </si>
  <si>
    <t>Scary Face</t>
  </si>
  <si>
    <t>Dragon Claw</t>
  </si>
  <si>
    <t>Brick Break</t>
  </si>
  <si>
    <t>Rock Tomb</t>
  </si>
  <si>
    <t>Aerial Ace</t>
  </si>
  <si>
    <t>Flame Charge</t>
  </si>
  <si>
    <t>Overheat</t>
  </si>
  <si>
    <t>Belly Drum</t>
  </si>
  <si>
    <t>CV</t>
  </si>
  <si>
    <t>Air Slash</t>
  </si>
  <si>
    <t>Focus Blast</t>
  </si>
  <si>
    <t>BZ</t>
  </si>
  <si>
    <t>Hail</t>
  </si>
  <si>
    <t>Muddy Water</t>
  </si>
  <si>
    <t>Refresh</t>
  </si>
  <si>
    <t>Water Spout</t>
  </si>
  <si>
    <t>CO</t>
  </si>
  <si>
    <t>Smack Down</t>
  </si>
  <si>
    <t>Bug Bite</t>
  </si>
  <si>
    <t>AA</t>
  </si>
  <si>
    <t>BV</t>
  </si>
  <si>
    <t>Silver Wind</t>
  </si>
  <si>
    <t>Rage Powder</t>
  </si>
  <si>
    <t>Bug Buzz</t>
  </si>
  <si>
    <t>Quiver Dance</t>
  </si>
  <si>
    <t>Thief</t>
  </si>
  <si>
    <t>Air Cutter</t>
  </si>
  <si>
    <t>Roost</t>
  </si>
  <si>
    <t>BR</t>
  </si>
  <si>
    <t>FeatherDance</t>
  </si>
  <si>
    <t>Hurricane</t>
  </si>
  <si>
    <t>Brave Bird</t>
  </si>
  <si>
    <t>Defog</t>
  </si>
  <si>
    <t>Steel Wing</t>
  </si>
  <si>
    <t>Taunt</t>
  </si>
  <si>
    <t>Flame Wheel</t>
  </si>
  <si>
    <t>Revenge</t>
  </si>
  <si>
    <t>CI</t>
  </si>
  <si>
    <t>Astonish</t>
  </si>
  <si>
    <t>BT</t>
  </si>
  <si>
    <t>Drill Run</t>
  </si>
  <si>
    <t>Spit Up</t>
  </si>
  <si>
    <t>Acid Spray</t>
  </si>
  <si>
    <t>Coil</t>
  </si>
  <si>
    <t>Switcheroo</t>
  </si>
  <si>
    <t>CH</t>
  </si>
  <si>
    <t>Discharge</t>
  </si>
  <si>
    <t>Bestow</t>
  </si>
  <si>
    <t>Charge</t>
  </si>
  <si>
    <t>CG</t>
  </si>
  <si>
    <t>Chip Away</t>
  </si>
  <si>
    <t>Crush Claw</t>
  </si>
  <si>
    <t>Mud Shot</t>
  </si>
  <si>
    <t>CA</t>
  </si>
  <si>
    <t>DA</t>
  </si>
  <si>
    <t>CZ</t>
  </si>
  <si>
    <t>CX</t>
  </si>
  <si>
    <t>Cosmic Power</t>
  </si>
  <si>
    <t>After You</t>
  </si>
  <si>
    <t>Psyshock</t>
  </si>
  <si>
    <t>Telekinesis</t>
  </si>
  <si>
    <t>Aromatherapy</t>
  </si>
  <si>
    <t>Extrasensory</t>
  </si>
  <si>
    <t>Howl</t>
  </si>
  <si>
    <t>Tail Slap</t>
  </si>
  <si>
    <t>Dark Pulse</t>
  </si>
  <si>
    <t>CF</t>
  </si>
  <si>
    <t>CN</t>
  </si>
  <si>
    <t>Hyper Voice</t>
  </si>
  <si>
    <t>CQ</t>
  </si>
  <si>
    <t>BW</t>
  </si>
  <si>
    <t>Cross Poison</t>
  </si>
  <si>
    <t>Morning Sun</t>
  </si>
  <si>
    <t>BX</t>
  </si>
  <si>
    <t>Assist</t>
  </si>
  <si>
    <t>Foul Play</t>
  </si>
  <si>
    <t>CM</t>
  </si>
  <si>
    <t>Power Gem</t>
  </si>
  <si>
    <t>Soak</t>
  </si>
  <si>
    <t>Cross Chop</t>
  </si>
  <si>
    <t>Low Sweep</t>
  </si>
  <si>
    <t>CL</t>
  </si>
  <si>
    <t>Close Combat</t>
  </si>
  <si>
    <t>Bulk Up</t>
  </si>
  <si>
    <t>CP</t>
  </si>
  <si>
    <t>CE</t>
  </si>
  <si>
    <t>Ice Ball</t>
  </si>
  <si>
    <t>DynamicPunch</t>
  </si>
  <si>
    <t>Circle Throw</t>
  </si>
  <si>
    <t>Ally Switch</t>
  </si>
  <si>
    <t>Guard Split</t>
  </si>
  <si>
    <t>Guard Swap</t>
  </si>
  <si>
    <t>Miracle Eye</t>
  </si>
  <si>
    <t>Vital Throw</t>
  </si>
  <si>
    <t>Bullet Punch</t>
  </si>
  <si>
    <t>Wide Guard</t>
  </si>
  <si>
    <t>BU</t>
  </si>
  <si>
    <t>Wring Out</t>
  </si>
  <si>
    <t>Bullet Seed</t>
  </si>
  <si>
    <t>Clear Smog</t>
  </si>
  <si>
    <t>Weather Ball</t>
  </si>
  <si>
    <t>Leaf Tornado</t>
  </si>
  <si>
    <t>Leaf Blade</t>
  </si>
  <si>
    <t>Acupressure</t>
  </si>
  <si>
    <t>Rock Blast</t>
  </si>
  <si>
    <t>Autotomize</t>
  </si>
  <si>
    <t>Steamroller</t>
  </si>
  <si>
    <t>BS</t>
  </si>
  <si>
    <t>Heal Pulse</t>
  </si>
  <si>
    <t>CT</t>
  </si>
  <si>
    <t>Metal Sound</t>
  </si>
  <si>
    <t>Spark</t>
  </si>
  <si>
    <t>Lock-On</t>
  </si>
  <si>
    <t>Magnet Bomb</t>
  </si>
  <si>
    <t>Mirror Shot</t>
  </si>
  <si>
    <t>Zap Cannon</t>
  </si>
  <si>
    <t>BQ</t>
  </si>
  <si>
    <t>Icicle Spear</t>
  </si>
  <si>
    <t>Sheer Cold</t>
  </si>
  <si>
    <t>Shadow Punch</t>
  </si>
  <si>
    <t>Razor Shell</t>
  </si>
  <si>
    <t>Shell Smash</t>
  </si>
  <si>
    <t>Avalanche</t>
  </si>
  <si>
    <t>Spikes</t>
  </si>
  <si>
    <t>Icicle Crash</t>
  </si>
  <si>
    <t>Nightmare</t>
  </si>
  <si>
    <t>Wood Hammer</t>
  </si>
  <si>
    <t>Bone Rush</t>
  </si>
  <si>
    <t>Detect</t>
  </si>
  <si>
    <t>CK</t>
  </si>
  <si>
    <t>Blaze Kick</t>
  </si>
  <si>
    <t>Mach Punch</t>
  </si>
  <si>
    <t>CW</t>
  </si>
  <si>
    <t>Octazooka</t>
  </si>
  <si>
    <t>Camouflage</t>
  </si>
  <si>
    <t>Reflect Type</t>
  </si>
  <si>
    <t>Powder Snow</t>
  </si>
  <si>
    <t>Heart Stamp</t>
  </si>
  <si>
    <t>Shock Wave</t>
  </si>
  <si>
    <t>Lava Plume</t>
  </si>
  <si>
    <t>Z</t>
  </si>
  <si>
    <t>Conversion 2</t>
  </si>
  <si>
    <t>Aura Sphere</t>
  </si>
  <si>
    <t>Psystrike</t>
  </si>
  <si>
    <t>http://img.pokemondb.net/sprites/black-white/normal/chikorita.png</t>
  </si>
  <si>
    <t>Chikorita</t>
  </si>
  <si>
    <t>http://img.pokemondb.net/sprites/black-white/normal/bayleef.png</t>
  </si>
  <si>
    <t>Bayleef</t>
  </si>
  <si>
    <t>http://img.pokemondb.net/sprites/black-white/normal/meganium.png</t>
  </si>
  <si>
    <t>Meganium</t>
  </si>
  <si>
    <t>http://img.pokemondb.net/sprites/black-white/normal/cyndaquil.png</t>
  </si>
  <si>
    <t>Cyndaquil</t>
  </si>
  <si>
    <t>Eruption</t>
  </si>
  <si>
    <t>http://img.pokemondb.net/sprites/black-white/normal/quilava.png</t>
  </si>
  <si>
    <t>Quilava</t>
  </si>
  <si>
    <t>http://img.pokemondb.net/sprites/black-white/normal/typhlosion.png</t>
  </si>
  <si>
    <t>Typhlosion</t>
  </si>
  <si>
    <t>http://img.pokemondb.net/sprites/black-white/normal/totodile.png</t>
  </si>
  <si>
    <t>Totodile</t>
  </si>
  <si>
    <t>http://img.pokemondb.net/sprites/black-white/normal/croconaw.png</t>
  </si>
  <si>
    <t>Croconaw</t>
  </si>
  <si>
    <t>http://img.pokemondb.net/sprites/black-white/normal/feraligatr.png</t>
  </si>
  <si>
    <t>Feraligatr</t>
  </si>
  <si>
    <t>CR</t>
  </si>
  <si>
    <t>http://img.pokemondb.net/sprites/black-white/normal/sentret.png</t>
  </si>
  <si>
    <t>Sentret</t>
  </si>
  <si>
    <t>http://img.pokemondb.net/sprites/black-white/normal/furret.png</t>
  </si>
  <si>
    <t>Furret</t>
  </si>
  <si>
    <t>http://img.pokemondb.net/sprites/black-white/normal/hoothoot.png</t>
  </si>
  <si>
    <t>Hoothoot</t>
  </si>
  <si>
    <t>Psycho Shift</t>
  </si>
  <si>
    <t>http://img.pokemondb.net/sprites/black-white/normal/noctowl.png</t>
  </si>
  <si>
    <t>Noctowl</t>
  </si>
  <si>
    <t>http://img.pokemondb.net/sprites/black-white/normal/ledyba.png</t>
  </si>
  <si>
    <t>Ledyba</t>
  </si>
  <si>
    <t>http://img.pokemondb.net/sprites/black-white/normal/ledian.png</t>
  </si>
  <si>
    <t>Ledian</t>
  </si>
  <si>
    <t>http://img.pokemondb.net/sprites/black-white/normal/spinarak.png</t>
  </si>
  <si>
    <t>Spinarak</t>
  </si>
  <si>
    <t>Spider Web</t>
  </si>
  <si>
    <t>Electroweb</t>
  </si>
  <si>
    <t>http://img.pokemondb.net/sprites/black-white/normal/ariados.png</t>
  </si>
  <si>
    <t>Ariados</t>
  </si>
  <si>
    <t>http://img.pokemondb.net/sprites/black-white/normal/crobat.png</t>
  </si>
  <si>
    <t>Crobat</t>
  </si>
  <si>
    <t>http://img.pokemondb.net/sprites/black-white/normal/chinchou.png</t>
  </si>
  <si>
    <t>Chinchou</t>
  </si>
  <si>
    <t>http://img.pokemondb.net/sprites/black-white/normal/lanturn.png</t>
  </si>
  <si>
    <t>Lanturn</t>
  </si>
  <si>
    <t>http://img.pokemondb.net/sprites/black-white/normal/pichu.png</t>
  </si>
  <si>
    <t>Pichu</t>
  </si>
  <si>
    <t>http://img.pokemondb.net/sprites/black-white/normal/cleffa.png</t>
  </si>
  <si>
    <t>Cleffa</t>
  </si>
  <si>
    <t>http://img.pokemondb.net/sprites/black-white/normal/igglybuff.png</t>
  </si>
  <si>
    <t>Igglybuff</t>
  </si>
  <si>
    <t>http://img.pokemondb.net/sprites/black-white/normal/togepi.png</t>
  </si>
  <si>
    <t>Togepi</t>
  </si>
  <si>
    <t>http://img.pokemondb.net/sprites/black-white/normal/togetic.png</t>
  </si>
  <si>
    <t>Togetic</t>
  </si>
  <si>
    <t>http://img.pokemondb.net/sprites/black-white/normal/natu.png</t>
  </si>
  <si>
    <t>Natu</t>
  </si>
  <si>
    <t>http://img.pokemondb.net/sprites/black-white/normal/xatu.png</t>
  </si>
  <si>
    <t>Xatu</t>
  </si>
  <si>
    <t>http://img.pokemondb.net/sprites/black-white/normal/mareep.png</t>
  </si>
  <si>
    <t>Mareep</t>
  </si>
  <si>
    <t>Cotton Spore</t>
  </si>
  <si>
    <t>Cotton Guard</t>
  </si>
  <si>
    <t>http://img.pokemondb.net/sprites/black-white/normal/flaaffy.png</t>
  </si>
  <si>
    <t>Flaaffy</t>
  </si>
  <si>
    <t>http://img.pokemondb.net/sprites/black-white/normal/ampharos.png</t>
  </si>
  <si>
    <t>Ampharos</t>
  </si>
  <si>
    <t>http://img.pokemondb.net/sprites/black-white/normal/bellossom.png</t>
  </si>
  <si>
    <t>Bellossom</t>
  </si>
  <si>
    <t>http://img.pokemondb.net/sprites/black-white/normal/marill.png</t>
  </si>
  <si>
    <t>Marill</t>
  </si>
  <si>
    <t>http://img.pokemondb.net/sprites/black-white/normal/azumarill.png</t>
  </si>
  <si>
    <t>Azumarill</t>
  </si>
  <si>
    <t>http://img.pokemondb.net/sprites/black-white/normal/sudowoodo.png</t>
  </si>
  <si>
    <t>Sudowoodo</t>
  </si>
  <si>
    <t>http://img.pokemondb.net/sprites/black-white/normal/politoed.png</t>
  </si>
  <si>
    <t>Politoed</t>
  </si>
  <si>
    <t>http://img.pokemondb.net/sprites/black-white/normal/hoppip.png</t>
  </si>
  <si>
    <t>Hoppip</t>
  </si>
  <si>
    <t>http://img.pokemondb.net/sprites/black-white/normal/skiploom.png</t>
  </si>
  <si>
    <t>Skiploom</t>
  </si>
  <si>
    <t>http://img.pokemondb.net/sprites/black-white/normal/jumpluff.png</t>
  </si>
  <si>
    <t>Jumpluff</t>
  </si>
  <si>
    <t>http://img.pokemondb.net/sprites/black-white/normal/aipom.png</t>
  </si>
  <si>
    <t>Aipom</t>
  </si>
  <si>
    <t>http://img.pokemondb.net/sprites/black-white/normal/sunkern.png</t>
  </si>
  <si>
    <t>Sunkern</t>
  </si>
  <si>
    <t>http://img.pokemondb.net/sprites/black-white/normal/sunflora.png</t>
  </si>
  <si>
    <t>Sunflora</t>
  </si>
  <si>
    <t>http://img.pokemondb.net/sprites/black-white/normal/yanma.png</t>
  </si>
  <si>
    <t>Yanma</t>
  </si>
  <si>
    <t>http://img.pokemondb.net/sprites/black-white/normal/wooper.png</t>
  </si>
  <si>
    <t>Wooper</t>
  </si>
  <si>
    <t>http://img.pokemondb.net/sprites/black-white/normal/quagsire.png</t>
  </si>
  <si>
    <t>Quagsire</t>
  </si>
  <si>
    <t>http://img.pokemondb.net/sprites/black-white/normal/espeon.png</t>
  </si>
  <si>
    <t>Espeon</t>
  </si>
  <si>
    <t>http://img.pokemondb.net/sprites/black-white/normal/umbreon.png</t>
  </si>
  <si>
    <t>Umbreon</t>
  </si>
  <si>
    <t>http://img.pokemondb.net/sprites/black-white/normal/murkrow.png</t>
  </si>
  <si>
    <t>Murkrow</t>
  </si>
  <si>
    <t>http://img.pokemondb.net/sprites/black-white/normal/slowking.png</t>
  </si>
  <si>
    <t>Slowking</t>
  </si>
  <si>
    <t>http://img.pokemondb.net/sprites/black-white/normal/misdreavus.png</t>
  </si>
  <si>
    <t>Misdreavus</t>
  </si>
  <si>
    <t>http://img.pokemondb.net/sprites/black-white/normal/unown.png</t>
  </si>
  <si>
    <t>Unown</t>
  </si>
  <si>
    <t>http://img.pokemondb.net/sprites/black-white/normal/wobbuffet.png</t>
  </si>
  <si>
    <t>Wobbuffet</t>
  </si>
  <si>
    <t>AC</t>
  </si>
  <si>
    <t>http://img.pokemondb.net/sprites/black-white/normal/girafarig.png</t>
  </si>
  <si>
    <t>Girafarig</t>
  </si>
  <si>
    <t>http://img.pokemondb.net/sprites/black-white/normal/pineco.png</t>
  </si>
  <si>
    <t>Pineco</t>
  </si>
  <si>
    <t>http://img.pokemondb.net/sprites/black-white/normal/forretress.png</t>
  </si>
  <si>
    <t>Forretress</t>
  </si>
  <si>
    <t>http://img.pokemondb.net/sprites/black-white/normal/dunsparce.png</t>
  </si>
  <si>
    <t>Dunsparce</t>
  </si>
  <si>
    <t>http://img.pokemondb.net/sprites/black-white/normal/gligar.png</t>
  </si>
  <si>
    <t>Gligar</t>
  </si>
  <si>
    <t>http://img.pokemondb.net/sprites/black-white/normal/steelix.png</t>
  </si>
  <si>
    <t>Steelix</t>
  </si>
  <si>
    <t>http://img.pokemondb.net/sprites/black-white/normal/snubbull.png</t>
  </si>
  <si>
    <t>Snubbull</t>
  </si>
  <si>
    <t>http://img.pokemondb.net/sprites/black-white/normal/granbull.png</t>
  </si>
  <si>
    <t>Granbull</t>
  </si>
  <si>
    <t>http://img.pokemondb.net/sprites/black-white/normal/qwilfish.png</t>
  </si>
  <si>
    <t>Qwilfish</t>
  </si>
  <si>
    <t>http://img.pokemondb.net/sprites/black-white/normal/scizor.png</t>
  </si>
  <si>
    <t>Scizor</t>
  </si>
  <si>
    <t>http://img.pokemondb.net/sprites/black-white/normal/shuckle.png</t>
  </si>
  <si>
    <t>Shuckle</t>
  </si>
  <si>
    <t>http://img.pokemondb.net/sprites/black-white/normal/heracross.png</t>
  </si>
  <si>
    <t>Heracross</t>
  </si>
  <si>
    <t>http://img.pokemondb.net/sprites/black-white/normal/sneasel.png</t>
  </si>
  <si>
    <t>Sneasel</t>
  </si>
  <si>
    <t>http://img.pokemondb.net/sprites/black-white/normal/teddiursa.png</t>
  </si>
  <si>
    <t>Teddiursa</t>
  </si>
  <si>
    <t>http://img.pokemondb.net/sprites/black-white/normal/ursaring.png</t>
  </si>
  <si>
    <t>Ursaring</t>
  </si>
  <si>
    <t>http://img.pokemondb.net/sprites/black-white/normal/slugma.png</t>
  </si>
  <si>
    <t>Slugma</t>
  </si>
  <si>
    <t>http://img.pokemondb.net/sprites/black-white/normal/magcargo.png</t>
  </si>
  <si>
    <t>Magcargo</t>
  </si>
  <si>
    <t>http://img.pokemondb.net/sprites/black-white/normal/swinub.png</t>
  </si>
  <si>
    <t>Swinub</t>
  </si>
  <si>
    <t>http://img.pokemondb.net/sprites/black-white/normal/piloswine.png</t>
  </si>
  <si>
    <t>Piloswine</t>
  </si>
  <si>
    <t>http://img.pokemondb.net/sprites/black-white/normal/corsola.png</t>
  </si>
  <si>
    <t>Corsola</t>
  </si>
  <si>
    <t>http://img.pokemondb.net/sprites/black-white/normal/remoraid.png</t>
  </si>
  <si>
    <t>Remoraid</t>
  </si>
  <si>
    <t>http://img.pokemondb.net/sprites/black-white/normal/octillery.png</t>
  </si>
  <si>
    <t>Octillery</t>
  </si>
  <si>
    <t>http://img.pokemondb.net/sprites/black-white/normal/delibird.png</t>
  </si>
  <si>
    <t>Delibird</t>
  </si>
  <si>
    <t>http://img.pokemondb.net/sprites/black-white/normal/mantine.png</t>
  </si>
  <si>
    <t>Mantine</t>
  </si>
  <si>
    <t>http://img.pokemondb.net/sprites/black-white/normal/skarmory.png</t>
  </si>
  <si>
    <t>Skarmory</t>
  </si>
  <si>
    <t>http://img.pokemondb.net/sprites/black-white/normal/houndour.png</t>
  </si>
  <si>
    <t>Houndour</t>
  </si>
  <si>
    <t>http://img.pokemondb.net/sprites/black-white/normal/houndoom.png</t>
  </si>
  <si>
    <t>Houndoom</t>
  </si>
  <si>
    <t>http://img.pokemondb.net/sprites/black-white/normal/kingdra.png</t>
  </si>
  <si>
    <t>Kingdra</t>
  </si>
  <si>
    <t>http://img.pokemondb.net/sprites/black-white/normal/phanpy.png</t>
  </si>
  <si>
    <t>Phanpy</t>
  </si>
  <si>
    <t>http://img.pokemondb.net/sprites/black-white/normal/donphan.png</t>
  </si>
  <si>
    <t>Donphan</t>
  </si>
  <si>
    <t>http://img.pokemondb.net/sprites/black-white/normal/porygon2.png</t>
  </si>
  <si>
    <t>Porygon2</t>
  </si>
  <si>
    <t>http://img.pokemondb.net/sprites/black-white/normal/stantler.png</t>
  </si>
  <si>
    <t>Stantler</t>
  </si>
  <si>
    <t>http://img.pokemondb.net/sprites/black-white/normal/smeargle.png</t>
  </si>
  <si>
    <t>Smeargle</t>
  </si>
  <si>
    <t>AH</t>
  </si>
  <si>
    <t>Sketch</t>
  </si>
  <si>
    <t>http://img.pokemondb.net/sprites/black-white/normal/tyrogue.png</t>
  </si>
  <si>
    <t>Tyrogue</t>
  </si>
  <si>
    <t>http://img.pokemondb.net/sprites/black-white/normal/hitmontop.png</t>
  </si>
  <si>
    <t>Hitmontop</t>
  </si>
  <si>
    <t>Triple Kick</t>
  </si>
  <si>
    <t>http://img.pokemondb.net/sprites/black-white/normal/smoochum.png</t>
  </si>
  <si>
    <t>Smoochum</t>
  </si>
  <si>
    <t>http://img.pokemondb.net/sprites/black-white/normal/elekid.png</t>
  </si>
  <si>
    <t>Elekid</t>
  </si>
  <si>
    <t>http://img.pokemondb.net/sprites/black-white/normal/magby.png</t>
  </si>
  <si>
    <t>Magby</t>
  </si>
  <si>
    <t>http://img.pokemondb.net/sprites/black-white/normal/miltank.png</t>
  </si>
  <si>
    <t>Miltank</t>
  </si>
  <si>
    <t>Milk Drink</t>
  </si>
  <si>
    <t>http://img.pokemondb.net/sprites/black-white/normal/blissey.png</t>
  </si>
  <si>
    <t>Blissey</t>
  </si>
  <si>
    <t>CY</t>
  </si>
  <si>
    <t>http://img.pokemondb.net/sprites/black-white/normal/raikou.png</t>
  </si>
  <si>
    <t>Raikou</t>
  </si>
  <si>
    <t>http://img.pokemondb.net/sprites/black-white/normal/entei.png</t>
  </si>
  <si>
    <t>Entei</t>
  </si>
  <si>
    <t>http://img.pokemondb.net/sprites/black-white/normal/suicune.png</t>
  </si>
  <si>
    <t>Suicune</t>
  </si>
  <si>
    <t>http://img.pokemondb.net/sprites/black-white/normal/larvitar.png</t>
  </si>
  <si>
    <t>Larvitar</t>
  </si>
  <si>
    <t>http://img.pokemondb.net/sprites/black-white/normal/pupitar.png</t>
  </si>
  <si>
    <t>Pupitar</t>
  </si>
  <si>
    <t>http://img.pokemondb.net/sprites/black-white/normal/tyranitar.png</t>
  </si>
  <si>
    <t>Tyranitar</t>
  </si>
  <si>
    <t>http://img.pokemondb.net/sprites/black-white/normal/lugia.png</t>
  </si>
  <si>
    <t>Lugia</t>
  </si>
  <si>
    <t>Aeroblast</t>
  </si>
  <si>
    <t>http://img.pokemondb.net/sprites/black-white/normal/ho-oh.png</t>
  </si>
  <si>
    <t>Ho-oh</t>
  </si>
  <si>
    <t>Sacred Fire</t>
  </si>
  <si>
    <t>http://img.pokemondb.net/sprites/black-white/normal/celebi.png</t>
  </si>
  <si>
    <t>Celebi</t>
  </si>
  <si>
    <t>Heal Block</t>
  </si>
  <si>
    <t>http://img.pokemondb.net/sprites/black-white/normal/treecko.png</t>
  </si>
  <si>
    <t>Treecko</t>
  </si>
  <si>
    <t>http://img.pokemondb.net/sprites/black-white/normal/grovyle.png</t>
  </si>
  <si>
    <t>Grovyle</t>
  </si>
  <si>
    <t>http://img.pokemondb.net/sprites/black-white/normal/sceptile.png</t>
  </si>
  <si>
    <t>Sceptile</t>
  </si>
  <si>
    <t>CU</t>
  </si>
  <si>
    <t>http://img.pokemondb.net/sprites/black-white/normal/torchic.png</t>
  </si>
  <si>
    <t>Torchic</t>
  </si>
  <si>
    <t>http://img.pokemondb.net/sprites/black-white/normal/combusken.png</t>
  </si>
  <si>
    <t>Combusken</t>
  </si>
  <si>
    <t>http://img.pokemondb.net/sprites/black-white/normal/blaziken.png</t>
  </si>
  <si>
    <t>Blaziken</t>
  </si>
  <si>
    <t>http://img.pokemondb.net/sprites/black-white/normal/mudkip.png</t>
  </si>
  <si>
    <t>Mudkip</t>
  </si>
  <si>
    <t>http://img.pokemondb.net/sprites/black-white/normal/marshtomp.png</t>
  </si>
  <si>
    <t>Marshtomp</t>
  </si>
  <si>
    <t>http://img.pokemondb.net/sprites/black-white/normal/swampert.png</t>
  </si>
  <si>
    <t>Swampert</t>
  </si>
  <si>
    <t>http://img.pokemondb.net/sprites/black-white/normal/poochyena.png</t>
  </si>
  <si>
    <t>Poochyena</t>
  </si>
  <si>
    <t>http://img.pokemondb.net/sprites/black-white/normal/mightyena.png</t>
  </si>
  <si>
    <t>Mightyena</t>
  </si>
  <si>
    <t>http://img.pokemondb.net/sprites/black-white/normal/zigzagoon.png</t>
  </si>
  <si>
    <t>Zigzagoon</t>
  </si>
  <si>
    <t>Simple Beam</t>
  </si>
  <si>
    <t>http://img.pokemondb.net/sprites/black-white/normal/linoone.png</t>
  </si>
  <si>
    <t>Linoone</t>
  </si>
  <si>
    <t>http://img.pokemondb.net/sprites/black-white/normal/wurmple.png</t>
  </si>
  <si>
    <t>Wurmple</t>
  </si>
  <si>
    <t>http://img.pokemondb.net/sprites/black-white/normal/silcoon.png</t>
  </si>
  <si>
    <t>Silcoon</t>
  </si>
  <si>
    <t>AB</t>
  </si>
  <si>
    <t>http://img.pokemondb.net/sprites/black-white/normal/beautifly.png</t>
  </si>
  <si>
    <t>Beautifly</t>
  </si>
  <si>
    <t>http://img.pokemondb.net/sprites/black-white/normal/cascoon.png</t>
  </si>
  <si>
    <t>Cascoon</t>
  </si>
  <si>
    <t>http://img.pokemondb.net/sprites/black-white/normal/dustox.png</t>
  </si>
  <si>
    <t>Dustox</t>
  </si>
  <si>
    <t>http://img.pokemondb.net/sprites/black-white/normal/lotad.png</t>
  </si>
  <si>
    <t>Lotad</t>
  </si>
  <si>
    <t>http://img.pokemondb.net/sprites/black-white/normal/lombre.png</t>
  </si>
  <si>
    <t>Lombre</t>
  </si>
  <si>
    <t>http://img.pokemondb.net/sprites/black-white/normal/ludicolo.png</t>
  </si>
  <si>
    <t>Ludicolo</t>
  </si>
  <si>
    <t>http://img.pokemondb.net/sprites/black-white/normal/seedot.png</t>
  </si>
  <si>
    <t>Seedot</t>
  </si>
  <si>
    <t>http://img.pokemondb.net/sprites/black-white/normal/nuzleaf.png</t>
  </si>
  <si>
    <t>Nuzleaf</t>
  </si>
  <si>
    <t>http://img.pokemondb.net/sprites/black-white/normal/shiftry.png</t>
  </si>
  <si>
    <t>Shiftry</t>
  </si>
  <si>
    <t>http://img.pokemondb.net/sprites/black-white/normal/taillow.png</t>
  </si>
  <si>
    <t>Taillow</t>
  </si>
  <si>
    <t>http://img.pokemondb.net/sprites/black-white/normal/swellow.png</t>
  </si>
  <si>
    <t>Swellow</t>
  </si>
  <si>
    <t>http://img.pokemondb.net/sprites/black-white/normal/wingull.png</t>
  </si>
  <si>
    <t>Wingull</t>
  </si>
  <si>
    <t>http://img.pokemondb.net/sprites/black-white/normal/pelipper.png</t>
  </si>
  <si>
    <t>Pelipper</t>
  </si>
  <si>
    <t>http://img.pokemondb.net/sprites/black-white/normal/ralts.png</t>
  </si>
  <si>
    <t>Ralts</t>
  </si>
  <si>
    <t>http://img.pokemondb.net/sprites/black-white/normal/kirlia.png</t>
  </si>
  <si>
    <t>Kirlia</t>
  </si>
  <si>
    <t>http://img.pokemondb.net/sprites/black-white/normal/gardevoir.png</t>
  </si>
  <si>
    <t>Gardevoir</t>
  </si>
  <si>
    <t>http://img.pokemondb.net/sprites/black-white/normal/surskit.png</t>
  </si>
  <si>
    <t>Surskit</t>
  </si>
  <si>
    <t>http://img.pokemondb.net/sprites/black-white/normal/masquerain.png</t>
  </si>
  <si>
    <t>Masquerain</t>
  </si>
  <si>
    <t>http://img.pokemondb.net/sprites/black-white/normal/shroomish.png</t>
  </si>
  <si>
    <t>Shroomish</t>
  </si>
  <si>
    <t>http://img.pokemondb.net/sprites/black-white/normal/breloom.png</t>
  </si>
  <si>
    <t>Breloom</t>
  </si>
  <si>
    <t>Force Palm</t>
  </si>
  <si>
    <t>http://img.pokemondb.net/sprites/black-white/normal/slakoth.png</t>
  </si>
  <si>
    <t>Slakoth</t>
  </si>
  <si>
    <t>http://img.pokemondb.net/sprites/black-white/normal/vigoroth.png</t>
  </si>
  <si>
    <t>Vigoroth</t>
  </si>
  <si>
    <t>http://img.pokemondb.net/sprites/black-white/normal/slaking.png</t>
  </si>
  <si>
    <t>Slaking</t>
  </si>
  <si>
    <t>http://img.pokemondb.net/sprites/black-white/normal/nincada.png</t>
  </si>
  <si>
    <t>Nincada</t>
  </si>
  <si>
    <t>http://img.pokemondb.net/sprites/black-white/normal/ninjask.png</t>
  </si>
  <si>
    <t>Ninjask</t>
  </si>
  <si>
    <t>http://img.pokemondb.net/sprites/black-white/normal/shedinja.png</t>
  </si>
  <si>
    <t>Shedinja</t>
  </si>
  <si>
    <t>http://img.pokemondb.net/sprites/black-white/normal/whismur.png</t>
  </si>
  <si>
    <t>Whismur</t>
  </si>
  <si>
    <t>http://img.pokemondb.net/sprites/black-white/normal/loudred.png</t>
  </si>
  <si>
    <t>Loudred</t>
  </si>
  <si>
    <t>http://img.pokemondb.net/sprites/black-white/normal/exploud.png</t>
  </si>
  <si>
    <t>Exploud</t>
  </si>
  <si>
    <t>http://img.pokemondb.net/sprites/black-white/normal/makuhita.png</t>
  </si>
  <si>
    <t>Makuhita</t>
  </si>
  <si>
    <t>Arm Thrust</t>
  </si>
  <si>
    <t>http://img.pokemondb.net/sprites/black-white/normal/hariyama.png</t>
  </si>
  <si>
    <t>Hariyama</t>
  </si>
  <si>
    <t>http://img.pokemondb.net/sprites/black-white/normal/azurill.png</t>
  </si>
  <si>
    <t>Azurill</t>
  </si>
  <si>
    <t>http://img.pokemondb.net/sprites/black-white/normal/nosepass.png</t>
  </si>
  <si>
    <t>Nosepass</t>
  </si>
  <si>
    <t>http://img.pokemondb.net/sprites/black-white/normal/skitty.png</t>
  </si>
  <si>
    <t>Skitty</t>
  </si>
  <si>
    <t>http://img.pokemondb.net/sprites/black-white/normal/delcatty.png</t>
  </si>
  <si>
    <t>Delcatty</t>
  </si>
  <si>
    <t>http://img.pokemondb.net/sprites/black-white/normal/sableye.png</t>
  </si>
  <si>
    <t>Sableye</t>
  </si>
  <si>
    <t>Metal Burst</t>
  </si>
  <si>
    <t>http://img.pokemondb.net/sprites/black-white/normal/mawile.png</t>
  </si>
  <si>
    <t>Mawile</t>
  </si>
  <si>
    <t>http://img.pokemondb.net/sprites/black-white/normal/aron.png</t>
  </si>
  <si>
    <t>Aron</t>
  </si>
  <si>
    <t>http://img.pokemondb.net/sprites/black-white/normal/lairon.png</t>
  </si>
  <si>
    <t>Lairon</t>
  </si>
  <si>
    <t>http://img.pokemondb.net/sprites/black-white/normal/aggron.png</t>
  </si>
  <si>
    <t>http://img.pokemondb.net/sprites/black-white/normal/meditite.png</t>
  </si>
  <si>
    <t>Meditite</t>
  </si>
  <si>
    <t>http://img.pokemondb.net/sprites/black-white/normal/medicham.png</t>
  </si>
  <si>
    <t>Medicham</t>
  </si>
  <si>
    <t>http://img.pokemondb.net/sprites/black-white/normal/electrike.png</t>
  </si>
  <si>
    <t>Electrike</t>
  </si>
  <si>
    <t>http://img.pokemondb.net/sprites/black-white/normal/manectric.png</t>
  </si>
  <si>
    <t>Manectric</t>
  </si>
  <si>
    <t>http://img.pokemondb.net/sprites/black-white/normal/plusle.png</t>
  </si>
  <si>
    <t>Plusle</t>
  </si>
  <si>
    <t>Entrainment</t>
  </si>
  <si>
    <t>http://img.pokemondb.net/sprites/black-white/normal/minun.png</t>
  </si>
  <si>
    <t>Minun</t>
  </si>
  <si>
    <t>http://img.pokemondb.net/sprites/black-white/normal/volbeat.png</t>
  </si>
  <si>
    <t>Volbeat</t>
  </si>
  <si>
    <t>Tail Glow</t>
  </si>
  <si>
    <t>http://img.pokemondb.net/sprites/black-white/normal/illumise.png</t>
  </si>
  <si>
    <t>Illumise</t>
  </si>
  <si>
    <t>http://img.pokemondb.net/sprites/black-white/normal/roselia.png</t>
  </si>
  <si>
    <t>Roselia</t>
  </si>
  <si>
    <t>http://img.pokemondb.net/sprites/black-white/normal/gulpin.png</t>
  </si>
  <si>
    <t>Gulpin</t>
  </si>
  <si>
    <t>http://img.pokemondb.net/sprites/black-white/normal/swalot.png</t>
  </si>
  <si>
    <t>Swalot</t>
  </si>
  <si>
    <t>http://img.pokemondb.net/sprites/black-white/normal/carvanha.png</t>
  </si>
  <si>
    <t>Carvanha</t>
  </si>
  <si>
    <t>http://img.pokemondb.net/sprites/black-white/normal/sharpedo.png</t>
  </si>
  <si>
    <t>Sharpedo</t>
  </si>
  <si>
    <t>http://img.pokemondb.net/sprites/black-white/normal/wailmer.png</t>
  </si>
  <si>
    <t>Wailmer</t>
  </si>
  <si>
    <t>http://img.pokemondb.net/sprites/black-white/normal/wailord.png</t>
  </si>
  <si>
    <t>Wailord</t>
  </si>
  <si>
    <t>http://img.pokemondb.net/sprites/black-white/normal/numel.png</t>
  </si>
  <si>
    <t>Numel</t>
  </si>
  <si>
    <t>http://img.pokemondb.net/sprites/black-white/normal/camerupt.png</t>
  </si>
  <si>
    <t>Camerupt</t>
  </si>
  <si>
    <t>http://img.pokemondb.net/sprites/black-white/normal/torkoal.png</t>
  </si>
  <si>
    <t>Torkoal</t>
  </si>
  <si>
    <t>http://img.pokemondb.net/sprites/black-white/normal/spoink.png</t>
  </si>
  <si>
    <t>Spoink</t>
  </si>
  <si>
    <t>http://img.pokemondb.net/sprites/black-white/normal/grumpig.png</t>
  </si>
  <si>
    <t>Grumpig</t>
  </si>
  <si>
    <t>http://img.pokemondb.net/sprites/black-white/normal/spinda.png</t>
  </si>
  <si>
    <t>Spinda</t>
  </si>
  <si>
    <t>http://img.pokemondb.net/sprites/black-white/normal/trapinch.png</t>
  </si>
  <si>
    <t>Trapinch</t>
  </si>
  <si>
    <t>http://img.pokemondb.net/sprites/black-white/normal/vibrava.png</t>
  </si>
  <si>
    <t>Vibrava</t>
  </si>
  <si>
    <t>http://img.pokemondb.net/sprites/black-white/normal/flygon.png</t>
  </si>
  <si>
    <t>Flygon</t>
  </si>
  <si>
    <t>http://img.pokemondb.net/sprites/black-white/normal/cacnea.png</t>
  </si>
  <si>
    <t>Cacnea</t>
  </si>
  <si>
    <t>Needle Arm</t>
  </si>
  <si>
    <t>http://img.pokemondb.net/sprites/black-white/normal/cacturne.png</t>
  </si>
  <si>
    <t>Cacturne</t>
  </si>
  <si>
    <t>http://img.pokemondb.net/sprites/black-white/normal/swablu.png</t>
  </si>
  <si>
    <t>Swablu</t>
  </si>
  <si>
    <t>http://img.pokemondb.net/sprites/black-white/normal/altaria.png</t>
  </si>
  <si>
    <t>Altaria</t>
  </si>
  <si>
    <t>http://img.pokemondb.net/sprites/black-white/normal/zangoose.png</t>
  </si>
  <si>
    <t>Zangoose</t>
  </si>
  <si>
    <t>http://img.pokemondb.net/sprites/black-white/normal/seviper.png</t>
  </si>
  <si>
    <t>Seviper</t>
  </si>
  <si>
    <t>http://img.pokemondb.net/sprites/black-white/normal/lunatone.png</t>
  </si>
  <si>
    <t>Lunatone</t>
  </si>
  <si>
    <t>http://img.pokemondb.net/sprites/black-white/normal/solrock.png</t>
  </si>
  <si>
    <t>Solrock</t>
  </si>
  <si>
    <t>http://img.pokemondb.net/sprites/black-white/normal/barboach.png</t>
  </si>
  <si>
    <t>Barboach</t>
  </si>
  <si>
    <t>http://img.pokemondb.net/sprites/black-white/normal/whiscash.png</t>
  </si>
  <si>
    <t>Whiscash</t>
  </si>
  <si>
    <t>http://img.pokemondb.net/sprites/black-white/normal/corphish.png</t>
  </si>
  <si>
    <t>Corphish</t>
  </si>
  <si>
    <t>http://img.pokemondb.net/sprites/black-white/normal/crawdaunt.png</t>
  </si>
  <si>
    <t>Crawdaunt</t>
  </si>
  <si>
    <t>http://img.pokemondb.net/sprites/black-white/normal/baltoy.png</t>
  </si>
  <si>
    <t>Baltoy</t>
  </si>
  <si>
    <t>http://img.pokemondb.net/sprites/black-white/normal/claydol.png</t>
  </si>
  <si>
    <t>Claydol</t>
  </si>
  <si>
    <t>http://img.pokemondb.net/sprites/black-white/normal/lileep.png</t>
  </si>
  <si>
    <t>Lileep</t>
  </si>
  <si>
    <t>http://img.pokemondb.net/sprites/black-white/normal/cradily.png</t>
  </si>
  <si>
    <t>Cradily</t>
  </si>
  <si>
    <t>http://img.pokemondb.net/sprites/black-white/normal/anorith.png</t>
  </si>
  <si>
    <t>Anorith</t>
  </si>
  <si>
    <t>http://img.pokemondb.net/sprites/black-white/normal/armaldo.png</t>
  </si>
  <si>
    <t>Armaldo</t>
  </si>
  <si>
    <t>http://img.pokemondb.net/sprites/black-white/normal/feebas.png</t>
  </si>
  <si>
    <t>Feebas</t>
  </si>
  <si>
    <t>BH</t>
  </si>
  <si>
    <t>http://img.pokemondb.net/sprites/black-white/normal/milotic.png</t>
  </si>
  <si>
    <t>Milotic</t>
  </si>
  <si>
    <t>http://img.pokemondb.net/sprites/black-white/normal/castform.png</t>
  </si>
  <si>
    <t>Castform</t>
  </si>
  <si>
    <t>http://img.pokemondb.net/sprites/black-white/normal/kecleon.png</t>
  </si>
  <si>
    <t>Kecleon</t>
  </si>
  <si>
    <t>http://img.pokemondb.net/sprites/black-white/normal/shuppet.png</t>
  </si>
  <si>
    <t>Shuppet</t>
  </si>
  <si>
    <t>http://img.pokemondb.net/sprites/black-white/normal/banette.png</t>
  </si>
  <si>
    <t>Banette</t>
  </si>
  <si>
    <t>http://img.pokemondb.net/sprites/black-white/normal/duskull.png</t>
  </si>
  <si>
    <t>Duskull</t>
  </si>
  <si>
    <t>http://img.pokemondb.net/sprites/black-white/normal/dusclops.png</t>
  </si>
  <si>
    <t>Dusclops</t>
  </si>
  <si>
    <t>http://img.pokemondb.net/sprites/black-white/normal/tropius.png</t>
  </si>
  <si>
    <t>Tropius</t>
  </si>
  <si>
    <t>http://img.pokemondb.net/sprites/black-white/normal/chimecho.png</t>
  </si>
  <si>
    <t>Chimecho</t>
  </si>
  <si>
    <t>http://img.pokemondb.net/sprites/black-white/normal/absol.png</t>
  </si>
  <si>
    <t>Absol</t>
  </si>
  <si>
    <t>DC</t>
  </si>
  <si>
    <t>http://img.pokemondb.net/sprites/black-white/normal/wynaut.png</t>
  </si>
  <si>
    <t>Wynaut</t>
  </si>
  <si>
    <t>http://img.pokemondb.net/sprites/black-white/normal/snorunt.png</t>
  </si>
  <si>
    <t>Snorunt</t>
  </si>
  <si>
    <t>http://img.pokemondb.net/sprites/black-white/normal/glalie.png</t>
  </si>
  <si>
    <t>Glalie</t>
  </si>
  <si>
    <t>http://img.pokemondb.net/sprites/black-white/normal/spheal.png</t>
  </si>
  <si>
    <t>Spheal</t>
  </si>
  <si>
    <t>http://img.pokemondb.net/sprites/black-white/normal/sealeo.png</t>
  </si>
  <si>
    <t>Sealeo</t>
  </si>
  <si>
    <t>http://img.pokemondb.net/sprites/black-white/normal/walrein.png</t>
  </si>
  <si>
    <t>Walrein</t>
  </si>
  <si>
    <t>http://img.pokemondb.net/sprites/black-white/normal/clamperl.png</t>
  </si>
  <si>
    <t>Clamperl</t>
  </si>
  <si>
    <t>http://img.pokemondb.net/sprites/black-white/normal/huntail.png</t>
  </si>
  <si>
    <t>Huntail</t>
  </si>
  <si>
    <t>http://img.pokemondb.net/sprites/black-white/normal/gorebyss.png</t>
  </si>
  <si>
    <t>Gorebyss</t>
  </si>
  <si>
    <t>http://img.pokemondb.net/sprites/black-white/normal/relicanth.png</t>
  </si>
  <si>
    <t>Relicanth</t>
  </si>
  <si>
    <t>http://img.pokemondb.net/sprites/black-white/normal/luvdisc.png</t>
  </si>
  <si>
    <t>Luvdisc</t>
  </si>
  <si>
    <t>http://img.pokemondb.net/sprites/black-white/normal/bagon.png</t>
  </si>
  <si>
    <t>Bagon</t>
  </si>
  <si>
    <t>http://img.pokemondb.net/sprites/black-white/normal/shelgon.png</t>
  </si>
  <si>
    <t>Shelgon</t>
  </si>
  <si>
    <t>http://img.pokemondb.net/sprites/black-white/normal/salamence.png</t>
  </si>
  <si>
    <t>Salamence</t>
  </si>
  <si>
    <t>http://img.pokemondb.net/sprites/black-white/normal/beldum.png</t>
  </si>
  <si>
    <t>Beldum</t>
  </si>
  <si>
    <t>http://img.pokemondb.net/sprites/black-white/normal/metang.png</t>
  </si>
  <si>
    <t>Metang</t>
  </si>
  <si>
    <t>http://img.pokemondb.net/sprites/black-white/normal/metagross.png</t>
  </si>
  <si>
    <t>Metagross</t>
  </si>
  <si>
    <t>http://img.pokemondb.net/sprites/black-white/normal/regirock.png</t>
  </si>
  <si>
    <t>Regirock</t>
  </si>
  <si>
    <t>http://img.pokemondb.net/sprites/black-white/normal/regice.png</t>
  </si>
  <si>
    <t>Regice</t>
  </si>
  <si>
    <t>http://img.pokemondb.net/sprites/black-white/normal/registeel.png</t>
  </si>
  <si>
    <t>Registeel</t>
  </si>
  <si>
    <t>http://img.pokemondb.net/sprites/black-white/normal/latias.png</t>
  </si>
  <si>
    <t>Latias</t>
  </si>
  <si>
    <t>Mist Ball</t>
  </si>
  <si>
    <t>http://img.pokemondb.net/sprites/black-white/normal/latios.png</t>
  </si>
  <si>
    <t>Latios</t>
  </si>
  <si>
    <t>Luster Purge</t>
  </si>
  <si>
    <t>http://img.pokemondb.net/sprites/black-white/normal/kyogre.png</t>
  </si>
  <si>
    <t>Kyogre</t>
  </si>
  <si>
    <t>http://img.pokemondb.net/sprites/black-white/normal/groudon.png</t>
  </si>
  <si>
    <t>Groudon</t>
  </si>
  <si>
    <t>http://img.pokemondb.net/sprites/black-white/normal/rayquaza.png</t>
  </si>
  <si>
    <t>Rayquaza</t>
  </si>
  <si>
    <t>http://img.pokemondb.net/sprites/black-white/normal/jirachi.png</t>
  </si>
  <si>
    <t>Jirachi</t>
  </si>
  <si>
    <t>Doom Desire</t>
  </si>
  <si>
    <t>http://img.pokemondb.net/sprites/black-white/normal/deoxys-normal.png</t>
  </si>
  <si>
    <t>Deoxys=Normal</t>
  </si>
  <si>
    <t>Psycho Boost</t>
  </si>
  <si>
    <t>http://img.pokemondb.net/sprites/black-white/normal/deoxys-attack.png</t>
  </si>
  <si>
    <t>Deoxys=Attack</t>
  </si>
  <si>
    <t>http://img.pokemondb.net/sprites/black-white/normal/deoxys-defense.png</t>
  </si>
  <si>
    <t>Deoxys=Defense</t>
  </si>
  <si>
    <t>http://img.pokemondb.net/sprites/black-white/normal/deoxys-speed.png</t>
  </si>
  <si>
    <t>Deoxys=Speed</t>
  </si>
  <si>
    <t>http://img.pokemondb.net/sprites/black-white/normal/turtwig.png</t>
  </si>
  <si>
    <t>Turtwig</t>
  </si>
  <si>
    <t>http://img.pokemondb.net/sprites/black-white/normal/grotle.png</t>
  </si>
  <si>
    <t>Grotle</t>
  </si>
  <si>
    <t>http://img.pokemondb.net/sprites/black-white/normal/torterra.png</t>
  </si>
  <si>
    <t>Torterra</t>
  </si>
  <si>
    <t>http://img.pokemondb.net/sprites/black-white/normal/chimchar.png</t>
  </si>
  <si>
    <t>Chimchar</t>
  </si>
  <si>
    <t>http://img.pokemondb.net/sprites/black-white/normal/monferno.png</t>
  </si>
  <si>
    <t>Monferno</t>
  </si>
  <si>
    <t>CS</t>
  </si>
  <si>
    <t>http://img.pokemondb.net/sprites/black-white/normal/infernape.png</t>
  </si>
  <si>
    <t>Infernape</t>
  </si>
  <si>
    <t>DE</t>
  </si>
  <si>
    <t>http://img.pokemondb.net/sprites/black-white/normal/piplup.png</t>
  </si>
  <si>
    <t>Piplup</t>
  </si>
  <si>
    <t>http://img.pokemondb.net/sprites/black-white/normal/prinplup.png</t>
  </si>
  <si>
    <t>Prinplup</t>
  </si>
  <si>
    <t>http://img.pokemondb.net/sprites/black-white/normal/empoleon.png</t>
  </si>
  <si>
    <t>Empoleon</t>
  </si>
  <si>
    <t>http://img.pokemondb.net/sprites/black-white/normal/starly.png</t>
  </si>
  <si>
    <t>Starly</t>
  </si>
  <si>
    <t>http://img.pokemondb.net/sprites/black-white/normal/staravia.png</t>
  </si>
  <si>
    <t>Staravia</t>
  </si>
  <si>
    <t>http://img.pokemondb.net/sprites/black-white/normal/staraptor.png</t>
  </si>
  <si>
    <t>Staraptor</t>
  </si>
  <si>
    <t>http://img.pokemondb.net/sprites/black-white/normal/bidoof.png</t>
  </si>
  <si>
    <t>Bidoof</t>
  </si>
  <si>
    <t>http://img.pokemondb.net/sprites/black-white/normal/bibarel.png</t>
  </si>
  <si>
    <t>Bibarel</t>
  </si>
  <si>
    <t>http://img.pokemondb.net/sprites/black-white/normal/kricketot.png</t>
  </si>
  <si>
    <t>Kricketot</t>
  </si>
  <si>
    <t>http://img.pokemondb.net/sprites/black-white/normal/kricketune.png</t>
  </si>
  <si>
    <t>Kricketune</t>
  </si>
  <si>
    <t>http://img.pokemondb.net/sprites/black-white/normal/shinx.png</t>
  </si>
  <si>
    <t>Shinx</t>
  </si>
  <si>
    <t>http://img.pokemondb.net/sprites/black-white/normal/luxio.png</t>
  </si>
  <si>
    <t>Luxio</t>
  </si>
  <si>
    <t>http://img.pokemondb.net/sprites/black-white/normal/luxray.png</t>
  </si>
  <si>
    <t>Luxray</t>
  </si>
  <si>
    <t>http://img.pokemondb.net/sprites/black-white/normal/budew.png</t>
  </si>
  <si>
    <t>Budew</t>
  </si>
  <si>
    <t>http://img.pokemondb.net/sprites/black-white/normal/roserade.png</t>
  </si>
  <si>
    <t>Roserade</t>
  </si>
  <si>
    <t>http://img.pokemondb.net/sprites/black-white/normal/cranidos.png</t>
  </si>
  <si>
    <t>Cranidos</t>
  </si>
  <si>
    <t>http://img.pokemondb.net/sprites/black-white/normal/rampardos.png</t>
  </si>
  <si>
    <t>Rampardos</t>
  </si>
  <si>
    <t>http://img.pokemondb.net/sprites/black-white/normal/shieldon.png</t>
  </si>
  <si>
    <t>Shieldon</t>
  </si>
  <si>
    <t>http://img.pokemondb.net/sprites/black-white/normal/bastiodon.png</t>
  </si>
  <si>
    <t>Bastiodon</t>
  </si>
  <si>
    <t>http://img.pokemondb.net/sprites/black-white/normal/burmy.png</t>
  </si>
  <si>
    <t>Burmy</t>
  </si>
  <si>
    <t>http://img.pokemondb.net/sprites/black-white/normal/wormadam-plant.png</t>
  </si>
  <si>
    <t>Wormadam=Plant</t>
  </si>
  <si>
    <t>http://img.pokemondb.net/sprites/black-white/normal/wormadam-sandy.png</t>
  </si>
  <si>
    <t>Wormadam=Sandy</t>
  </si>
  <si>
    <t>http://img.pokemondb.net/sprites/black-white/normal/wormadam-trash.png</t>
  </si>
  <si>
    <t>Wormadam=Trash</t>
  </si>
  <si>
    <t>http://img.pokemondb.net/sprites/black-white/normal/mothim.png</t>
  </si>
  <si>
    <t>Mothim</t>
  </si>
  <si>
    <t>http://img.pokemondb.net/sprites/black-white/normal/combee.png</t>
  </si>
  <si>
    <t>Combee</t>
  </si>
  <si>
    <t>http://img.pokemondb.net/sprites/black-white/normal/vespiquen.png</t>
  </si>
  <si>
    <t>Vespiquen</t>
  </si>
  <si>
    <t>Defend Order</t>
  </si>
  <si>
    <t>Heal Order</t>
  </si>
  <si>
    <t>Attack Order</t>
  </si>
  <si>
    <t>http://img.pokemondb.net/sprites/black-white/normal/pachirisu.png</t>
  </si>
  <si>
    <t>Pachirisu</t>
  </si>
  <si>
    <t>http://img.pokemondb.net/sprites/black-white/normal/buizel.png</t>
  </si>
  <si>
    <t>Buizel</t>
  </si>
  <si>
    <t>http://img.pokemondb.net/sprites/black-white/normal/floatzel.png</t>
  </si>
  <si>
    <t>Floatzel</t>
  </si>
  <si>
    <t>http://img.pokemondb.net/sprites/black-white/normal/cherubi.png</t>
  </si>
  <si>
    <t>Cherubi</t>
  </si>
  <si>
    <t>http://img.pokemondb.net/sprites/black-white/normal/cherrim.png</t>
  </si>
  <si>
    <t>Cherrim</t>
  </si>
  <si>
    <t>http://img.pokemondb.net/sprites/black-white/normal/shellos.png</t>
  </si>
  <si>
    <t>Shellos</t>
  </si>
  <si>
    <t>http://img.pokemondb.net/sprites/black-white/normal/gastrodon.png</t>
  </si>
  <si>
    <t>Gastrodon</t>
  </si>
  <si>
    <t>http://img.pokemondb.net/sprites/black-white/normal/ambipom.png</t>
  </si>
  <si>
    <t>Ambipom</t>
  </si>
  <si>
    <t>http://img.pokemondb.net/sprites/black-white/normal/drifloon.png</t>
  </si>
  <si>
    <t>Drifloon</t>
  </si>
  <si>
    <t>http://img.pokemondb.net/sprites/black-white/normal/drifblim.png</t>
  </si>
  <si>
    <t>Drifblim</t>
  </si>
  <si>
    <t>http://img.pokemondb.net/sprites/black-white/normal/buneary.png</t>
  </si>
  <si>
    <t>Buneary</t>
  </si>
  <si>
    <t>http://img.pokemondb.net/sprites/black-white/normal/lopunny.png</t>
  </si>
  <si>
    <t>Lopunny</t>
  </si>
  <si>
    <t>http://img.pokemondb.net/sprites/black-white/normal/mismagius.png</t>
  </si>
  <si>
    <t>Mismagius</t>
  </si>
  <si>
    <t>http://img.pokemondb.net/sprites/black-white/normal/honchkrow.png</t>
  </si>
  <si>
    <t>Honchkrow</t>
  </si>
  <si>
    <t>http://img.pokemondb.net/sprites/black-white/normal/glameow.png</t>
  </si>
  <si>
    <t>Glameow</t>
  </si>
  <si>
    <t>http://img.pokemondb.net/sprites/black-white/normal/purugly.png</t>
  </si>
  <si>
    <t>Purugly</t>
  </si>
  <si>
    <t>http://img.pokemondb.net/sprites/black-white/normal/chingling.png</t>
  </si>
  <si>
    <t>Chingling</t>
  </si>
  <si>
    <t>http://img.pokemondb.net/sprites/black-white/normal/stunky.png</t>
  </si>
  <si>
    <t>Stunky</t>
  </si>
  <si>
    <t>http://img.pokemondb.net/sprites/black-white/normal/skuntank.png</t>
  </si>
  <si>
    <t>Skuntank</t>
  </si>
  <si>
    <t>http://img.pokemondb.net/sprites/black-white/normal/bronzor.png</t>
  </si>
  <si>
    <t>Bronzor</t>
  </si>
  <si>
    <t>http://img.pokemondb.net/sprites/black-white/normal/bronzong.png</t>
  </si>
  <si>
    <t>Bronzong</t>
  </si>
  <si>
    <t>http://img.pokemondb.net/sprites/black-white/normal/bonsly.png</t>
  </si>
  <si>
    <t>Bonsly</t>
  </si>
  <si>
    <t>http://img.pokemondb.net/sprites/black-white/normal/mime jr..png</t>
  </si>
  <si>
    <t>Mime Jr.</t>
  </si>
  <si>
    <t>http://img.pokemondb.net/sprites/black-white/normal/happiny.png</t>
  </si>
  <si>
    <t>Happiny</t>
  </si>
  <si>
    <t>http://img.pokemondb.net/sprites/black-white/normal/chatot.png</t>
  </si>
  <si>
    <t>Chatot</t>
  </si>
  <si>
    <t>Chatter</t>
  </si>
  <si>
    <t>http://img.pokemondb.net/sprites/black-white/normal/spiritomb.png</t>
  </si>
  <si>
    <t>Spiritomb</t>
  </si>
  <si>
    <t>http://img.pokemondb.net/sprites/black-white/normal/gible.png</t>
  </si>
  <si>
    <t>Gible</t>
  </si>
  <si>
    <t>http://img.pokemondb.net/sprites/black-white/normal/gabite.png</t>
  </si>
  <si>
    <t>Gabite</t>
  </si>
  <si>
    <t>Dual Chop</t>
  </si>
  <si>
    <t>http://img.pokemondb.net/sprites/black-white/normal/garchomp.png</t>
  </si>
  <si>
    <t>Garchomp</t>
  </si>
  <si>
    <t>http://img.pokemondb.net/sprites/black-white/normal/munchlax.png</t>
  </si>
  <si>
    <t>Munchlax</t>
  </si>
  <si>
    <t>http://img.pokemondb.net/sprites/black-white/normal/riolu.png</t>
  </si>
  <si>
    <t>Riolu</t>
  </si>
  <si>
    <t>http://img.pokemondb.net/sprites/black-white/normal/lucario.png</t>
  </si>
  <si>
    <t>Lucario</t>
  </si>
  <si>
    <t>http://img.pokemondb.net/sprites/black-white/normal/hippopotas.png</t>
  </si>
  <si>
    <t>Hippopotas</t>
  </si>
  <si>
    <t>http://img.pokemondb.net/sprites/black-white/normal/hippowdon.png</t>
  </si>
  <si>
    <t>Hippowdon</t>
  </si>
  <si>
    <t>http://img.pokemondb.net/sprites/black-white/normal/skorupi.png</t>
  </si>
  <si>
    <t>Skorupi</t>
  </si>
  <si>
    <t>http://img.pokemondb.net/sprites/black-white/normal/drapion.png</t>
  </si>
  <si>
    <t>Drapion</t>
  </si>
  <si>
    <t>http://img.pokemondb.net/sprites/black-white/normal/croagunk.png</t>
  </si>
  <si>
    <t>Croagunk</t>
  </si>
  <si>
    <t>http://img.pokemondb.net/sprites/black-white/normal/toxicroak.png</t>
  </si>
  <si>
    <t>Toxicroak</t>
  </si>
  <si>
    <t>http://img.pokemondb.net/sprites/black-white/normal/carnivine.png</t>
  </si>
  <si>
    <t>Carnivine</t>
  </si>
  <si>
    <t>http://img.pokemondb.net/sprites/black-white/normal/finneon.png</t>
  </si>
  <si>
    <t>Finneon</t>
  </si>
  <si>
    <t>http://img.pokemondb.net/sprites/black-white/normal/lumineon.png</t>
  </si>
  <si>
    <t>Lumineon</t>
  </si>
  <si>
    <t>http://img.pokemondb.net/sprites/black-white/normal/mantyke.png</t>
  </si>
  <si>
    <t>Mantyke</t>
  </si>
  <si>
    <t>http://img.pokemondb.net/sprites/black-white/normal/snover.png</t>
  </si>
  <si>
    <t>Snover</t>
  </si>
  <si>
    <t>http://img.pokemondb.net/sprites/black-white/normal/abomasnow.png</t>
  </si>
  <si>
    <t>Abomasnow</t>
  </si>
  <si>
    <t>http://img.pokemondb.net/sprites/black-white/normal/weavile.png</t>
  </si>
  <si>
    <t>Weavile</t>
  </si>
  <si>
    <t>http://img.pokemondb.net/sprites/black-white/normal/magnezone.png</t>
  </si>
  <si>
    <t>Magnezone</t>
  </si>
  <si>
    <t>http://img.pokemondb.net/sprites/black-white/normal/lickilicky.png</t>
  </si>
  <si>
    <t>Lickilicky</t>
  </si>
  <si>
    <t>http://img.pokemondb.net/sprites/black-white/normal/rhyperior.png</t>
  </si>
  <si>
    <t>Rhyperior</t>
  </si>
  <si>
    <t>Rock Wrecker</t>
  </si>
  <si>
    <t>http://img.pokemondb.net/sprites/black-white/normal/tangrowth.png</t>
  </si>
  <si>
    <t>Tangrowth</t>
  </si>
  <si>
    <t>http://img.pokemondb.net/sprites/black-white/normal/electivire.png</t>
  </si>
  <si>
    <t>Electivire</t>
  </si>
  <si>
    <t>http://img.pokemondb.net/sprites/black-white/normal/magmortar.png</t>
  </si>
  <si>
    <t>Magmortar</t>
  </si>
  <si>
    <t>http://img.pokemondb.net/sprites/black-white/normal/togekiss.png</t>
  </si>
  <si>
    <t>Togekiss</t>
  </si>
  <si>
    <t>http://img.pokemondb.net/sprites/black-white/normal/yanmega.png</t>
  </si>
  <si>
    <t>Yanmega</t>
  </si>
  <si>
    <t>http://img.pokemondb.net/sprites/black-white/normal/leafeon.png</t>
  </si>
  <si>
    <t>Leafeon</t>
  </si>
  <si>
    <t>http://img.pokemondb.net/sprites/black-white/normal/glaceon.png</t>
  </si>
  <si>
    <t>Glaceon</t>
  </si>
  <si>
    <t>http://img.pokemondb.net/sprites/black-white/normal/gliscor.png</t>
  </si>
  <si>
    <t>Gliscor</t>
  </si>
  <si>
    <t>http://img.pokemondb.net/sprites/black-white/normal/mamoswine.png</t>
  </si>
  <si>
    <t>Mamoswine</t>
  </si>
  <si>
    <t>http://img.pokemondb.net/sprites/black-white/normal/porygon-z.png</t>
  </si>
  <si>
    <t>Porygon-Z</t>
  </si>
  <si>
    <t>http://img.pokemondb.net/sprites/black-white/normal/gallade.png</t>
  </si>
  <si>
    <t>Gallade</t>
  </si>
  <si>
    <t>http://img.pokemondb.net/sprites/black-white/normal/probopass.png</t>
  </si>
  <si>
    <t>Probopass</t>
  </si>
  <si>
    <t>http://img.pokemondb.net/sprites/black-white/normal/dusknoir.png</t>
  </si>
  <si>
    <t>Dusknoir</t>
  </si>
  <si>
    <t>http://img.pokemondb.net/sprites/black-white/normal/froslass.png</t>
  </si>
  <si>
    <t>Froslass</t>
  </si>
  <si>
    <t>http://img.pokemondb.net/sprites/black-white/normal/rotom.png</t>
  </si>
  <si>
    <t>Rotom</t>
  </si>
  <si>
    <t>http://img.pokemondb.net/sprites/black-white/normal/rotom-heat.png</t>
  </si>
  <si>
    <t>Rotom=Heat</t>
  </si>
  <si>
    <t>http://img.pokemondb.net/sprites/black-white/normal/rotom-wash.png</t>
  </si>
  <si>
    <t>Rotom=Wash</t>
  </si>
  <si>
    <t>http://img.pokemondb.net/sprites/black-white/normal/rotom-frost.png</t>
  </si>
  <si>
    <t>Rotom=Frost</t>
  </si>
  <si>
    <t>http://img.pokemondb.net/sprites/black-white/normal/rotom-fan.png</t>
  </si>
  <si>
    <t>Rotom=Fan</t>
  </si>
  <si>
    <t>http://img.pokemondb.net/sprites/black-white/normal/rotom-mow.png</t>
  </si>
  <si>
    <t>Rotom=Mow</t>
  </si>
  <si>
    <t>http://img.pokemondb.net/sprites/black-white/normal/uxie.png</t>
  </si>
  <si>
    <t>Uxie</t>
  </si>
  <si>
    <t>http://img.pokemondb.net/sprites/black-white/normal/mesprit.png</t>
  </si>
  <si>
    <t>Mesprit</t>
  </si>
  <si>
    <t>http://img.pokemondb.net/sprites/black-white/normal/azelf.png</t>
  </si>
  <si>
    <t>Azelf</t>
  </si>
  <si>
    <t>http://img.pokemondb.net/sprites/black-white/normal/dialga.png</t>
  </si>
  <si>
    <t>Dialga</t>
  </si>
  <si>
    <t>Roar of Time</t>
  </si>
  <si>
    <t>http://img.pokemondb.net/sprites/black-white/normal/palkia.png</t>
  </si>
  <si>
    <t>Palkia</t>
  </si>
  <si>
    <t>Spacial Rend</t>
  </si>
  <si>
    <t>http://img.pokemondb.net/sprites/black-white/normal/heatran.png</t>
  </si>
  <si>
    <t>Heatran</t>
  </si>
  <si>
    <t>Magma Storm</t>
  </si>
  <si>
    <t>http://img.pokemondb.net/sprites/black-white/normal/regigigas.png</t>
  </si>
  <si>
    <t>Regigigas</t>
  </si>
  <si>
    <t>Crush Grip</t>
  </si>
  <si>
    <t>http://img.pokemondb.net/sprites/black-white/normal/giratina-altered.png</t>
  </si>
  <si>
    <t>Giratina=Altered</t>
  </si>
  <si>
    <t>Shadow Force</t>
  </si>
  <si>
    <t>http://img.pokemondb.net/sprites/black-white/normal/giratina-origin.png</t>
  </si>
  <si>
    <t>Giratina=Origin</t>
  </si>
  <si>
    <t>http://img.pokemondb.net/sprites/black-white/normal/cresselia.png</t>
  </si>
  <si>
    <t>Cresselia</t>
  </si>
  <si>
    <t>Lunar Dance</t>
  </si>
  <si>
    <t>http://img.pokemondb.net/sprites/black-white/normal/phione.png</t>
  </si>
  <si>
    <t>Phione</t>
  </si>
  <si>
    <t>http://img.pokemondb.net/sprites/black-white/normal/manaphy.png</t>
  </si>
  <si>
    <t>Manaphy</t>
  </si>
  <si>
    <t>Heart Swap</t>
  </si>
  <si>
    <t>http://img.pokemondb.net/sprites/black-white/normal/darkrai.png</t>
  </si>
  <si>
    <t>Darkrai</t>
  </si>
  <si>
    <t>Dark Void</t>
  </si>
  <si>
    <t>http://img.pokemondb.net/sprites/black-white/normal/shaymin-land.png</t>
  </si>
  <si>
    <t>Shaymin=Land</t>
  </si>
  <si>
    <t>Seed Flare</t>
  </si>
  <si>
    <t>http://img.pokemondb.net/sprites/black-white/normal/shaymin-sky.png</t>
  </si>
  <si>
    <t>Shaymin=Sky</t>
  </si>
  <si>
    <t>http://img.pokemondb.net/sprites/black-white/normal/arceus.png</t>
  </si>
  <si>
    <t>Arceus</t>
  </si>
  <si>
    <t>Judgment</t>
  </si>
  <si>
    <t>http://img.pokemondb.net/sprites/black-white/normal/victini.png</t>
  </si>
  <si>
    <t>Victini</t>
  </si>
  <si>
    <t>Searing Shot</t>
  </si>
  <si>
    <t>Blue Flare</t>
  </si>
  <si>
    <t>Bolt Strike</t>
  </si>
  <si>
    <t>Fusion Bolt</t>
  </si>
  <si>
    <t>Fusion Flare</t>
  </si>
  <si>
    <t>Glaciate</t>
  </si>
  <si>
    <t>http://img.pokemondb.net/sprites/black-white/normal/snivy.png</t>
  </si>
  <si>
    <t>Snivy</t>
  </si>
  <si>
    <t>http://img.pokemondb.net/sprites/black-white/normal/servine.png</t>
  </si>
  <si>
    <t>Servine</t>
  </si>
  <si>
    <t>http://img.pokemondb.net/sprites/black-white/normal/serperior.png</t>
  </si>
  <si>
    <t>http://img.pokemondb.net/sprites/black-white/normal/tepig.png</t>
  </si>
  <si>
    <t>Tepig</t>
  </si>
  <si>
    <t>Heat Crash</t>
  </si>
  <si>
    <t>http://img.pokemondb.net/sprites/black-white/normal/pignite.png</t>
  </si>
  <si>
    <t>Pignite</t>
  </si>
  <si>
    <t>http://img.pokemondb.net/sprites/black-white/normal/emboar.png</t>
  </si>
  <si>
    <t>Emboar</t>
  </si>
  <si>
    <t>http://img.pokemondb.net/sprites/black-white/normal/oshawott.png</t>
  </si>
  <si>
    <t>Oshawott</t>
  </si>
  <si>
    <t>http://img.pokemondb.net/sprites/black-white/normal/dewott.png</t>
  </si>
  <si>
    <t>Dewott</t>
  </si>
  <si>
    <t>http://img.pokemondb.net/sprites/black-white/normal/samurott.png</t>
  </si>
  <si>
    <t>Samurott</t>
  </si>
  <si>
    <t>http://img.pokemondb.net/sprites/black-white/normal/patrat.png</t>
  </si>
  <si>
    <t>Patrat</t>
  </si>
  <si>
    <t>http://img.pokemondb.net/sprites/black-white/normal/watchog.png</t>
  </si>
  <si>
    <t>Watchog</t>
  </si>
  <si>
    <t>http://img.pokemondb.net/sprites/black-white/normal/lillipup.png</t>
  </si>
  <si>
    <t>Lillipup</t>
  </si>
  <si>
    <t>http://img.pokemondb.net/sprites/black-white/normal/herdier.png</t>
  </si>
  <si>
    <t>Herdier</t>
  </si>
  <si>
    <t>http://img.pokemondb.net/sprites/black-white/normal/stoutland.png</t>
  </si>
  <si>
    <t>Stoutland</t>
  </si>
  <si>
    <t>http://img.pokemondb.net/sprites/black-white/normal/purrloin.png</t>
  </si>
  <si>
    <t>Purrloin</t>
  </si>
  <si>
    <t>http://img.pokemondb.net/sprites/black-white/normal/liepard.png</t>
  </si>
  <si>
    <t>Liepard</t>
  </si>
  <si>
    <t>Storm Throw</t>
  </si>
  <si>
    <t>Night Daze</t>
  </si>
  <si>
    <t>Horn Leech</t>
  </si>
  <si>
    <t>Gear Grind</t>
  </si>
  <si>
    <t>Shift Gear</t>
  </si>
  <si>
    <t>Head Charge</t>
  </si>
  <si>
    <t>Fiery Dance</t>
  </si>
  <si>
    <t>Sacred Sword</t>
  </si>
  <si>
    <t>Secret Sword</t>
  </si>
  <si>
    <t>Relic Song</t>
  </si>
  <si>
    <t>Techno Blast</t>
  </si>
  <si>
    <t>May raise all user's stats at once.</t>
  </si>
  <si>
    <t>If opponent is the opposite gender, it's less likely to attack.</t>
  </si>
  <si>
    <t>User switches out and gives stat changes to the incoming Pokémon.</t>
  </si>
  <si>
    <t>Each Pokémon in your party attacks.</t>
  </si>
  <si>
    <t>User loses 50% of its max HP, but Attack raises to maximum.</t>
  </si>
  <si>
    <t>Sharply lowers opponent's Attack.</t>
  </si>
  <si>
    <t>User changes type to become resistant to opponent's last move.</t>
  </si>
  <si>
    <t>Sharply lowers opponent's Speed.</t>
  </si>
  <si>
    <t>May lower opponent's Defense.</t>
  </si>
  <si>
    <t>Ghosts lose 50% of max HP and curse the opponent; Non-Ghosts raise Attack, Defense and lower Speed.</t>
  </si>
  <si>
    <t>If the user faints, the opponent also faints.</t>
  </si>
  <si>
    <t>Opponent's attack doesn't affect you, but may fail if used often.</t>
  </si>
  <si>
    <t>Forces opponent to keep using its last move for 3 turns.</t>
  </si>
  <si>
    <t>Always left with at least 1 HP, but may fail if used consecutively.</t>
  </si>
  <si>
    <t>Always leaves opponent with at least 1 HP.</t>
  </si>
  <si>
    <t>The lower the user's HP, the higher the power.</t>
  </si>
  <si>
    <t>Resets opponent's Evasiveness, Normal-type and Fighting-type attacks can now hit Ghosts, and Ghost-type attacks hit Normal.</t>
  </si>
  <si>
    <t>Power decreases with higher Happiness.</t>
  </si>
  <si>
    <t>Power increases with each consecutive hit.</t>
  </si>
  <si>
    <t>Damage occurs 2 turns later.</t>
  </si>
  <si>
    <t>Heals the user's party's status conditions.</t>
  </si>
  <si>
    <t>Type and power depends on user's IVs.</t>
  </si>
  <si>
    <t>The next move the user uses is guaranteed to hit.</t>
  </si>
  <si>
    <t>Hits with random power.</t>
  </si>
  <si>
    <t>Opponent cannot escape/switch.</t>
  </si>
  <si>
    <t>May raise user's Attack.</t>
  </si>
  <si>
    <t>User recoves 50% of its maximum HP.</t>
  </si>
  <si>
    <t>User's next attack is guaranteed to hit.</t>
  </si>
  <si>
    <t>When hit by a Special Attack, user strikes back with 2x power.</t>
  </si>
  <si>
    <t>User recovers HP. Amount varies with the weather.</t>
  </si>
  <si>
    <t>The sleeping opponent loses 25% of its max HP each turn.</t>
  </si>
  <si>
    <t>May lower opponent's Accuracy.</t>
  </si>
  <si>
    <t>The user's and opponent's HP becomes the average of both.</t>
  </si>
  <si>
    <t>Any Pokémon in play when this attack is used faints in 3 turns.</t>
  </si>
  <si>
    <t>Either deals damage or heals.</t>
  </si>
  <si>
    <t>User is not affected by opponent's move.</t>
  </si>
  <si>
    <t>Copies the opponent's stat changes.</t>
  </si>
  <si>
    <t>Double power if the opponent is switching out.</t>
  </si>
  <si>
    <t>Makes it rain for 5 turns.</t>
  </si>
  <si>
    <t>Removes effects of trap moves.</t>
  </si>
  <si>
    <t>Power increases with user's Happiness.</t>
  </si>
  <si>
    <t>Doubles in power each turn for 5 turns.</t>
  </si>
  <si>
    <t>The user's party is protected from status conditions.</t>
  </si>
  <si>
    <t>Creates a sandstorm for 5 turns.</t>
  </si>
  <si>
    <t>Permanently copies the opponent's last move.</t>
  </si>
  <si>
    <t>User performs one of its own moves while sleeping.</t>
  </si>
  <si>
    <t>Can only be used if asleep. May cause flinching.</t>
  </si>
  <si>
    <t>Hurts opponents when they switch into battle.</t>
  </si>
  <si>
    <t>The opponent's last move loses 2-5 PP.</t>
  </si>
  <si>
    <t>May raise user's Defense.</t>
  </si>
  <si>
    <t>Makes it sunny for 5 turns.</t>
  </si>
  <si>
    <t>Opponent becomes confused, but its Attack is raised two stages.</t>
  </si>
  <si>
    <t>Lowers opponent's Evasiveness.</t>
  </si>
  <si>
    <t>Also steals opponent's held item.</t>
  </si>
  <si>
    <t>Hits thrice in one turn at increasing power.</t>
  </si>
  <si>
    <t>May cause flinching. Hits Pokémon using Fly/Bounce with double power.</t>
  </si>
  <si>
    <t>User attacks last, but ignores Accuracy and Evasiveness.</t>
  </si>
  <si>
    <t>Cures all status problems in your party.</t>
  </si>
  <si>
    <t>In a Double Battle, user randomly attacks with a partner's move.</t>
  </si>
  <si>
    <t>High critical hit ratio. May burn opponent.</t>
  </si>
  <si>
    <t>Opponent cannot flee or switch.</t>
  </si>
  <si>
    <t>Springs up on first turn, attacks on second. May paralyze opponent.</t>
  </si>
  <si>
    <t>Breaks through Reflect and Light Screen barriers.</t>
  </si>
  <si>
    <t>Raises user's Attack and Defense.</t>
  </si>
  <si>
    <t>Raises user's Special Attack and Special Defense.</t>
  </si>
  <si>
    <t>Changes user's type according to the location.</t>
  </si>
  <si>
    <t>Raises user's Special Defense and next Electric move's power increases.</t>
  </si>
  <si>
    <t>Raises user's Defense and Special Defense.</t>
  </si>
  <si>
    <t>Opponent's item is stolen by the user.</t>
  </si>
  <si>
    <t>Dives underwater on first turn, attacks on second turn.</t>
  </si>
  <si>
    <t>Raises user's Attack and Speed.</t>
  </si>
  <si>
    <t>Reduces opponent's HP to same as user's.</t>
  </si>
  <si>
    <t>Stronger when the user's HP is higher.</t>
  </si>
  <si>
    <t>Stronger if user is Burned, Poisoned, or Paralyzed.</t>
  </si>
  <si>
    <t>User attacks first, foe flinches. Only usable on first turn.</t>
  </si>
  <si>
    <t>Sharply lowers opponent's Special Defense.</t>
  </si>
  <si>
    <t>Confuses opponent, but raises its Special Attack by two stages.</t>
  </si>
  <si>
    <t>If the user is hit before attacking, it flinches instead.</t>
  </si>
  <si>
    <t>In Double Battle, the user takes all the attacks.</t>
  </si>
  <si>
    <t>Puts opponent to sleep, if it hits.</t>
  </si>
  <si>
    <t>If the users faints after using this move, the PP for the opponent's last move is depleted.</t>
  </si>
  <si>
    <t>Non-Ice types are damaged for 5 turns.</t>
  </si>
  <si>
    <t>In Double Battles, boosts the power of the partner's move.</t>
  </si>
  <si>
    <t>Opponent is unable to use moves that the user also knows.</t>
  </si>
  <si>
    <t>User restores HP each turn. User cannot escape/switch.</t>
  </si>
  <si>
    <t>Opponent cannot use its hold item for the duration of the battle.</t>
  </si>
  <si>
    <t>Any special move is reflected back to the attacker.</t>
  </si>
  <si>
    <t>User faints, sharply lowers opponent's Attack and Special Attack.</t>
  </si>
  <si>
    <t>May lower opponent's Special Attack.</t>
  </si>
  <si>
    <t>Weakens the power of Electric-type moves.</t>
  </si>
  <si>
    <t>Uses a certain move based on the current terrain.</t>
  </si>
  <si>
    <t>Sharply lowers user's Special Attack.</t>
  </si>
  <si>
    <t>May badly poison opponent.</t>
  </si>
  <si>
    <t>High critical hit ratio. May poison opponent.</t>
  </si>
  <si>
    <t>User's used hold item is restored.</t>
  </si>
  <si>
    <t>Cures paralysis, poison, and burns.</t>
  </si>
  <si>
    <t>Power increases if user was hit first.</t>
  </si>
  <si>
    <t>User copies the opponent's Ability.</t>
  </si>
  <si>
    <t>Effects of the attack vary with the location.</t>
  </si>
  <si>
    <t>May raise all stats of user at once.</t>
  </si>
  <si>
    <t>The user swaps Abilities with the opponent.</t>
  </si>
  <si>
    <t>Hits the opponent, even during Fly.</t>
  </si>
  <si>
    <t>Power increases when used on a paralyzed opponent, but cures it.</t>
  </si>
  <si>
    <t>Steals the effects of the opponent's next move.</t>
  </si>
  <si>
    <t>Power depends on how many times the user performed Stockpile.</t>
  </si>
  <si>
    <t>Stores energy for use with Spit Up and Swallow.</t>
  </si>
  <si>
    <t>Lowers user's Attack and Defense.</t>
  </si>
  <si>
    <t>The more times the user has performed Stockpile, the more HP is recovered.</t>
  </si>
  <si>
    <t>Drastically raises user's Special Attack.</t>
  </si>
  <si>
    <t>Opponent can only use moves that attack.</t>
  </si>
  <si>
    <t>Confuses all Pokémon.</t>
  </si>
  <si>
    <t>Lowers opponent's Attack and Defense.</t>
  </si>
  <si>
    <t>Opponent cannot use the same move in a row.</t>
  </si>
  <si>
    <t>Swaps held items with the opponent.</t>
  </si>
  <si>
    <t>User attacks for 3 turns and prevents sleep.</t>
  </si>
  <si>
    <t>Volt Tackle</t>
  </si>
  <si>
    <t>User receives recoil damage. May paralyze opponent.</t>
  </si>
  <si>
    <t>Weakens the power of Fire-type moves.</t>
  </si>
  <si>
    <t>The higher the user's HP, the higher the damage caused.</t>
  </si>
  <si>
    <t>Move's power and type changes with the weather.</t>
  </si>
  <si>
    <t>Burns opponent.</t>
  </si>
  <si>
    <t>The user recovers HP in the following turn.</t>
  </si>
  <si>
    <t>Puts the opponent to sleep in the following turn.</t>
  </si>
  <si>
    <t>Sharply raises a random stat.</t>
  </si>
  <si>
    <t>Restores a little HP each turn.</t>
  </si>
  <si>
    <t>Power doubles if opponent already took damage in the same turn.</t>
  </si>
  <si>
    <t>Power doubles if user took damage first.</t>
  </si>
  <si>
    <t>Power doubles if opponent's HP is less than 50%.</t>
  </si>
  <si>
    <t>Receives the effect from the opponent's held berry.</t>
  </si>
  <si>
    <t>Sharply lowers opponent's Special Attack if opposite gender.</t>
  </si>
  <si>
    <t>May raise user's Special Attack.</t>
  </si>
  <si>
    <t>Lowers user's Defense and Special Defense.</t>
  </si>
  <si>
    <t>Copies opponent's last move.</t>
  </si>
  <si>
    <t>More powerful when opponent has higher HP.</t>
  </si>
  <si>
    <t>Puts all Pokémon on the field to sleep.</t>
  </si>
  <si>
    <t>Lowers opponent's Evasiveness and clears fog.</t>
  </si>
  <si>
    <t>Opponent cannot use items.</t>
  </si>
  <si>
    <t>Only hits if opponent uses Protect or Detect in the same turn.</t>
  </si>
  <si>
    <t>May cause flinching and/or burn opponent.</t>
  </si>
  <si>
    <t>User receives recoil damage. May burn opponent.</t>
  </si>
  <si>
    <t>Power depends on held item.</t>
  </si>
  <si>
    <t>Cancels out the effect of the opponent's Ability.</t>
  </si>
  <si>
    <t>Prevents moves like Fly and Bounce and the Ability Levitate for 5 turns.</t>
  </si>
  <si>
    <t>User and opponent swap Defense and Special Defense.</t>
  </si>
  <si>
    <t>The slower the opponent, the stronger the attack.</t>
  </si>
  <si>
    <t>Lowers user's Speed.</t>
  </si>
  <si>
    <t>Prevents the opponent from restoring HP for 5 turns.</t>
  </si>
  <si>
    <t>Recovers half of the user's max HP.</t>
  </si>
  <si>
    <t>The user faints and the next Pokémon released is fully healed.</t>
  </si>
  <si>
    <t>Stat changes are swapped with the opponent.</t>
  </si>
  <si>
    <t>May cause flinching and/or freeze opponent.</t>
  </si>
  <si>
    <t>Type depends on the Arceus Plate being held.</t>
  </si>
  <si>
    <t>Can only be used after all other moves are used.</t>
  </si>
  <si>
    <t>Opponent cannot land critical hits for 5 turns.</t>
  </si>
  <si>
    <t>The user faints but the next Pokémon released is fully healed.</t>
  </si>
  <si>
    <t>User becomes immune to Ground-type moves for 5 turns.</t>
  </si>
  <si>
    <t>User copies the opponent's attack with 1.5× power.</t>
  </si>
  <si>
    <t>Deals damage equal to 1.5x opponent's attack.</t>
  </si>
  <si>
    <t>Resets opponent's Evasiveness, removes Dark's Psychic immunity.</t>
  </si>
  <si>
    <t>Sharply raises user's Special Attack.</t>
  </si>
  <si>
    <t>Power and type depend on the user's held berry.</t>
  </si>
  <si>
    <t>Power doubles if the user was attacked first.</t>
  </si>
  <si>
    <t>If the opponent is holding a berry, its effect is stolen by user.</t>
  </si>
  <si>
    <t>User and opponent swap Attack and Special Attack.</t>
  </si>
  <si>
    <t>User's own Attack and Defense switch.</t>
  </si>
  <si>
    <t>Gives the opponent the user's status condition, if it hits.</t>
  </si>
  <si>
    <t>Power increases when opponent's stats have been raised.</t>
  </si>
  <si>
    <t>User recovers 50% of its max HP. Flying-type users are not immune to Ground-type moves immediately following this move.</t>
  </si>
  <si>
    <t>Disappears on first turn, attacks on second. Can strike through Protect/Detect.</t>
  </si>
  <si>
    <t>Damages opponent switching into battle.</t>
  </si>
  <si>
    <t>User attacks first, but only works if opponent is readying an attack.</t>
  </si>
  <si>
    <t>Doubles Speed for 4 turns.</t>
  </si>
  <si>
    <t>May cause flinching and/or paralyze opponent.</t>
  </si>
  <si>
    <t>Poisons opponents when they switch into battle.</t>
  </si>
  <si>
    <t>Slower Pokémon move first in the turn for 5 turns.</t>
  </si>
  <si>
    <t>The lower the PP, the higher the power.</t>
  </si>
  <si>
    <t>User switches out immediately after attacking.</t>
  </si>
  <si>
    <t>Power doubles if used on a sleeping opponent, but wakes it up.</t>
  </si>
  <si>
    <t>Changes the opponent's Ability to Insomnia.</t>
  </si>
  <si>
    <t>The higher the opponent's HP, the higher the damage.</t>
  </si>
  <si>
    <t>Stronger when the user does not have a held item.</t>
  </si>
  <si>
    <t>Gives target priority in the next turn.</t>
  </si>
  <si>
    <t>User switches with opposite teammate.</t>
  </si>
  <si>
    <t>Halves weight and sharply raises Speed.</t>
  </si>
  <si>
    <t>Gives the user's held item to the target.</t>
  </si>
  <si>
    <t>Ignores opponent's stat changes.</t>
  </si>
  <si>
    <t>Removes all of the target's stat changes.</t>
  </si>
  <si>
    <t>Raises user's Attack, Defense and Accuracy.</t>
  </si>
  <si>
    <t>Drastically raises user's Defense.</t>
  </si>
  <si>
    <t>Power increases each turn if multiple Pokémon in the team also use it.</t>
  </si>
  <si>
    <t>The faster the user, the stronger the attack.</t>
  </si>
  <si>
    <t>Makes target's ability same as user's.</t>
  </si>
  <si>
    <t>Inflicts damage equal to the user's remaining HP. User faints.</t>
  </si>
  <si>
    <t>Added effects appear if combined with Grass Pledge or Water Pledge.</t>
  </si>
  <si>
    <t>May also injure nearby Pokémon.</t>
  </si>
  <si>
    <t>Raises user's Speed.</t>
  </si>
  <si>
    <t>Uses the opponent's Attack stat.</t>
  </si>
  <si>
    <t>Freeze Shock</t>
  </si>
  <si>
    <t>Charges on first turn, attacks on second. May paralyze opponent.</t>
  </si>
  <si>
    <t>Always results in a critical hit.</t>
  </si>
  <si>
    <t>Power increases if Fusion Flare is used in the same turn.</t>
  </si>
  <si>
    <t>Power increases if Fusion Bolt is used in the same turn.</t>
  </si>
  <si>
    <t>Added effects appear if preceded by Water Pledge or succeeded by Fire Pledge.</t>
  </si>
  <si>
    <t>Averages Defense and Special Defense with the target.</t>
  </si>
  <si>
    <t>Restores half the target's max HP.</t>
  </si>
  <si>
    <t>The heavier the user, the stronger the attack.</t>
  </si>
  <si>
    <t>Inflicts more damage if the target has a status condition.</t>
  </si>
  <si>
    <t>Raises user's Attack and Accuracy.</t>
  </si>
  <si>
    <t>Ice Burn</t>
  </si>
  <si>
    <t>Charges on first turn, attacks on second. May burn opponent.</t>
  </si>
  <si>
    <t>Destroys the target's held berry.</t>
  </si>
  <si>
    <t>Suppresses the effects of held items for five turns.</t>
  </si>
  <si>
    <t>Averages Attack and Special Attack with the target.</t>
  </si>
  <si>
    <t>Inflicts damage based on the target's Defense, not Special Defense.</t>
  </si>
  <si>
    <t>Makes the target act last this turn.</t>
  </si>
  <si>
    <t>Fast moves won't damage the user or its teammates.</t>
  </si>
  <si>
    <t>Raises user's Special Attack, Special Defense and Speed.</t>
  </si>
  <si>
    <t>Forces attacks to hit user, not team-mates.</t>
  </si>
  <si>
    <t>User becomes the target's type.</t>
  </si>
  <si>
    <t>May put the target to sleep.</t>
  </si>
  <si>
    <t>Inflicts double damage if a teammate fainted on the last turn.</t>
  </si>
  <si>
    <t>Sharply raises user's Attack, Special Attack and Speed but lowers Defense and Special Defense.</t>
  </si>
  <si>
    <t>Raises user's Attack and sharply raises Speed.</t>
  </si>
  <si>
    <t>Changes target's ability to Simple.</t>
  </si>
  <si>
    <t>Takes opponent into the air on first turn, drops them on second turn.</t>
  </si>
  <si>
    <t>Makes Flying-type Pokémon vulnerable to Ground moves.</t>
  </si>
  <si>
    <t>Lowers opponent's Special Attack.</t>
  </si>
  <si>
    <t>Changes the target's type to water.</t>
  </si>
  <si>
    <t>Power increases when user's stats have been raised.</t>
  </si>
  <si>
    <t>Hits any Pokémon that shares a type with the user.</t>
  </si>
  <si>
    <t>If the user is holding a plate, the damage inflicted will match it.</t>
  </si>
  <si>
    <t>Ignores opponent's Evasiveness for three turns, add Ground immunity.</t>
  </si>
  <si>
    <t>Lowers user's Defense, Special Defense and Speed.</t>
  </si>
  <si>
    <t>Inflicts double damage if the target is poisoned.</t>
  </si>
  <si>
    <t>User must switch out after attacking.</t>
  </si>
  <si>
    <t>Added effects appear if preceded by Fire Pledge or succeeded by Grass Pledge.</t>
  </si>
  <si>
    <t>Protects the user's team from multi-target attacks.</t>
  </si>
  <si>
    <t>Swaps every Pokémon's Defense and Special Defense for 5 turns.</t>
  </si>
  <si>
    <t>http://img.pokemondb.net/sprites/black-white/normal/venusaur-mega.png</t>
  </si>
  <si>
    <t>Venusaur=Mega</t>
  </si>
  <si>
    <t>http://img.pokemondb.net/sprites/black-white/normal/blastoise-mega.png</t>
  </si>
  <si>
    <t>Blastoise=Mega</t>
  </si>
  <si>
    <t>http://img.pokemondb.net/sprites/black-white/normal/alakazam-mega.png</t>
  </si>
  <si>
    <t>Alakazam=Mega</t>
  </si>
  <si>
    <t>http://img.pokemondb.net/sprites/black-white/normal/gengar-mega.png</t>
  </si>
  <si>
    <t>Gengar=Mega</t>
  </si>
  <si>
    <t>http://img.pokemondb.net/sprites/black-white/normal/kangaskhan-mega.png</t>
  </si>
  <si>
    <t>Kangaskhan=Mega</t>
  </si>
  <si>
    <t>http://img.pokemondb.net/sprites/black-white/normal/pinsir-mega.png</t>
  </si>
  <si>
    <t>Pinsir=Mega</t>
  </si>
  <si>
    <t>http://img.pokemondb.net/sprites/black-white/normal/gyarados-mega.png</t>
  </si>
  <si>
    <t>Gyarados=Mega</t>
  </si>
  <si>
    <t>http://img.pokemondb.net/sprites/black-white/normal/aerodactyl-mega.png</t>
  </si>
  <si>
    <t>Aerodactyl=Mega</t>
  </si>
  <si>
    <t>http://img.pokemondb.net/sprites/black-white/normal/mewtwo-mega.png</t>
  </si>
  <si>
    <t>Mewtwo=Mega</t>
  </si>
  <si>
    <t>http://img.pokemondb.net/sprites/black-white/normal/ampharos-mega.png</t>
  </si>
  <si>
    <t>Ampharos=Mega</t>
  </si>
  <si>
    <t>http://img.pokemondb.net/sprites/black-white/normal/scizor-mega.png</t>
  </si>
  <si>
    <t>Scizor=Mega</t>
  </si>
  <si>
    <t>http://img.pokemondb.net/sprites/black-white/normal/heracross-mega.png</t>
  </si>
  <si>
    <t>Heracross=Mega</t>
  </si>
  <si>
    <t>http://img.pokemondb.net/sprites/black-white/normal/houndoom-mega.png</t>
  </si>
  <si>
    <t>Houndoom=Mega</t>
  </si>
  <si>
    <t>http://img.pokemondb.net/sprites/black-white/normal/tyranitar-mega.png</t>
  </si>
  <si>
    <t>Tyranitar=Mega</t>
  </si>
  <si>
    <t>http://img.pokemondb.net/sprites/black-white/normal/blaziken-mega.png</t>
  </si>
  <si>
    <t>Blaziken=Mega</t>
  </si>
  <si>
    <t>http://img.pokemondb.net/sprites/black-white/normal/gardevoir-mega.png</t>
  </si>
  <si>
    <t>Gardevoir=Mega</t>
  </si>
  <si>
    <t>http://img.pokemondb.net/sprites/black-white/normal/mawile-mega.png</t>
  </si>
  <si>
    <t>Mawile=Mega</t>
  </si>
  <si>
    <t>http://img.pokemondb.net/sprites/black-white/normal/aggron-mega.png</t>
  </si>
  <si>
    <t>Aggron=Mega</t>
  </si>
  <si>
    <t>http://img.pokemondb.net/sprites/black-white/normal/medicham-mega.png</t>
  </si>
  <si>
    <t>Medicham=Mega</t>
  </si>
  <si>
    <t>http://img.pokemondb.net/sprites/black-white/normal/manectric-mega.png</t>
  </si>
  <si>
    <t>Manectric=Mega</t>
  </si>
  <si>
    <t>http://img.pokemondb.net/sprites/black-white/normal/banette-mega.png</t>
  </si>
  <si>
    <t>Banette=Mega</t>
  </si>
  <si>
    <t>http://img.pokemondb.net/sprites/black-white/normal/absol-mega.png</t>
  </si>
  <si>
    <t>Absol=Mega</t>
  </si>
  <si>
    <t>http://img.pokemondb.net/sprites/black-white/normal/garchomp-mega.png</t>
  </si>
  <si>
    <t>Garchomp=Mega</t>
  </si>
  <si>
    <t>http://img.pokemondb.net/sprites/black-white/normal/lucario-mega.png</t>
  </si>
  <si>
    <t>Lucario=Mega</t>
  </si>
  <si>
    <t>http://img.pokemondb.net/sprites/black-white/normal/abomasnow-mega.png</t>
  </si>
  <si>
    <t>Abomasnow=Mega</t>
  </si>
  <si>
    <t>Aromatic Mist</t>
  </si>
  <si>
    <t>Raises Special Attack of teammates.</t>
  </si>
  <si>
    <t>Baby-Doll Eyes</t>
  </si>
  <si>
    <t>Always goes first. Lowers the target's attack.</t>
  </si>
  <si>
    <t>Belch</t>
  </si>
  <si>
    <t>Requires a held Berry to attack.</t>
  </si>
  <si>
    <t>Boomburst</t>
  </si>
  <si>
    <t>Hits all Pokémon on the field.</t>
  </si>
  <si>
    <t>Confide</t>
  </si>
  <si>
    <t>Crafty Shield</t>
  </si>
  <si>
    <t>Protects the Pokémon from status moves.</t>
  </si>
  <si>
    <t>Dazzling Gleam</t>
  </si>
  <si>
    <t>Disarming Voice</t>
  </si>
  <si>
    <t>Draining Kiss</t>
  </si>
  <si>
    <t>User recovers over half the HP inflicted on opponent.</t>
  </si>
  <si>
    <t>Eerie Impulse</t>
  </si>
  <si>
    <t>Sharply lowers opponent's Special Attack.</t>
  </si>
  <si>
    <t>Electric Terrain</t>
  </si>
  <si>
    <t>Prevents all Pokémon from falling asleep for 5 turns.</t>
  </si>
  <si>
    <t>Electrify</t>
  </si>
  <si>
    <t>Changes the target's move to Electric type.</t>
  </si>
  <si>
    <t>Fairy Lock</t>
  </si>
  <si>
    <t>Prevents fleeing in the next turn.</t>
  </si>
  <si>
    <t>Fairy Wind</t>
  </si>
  <si>
    <t>Fell Stinger</t>
  </si>
  <si>
    <t>Sharply raises user's Attack if target is KO'd.</t>
  </si>
  <si>
    <t>Flower Shield</t>
  </si>
  <si>
    <t>Raises Defense of all Grass-type Pokémon on the field.</t>
  </si>
  <si>
    <t>Flying Press</t>
  </si>
  <si>
    <t>Deals Fighting and Flying type damage.</t>
  </si>
  <si>
    <t>Forest's Curse</t>
  </si>
  <si>
    <t>Turns opponents into Grass type.</t>
  </si>
  <si>
    <t>Freeze-Dry</t>
  </si>
  <si>
    <t>May freeze opponent. Super-effective against Water types.</t>
  </si>
  <si>
    <t>Geomancy</t>
  </si>
  <si>
    <t>Charges on first turn, sharply raises user's Sp. Attack, Sp. Defense and Speed on the second.</t>
  </si>
  <si>
    <t>Grassy Terrain</t>
  </si>
  <si>
    <t xml:space="preserve">Restores a little HP of all Pokémon for 5 turns. </t>
  </si>
  <si>
    <t>Infestation</t>
  </si>
  <si>
    <t>Ion Deluge</t>
  </si>
  <si>
    <t>Changes Normal-type moves to Electric-type.</t>
  </si>
  <si>
    <t>King's Shield</t>
  </si>
  <si>
    <t>Protects against attacks, and lowers opponent's Attack on contact moves.</t>
  </si>
  <si>
    <t>Land's Wrath</t>
  </si>
  <si>
    <t>Magnetic Flux</t>
  </si>
  <si>
    <t>Raises Defense and Sp. Defense of Plus/Minus Pokémon.</t>
  </si>
  <si>
    <t>Mat Block</t>
  </si>
  <si>
    <t>Protects teammates from damaging moves.</t>
  </si>
  <si>
    <t>Misty Terrain</t>
  </si>
  <si>
    <t>Protects the field from status conditions for 5 turns.</t>
  </si>
  <si>
    <t>Moonblast</t>
  </si>
  <si>
    <t>Mystical Fire</t>
  </si>
  <si>
    <t>Noble Roar</t>
  </si>
  <si>
    <t>Lowers opponent's Attack and Special Attack.</t>
  </si>
  <si>
    <t>Nuzzle</t>
  </si>
  <si>
    <t>Oblivion Wing</t>
  </si>
  <si>
    <t>User recovers most of the HP inflicted on opponent.</t>
  </si>
  <si>
    <t>Parabolic Charge</t>
  </si>
  <si>
    <t>Parting Shot</t>
  </si>
  <si>
    <t xml:space="preserve">Lowers opponent's Attack and Special Attack then switches out. </t>
  </si>
  <si>
    <t>Petal Blizzard</t>
  </si>
  <si>
    <t>Phantom Force</t>
  </si>
  <si>
    <t>Play Nice</t>
  </si>
  <si>
    <t>Lowers opponent's Attack. Always hits.</t>
  </si>
  <si>
    <t>Play Rough</t>
  </si>
  <si>
    <t>Powder</t>
  </si>
  <si>
    <t>Damages Pokémon using Fire type moves.</t>
  </si>
  <si>
    <t>Power-Up Punch</t>
  </si>
  <si>
    <t>Raises Attack.</t>
  </si>
  <si>
    <t>Rototiller</t>
  </si>
  <si>
    <t>Raises Attack and Special Attack of Grass-types.</t>
  </si>
  <si>
    <t>Spiky Shield</t>
  </si>
  <si>
    <t>Protects user and inflicts damage on contact moves.</t>
  </si>
  <si>
    <t>Sticky Web</t>
  </si>
  <si>
    <t>Lowers opponent's Speed when switching into battle.</t>
  </si>
  <si>
    <t>Topsy-Turvy</t>
  </si>
  <si>
    <t>Reverses stat changes of opponent.</t>
  </si>
  <si>
    <t>Trick-or-Treat</t>
  </si>
  <si>
    <t>Turns opponents into Ghost type.</t>
  </si>
  <si>
    <t>Venom Drench</t>
  </si>
  <si>
    <t>Lowers poisoned opponent's Special Attack and Speed.</t>
  </si>
  <si>
    <t>Water Shuriken</t>
  </si>
  <si>
    <t>X/Y</t>
  </si>
  <si>
    <t>DD</t>
  </si>
  <si>
    <t>DH</t>
  </si>
  <si>
    <t>DB</t>
  </si>
  <si>
    <t>AL</t>
  </si>
  <si>
    <t>AG</t>
  </si>
  <si>
    <t>AJ</t>
  </si>
  <si>
    <t>EB</t>
  </si>
  <si>
    <t>AF</t>
  </si>
  <si>
    <t>AN</t>
  </si>
  <si>
    <t>X</t>
  </si>
  <si>
    <t>BF</t>
  </si>
  <si>
    <t>DF</t>
  </si>
  <si>
    <t>DR</t>
  </si>
  <si>
    <t>http://img.pokemondb.net/sprites/black-white/normal/charizard-megax.png</t>
  </si>
  <si>
    <t>Charizard=MegaX</t>
  </si>
  <si>
    <t>http://img.pokemondb.net/sprites/black-white/normal/charizard-megay.png</t>
  </si>
  <si>
    <t>Charizard=MegaY</t>
  </si>
  <si>
    <t>http://img.pokemondb.net/sprites/black-white/normal/pansage.png</t>
  </si>
  <si>
    <t>Pansage</t>
  </si>
  <si>
    <t>http://img.pokemondb.net/sprites/black-white/normal/simisage.png</t>
  </si>
  <si>
    <t>Simisage</t>
  </si>
  <si>
    <t>http://img.pokemondb.net/sprites/black-white/normal/pansear.png</t>
  </si>
  <si>
    <t>Pansear</t>
  </si>
  <si>
    <t>http://img.pokemondb.net/sprites/black-white/normal/simisear.png</t>
  </si>
  <si>
    <t>Simisear</t>
  </si>
  <si>
    <t>http://img.pokemondb.net/sprites/black-white/normal/panpour.png</t>
  </si>
  <si>
    <t>Panpour</t>
  </si>
  <si>
    <t>http://img.pokemondb.net/sprites/black-white/normal/simipour.png</t>
  </si>
  <si>
    <t>Simipour</t>
  </si>
  <si>
    <t>http://img.pokemondb.net/sprites/black-white/normal/munna.png</t>
  </si>
  <si>
    <t>Munna</t>
  </si>
  <si>
    <t>http://img.pokemondb.net/sprites/black-white/normal/musharna.png</t>
  </si>
  <si>
    <t>Musharna</t>
  </si>
  <si>
    <t>http://img.pokemondb.net/sprites/black-white/normal/pidove.png</t>
  </si>
  <si>
    <t>Pidove</t>
  </si>
  <si>
    <t>BL</t>
  </si>
  <si>
    <t>http://img.pokemondb.net/sprites/black-white/normal/tranquill.png</t>
  </si>
  <si>
    <t>Tranquill</t>
  </si>
  <si>
    <t>http://img.pokemondb.net/sprites/black-white/normal/unfezant.png</t>
  </si>
  <si>
    <t>Unfezant</t>
  </si>
  <si>
    <t>http://img.pokemondb.net/sprites/black-white/normal/blitzle.png</t>
  </si>
  <si>
    <t>Blitzle</t>
  </si>
  <si>
    <t>http://img.pokemondb.net/sprites/black-white/normal/zebstrika.png</t>
  </si>
  <si>
    <t>Zebstrika</t>
  </si>
  <si>
    <t>http://img.pokemondb.net/sprites/black-white/normal/roggenrola.png</t>
  </si>
  <si>
    <t>Roggenrola</t>
  </si>
  <si>
    <t>http://img.pokemondb.net/sprites/black-white/normal/boldore.png</t>
  </si>
  <si>
    <t>Boldore</t>
  </si>
  <si>
    <t>http://img.pokemondb.net/sprites/black-white/normal/gigalith.png</t>
  </si>
  <si>
    <t>Gigalith</t>
  </si>
  <si>
    <t>http://img.pokemondb.net/sprites/black-white/normal/woobat.png</t>
  </si>
  <si>
    <t>Woobat</t>
  </si>
  <si>
    <t>http://img.pokemondb.net/sprites/black-white/normal/swoobat.png</t>
  </si>
  <si>
    <t>Swoobat</t>
  </si>
  <si>
    <t>http://img.pokemondb.net/sprites/black-white/normal/drilbur.png</t>
  </si>
  <si>
    <t>Drilbur</t>
  </si>
  <si>
    <t>http://img.pokemondb.net/sprites/black-white/normal/excadrill.png</t>
  </si>
  <si>
    <t>Excadrill</t>
  </si>
  <si>
    <t>http://img.pokemondb.net/sprites/black-white/normal/audino.png</t>
  </si>
  <si>
    <t>Audino</t>
  </si>
  <si>
    <t>http://img.pokemondb.net/sprites/black-white/normal/timburr.png</t>
  </si>
  <si>
    <t>Timburr</t>
  </si>
  <si>
    <t>http://img.pokemondb.net/sprites/black-white/normal/gurdurr.png</t>
  </si>
  <si>
    <t>Gurdurr</t>
  </si>
  <si>
    <t>http://img.pokemondb.net/sprites/black-white/normal/conkeldurr.png</t>
  </si>
  <si>
    <t>Conkeldurr</t>
  </si>
  <si>
    <t>http://img.pokemondb.net/sprites/black-white/normal/tympole.png</t>
  </si>
  <si>
    <t>Tympole</t>
  </si>
  <si>
    <t>http://img.pokemondb.net/sprites/black-white/normal/palpitoad.png</t>
  </si>
  <si>
    <t>Palpitoad</t>
  </si>
  <si>
    <t>http://img.pokemondb.net/sprites/black-white/normal/seismitoad.png</t>
  </si>
  <si>
    <t>Seismitoad</t>
  </si>
  <si>
    <t>http://img.pokemondb.net/sprites/black-white/normal/throh.png</t>
  </si>
  <si>
    <t>Throh</t>
  </si>
  <si>
    <t>http://img.pokemondb.net/sprites/black-white/normal/sawk.png</t>
  </si>
  <si>
    <t>Sawk</t>
  </si>
  <si>
    <t>http://img.pokemondb.net/sprites/black-white/normal/sewaddle.png</t>
  </si>
  <si>
    <t>Sewaddle</t>
  </si>
  <si>
    <t>http://img.pokemondb.net/sprites/black-white/normal/swadloon.png</t>
  </si>
  <si>
    <t>Swadloon</t>
  </si>
  <si>
    <t>http://img.pokemondb.net/sprites/black-white/normal/leavanny.png</t>
  </si>
  <si>
    <t>Leavanny</t>
  </si>
  <si>
    <t>http://img.pokemondb.net/sprites/black-white/normal/venipede.png</t>
  </si>
  <si>
    <t>Venipede</t>
  </si>
  <si>
    <t>http://img.pokemondb.net/sprites/black-white/normal/whirlipede.png</t>
  </si>
  <si>
    <t>Whirlipede</t>
  </si>
  <si>
    <t>http://img.pokemondb.net/sprites/black-white/normal/scolipede.png</t>
  </si>
  <si>
    <t>Scolipede</t>
  </si>
  <si>
    <t>http://img.pokemondb.net/sprites/black-white/normal/cottonee.png</t>
  </si>
  <si>
    <t>Cottonee</t>
  </si>
  <si>
    <t>http://img.pokemondb.net/sprites/black-white/normal/whimsicott.png</t>
  </si>
  <si>
    <t>Whimsicott</t>
  </si>
  <si>
    <t>http://img.pokemondb.net/sprites/black-white/normal/petilil.png</t>
  </si>
  <si>
    <t>Petilil</t>
  </si>
  <si>
    <t>http://img.pokemondb.net/sprites/black-white/normal/lilligant.png</t>
  </si>
  <si>
    <t>Lilligant</t>
  </si>
  <si>
    <t>http://img.pokemondb.net/sprites/black-white/normal/basculin.png</t>
  </si>
  <si>
    <t>Basculin</t>
  </si>
  <si>
    <t>http://img.pokemondb.net/sprites/black-white/normal/sandile.png</t>
  </si>
  <si>
    <t>Sandile</t>
  </si>
  <si>
    <t>http://img.pokemondb.net/sprites/black-white/normal/krokorok.png</t>
  </si>
  <si>
    <t>Krokorok</t>
  </si>
  <si>
    <t>http://img.pokemondb.net/sprites/black-white/normal/krookodile.png</t>
  </si>
  <si>
    <t>Krookodile</t>
  </si>
  <si>
    <t>http://img.pokemondb.net/sprites/black-white/normal/darumaka.png</t>
  </si>
  <si>
    <t>Darumaka</t>
  </si>
  <si>
    <t>http://img.pokemondb.net/sprites/black-white/normal/darmanitan-standard.png</t>
  </si>
  <si>
    <t>Darmanitan=Standard</t>
  </si>
  <si>
    <t>http://img.pokemondb.net/sprites/black-white/normal/darmanitan-zen.png</t>
  </si>
  <si>
    <t>Darmanitan=Zen</t>
  </si>
  <si>
    <t>http://img.pokemondb.net/sprites/black-white/normal/maractus.png</t>
  </si>
  <si>
    <t>Maractus</t>
  </si>
  <si>
    <t>http://img.pokemondb.net/sprites/black-white/normal/dwebble.png</t>
  </si>
  <si>
    <t>Dwebble</t>
  </si>
  <si>
    <t>http://img.pokemondb.net/sprites/black-white/normal/crustle.png</t>
  </si>
  <si>
    <t>Crustle</t>
  </si>
  <si>
    <t>http://img.pokemondb.net/sprites/black-white/normal/scraggy.png</t>
  </si>
  <si>
    <t>Scraggy</t>
  </si>
  <si>
    <t>http://img.pokemondb.net/sprites/black-white/normal/scrafty.png</t>
  </si>
  <si>
    <t>Scrafty</t>
  </si>
  <si>
    <t>http://img.pokemondb.net/sprites/black-white/normal/sigilyph.png</t>
  </si>
  <si>
    <t>Sigilyph</t>
  </si>
  <si>
    <t>http://img.pokemondb.net/sprites/black-white/normal/yamask.png</t>
  </si>
  <si>
    <t>Yamask</t>
  </si>
  <si>
    <t>http://img.pokemondb.net/sprites/black-white/normal/cofagrigus.png</t>
  </si>
  <si>
    <t>Cofagrigus</t>
  </si>
  <si>
    <t>http://img.pokemondb.net/sprites/black-white/normal/tirtouga.png</t>
  </si>
  <si>
    <t>Tirtouga</t>
  </si>
  <si>
    <t>http://img.pokemondb.net/sprites/black-white/normal/carracosta.png</t>
  </si>
  <si>
    <t>Carracosta</t>
  </si>
  <si>
    <t>http://img.pokemondb.net/sprites/black-white/normal/archen.png</t>
  </si>
  <si>
    <t>Archen</t>
  </si>
  <si>
    <t>http://img.pokemondb.net/sprites/black-white/normal/archeops.png</t>
  </si>
  <si>
    <t>Archeops</t>
  </si>
  <si>
    <t>http://img.pokemondb.net/sprites/black-white/normal/trubbish.png</t>
  </si>
  <si>
    <t>Trubbish</t>
  </si>
  <si>
    <t>http://img.pokemondb.net/sprites/black-white/normal/garbodor.png</t>
  </si>
  <si>
    <t>Garbodor</t>
  </si>
  <si>
    <t>http://img.pokemondb.net/sprites/black-white/normal/zorua.png</t>
  </si>
  <si>
    <t>Zorua</t>
  </si>
  <si>
    <t>http://img.pokemondb.net/sprites/black-white/normal/zoroark.png</t>
  </si>
  <si>
    <t>Zoroark</t>
  </si>
  <si>
    <t>http://img.pokemondb.net/sprites/black-white/normal/minccino.png</t>
  </si>
  <si>
    <t>Minccino</t>
  </si>
  <si>
    <t>http://img.pokemondb.net/sprites/black-white/normal/cinccino.png</t>
  </si>
  <si>
    <t>Cinccino</t>
  </si>
  <si>
    <t>http://img.pokemondb.net/sprites/black-white/normal/gothita.png</t>
  </si>
  <si>
    <t>Gothita</t>
  </si>
  <si>
    <t>http://img.pokemondb.net/sprites/black-white/normal/gothorita.png</t>
  </si>
  <si>
    <t>Gothorita</t>
  </si>
  <si>
    <t>http://img.pokemondb.net/sprites/black-white/normal/gothitelle.png</t>
  </si>
  <si>
    <t>Gothitelle</t>
  </si>
  <si>
    <t>http://img.pokemondb.net/sprites/black-white/normal/solosis.png</t>
  </si>
  <si>
    <t>Solosis</t>
  </si>
  <si>
    <t>http://img.pokemondb.net/sprites/black-white/normal/duosion.png</t>
  </si>
  <si>
    <t>Duosion</t>
  </si>
  <si>
    <t>http://img.pokemondb.net/sprites/black-white/normal/reuniclus.png</t>
  </si>
  <si>
    <t>Reuniclus</t>
  </si>
  <si>
    <t>http://img.pokemondb.net/sprites/black-white/normal/ducklett.png</t>
  </si>
  <si>
    <t>Ducklett</t>
  </si>
  <si>
    <t>http://img.pokemondb.net/sprites/black-white/normal/swanna.png</t>
  </si>
  <si>
    <t>Swanna</t>
  </si>
  <si>
    <t>http://img.pokemondb.net/sprites/black-white/normal/vanillite.png</t>
  </si>
  <si>
    <t>Vanillite</t>
  </si>
  <si>
    <t>http://img.pokemondb.net/sprites/black-white/normal/vanillish.png</t>
  </si>
  <si>
    <t>Vanillish</t>
  </si>
  <si>
    <t>http://img.pokemondb.net/sprites/black-white/normal/vanilluxe.png</t>
  </si>
  <si>
    <t>Vanilluxe</t>
  </si>
  <si>
    <t>http://img.pokemondb.net/sprites/black-white/normal/deerling.png</t>
  </si>
  <si>
    <t>Deerling</t>
  </si>
  <si>
    <t>http://img.pokemondb.net/sprites/black-white/normal/sawsbuck.png</t>
  </si>
  <si>
    <t>Sawsbuck</t>
  </si>
  <si>
    <t>http://img.pokemondb.net/sprites/black-white/normal/emolga.png</t>
  </si>
  <si>
    <t>Emolga</t>
  </si>
  <si>
    <t>http://img.pokemondb.net/sprites/black-white/normal/karrablast.png</t>
  </si>
  <si>
    <t>Karrablast</t>
  </si>
  <si>
    <t>http://img.pokemondb.net/sprites/black-white/normal/escavalier.png</t>
  </si>
  <si>
    <t>Escavalier</t>
  </si>
  <si>
    <t>http://img.pokemondb.net/sprites/black-white/normal/foongus.png</t>
  </si>
  <si>
    <t>Foongus</t>
  </si>
  <si>
    <t>http://img.pokemondb.net/sprites/black-white/normal/amoonguss.png</t>
  </si>
  <si>
    <t>Amoonguss</t>
  </si>
  <si>
    <t>http://img.pokemondb.net/sprites/black-white/normal/frillish.png</t>
  </si>
  <si>
    <t>Frillish</t>
  </si>
  <si>
    <t>http://img.pokemondb.net/sprites/black-white/normal/jellicent.png</t>
  </si>
  <si>
    <t>Jellicent</t>
  </si>
  <si>
    <t>http://img.pokemondb.net/sprites/black-white/normal/alomomola.png</t>
  </si>
  <si>
    <t>Alomomola</t>
  </si>
  <si>
    <t>http://img.pokemondb.net/sprites/black-white/normal/joltik.png</t>
  </si>
  <si>
    <t>Joltik</t>
  </si>
  <si>
    <t>http://img.pokemondb.net/sprites/black-white/normal/galvantula.png</t>
  </si>
  <si>
    <t>Galvantula</t>
  </si>
  <si>
    <t>http://img.pokemondb.net/sprites/black-white/normal/ferroseed.png</t>
  </si>
  <si>
    <t>Ferroseed</t>
  </si>
  <si>
    <t>http://img.pokemondb.net/sprites/black-white/normal/ferrothorn.png</t>
  </si>
  <si>
    <t>Ferrothorn</t>
  </si>
  <si>
    <t>http://img.pokemondb.net/sprites/black-white/normal/klink.png</t>
  </si>
  <si>
    <t>Klink</t>
  </si>
  <si>
    <t>http://img.pokemondb.net/sprites/black-white/normal/klang.png</t>
  </si>
  <si>
    <t>Klang</t>
  </si>
  <si>
    <t>BI</t>
  </si>
  <si>
    <t>http://img.pokemondb.net/sprites/black-white/normal/klinklang.png</t>
  </si>
  <si>
    <t>Klinklang</t>
  </si>
  <si>
    <t>http://img.pokemondb.net/sprites/black-white/normal/tynamo.png</t>
  </si>
  <si>
    <t>Tynamo</t>
  </si>
  <si>
    <t>http://img.pokemondb.net/sprites/black-white/normal/eelektrik.png</t>
  </si>
  <si>
    <t>Eelektrik</t>
  </si>
  <si>
    <t>http://img.pokemondb.net/sprites/black-white/normal/eelektross.png</t>
  </si>
  <si>
    <t>Eelektross</t>
  </si>
  <si>
    <t>http://img.pokemondb.net/sprites/black-white/normal/elgyem.png</t>
  </si>
  <si>
    <t>Elgyem</t>
  </si>
  <si>
    <t>http://img.pokemondb.net/sprites/black-white/normal/beheeyem.png</t>
  </si>
  <si>
    <t>Beheeyem</t>
  </si>
  <si>
    <t>http://img.pokemondb.net/sprites/black-white/normal/litwick.png</t>
  </si>
  <si>
    <t>Litwick</t>
  </si>
  <si>
    <t>http://img.pokemondb.net/sprites/black-white/normal/lampent.png</t>
  </si>
  <si>
    <t>Lampent</t>
  </si>
  <si>
    <t>http://img.pokemondb.net/sprites/black-white/normal/chandelure.png</t>
  </si>
  <si>
    <t>Chandelure</t>
  </si>
  <si>
    <t>http://img.pokemondb.net/sprites/black-white/normal/axew.png</t>
  </si>
  <si>
    <t>Axew</t>
  </si>
  <si>
    <t>http://img.pokemondb.net/sprites/black-white/normal/fraxure.png</t>
  </si>
  <si>
    <t>Fraxure</t>
  </si>
  <si>
    <t>http://img.pokemondb.net/sprites/black-white/normal/haxorus.png</t>
  </si>
  <si>
    <t>Haxorus</t>
  </si>
  <si>
    <t>http://img.pokemondb.net/sprites/black-white/normal/cubchoo.png</t>
  </si>
  <si>
    <t>Cubchoo</t>
  </si>
  <si>
    <t>http://img.pokemondb.net/sprites/black-white/normal/beartic.png</t>
  </si>
  <si>
    <t>Beartic</t>
  </si>
  <si>
    <t>http://img.pokemondb.net/sprites/black-white/normal/cryogonal.png</t>
  </si>
  <si>
    <t>Cryogonal</t>
  </si>
  <si>
    <t>http://img.pokemondb.net/sprites/black-white/normal/shelmet.png</t>
  </si>
  <si>
    <t>Shelmet</t>
  </si>
  <si>
    <t>http://img.pokemondb.net/sprites/black-white/normal/accelgor.png</t>
  </si>
  <si>
    <t>Accelgor</t>
  </si>
  <si>
    <t>http://img.pokemondb.net/sprites/black-white/normal/stunfisk.png</t>
  </si>
  <si>
    <t>Stunfisk</t>
  </si>
  <si>
    <t>http://img.pokemondb.net/sprites/black-white/normal/mienfoo.png</t>
  </si>
  <si>
    <t>Mienfoo</t>
  </si>
  <si>
    <t>http://img.pokemondb.net/sprites/black-white/normal/mienshao.png</t>
  </si>
  <si>
    <t>Mienshao</t>
  </si>
  <si>
    <t>http://img.pokemondb.net/sprites/black-white/normal/druddigon.png</t>
  </si>
  <si>
    <t>Druddigon</t>
  </si>
  <si>
    <t>http://img.pokemondb.net/sprites/black-white/normal/golett.png</t>
  </si>
  <si>
    <t>Golett</t>
  </si>
  <si>
    <t>http://img.pokemondb.net/sprites/black-white/normal/golurk.png</t>
  </si>
  <si>
    <t>Golurk</t>
  </si>
  <si>
    <t>http://img.pokemondb.net/sprites/black-white/normal/pawniard.png</t>
  </si>
  <si>
    <t>Pawniard</t>
  </si>
  <si>
    <t>http://img.pokemondb.net/sprites/black-white/normal/bisharp.png</t>
  </si>
  <si>
    <t>Bisharp</t>
  </si>
  <si>
    <t>http://img.pokemondb.net/sprites/black-white/normal/bouffalant.png</t>
  </si>
  <si>
    <t>Bouffalant</t>
  </si>
  <si>
    <t>http://img.pokemondb.net/sprites/black-white/normal/rufflet.png</t>
  </si>
  <si>
    <t>Rufflet</t>
  </si>
  <si>
    <t>http://img.pokemondb.net/sprites/black-white/normal/braviary.png</t>
  </si>
  <si>
    <t>Braviary</t>
  </si>
  <si>
    <t>http://img.pokemondb.net/sprites/black-white/normal/vullaby.png</t>
  </si>
  <si>
    <t>Vullaby</t>
  </si>
  <si>
    <t>http://img.pokemondb.net/sprites/black-white/normal/mandibuzz.png</t>
  </si>
  <si>
    <t>Mandibuzz</t>
  </si>
  <si>
    <t>http://img.pokemondb.net/sprites/black-white/normal/heatmor.png</t>
  </si>
  <si>
    <t>Heatmor</t>
  </si>
  <si>
    <t>http://img.pokemondb.net/sprites/black-white/normal/durant.png</t>
  </si>
  <si>
    <t>Durant</t>
  </si>
  <si>
    <t>http://img.pokemondb.net/sprites/black-white/normal/deino.png</t>
  </si>
  <si>
    <t>Deino</t>
  </si>
  <si>
    <t>http://img.pokemondb.net/sprites/black-white/normal/zweilous.png</t>
  </si>
  <si>
    <t>Zweilous</t>
  </si>
  <si>
    <t>http://img.pokemondb.net/sprites/black-white/normal/hydreigon.png</t>
  </si>
  <si>
    <t>Hydreigon</t>
  </si>
  <si>
    <t>http://img.pokemondb.net/sprites/black-white/normal/larvesta.png</t>
  </si>
  <si>
    <t>Larvesta</t>
  </si>
  <si>
    <t>http://img.pokemondb.net/sprites/black-white/normal/volcarona.png</t>
  </si>
  <si>
    <t>Volcarona</t>
  </si>
  <si>
    <t>http://img.pokemondb.net/sprites/black-white/normal/cobalion.png</t>
  </si>
  <si>
    <t>Cobalion</t>
  </si>
  <si>
    <t>http://img.pokemondb.net/sprites/black-white/normal/terrakion.png</t>
  </si>
  <si>
    <t>Terrakion</t>
  </si>
  <si>
    <t>http://img.pokemondb.net/sprites/black-white/normal/virizion.png</t>
  </si>
  <si>
    <t>Virizion</t>
  </si>
  <si>
    <t>http://img.pokemondb.net/sprites/black-white/normal/tornadus-incarnate.png</t>
  </si>
  <si>
    <t>Tornadus=Incarnate</t>
  </si>
  <si>
    <t>http://img.pokemondb.net/sprites/black-white/normal/tornadus-therian.png</t>
  </si>
  <si>
    <t>Tornadus=Therian</t>
  </si>
  <si>
    <t>http://img.pokemondb.net/sprites/black-white/normal/thundurus-incarnate.png</t>
  </si>
  <si>
    <t>Thundurus=Incarnate</t>
  </si>
  <si>
    <t>http://img.pokemondb.net/sprites/black-white/normal/thundurus-therian.png</t>
  </si>
  <si>
    <t>Thundurus=Therian</t>
  </si>
  <si>
    <t>http://img.pokemondb.net/sprites/black-white/normal/reshiram.png</t>
  </si>
  <si>
    <t>Reshiram</t>
  </si>
  <si>
    <t>http://img.pokemondb.net/sprites/black-white/normal/zekrom.png</t>
  </si>
  <si>
    <t>Zekrom</t>
  </si>
  <si>
    <t>http://img.pokemondb.net/sprites/black-white/normal/landorus-incarnate.png</t>
  </si>
  <si>
    <t>Landorus=Incarnate</t>
  </si>
  <si>
    <t>http://img.pokemondb.net/sprites/black-white/normal/landorus-therian.png</t>
  </si>
  <si>
    <t>Landorus=Therian</t>
  </si>
  <si>
    <t>http://img.pokemondb.net/sprites/black-white/normal/kyurem-kyurem.png</t>
  </si>
  <si>
    <t>Kyurem=Kyurem</t>
  </si>
  <si>
    <t>http://img.pokemondb.net/sprites/black-white/normal/kyurem-white.png</t>
  </si>
  <si>
    <t>Kyurem=White</t>
  </si>
  <si>
    <t>http://img.pokemondb.net/sprites/black-white/normal/kyurem-black.png</t>
  </si>
  <si>
    <t>Kyurem=Black</t>
  </si>
  <si>
    <t>http://img.pokemondb.net/sprites/black-white/normal/keldeo-ordinary.png</t>
  </si>
  <si>
    <t>Keldeo=Ordinary</t>
  </si>
  <si>
    <t>http://img.pokemondb.net/sprites/black-white/normal/keldeo-resolute.png</t>
  </si>
  <si>
    <t>Keldeo=Resolute</t>
  </si>
  <si>
    <t>http://img.pokemondb.net/sprites/black-white/normal/meloetta-aria.png</t>
  </si>
  <si>
    <t>Meloetta=Aria</t>
  </si>
  <si>
    <t>http://img.pokemondb.net/sprites/black-white/normal/meloetta-pirouette.png</t>
  </si>
  <si>
    <t>Meloetta=Pirouette</t>
  </si>
  <si>
    <t>http://img.pokemondb.net/sprites/black-white/normal/genesect.png</t>
  </si>
  <si>
    <t>Genesect</t>
  </si>
  <si>
    <t>http://img.pokemondb.net/sprites/black-white/normal/chespin.png</t>
  </si>
  <si>
    <t>Chespin</t>
  </si>
  <si>
    <t>http://img.pokemondb.net/sprites/black-white/normal/quilladin.png</t>
  </si>
  <si>
    <t>Quilladin</t>
  </si>
  <si>
    <t>http://img.pokemondb.net/sprites/black-white/normal/chesnaught.png</t>
  </si>
  <si>
    <t>Chesnaught</t>
  </si>
  <si>
    <t>http://img.pokemondb.net/sprites/black-white/normal/fennekin.png</t>
  </si>
  <si>
    <t>Fennekin</t>
  </si>
  <si>
    <t>http://img.pokemondb.net/sprites/black-white/normal/braixen.png</t>
  </si>
  <si>
    <t>Braixen</t>
  </si>
  <si>
    <t>http://img.pokemondb.net/sprites/black-white/normal/delphox.png</t>
  </si>
  <si>
    <t>Delphox</t>
  </si>
  <si>
    <t>http://img.pokemondb.net/sprites/black-white/normal/froakie.png</t>
  </si>
  <si>
    <t>Froakie</t>
  </si>
  <si>
    <t>http://img.pokemondb.net/sprites/black-white/normal/frogadier.png</t>
  </si>
  <si>
    <t>Frogadier</t>
  </si>
  <si>
    <t>http://img.pokemondb.net/sprites/black-white/normal/greninja.png</t>
  </si>
  <si>
    <t>Greninja</t>
  </si>
  <si>
    <t>http://img.pokemondb.net/sprites/black-white/normal/bunnelby.png</t>
  </si>
  <si>
    <t>Bunnelby</t>
  </si>
  <si>
    <t>http://img.pokemondb.net/sprites/black-white/normal/diggersby.png</t>
  </si>
  <si>
    <t>Diggersby</t>
  </si>
  <si>
    <t>http://img.pokemondb.net/sprites/black-white/normal/fletchling.png</t>
  </si>
  <si>
    <t>Fletchling</t>
  </si>
  <si>
    <t>http://img.pokemondb.net/sprites/black-white/normal/fletchinder.png</t>
  </si>
  <si>
    <t>Fletchinder</t>
  </si>
  <si>
    <t>http://img.pokemondb.net/sprites/black-white/normal/talonflame.png</t>
  </si>
  <si>
    <t>Talonflame</t>
  </si>
  <si>
    <t>http://img.pokemondb.net/sprites/black-white/normal/scatterbug.png</t>
  </si>
  <si>
    <t>Scatterbug</t>
  </si>
  <si>
    <t>http://img.pokemondb.net/sprites/black-white/normal/spewpa.png</t>
  </si>
  <si>
    <t>Spewpa</t>
  </si>
  <si>
    <t>AE</t>
  </si>
  <si>
    <t>http://img.pokemondb.net/sprites/black-white/normal/vivillon.png</t>
  </si>
  <si>
    <t>Vivillon</t>
  </si>
  <si>
    <t>http://img.pokemondb.net/sprites/black-white/normal/litleo.png</t>
  </si>
  <si>
    <t>Litleo</t>
  </si>
  <si>
    <t>http://img.pokemondb.net/sprites/black-white/normal/pyroar.png</t>
  </si>
  <si>
    <t>Pyroar</t>
  </si>
  <si>
    <t>http://img.pokemondb.net/sprites/black-white/normal/flabébé.png</t>
  </si>
  <si>
    <t>Flabébé</t>
  </si>
  <si>
    <t>http://img.pokemondb.net/sprites/black-white/normal/floette.png</t>
  </si>
  <si>
    <t>Floette</t>
  </si>
  <si>
    <t>http://img.pokemondb.net/sprites/black-white/normal/florges.png</t>
  </si>
  <si>
    <t>Florges</t>
  </si>
  <si>
    <t>http://img.pokemondb.net/sprites/black-white/normal/skiddo.png</t>
  </si>
  <si>
    <t>Skiddo</t>
  </si>
  <si>
    <t>http://img.pokemondb.net/sprites/black-white/normal/gogoat.png</t>
  </si>
  <si>
    <t>Gogoat</t>
  </si>
  <si>
    <t>http://img.pokemondb.net/sprites/black-white/normal/pancham.png</t>
  </si>
  <si>
    <t>Pancham</t>
  </si>
  <si>
    <t>http://img.pokemondb.net/sprites/black-white/normal/pangoro.png</t>
  </si>
  <si>
    <t>Pangoro</t>
  </si>
  <si>
    <t>http://img.pokemondb.net/sprites/black-white/normal/furfrou.png</t>
  </si>
  <si>
    <t>Furfrou</t>
  </si>
  <si>
    <t>http://img.pokemondb.net/sprites/black-white/normal/espurr.png</t>
  </si>
  <si>
    <t>Espurr</t>
  </si>
  <si>
    <t>http://img.pokemondb.net/sprites/black-white/normal/meowstic-male.png</t>
  </si>
  <si>
    <t>Meowstic=Male</t>
  </si>
  <si>
    <t>http://img.pokemondb.net/sprites/black-white/normal/meowstic-female.png</t>
  </si>
  <si>
    <t>Meowstic=Female</t>
  </si>
  <si>
    <t>http://img.pokemondb.net/sprites/black-white/normal/honedge.png</t>
  </si>
  <si>
    <t>Honedge</t>
  </si>
  <si>
    <t>http://img.pokemondb.net/sprites/black-white/normal/doublade.png</t>
  </si>
  <si>
    <t>Doublade</t>
  </si>
  <si>
    <t>http://img.pokemondb.net/sprites/black-white/normal/aegislash-blade.png</t>
  </si>
  <si>
    <t>Aegislash=Blade</t>
  </si>
  <si>
    <t>http://img.pokemondb.net/sprites/black-white/normal/aegislash-shield.png</t>
  </si>
  <si>
    <t>Aegislash=Shield</t>
  </si>
  <si>
    <t>http://img.pokemondb.net/sprites/black-white/normal/spritzee.png</t>
  </si>
  <si>
    <t>Spritzee</t>
  </si>
  <si>
    <t>http://img.pokemondb.net/sprites/black-white/normal/aromatisse.png</t>
  </si>
  <si>
    <t>Aromatisse</t>
  </si>
  <si>
    <t>http://img.pokemondb.net/sprites/black-white/normal/swirlix.png</t>
  </si>
  <si>
    <t>Swirlix</t>
  </si>
  <si>
    <t>http://img.pokemondb.net/sprites/black-white/normal/slurpuff.png</t>
  </si>
  <si>
    <t>Slurpuff</t>
  </si>
  <si>
    <t>http://img.pokemondb.net/sprites/black-white/normal/inkay.png</t>
  </si>
  <si>
    <t>Inkay</t>
  </si>
  <si>
    <t>Happy Hour</t>
  </si>
  <si>
    <t>http://img.pokemondb.net/sprites/black-white/normal/malamar.png</t>
  </si>
  <si>
    <t>Malamar</t>
  </si>
  <si>
    <t>http://img.pokemondb.net/sprites/black-white/normal/binacle.png</t>
  </si>
  <si>
    <t>Binacle</t>
  </si>
  <si>
    <t>http://img.pokemondb.net/sprites/black-white/normal/barbaracle.png</t>
  </si>
  <si>
    <t>Barbaracle</t>
  </si>
  <si>
    <t>http://img.pokemondb.net/sprites/black-white/normal/skrelp.png</t>
  </si>
  <si>
    <t>Skrelp</t>
  </si>
  <si>
    <t>http://img.pokemondb.net/sprites/black-white/normal/dragalge.png</t>
  </si>
  <si>
    <t>Dragalge</t>
  </si>
  <si>
    <t>http://img.pokemondb.net/sprites/black-white/normal/clauncher.png</t>
  </si>
  <si>
    <t>Clauncher</t>
  </si>
  <si>
    <t>http://img.pokemondb.net/sprites/black-white/normal/clawitzer.png</t>
  </si>
  <si>
    <t>Clawitzer</t>
  </si>
  <si>
    <t>http://img.pokemondb.net/sprites/black-white/normal/helioptile.png</t>
  </si>
  <si>
    <t>Helioptile</t>
  </si>
  <si>
    <t>http://img.pokemondb.net/sprites/black-white/normal/heliolisk.png</t>
  </si>
  <si>
    <t>Heliolisk</t>
  </si>
  <si>
    <t>http://img.pokemondb.net/sprites/black-white/normal/tyrunt.png</t>
  </si>
  <si>
    <t>Tyrunt</t>
  </si>
  <si>
    <t>http://img.pokemondb.net/sprites/black-white/normal/tyrantrum.png</t>
  </si>
  <si>
    <t>Tyrantrum</t>
  </si>
  <si>
    <t>http://img.pokemondb.net/sprites/black-white/normal/amaura.png</t>
  </si>
  <si>
    <t>Amaura</t>
  </si>
  <si>
    <t>http://img.pokemondb.net/sprites/black-white/normal/aurorus.png</t>
  </si>
  <si>
    <t>Aurorus</t>
  </si>
  <si>
    <t>http://img.pokemondb.net/sprites/black-white/normal/sylveon.png</t>
  </si>
  <si>
    <t>Sylveon</t>
  </si>
  <si>
    <t>http://img.pokemondb.net/sprites/black-white/normal/hawlucha.png</t>
  </si>
  <si>
    <t>Hawlucha</t>
  </si>
  <si>
    <t>http://img.pokemondb.net/sprites/black-white/normal/dedenne.png</t>
  </si>
  <si>
    <t>Dedenne</t>
  </si>
  <si>
    <t>http://img.pokemondb.net/sprites/black-white/normal/carbink.png</t>
  </si>
  <si>
    <t>Carbink</t>
  </si>
  <si>
    <t>http://img.pokemondb.net/sprites/black-white/normal/goomy.png</t>
  </si>
  <si>
    <t>Goomy</t>
  </si>
  <si>
    <t>BG</t>
  </si>
  <si>
    <t>http://img.pokemondb.net/sprites/black-white/normal/sliggoo.png</t>
  </si>
  <si>
    <t>Sliggoo</t>
  </si>
  <si>
    <t>http://img.pokemondb.net/sprites/black-white/normal/goodra.png</t>
  </si>
  <si>
    <t>Goodra</t>
  </si>
  <si>
    <t>http://img.pokemondb.net/sprites/black-white/normal/klefki.png</t>
  </si>
  <si>
    <t>Klefki</t>
  </si>
  <si>
    <t>http://img.pokemondb.net/sprites/black-white/normal/phantump.png</t>
  </si>
  <si>
    <t>Phantump</t>
  </si>
  <si>
    <t>http://img.pokemondb.net/sprites/black-white/normal/trevenant.png</t>
  </si>
  <si>
    <t>Trevenant</t>
  </si>
  <si>
    <t>http://img.pokemondb.net/sprites/black-white/normal/pumpkaboo-average.png</t>
  </si>
  <si>
    <t>Pumpkaboo=Average</t>
  </si>
  <si>
    <t>http://img.pokemondb.net/sprites/black-white/normal/pumpkaboo-small.png</t>
  </si>
  <si>
    <t>Pumpkaboo=Small</t>
  </si>
  <si>
    <t>http://img.pokemondb.net/sprites/black-white/normal/pumpkaboo-large.png</t>
  </si>
  <si>
    <t>Pumpkaboo=Large</t>
  </si>
  <si>
    <t>http://img.pokemondb.net/sprites/black-white/normal/pumpkaboo-super.png</t>
  </si>
  <si>
    <t>Pumpkaboo=Super</t>
  </si>
  <si>
    <t>http://img.pokemondb.net/sprites/black-white/normal/gourgeist-average.png</t>
  </si>
  <si>
    <t>Gourgeist=Average</t>
  </si>
  <si>
    <t>http://img.pokemondb.net/sprites/black-white/normal/gourgeist-small.png</t>
  </si>
  <si>
    <t>Gourgeist=Small</t>
  </si>
  <si>
    <t>http://img.pokemondb.net/sprites/black-white/normal/gourgeist-large.png</t>
  </si>
  <si>
    <t>Gourgeist=Large</t>
  </si>
  <si>
    <t>http://img.pokemondb.net/sprites/black-white/normal/gourgeist-super.png</t>
  </si>
  <si>
    <t>Gourgeist=Super</t>
  </si>
  <si>
    <t>http://img.pokemondb.net/sprites/black-white/normal/bergmite.png</t>
  </si>
  <si>
    <t>Bergmite</t>
  </si>
  <si>
    <t>http://img.pokemondb.net/sprites/black-white/normal/avalugg.png</t>
  </si>
  <si>
    <t>Avalugg</t>
  </si>
  <si>
    <t>http://img.pokemondb.net/sprites/black-white/normal/noibat.png</t>
  </si>
  <si>
    <t>Noibat</t>
  </si>
  <si>
    <t>http://img.pokemondb.net/sprites/black-white/normal/noivern.png</t>
  </si>
  <si>
    <t>Noivern</t>
  </si>
  <si>
    <t>http://img.pokemondb.net/sprites/black-white/normal/xerneas.png</t>
  </si>
  <si>
    <t>Xerneas</t>
  </si>
  <si>
    <t>http://img.pokemondb.net/sprites/black-white/normal/yveltal.png</t>
  </si>
  <si>
    <t>Yveltal</t>
  </si>
  <si>
    <t>http://img.pokemondb.net/sprites/black-white/normal/zygarde.png</t>
  </si>
  <si>
    <t>Zygarde</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</si>
  <si>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</si>
  <si>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</si>
  <si>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</si>
  <si>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</si>
  <si>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</si>
  <si>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</si>
  <si>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</si>
  <si>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</si>
  <si>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</si>
  <si>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</si>
  <si>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</si>
  <si>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</si>
  <si>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</si>
  <si>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</si>
  <si>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</si>
  <si>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</si>
  <si>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</si>
  <si>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</si>
  <si>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</si>
  <si>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</si>
  <si>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</si>
  <si>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</si>
  <si>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</si>
  <si>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</si>
  <si>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</si>
  <si>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</si>
  <si>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</si>
  <si>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</si>
  <si>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</si>
  <si>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</si>
  <si>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</si>
  <si>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</si>
  <si>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</si>
  <si>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</si>
  <si>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</si>
  <si>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</si>
  <si>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</si>
  <si>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</si>
  <si>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</si>
  <si>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</si>
  <si>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</si>
  <si>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</si>
  <si>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</si>
  <si>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</si>
  <si>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</si>
  <si>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1</t>
  </si>
  <si>
    <t>3</t>
  </si>
  <si>
    <t>Your Party Here!</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</si>
</sst>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0"/>
      <name val="Calibri"/>
      <family val="2"/>
      <scheme val="minor"/>
    </font>
    <font>
      <b/>
      <sz val="11"/>
      <color theme="1"/>
      <name val="Calibri"/>
      <family val="2"/>
      <scheme val="minor"/>
    </font>
    <font>
      <b/>
      <sz val="12"/>
      <color theme="1"/>
      <name val="Adobe Gothic Std B"/>
      <family val="2"/>
      <charset val="128"/>
    </font>
    <font>
      <b/>
      <sz val="15"/>
      <color theme="3"/>
      <name val="Calibri"/>
      <family val="2"/>
      <scheme val="minor"/>
    </font>
    <font>
      <b/>
      <sz val="13"/>
      <color theme="3"/>
      <name val="Calibri"/>
      <family val="2"/>
      <scheme val="minor"/>
    </font>
    <font>
      <b/>
      <sz val="11"/>
      <color theme="3"/>
      <name val="Calibri"/>
      <family val="2"/>
      <scheme val="minor"/>
    </font>
    <font>
      <b/>
      <sz val="24"/>
      <color theme="3"/>
      <name val="Calibri"/>
      <family val="2"/>
      <scheme val="minor"/>
    </font>
    <font>
      <b/>
      <sz val="12"/>
      <color theme="3"/>
      <name val="Calibri"/>
      <family val="2"/>
      <scheme val="minor"/>
    </font>
    <font>
      <sz val="11"/>
      <color theme="1"/>
      <name val="Calibri"/>
      <family val="2"/>
      <scheme val="minor"/>
    </font>
    <font>
      <b/>
      <sz val="16"/>
      <color theme="1"/>
      <name val="Calibri"/>
      <family val="2"/>
      <scheme val="minor"/>
    </font>
    <font>
      <b/>
      <sz val="14"/>
      <color theme="1"/>
      <name val="Calibri"/>
      <family val="2"/>
      <scheme val="minor"/>
    </font>
    <font>
      <u/>
      <sz val="11"/>
      <color theme="10"/>
      <name val="Calibri"/>
      <family val="2"/>
      <scheme val="minor"/>
    </font>
    <font>
      <sz val="11"/>
      <name val="Calibri"/>
      <family val="2"/>
      <scheme val="minor"/>
    </font>
    <font>
      <sz val="8"/>
      <color rgb="FF000000"/>
      <name val="Tahoma"/>
      <family val="2"/>
    </font>
    <font>
      <b/>
      <sz val="12"/>
      <color rgb="FF000000"/>
      <name val="Calibri"/>
      <family val="2"/>
    </font>
  </fonts>
  <fills count="9">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9"/>
        <bgColor indexed="64"/>
      </patternFill>
    </fill>
    <fill>
      <patternFill patternType="solid">
        <fgColor rgb="FFFFFFCC"/>
      </patternFill>
    </fill>
    <fill>
      <patternFill patternType="solid">
        <fgColor theme="8" tint="0.59996337778862885"/>
        <bgColor indexed="64"/>
      </patternFill>
    </fill>
    <fill>
      <patternFill patternType="solid">
        <fgColor theme="3" tint="0.5999938962981048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ck">
        <color theme="8" tint="0.39994506668294322"/>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bottom style="thin">
        <color indexed="64"/>
      </bottom>
      <diagonal/>
    </border>
    <border>
      <left style="thin">
        <color rgb="FFB2B2B2"/>
      </left>
      <right style="thin">
        <color rgb="FFB2B2B2"/>
      </right>
      <top style="thin">
        <color rgb="FFB2B2B2"/>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6">
    <xf numFmtId="0" fontId="0" fillId="0" borderId="0"/>
    <xf numFmtId="0" fontId="4" fillId="0" borderId="11" applyNumberFormat="0" applyFill="0" applyAlignment="0" applyProtection="0"/>
    <xf numFmtId="0" fontId="5" fillId="0" borderId="12" applyNumberFormat="0" applyFill="0" applyAlignment="0" applyProtection="0"/>
    <xf numFmtId="0" fontId="6" fillId="0" borderId="13" applyNumberFormat="0" applyFill="0" applyAlignment="0" applyProtection="0"/>
    <xf numFmtId="0" fontId="9" fillId="6" borderId="15" applyNumberFormat="0" applyFont="0" applyAlignment="0" applyProtection="0"/>
    <xf numFmtId="0" fontId="12" fillId="0" borderId="0" applyNumberFormat="0" applyFill="0" applyBorder="0" applyAlignment="0" applyProtection="0"/>
  </cellStyleXfs>
  <cellXfs count="125">
    <xf numFmtId="0" fontId="0" fillId="0" borderId="0" xfId="0"/>
    <xf numFmtId="0" fontId="0" fillId="0" borderId="0" xfId="0" applyAlignment="1">
      <alignment horizontal="center" vertical="center"/>
    </xf>
    <xf numFmtId="0" fontId="2" fillId="0" borderId="0" xfId="0" applyFont="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2" fillId="4" borderId="2" xfId="0" applyFont="1" applyFill="1" applyBorder="1"/>
    <xf numFmtId="0" fontId="2" fillId="4" borderId="8" xfId="0" applyFont="1" applyFill="1" applyBorder="1"/>
    <xf numFmtId="0" fontId="2" fillId="4" borderId="3" xfId="0" applyFont="1" applyFill="1" applyBorder="1"/>
    <xf numFmtId="0" fontId="2" fillId="4" borderId="4" xfId="0" applyFont="1" applyFill="1" applyBorder="1"/>
    <xf numFmtId="0" fontId="2" fillId="4" borderId="0" xfId="0" applyFont="1" applyFill="1" applyBorder="1"/>
    <xf numFmtId="0" fontId="2" fillId="4" borderId="5" xfId="0" applyFont="1" applyFill="1" applyBorder="1"/>
    <xf numFmtId="0" fontId="2" fillId="4" borderId="6" xfId="0" applyFont="1" applyFill="1" applyBorder="1"/>
    <xf numFmtId="0" fontId="2" fillId="4" borderId="9" xfId="0" applyFont="1" applyFill="1" applyBorder="1"/>
    <xf numFmtId="0" fontId="2" fillId="4" borderId="2" xfId="0" applyFont="1" applyFill="1" applyBorder="1" applyAlignment="1">
      <alignment horizontal="left" vertical="center"/>
    </xf>
    <xf numFmtId="0" fontId="2" fillId="4" borderId="4" xfId="0" applyFont="1" applyFill="1" applyBorder="1" applyAlignment="1">
      <alignment horizontal="left" vertical="center"/>
    </xf>
    <xf numFmtId="0" fontId="2" fillId="4" borderId="4" xfId="0" applyFont="1" applyFill="1" applyBorder="1" applyAlignment="1">
      <alignment horizontal="left"/>
    </xf>
    <xf numFmtId="0" fontId="0" fillId="0" borderId="10" xfId="0" quotePrefix="1" applyFill="1" applyBorder="1" applyAlignment="1">
      <alignment horizontal="center" vertical="center"/>
    </xf>
    <xf numFmtId="0" fontId="0" fillId="0" borderId="0" xfId="0" applyAlignment="1" applyProtection="1">
      <alignment horizontal="center" vertical="center"/>
    </xf>
    <xf numFmtId="0" fontId="0" fillId="0" borderId="0" xfId="0" applyProtection="1"/>
    <xf numFmtId="0" fontId="0" fillId="0" borderId="1" xfId="0" applyBorder="1" applyAlignment="1" applyProtection="1">
      <alignment horizontal="center" vertical="center"/>
    </xf>
    <xf numFmtId="0" fontId="0" fillId="0" borderId="0" xfId="0" applyAlignment="1" applyProtection="1">
      <alignment vertical="center" wrapText="1"/>
    </xf>
    <xf numFmtId="0" fontId="0" fillId="0" borderId="0" xfId="0" applyAlignment="1" applyProtection="1">
      <alignment horizontal="center" vertical="center"/>
      <protection locked="0"/>
    </xf>
    <xf numFmtId="0" fontId="2" fillId="5" borderId="1" xfId="0" applyFont="1" applyFill="1" applyBorder="1" applyProtection="1">
      <protection locked="0"/>
    </xf>
    <xf numFmtId="49" fontId="2" fillId="4" borderId="5"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0" fontId="0" fillId="0" borderId="0" xfId="0" applyAlignment="1">
      <alignment horizontal="left" vertical="top"/>
    </xf>
    <xf numFmtId="0" fontId="3" fillId="2" borderId="0" xfId="0" applyFont="1" applyFill="1" applyAlignment="1">
      <alignment horizontal="center" vertical="center"/>
    </xf>
    <xf numFmtId="0" fontId="5" fillId="0" borderId="12" xfId="2"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horizontal="center" vertical="center" wrapText="1"/>
    </xf>
    <xf numFmtId="0" fontId="0" fillId="0" borderId="0" xfId="0" applyAlignment="1" applyProtection="1">
      <alignment horizontal="center" vertical="center"/>
    </xf>
    <xf numFmtId="0" fontId="0" fillId="0" borderId="0" xfId="0" applyAlignment="1">
      <alignment horizontal="center" wrapText="1"/>
    </xf>
    <xf numFmtId="0" fontId="0" fillId="0" borderId="0" xfId="0" applyAlignment="1">
      <alignment horizontal="left" vertical="center"/>
    </xf>
    <xf numFmtId="0" fontId="6" fillId="0" borderId="13" xfId="3" applyAlignment="1"/>
    <xf numFmtId="0" fontId="0" fillId="0" borderId="0" xfId="0" applyAlignment="1">
      <alignment wrapText="1"/>
    </xf>
    <xf numFmtId="0" fontId="0" fillId="0" borderId="0" xfId="0" quotePrefix="1"/>
    <xf numFmtId="0" fontId="0" fillId="7" borderId="0" xfId="0" applyFill="1" applyProtection="1"/>
    <xf numFmtId="0" fontId="3" fillId="7" borderId="0" xfId="0" applyFont="1" applyFill="1" applyAlignment="1" applyProtection="1">
      <alignment horizontal="center"/>
    </xf>
    <xf numFmtId="1" fontId="2" fillId="0" borderId="0" xfId="0" applyNumberFormat="1" applyFont="1" applyAlignment="1">
      <alignment horizontal="center" vertical="center"/>
    </xf>
    <xf numFmtId="0" fontId="2" fillId="7" borderId="0" xfId="0" applyFont="1" applyFill="1" applyAlignment="1" applyProtection="1">
      <alignment horizontal="center" vertical="center"/>
    </xf>
    <xf numFmtId="0" fontId="10" fillId="7" borderId="0" xfId="0" applyFont="1" applyFill="1" applyAlignment="1" applyProtection="1">
      <alignment horizontal="center" vertical="center"/>
    </xf>
    <xf numFmtId="0" fontId="3" fillId="7" borderId="0" xfId="0" applyFont="1" applyFill="1" applyAlignment="1" applyProtection="1">
      <alignment horizontal="center" vertical="center"/>
    </xf>
    <xf numFmtId="0" fontId="2" fillId="0" borderId="0" xfId="0" applyFont="1" applyAlignment="1">
      <alignment horizontal="center"/>
    </xf>
    <xf numFmtId="0" fontId="3" fillId="7" borderId="0" xfId="0" applyFont="1" applyFill="1" applyAlignment="1">
      <alignment horizontal="center" vertical="center"/>
    </xf>
    <xf numFmtId="0" fontId="2" fillId="0" borderId="0" xfId="0" applyFont="1" applyAlignment="1" applyProtection="1">
      <alignment horizontal="center"/>
    </xf>
    <xf numFmtId="0" fontId="0" fillId="0" borderId="16" xfId="0" applyBorder="1" applyAlignment="1" applyProtection="1">
      <alignment horizontal="center" vertical="center"/>
    </xf>
    <xf numFmtId="0" fontId="3" fillId="2" borderId="9" xfId="0" applyFont="1" applyFill="1" applyBorder="1" applyAlignment="1" applyProtection="1">
      <alignment horizontal="center" vertical="top"/>
    </xf>
    <xf numFmtId="0" fontId="0" fillId="0" borderId="0" xfId="0" applyBorder="1" applyAlignment="1">
      <alignment horizontal="center" vertical="center"/>
    </xf>
    <xf numFmtId="0" fontId="3" fillId="2" borderId="0" xfId="0" applyFont="1" applyFill="1" applyBorder="1" applyAlignment="1" applyProtection="1">
      <alignment vertical="top"/>
    </xf>
    <xf numFmtId="0" fontId="2" fillId="0" borderId="0" xfId="0" applyFont="1" applyAlignment="1" applyProtection="1">
      <alignment horizontal="center" vertical="center"/>
    </xf>
    <xf numFmtId="0" fontId="2" fillId="0" borderId="1" xfId="0" applyFont="1" applyBorder="1" applyAlignment="1" applyProtection="1">
      <alignment horizontal="center" vertical="center"/>
    </xf>
    <xf numFmtId="0" fontId="0" fillId="0" borderId="0" xfId="0" applyAlignment="1" applyProtection="1">
      <alignment horizontal="left"/>
    </xf>
    <xf numFmtId="0" fontId="3" fillId="2" borderId="4" xfId="0" applyFont="1" applyFill="1" applyBorder="1" applyAlignment="1" applyProtection="1">
      <alignment horizontal="center" vertical="top"/>
    </xf>
    <xf numFmtId="1" fontId="2" fillId="0" borderId="0" xfId="0" applyNumberFormat="1" applyFont="1" applyAlignment="1" applyProtection="1">
      <alignment horizontal="center" vertical="center"/>
    </xf>
    <xf numFmtId="0" fontId="0" fillId="0" borderId="0" xfId="0" applyAlignment="1">
      <alignment horizontal="center" vertical="center" wrapText="1"/>
    </xf>
    <xf numFmtId="0" fontId="0" fillId="0" borderId="0" xfId="0" applyAlignment="1">
      <alignment horizontal="center"/>
    </xf>
    <xf numFmtId="0" fontId="12" fillId="0" borderId="0" xfId="5" applyAlignment="1">
      <alignment horizontal="center"/>
    </xf>
    <xf numFmtId="0" fontId="12" fillId="0" borderId="0" xfId="5" applyAlignment="1">
      <alignment horizontal="center" vertical="center"/>
    </xf>
    <xf numFmtId="0" fontId="0" fillId="0" borderId="0" xfId="0" applyBorder="1"/>
    <xf numFmtId="0" fontId="2" fillId="0" borderId="0" xfId="0" applyFont="1"/>
    <xf numFmtId="0" fontId="2" fillId="0" borderId="0" xfId="0" applyFont="1" applyAlignment="1">
      <alignment horizontal="right"/>
    </xf>
    <xf numFmtId="0" fontId="0" fillId="0" borderId="0" xfId="0" applyBorder="1" applyAlignment="1">
      <alignment horizontal="left" vertical="center"/>
    </xf>
    <xf numFmtId="0" fontId="10" fillId="7" borderId="0" xfId="0" applyFont="1" applyFill="1" applyAlignment="1" applyProtection="1">
      <alignment horizontal="center" vertical="center"/>
      <protection locked="0"/>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left" vertical="center"/>
    </xf>
    <xf numFmtId="0" fontId="2" fillId="0" borderId="0" xfId="0" applyFont="1" applyBorder="1" applyAlignment="1">
      <alignment horizontal="left" vertical="center"/>
    </xf>
    <xf numFmtId="0" fontId="2" fillId="0" borderId="9" xfId="0" applyFont="1" applyBorder="1" applyAlignment="1">
      <alignment horizontal="left" vertical="center"/>
    </xf>
    <xf numFmtId="0" fontId="2" fillId="0" borderId="8" xfId="0" applyFont="1" applyBorder="1" applyAlignment="1">
      <alignment horizontal="center" vertical="center"/>
    </xf>
    <xf numFmtId="0" fontId="2" fillId="0" borderId="0" xfId="0" applyFont="1" applyBorder="1" applyAlignment="1">
      <alignment horizontal="center" vertical="center"/>
    </xf>
    <xf numFmtId="0" fontId="2" fillId="0" borderId="9" xfId="0" applyFont="1" applyBorder="1" applyAlignment="1">
      <alignment horizontal="center" vertical="center"/>
    </xf>
    <xf numFmtId="0" fontId="2" fillId="0" borderId="8" xfId="0" applyFont="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5" fillId="0" borderId="12" xfId="2" applyAlignment="1">
      <alignment horizontal="center" vertical="center"/>
    </xf>
    <xf numFmtId="0" fontId="0" fillId="0" borderId="0" xfId="0" quotePrefix="1" applyAlignment="1">
      <alignment horizontal="center" vertical="center" wrapText="1"/>
    </xf>
    <xf numFmtId="0" fontId="0" fillId="0" borderId="0" xfId="0" applyAlignment="1">
      <alignment horizontal="center" vertical="center" wrapText="1"/>
    </xf>
    <xf numFmtId="0" fontId="6" fillId="0" borderId="13" xfId="3" applyAlignment="1">
      <alignment horizontal="left"/>
    </xf>
    <xf numFmtId="0" fontId="6" fillId="0" borderId="13" xfId="3" applyAlignment="1">
      <alignment horizontal="left" vertical="center"/>
    </xf>
    <xf numFmtId="0" fontId="0" fillId="6" borderId="18" xfId="4" applyFont="1" applyBorder="1" applyAlignment="1">
      <alignment horizontal="center" vertical="center" wrapText="1"/>
    </xf>
    <xf numFmtId="0" fontId="13" fillId="6" borderId="17" xfId="4" applyFont="1" applyBorder="1" applyAlignment="1">
      <alignment horizontal="center" vertical="center" wrapText="1"/>
    </xf>
    <xf numFmtId="0" fontId="12" fillId="0" borderId="0" xfId="5" applyAlignment="1">
      <alignment horizontal="center"/>
    </xf>
    <xf numFmtId="0" fontId="0" fillId="0" borderId="0" xfId="0" applyAlignment="1">
      <alignment horizontal="center"/>
    </xf>
    <xf numFmtId="0" fontId="13" fillId="0" borderId="0" xfId="5" applyFont="1" applyAlignment="1">
      <alignment horizontal="center" vertical="center"/>
    </xf>
    <xf numFmtId="0" fontId="12" fillId="0" borderId="0" xfId="5" applyAlignment="1">
      <alignment horizontal="center" vertical="center"/>
    </xf>
    <xf numFmtId="0" fontId="12" fillId="0" borderId="0" xfId="5" applyAlignment="1">
      <alignment horizontal="center" vertical="center" wrapText="1"/>
    </xf>
    <xf numFmtId="0" fontId="7" fillId="0" borderId="14" xfId="1" applyFont="1" applyFill="1" applyBorder="1" applyAlignment="1">
      <alignment horizontal="center"/>
    </xf>
    <xf numFmtId="0" fontId="8" fillId="0" borderId="0" xfId="1" applyFont="1" applyFill="1" applyBorder="1" applyAlignment="1">
      <alignment horizontal="center" vertical="top"/>
    </xf>
    <xf numFmtId="0" fontId="5" fillId="0" borderId="12" xfId="2" applyBorder="1" applyAlignment="1">
      <alignment horizontal="center" vertical="center"/>
    </xf>
    <xf numFmtId="0" fontId="2" fillId="0" borderId="8" xfId="0" applyFont="1" applyBorder="1" applyAlignment="1">
      <alignment horizontal="center" vertical="center"/>
    </xf>
    <xf numFmtId="0" fontId="2" fillId="0" borderId="0" xfId="0" applyFont="1" applyBorder="1" applyAlignment="1">
      <alignment horizontal="center" vertical="center"/>
    </xf>
    <xf numFmtId="0" fontId="2" fillId="0" borderId="9" xfId="0" applyFont="1" applyBorder="1" applyAlignment="1">
      <alignment horizontal="center" vertical="center"/>
    </xf>
    <xf numFmtId="0" fontId="2" fillId="0" borderId="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10" fillId="7" borderId="0" xfId="0" applyFont="1" applyFill="1" applyAlignment="1" applyProtection="1">
      <alignment horizontal="center" vertical="center"/>
      <protection locked="0"/>
    </xf>
    <xf numFmtId="0" fontId="2" fillId="7" borderId="0" xfId="0" applyFont="1" applyFill="1" applyAlignment="1" applyProtection="1">
      <alignment horizontal="center" vertical="center"/>
      <protection locked="0"/>
    </xf>
    <xf numFmtId="0" fontId="2" fillId="4" borderId="2" xfId="0" applyFont="1" applyFill="1" applyBorder="1" applyAlignment="1">
      <alignment horizontal="center" vertical="center" wrapText="1"/>
    </xf>
    <xf numFmtId="0" fontId="2" fillId="4" borderId="8"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11" fillId="8" borderId="0" xfId="0" applyFont="1" applyFill="1" applyAlignment="1" applyProtection="1">
      <alignment horizontal="center" vertical="center"/>
    </xf>
    <xf numFmtId="0" fontId="2" fillId="3" borderId="2"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2" fillId="3" borderId="3" xfId="0" applyFont="1" applyFill="1" applyBorder="1" applyAlignment="1" applyProtection="1">
      <alignment horizontal="center" vertical="center" wrapText="1"/>
    </xf>
    <xf numFmtId="0" fontId="2" fillId="3" borderId="4"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3" fillId="2" borderId="0" xfId="0" applyFont="1" applyFill="1" applyBorder="1" applyAlignment="1" applyProtection="1">
      <alignment horizontal="left" vertical="top"/>
    </xf>
    <xf numFmtId="0" fontId="3" fillId="2" borderId="0" xfId="0" applyFont="1" applyFill="1" applyBorder="1" applyAlignment="1" applyProtection="1">
      <alignment horizontal="right" vertical="top"/>
    </xf>
    <xf numFmtId="0" fontId="11" fillId="8" borderId="0" xfId="0" applyFont="1" applyFill="1" applyBorder="1" applyAlignment="1" applyProtection="1">
      <alignment horizontal="center" vertical="center"/>
    </xf>
  </cellXfs>
  <cellStyles count="6">
    <cellStyle name="Heading 1" xfId="1" builtinId="16"/>
    <cellStyle name="Heading 2" xfId="2" builtinId="17"/>
    <cellStyle name="Heading 3" xfId="3" builtinId="18"/>
    <cellStyle name="Hyperlink" xfId="5" builtinId="8"/>
    <cellStyle name="Normal" xfId="0" builtinId="0"/>
    <cellStyle name="Note" xfId="4" builtinId="10"/>
  </cellStyles>
  <dxfs count="1481">
    <dxf>
      <fill>
        <patternFill>
          <fgColor indexed="64"/>
          <bgColor rgb="FF5D538D"/>
        </patternFill>
      </fill>
    </dxf>
    <dxf>
      <fill>
        <patternFill>
          <fgColor indexed="64"/>
          <bgColor rgb="FFF95587"/>
        </patternFill>
      </fill>
    </dxf>
    <dxf>
      <fill>
        <patternFill>
          <fgColor indexed="64"/>
          <bgColor rgb="FFA8A77A"/>
        </patternFill>
      </fill>
    </dxf>
    <dxf>
      <fill>
        <patternFill>
          <fgColor indexed="64"/>
          <bgColor rgb="FFEE8130"/>
        </patternFill>
      </fill>
    </dxf>
    <dxf>
      <fill>
        <patternFill>
          <fgColor indexed="64"/>
          <bgColor rgb="FFA6B91A"/>
        </patternFill>
      </fill>
    </dxf>
    <dxf>
      <fill>
        <patternFill>
          <fgColor indexed="64"/>
          <bgColor rgb="FF705746"/>
        </patternFill>
      </fill>
    </dxf>
    <dxf>
      <fill>
        <patternFill>
          <fgColor indexed="64"/>
          <bgColor rgb="FF6F35FC"/>
        </patternFill>
      </fill>
    </dxf>
    <dxf>
      <fill>
        <patternFill>
          <fgColor indexed="64"/>
          <bgColor rgb="FFF7D02C"/>
        </patternFill>
      </fill>
    </dxf>
    <dxf>
      <fill>
        <patternFill>
          <fgColor indexed="64"/>
          <bgColor rgb="FFE383E3"/>
        </patternFill>
      </fill>
    </dxf>
    <dxf>
      <fill>
        <patternFill>
          <fgColor indexed="64"/>
          <bgColor rgb="FFC22E28"/>
        </patternFill>
      </fill>
    </dxf>
    <dxf>
      <fill>
        <patternFill>
          <fgColor indexed="64"/>
          <bgColor rgb="FFA98FF3"/>
        </patternFill>
      </fill>
    </dxf>
    <dxf>
      <fill>
        <patternFill>
          <fgColor indexed="64"/>
          <bgColor rgb="FF7AC74C"/>
        </patternFill>
      </fill>
    </dxf>
    <dxf>
      <fill>
        <patternFill>
          <fgColor indexed="64"/>
          <bgColor rgb="FFE2C74C"/>
        </patternFill>
      </fill>
    </dxf>
    <dxf>
      <fill>
        <patternFill>
          <fgColor indexed="64"/>
          <bgColor rgb="FF96D9D6"/>
        </patternFill>
      </fill>
    </dxf>
    <dxf>
      <fill>
        <patternFill>
          <fgColor indexed="64"/>
          <bgColor rgb="FFA33EA1"/>
        </patternFill>
      </fill>
    </dxf>
    <dxf>
      <fill>
        <patternFill>
          <fgColor indexed="64"/>
          <bgColor rgb="FFB6A136"/>
        </patternFill>
      </fill>
    </dxf>
    <dxf>
      <fill>
        <patternFill>
          <fgColor indexed="64"/>
          <bgColor rgb="FFB7B7CE"/>
        </patternFill>
      </fill>
    </dxf>
    <dxf>
      <fill>
        <patternFill>
          <fgColor indexed="64"/>
          <bgColor rgb="FF6390F0"/>
        </patternFill>
      </fill>
    </dxf>
    <dxf>
      <fill>
        <patternFill>
          <fgColor indexed="64"/>
          <bgColor rgb="FFE6B8B7"/>
        </patternFill>
      </fill>
    </dxf>
    <dxf>
      <fill>
        <patternFill>
          <fgColor indexed="64"/>
          <bgColor rgb="FFE26B0A"/>
        </patternFill>
      </fill>
    </dxf>
    <dxf>
      <fill>
        <patternFill>
          <fgColor indexed="64"/>
          <bgColor rgb="FF8064A2"/>
        </patternFill>
      </fill>
    </dxf>
    <dxf>
      <fill>
        <patternFill>
          <fgColor indexed="64"/>
          <bgColor rgb="FF5D538D"/>
        </patternFill>
      </fill>
    </dxf>
    <dxf>
      <fill>
        <patternFill>
          <fgColor indexed="64"/>
          <bgColor rgb="FFF95587"/>
        </patternFill>
      </fill>
    </dxf>
    <dxf>
      <fill>
        <patternFill>
          <fgColor indexed="64"/>
          <bgColor rgb="FFA8A77A"/>
        </patternFill>
      </fill>
    </dxf>
    <dxf>
      <fill>
        <patternFill>
          <fgColor indexed="64"/>
          <bgColor rgb="FFEE8130"/>
        </patternFill>
      </fill>
    </dxf>
    <dxf>
      <fill>
        <patternFill>
          <fgColor indexed="64"/>
          <bgColor rgb="FFA6B91A"/>
        </patternFill>
      </fill>
    </dxf>
    <dxf>
      <fill>
        <patternFill>
          <fgColor indexed="64"/>
          <bgColor rgb="FF705746"/>
        </patternFill>
      </fill>
    </dxf>
    <dxf>
      <fill>
        <patternFill>
          <fgColor indexed="64"/>
          <bgColor rgb="FF6F35FC"/>
        </patternFill>
      </fill>
    </dxf>
    <dxf>
      <fill>
        <patternFill>
          <fgColor indexed="64"/>
          <bgColor rgb="FFF7D02C"/>
        </patternFill>
      </fill>
    </dxf>
    <dxf>
      <fill>
        <patternFill>
          <fgColor indexed="64"/>
          <bgColor rgb="FFE383E3"/>
        </patternFill>
      </fill>
    </dxf>
    <dxf>
      <fill>
        <patternFill>
          <fgColor indexed="64"/>
          <bgColor rgb="FFC22E28"/>
        </patternFill>
      </fill>
    </dxf>
    <dxf>
      <fill>
        <patternFill>
          <fgColor indexed="64"/>
          <bgColor rgb="FFA98FF3"/>
        </patternFill>
      </fill>
    </dxf>
    <dxf>
      <fill>
        <patternFill>
          <fgColor indexed="64"/>
          <bgColor rgb="FF7AC74C"/>
        </patternFill>
      </fill>
    </dxf>
    <dxf>
      <fill>
        <patternFill>
          <fgColor indexed="64"/>
          <bgColor rgb="FFE2C74C"/>
        </patternFill>
      </fill>
    </dxf>
    <dxf>
      <fill>
        <patternFill>
          <fgColor indexed="64"/>
          <bgColor rgb="FF96D9D6"/>
        </patternFill>
      </fill>
    </dxf>
    <dxf>
      <fill>
        <patternFill>
          <fgColor indexed="64"/>
          <bgColor rgb="FFA33EA1"/>
        </patternFill>
      </fill>
    </dxf>
    <dxf>
      <fill>
        <patternFill>
          <fgColor indexed="64"/>
          <bgColor rgb="FFB6A136"/>
        </patternFill>
      </fill>
    </dxf>
    <dxf>
      <fill>
        <patternFill>
          <fgColor indexed="64"/>
          <bgColor rgb="FFB7B7CE"/>
        </patternFill>
      </fill>
    </dxf>
    <dxf>
      <fill>
        <patternFill>
          <fgColor indexed="64"/>
          <bgColor rgb="FF6390F0"/>
        </patternFill>
      </fill>
    </dxf>
    <dxf>
      <fill>
        <patternFill>
          <fgColor indexed="64"/>
          <bgColor rgb="FFE6B8B7"/>
        </patternFill>
      </fill>
    </dxf>
    <dxf>
      <fill>
        <patternFill>
          <fgColor indexed="64"/>
          <bgColor rgb="FFE26B0A"/>
        </patternFill>
      </fill>
    </dxf>
    <dxf>
      <fill>
        <patternFill>
          <fgColor indexed="64"/>
          <bgColor rgb="FF8064A2"/>
        </patternFill>
      </fill>
    </dxf>
    <dxf>
      <fill>
        <patternFill>
          <fgColor indexed="64"/>
          <bgColor rgb="FF5D538D"/>
        </patternFill>
      </fill>
    </dxf>
    <dxf>
      <fill>
        <patternFill>
          <fgColor indexed="64"/>
          <bgColor rgb="FFF95587"/>
        </patternFill>
      </fill>
    </dxf>
    <dxf>
      <fill>
        <patternFill>
          <fgColor indexed="64"/>
          <bgColor rgb="FFA8A77A"/>
        </patternFill>
      </fill>
    </dxf>
    <dxf>
      <fill>
        <patternFill>
          <fgColor indexed="64"/>
          <bgColor rgb="FFEE8130"/>
        </patternFill>
      </fill>
    </dxf>
    <dxf>
      <fill>
        <patternFill>
          <fgColor indexed="64"/>
          <bgColor rgb="FFA6B91A"/>
        </patternFill>
      </fill>
    </dxf>
    <dxf>
      <fill>
        <patternFill>
          <fgColor indexed="64"/>
          <bgColor rgb="FF705746"/>
        </patternFill>
      </fill>
    </dxf>
    <dxf>
      <fill>
        <patternFill>
          <fgColor indexed="64"/>
          <bgColor rgb="FF6F35FC"/>
        </patternFill>
      </fill>
    </dxf>
    <dxf>
      <fill>
        <patternFill>
          <fgColor indexed="64"/>
          <bgColor rgb="FFF7D02C"/>
        </patternFill>
      </fill>
    </dxf>
    <dxf>
      <fill>
        <patternFill>
          <fgColor indexed="64"/>
          <bgColor rgb="FFE383E3"/>
        </patternFill>
      </fill>
    </dxf>
    <dxf>
      <fill>
        <patternFill>
          <fgColor indexed="64"/>
          <bgColor rgb="FFC22E28"/>
        </patternFill>
      </fill>
    </dxf>
    <dxf>
      <fill>
        <patternFill>
          <fgColor indexed="64"/>
          <bgColor rgb="FFA98FF3"/>
        </patternFill>
      </fill>
    </dxf>
    <dxf>
      <fill>
        <patternFill>
          <fgColor indexed="64"/>
          <bgColor rgb="FF7AC74C"/>
        </patternFill>
      </fill>
    </dxf>
    <dxf>
      <fill>
        <patternFill>
          <fgColor indexed="64"/>
          <bgColor rgb="FFE2C74C"/>
        </patternFill>
      </fill>
    </dxf>
    <dxf>
      <fill>
        <patternFill>
          <fgColor indexed="64"/>
          <bgColor rgb="FF96D9D6"/>
        </patternFill>
      </fill>
    </dxf>
    <dxf>
      <fill>
        <patternFill>
          <fgColor indexed="64"/>
          <bgColor rgb="FFA33EA1"/>
        </patternFill>
      </fill>
    </dxf>
    <dxf>
      <fill>
        <patternFill>
          <fgColor indexed="64"/>
          <bgColor rgb="FFB6A136"/>
        </patternFill>
      </fill>
    </dxf>
    <dxf>
      <fill>
        <patternFill>
          <fgColor indexed="64"/>
          <bgColor rgb="FFB7B7CE"/>
        </patternFill>
      </fill>
    </dxf>
    <dxf>
      <fill>
        <patternFill>
          <fgColor indexed="64"/>
          <bgColor rgb="FF6390F0"/>
        </patternFill>
      </fill>
    </dxf>
    <dxf>
      <fill>
        <patternFill>
          <fgColor indexed="64"/>
          <bgColor rgb="FFE6B8B7"/>
        </patternFill>
      </fill>
    </dxf>
    <dxf>
      <fill>
        <patternFill>
          <fgColor indexed="64"/>
          <bgColor rgb="FFE26B0A"/>
        </patternFill>
      </fill>
    </dxf>
    <dxf>
      <fill>
        <patternFill>
          <fgColor indexed="64"/>
          <bgColor rgb="FF8064A2"/>
        </patternFill>
      </fill>
    </dxf>
    <dxf>
      <fill>
        <patternFill>
          <fgColor indexed="64"/>
          <bgColor rgb="FF5D538D"/>
        </patternFill>
      </fill>
    </dxf>
    <dxf>
      <fill>
        <patternFill>
          <fgColor indexed="64"/>
          <bgColor rgb="FFF95587"/>
        </patternFill>
      </fill>
    </dxf>
    <dxf>
      <fill>
        <patternFill>
          <fgColor indexed="64"/>
          <bgColor rgb="FFA8A77A"/>
        </patternFill>
      </fill>
    </dxf>
    <dxf>
      <fill>
        <patternFill>
          <fgColor indexed="64"/>
          <bgColor rgb="FFEE8130"/>
        </patternFill>
      </fill>
    </dxf>
    <dxf>
      <fill>
        <patternFill>
          <fgColor indexed="64"/>
          <bgColor rgb="FFA6B91A"/>
        </patternFill>
      </fill>
    </dxf>
    <dxf>
      <fill>
        <patternFill>
          <fgColor indexed="64"/>
          <bgColor rgb="FF705746"/>
        </patternFill>
      </fill>
    </dxf>
    <dxf>
      <fill>
        <patternFill>
          <fgColor indexed="64"/>
          <bgColor rgb="FF6F35FC"/>
        </patternFill>
      </fill>
    </dxf>
    <dxf>
      <fill>
        <patternFill>
          <fgColor indexed="64"/>
          <bgColor rgb="FFF7D02C"/>
        </patternFill>
      </fill>
    </dxf>
    <dxf>
      <fill>
        <patternFill>
          <fgColor indexed="64"/>
          <bgColor rgb="FFE383E3"/>
        </patternFill>
      </fill>
    </dxf>
    <dxf>
      <fill>
        <patternFill>
          <fgColor indexed="64"/>
          <bgColor rgb="FFC22E28"/>
        </patternFill>
      </fill>
    </dxf>
    <dxf>
      <fill>
        <patternFill>
          <fgColor indexed="64"/>
          <bgColor rgb="FFA98FF3"/>
        </patternFill>
      </fill>
    </dxf>
    <dxf>
      <fill>
        <patternFill>
          <fgColor indexed="64"/>
          <bgColor rgb="FF7AC74C"/>
        </patternFill>
      </fill>
    </dxf>
    <dxf>
      <fill>
        <patternFill>
          <fgColor indexed="64"/>
          <bgColor rgb="FFE2C74C"/>
        </patternFill>
      </fill>
    </dxf>
    <dxf>
      <fill>
        <patternFill>
          <fgColor indexed="64"/>
          <bgColor rgb="FF96D9D6"/>
        </patternFill>
      </fill>
    </dxf>
    <dxf>
      <fill>
        <patternFill>
          <fgColor indexed="64"/>
          <bgColor rgb="FFA33EA1"/>
        </patternFill>
      </fill>
    </dxf>
    <dxf>
      <fill>
        <patternFill>
          <fgColor indexed="64"/>
          <bgColor rgb="FFB6A136"/>
        </patternFill>
      </fill>
    </dxf>
    <dxf>
      <fill>
        <patternFill>
          <fgColor indexed="64"/>
          <bgColor rgb="FFB7B7CE"/>
        </patternFill>
      </fill>
    </dxf>
    <dxf>
      <fill>
        <patternFill>
          <fgColor indexed="64"/>
          <bgColor rgb="FF6390F0"/>
        </patternFill>
      </fill>
    </dxf>
    <dxf>
      <fill>
        <patternFill>
          <fgColor indexed="64"/>
          <bgColor rgb="FFE6B8B7"/>
        </patternFill>
      </fill>
    </dxf>
    <dxf>
      <fill>
        <patternFill>
          <fgColor indexed="64"/>
          <bgColor rgb="FFE26B0A"/>
        </patternFill>
      </fill>
    </dxf>
    <dxf>
      <fill>
        <patternFill>
          <fgColor indexed="64"/>
          <bgColor rgb="FF8064A2"/>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theme="5" tint="0.59996337778862885"/>
        </patternFill>
      </fill>
    </dxf>
    <dxf>
      <font>
        <b/>
        <i val="0"/>
      </font>
      <fill>
        <patternFill>
          <bgColor theme="7"/>
        </patternFill>
      </fill>
    </dxf>
    <dxf>
      <font>
        <b/>
        <i val="0"/>
      </font>
      <fill>
        <patternFill>
          <bgColor theme="9" tint="-0.24994659260841701"/>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color theme="0"/>
      </font>
      <fill>
        <patternFill>
          <bgColor theme="3"/>
        </patternFill>
      </fill>
      <border>
        <left style="thin">
          <color auto="1"/>
        </left>
        <right style="thin">
          <color auto="1"/>
        </right>
        <top style="thin">
          <color auto="1"/>
        </top>
        <bottom style="thin">
          <color auto="1"/>
        </bottom>
        <vertical/>
        <horizontal/>
      </border>
    </dxf>
    <dxf>
      <font>
        <b/>
        <i val="0"/>
        <strike val="0"/>
      </font>
      <fill>
        <patternFill>
          <bgColor rgb="FFFF0000"/>
        </patternFill>
      </fill>
      <border>
        <left style="thin">
          <color auto="1"/>
        </left>
        <right style="thin">
          <color auto="1"/>
        </right>
        <top style="thin">
          <color auto="1"/>
        </top>
        <bottom style="thin">
          <color auto="1"/>
        </bottom>
        <vertical/>
        <horizontal/>
      </border>
    </dxf>
    <dxf>
      <font>
        <b/>
        <i val="0"/>
        <strike val="0"/>
      </font>
      <fill>
        <patternFill>
          <bgColor rgb="FF00CC00"/>
        </patternFill>
      </fill>
      <border>
        <left style="thin">
          <color auto="1"/>
        </left>
        <right style="thin">
          <color auto="1"/>
        </right>
        <top style="thin">
          <color auto="1"/>
        </top>
        <bottom style="thin">
          <color auto="1"/>
        </bottom>
        <vertical/>
        <horizontal/>
      </border>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dxf>
  </dxfs>
  <tableStyles count="0" defaultTableStyle="TableStyleMedium2" defaultPivotStyle="PivotStyleLight16"/>
  <colors>
    <mruColors>
      <color rgb="FFE383E3"/>
      <color rgb="FF17A517"/>
      <color rgb="FF7AC74C"/>
      <color rgb="FFFF0000"/>
      <color rgb="FF00CC00"/>
      <color rgb="FF6390F0"/>
      <color rgb="FFB7B7CE"/>
      <color rgb="FFB6A136"/>
      <color rgb="FFA33EA1"/>
      <color rgb="FF96D9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http://img.pokemondb.net/sprites/black-white/normal/squirtle.png" TargetMode="External"/><Relationship Id="rId2" Type="http://schemas.openxmlformats.org/officeDocument/2006/relationships/image" Target="http://img.pokemondb.net/sprites/black-white/normal/bulbasaur.png" TargetMode="External"/><Relationship Id="rId1" Type="http://schemas.openxmlformats.org/officeDocument/2006/relationships/image" Target="file:///C:\Users\bajuwa\Documents\Code\PokePP\Dev\sprites\Charmander.png"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238125</xdr:colOff>
      <xdr:row>52</xdr:row>
      <xdr:rowOff>152400</xdr:rowOff>
    </xdr:from>
    <xdr:to>
      <xdr:col>9</xdr:col>
      <xdr:colOff>439956</xdr:colOff>
      <xdr:row>57</xdr:row>
      <xdr:rowOff>181372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 y="11401425"/>
          <a:ext cx="4469031" cy="98147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438150</xdr:colOff>
      <xdr:row>68</xdr:row>
      <xdr:rowOff>85725</xdr:rowOff>
    </xdr:from>
    <xdr:to>
      <xdr:col>10</xdr:col>
      <xdr:colOff>183090</xdr:colOff>
      <xdr:row>73</xdr:row>
      <xdr:rowOff>57524</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 y="14382750"/>
          <a:ext cx="5231340" cy="92429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333375</xdr:colOff>
      <xdr:row>87</xdr:row>
      <xdr:rowOff>104775</xdr:rowOff>
    </xdr:from>
    <xdr:to>
      <xdr:col>10</xdr:col>
      <xdr:colOff>326065</xdr:colOff>
      <xdr:row>92</xdr:row>
      <xdr:rowOff>114689</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2975" y="18021300"/>
          <a:ext cx="5479090" cy="96241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xdr:col>
      <xdr:colOff>238125</xdr:colOff>
      <xdr:row>103</xdr:row>
      <xdr:rowOff>47625</xdr:rowOff>
    </xdr:from>
    <xdr:to>
      <xdr:col>3</xdr:col>
      <xdr:colOff>409891</xdr:colOff>
      <xdr:row>127</xdr:row>
      <xdr:rowOff>49474</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57325" y="20869275"/>
          <a:ext cx="781366" cy="457384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180975</xdr:colOff>
      <xdr:row>108</xdr:row>
      <xdr:rowOff>180975</xdr:rowOff>
    </xdr:from>
    <xdr:to>
      <xdr:col>9</xdr:col>
      <xdr:colOff>343212</xdr:colOff>
      <xdr:row>113</xdr:row>
      <xdr:rowOff>95600</xdr:rowOff>
    </xdr:to>
    <xdr:pic>
      <xdr:nvPicPr>
        <xdr:cNvPr id="7"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057775" y="21955125"/>
          <a:ext cx="771837" cy="867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161925</xdr:colOff>
      <xdr:row>114</xdr:row>
      <xdr:rowOff>85725</xdr:rowOff>
    </xdr:from>
    <xdr:to>
      <xdr:col>10</xdr:col>
      <xdr:colOff>57150</xdr:colOff>
      <xdr:row>127</xdr:row>
      <xdr:rowOff>171600</xdr:rowOff>
    </xdr:to>
    <xdr:pic>
      <xdr:nvPicPr>
        <xdr:cNvPr id="8" name="Picture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429125" y="23002875"/>
          <a:ext cx="1724025" cy="256237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xdr:from>
          <xdr:col>7</xdr:col>
          <xdr:colOff>104775</xdr:colOff>
          <xdr:row>26</xdr:row>
          <xdr:rowOff>0</xdr:rowOff>
        </xdr:from>
        <xdr:to>
          <xdr:col>9</xdr:col>
          <xdr:colOff>114300</xdr:colOff>
          <xdr:row>39</xdr:row>
          <xdr:rowOff>28575</xdr:rowOff>
        </xdr:to>
        <xdr:grpSp>
          <xdr:nvGrpSpPr>
            <xdr:cNvPr id="9" name="Group_GameSelection"/>
            <xdr:cNvGrpSpPr/>
          </xdr:nvGrpSpPr>
          <xdr:grpSpPr>
            <a:xfrm>
              <a:off x="4371975" y="5495925"/>
              <a:ext cx="1228725" cy="2505075"/>
              <a:chOff x="4371975" y="5495925"/>
              <a:chExt cx="1228725" cy="2505075"/>
            </a:xfrm>
          </xdr:grpSpPr>
          <xdr:sp macro="" textlink="">
            <xdr:nvSpPr>
              <xdr:cNvPr id="1061" name="Radio_RedBlue" hidden="1">
                <a:extLst>
                  <a:ext uri="{63B3BB69-23CF-44E3-9099-C40C66FF867C}">
                    <a14:compatExt spid="_x0000_s1061"/>
                  </a:ext>
                </a:extLst>
              </xdr:cNvPr>
              <xdr:cNvSpPr/>
            </xdr:nvSpPr>
            <xdr:spPr bwMode="auto">
              <a:xfrm>
                <a:off x="4371975" y="5495925"/>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Red/Blue</a:t>
                </a:r>
              </a:p>
            </xdr:txBody>
          </xdr:sp>
          <xdr:sp macro="" textlink="">
            <xdr:nvSpPr>
              <xdr:cNvPr id="1062" name="Radio_Yellow" hidden="1">
                <a:extLst>
                  <a:ext uri="{63B3BB69-23CF-44E3-9099-C40C66FF867C}">
                    <a14:compatExt spid="_x0000_s1062"/>
                  </a:ext>
                </a:extLst>
              </xdr:cNvPr>
              <xdr:cNvSpPr/>
            </xdr:nvSpPr>
            <xdr:spPr bwMode="auto">
              <a:xfrm>
                <a:off x="4371975" y="5683859"/>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Yellow</a:t>
                </a:r>
              </a:p>
            </xdr:txBody>
          </xdr:sp>
          <xdr:sp macro="" textlink="">
            <xdr:nvSpPr>
              <xdr:cNvPr id="1063" name="Radio_GoldSilver" hidden="1">
                <a:extLst>
                  <a:ext uri="{63B3BB69-23CF-44E3-9099-C40C66FF867C}">
                    <a14:compatExt spid="_x0000_s1063"/>
                  </a:ext>
                </a:extLst>
              </xdr:cNvPr>
              <xdr:cNvSpPr/>
            </xdr:nvSpPr>
            <xdr:spPr bwMode="auto">
              <a:xfrm>
                <a:off x="4371975" y="5871796"/>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Gold/Silver</a:t>
                </a:r>
              </a:p>
            </xdr:txBody>
          </xdr:sp>
          <xdr:sp macro="" textlink="">
            <xdr:nvSpPr>
              <xdr:cNvPr id="1064" name="Radio_Crystal" hidden="1">
                <a:extLst>
                  <a:ext uri="{63B3BB69-23CF-44E3-9099-C40C66FF867C}">
                    <a14:compatExt spid="_x0000_s1064"/>
                  </a:ext>
                </a:extLst>
              </xdr:cNvPr>
              <xdr:cNvSpPr/>
            </xdr:nvSpPr>
            <xdr:spPr bwMode="auto">
              <a:xfrm>
                <a:off x="4371975" y="6059733"/>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Crystal</a:t>
                </a:r>
              </a:p>
            </xdr:txBody>
          </xdr:sp>
          <xdr:sp macro="" textlink="">
            <xdr:nvSpPr>
              <xdr:cNvPr id="1065" name="Radio_HeartGoldSoulSilver" hidden="1">
                <a:extLst>
                  <a:ext uri="{63B3BB69-23CF-44E3-9099-C40C66FF867C}">
                    <a14:compatExt spid="_x0000_s1065"/>
                  </a:ext>
                </a:extLst>
              </xdr:cNvPr>
              <xdr:cNvSpPr/>
            </xdr:nvSpPr>
            <xdr:spPr bwMode="auto">
              <a:xfrm>
                <a:off x="4371975" y="7190645"/>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HeartGold/SoulSilver</a:t>
                </a:r>
              </a:p>
            </xdr:txBody>
          </xdr:sp>
          <xdr:sp macro="" textlink="">
            <xdr:nvSpPr>
              <xdr:cNvPr id="1066" name="Radio_Ruby/Sapphire" hidden="1">
                <a:extLst>
                  <a:ext uri="{63B3BB69-23CF-44E3-9099-C40C66FF867C}">
                    <a14:compatExt spid="_x0000_s1066"/>
                  </a:ext>
                </a:extLst>
              </xdr:cNvPr>
              <xdr:cNvSpPr/>
            </xdr:nvSpPr>
            <xdr:spPr bwMode="auto">
              <a:xfrm>
                <a:off x="4371975" y="6254504"/>
                <a:ext cx="1228725" cy="2067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Ruby/Sapphire</a:t>
                </a:r>
              </a:p>
            </xdr:txBody>
          </xdr:sp>
          <xdr:sp macro="" textlink="">
            <xdr:nvSpPr>
              <xdr:cNvPr id="1067" name="Radio_Emerald" hidden="1">
                <a:extLst>
                  <a:ext uri="{63B3BB69-23CF-44E3-9099-C40C66FF867C}">
                    <a14:compatExt spid="_x0000_s1067"/>
                  </a:ext>
                </a:extLst>
              </xdr:cNvPr>
              <xdr:cNvSpPr/>
            </xdr:nvSpPr>
            <xdr:spPr bwMode="auto">
              <a:xfrm>
                <a:off x="4371975" y="6632941"/>
                <a:ext cx="1228725" cy="2067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Emerald</a:t>
                </a:r>
              </a:p>
            </xdr:txBody>
          </xdr:sp>
          <xdr:sp macro="" textlink="">
            <xdr:nvSpPr>
              <xdr:cNvPr id="1068" name="Radio_DiamondPearl" hidden="1">
                <a:extLst>
                  <a:ext uri="{63B3BB69-23CF-44E3-9099-C40C66FF867C}">
                    <a14:compatExt spid="_x0000_s1068"/>
                  </a:ext>
                </a:extLst>
              </xdr:cNvPr>
              <xdr:cNvSpPr/>
            </xdr:nvSpPr>
            <xdr:spPr bwMode="auto">
              <a:xfrm>
                <a:off x="4371975" y="6811481"/>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Diamond/Pearl</a:t>
                </a:r>
              </a:p>
            </xdr:txBody>
          </xdr:sp>
          <xdr:sp macro="" textlink="">
            <xdr:nvSpPr>
              <xdr:cNvPr id="1069" name="Radio_Platinum" hidden="1">
                <a:extLst>
                  <a:ext uri="{63B3BB69-23CF-44E3-9099-C40C66FF867C}">
                    <a14:compatExt spid="_x0000_s1069"/>
                  </a:ext>
                </a:extLst>
              </xdr:cNvPr>
              <xdr:cNvSpPr/>
            </xdr:nvSpPr>
            <xdr:spPr bwMode="auto">
              <a:xfrm>
                <a:off x="4371975" y="6999418"/>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Platinum</a:t>
                </a:r>
              </a:p>
            </xdr:txBody>
          </xdr:sp>
          <xdr:sp macro="" textlink="">
            <xdr:nvSpPr>
              <xdr:cNvPr id="1070" name="Radio_BlackWhite" hidden="1">
                <a:extLst>
                  <a:ext uri="{63B3BB69-23CF-44E3-9099-C40C66FF867C}">
                    <a14:compatExt spid="_x0000_s1070"/>
                  </a:ext>
                </a:extLst>
              </xdr:cNvPr>
              <xdr:cNvSpPr/>
            </xdr:nvSpPr>
            <xdr:spPr bwMode="auto">
              <a:xfrm>
                <a:off x="4371975" y="7396905"/>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Black/White</a:t>
                </a:r>
              </a:p>
            </xdr:txBody>
          </xdr:sp>
          <xdr:sp macro="" textlink="">
            <xdr:nvSpPr>
              <xdr:cNvPr id="1071" name="Radio_Black2White2" hidden="1">
                <a:extLst>
                  <a:ext uri="{63B3BB69-23CF-44E3-9099-C40C66FF867C}">
                    <a14:compatExt spid="_x0000_s1071"/>
                  </a:ext>
                </a:extLst>
              </xdr:cNvPr>
              <xdr:cNvSpPr/>
            </xdr:nvSpPr>
            <xdr:spPr bwMode="auto">
              <a:xfrm>
                <a:off x="4371975" y="7584843"/>
                <a:ext cx="1228725" cy="2161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Black 2/White 2</a:t>
                </a:r>
              </a:p>
            </xdr:txBody>
          </xdr:sp>
          <xdr:sp macro="" textlink="">
            <xdr:nvSpPr>
              <xdr:cNvPr id="1072" name="Radio_Ruby/Sapphire" hidden="1">
                <a:extLst>
                  <a:ext uri="{63B3BB69-23CF-44E3-9099-C40C66FF867C}">
                    <a14:compatExt spid="_x0000_s1072"/>
                  </a:ext>
                </a:extLst>
              </xdr:cNvPr>
              <xdr:cNvSpPr/>
            </xdr:nvSpPr>
            <xdr:spPr bwMode="auto">
              <a:xfrm>
                <a:off x="4371975" y="6448425"/>
                <a:ext cx="1228725"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Fire Red/Leaf Green</a:t>
                </a:r>
              </a:p>
            </xdr:txBody>
          </xdr:sp>
          <xdr:sp macro="" textlink="">
            <xdr:nvSpPr>
              <xdr:cNvPr id="1073" name="Radio_Black2White2" hidden="1">
                <a:extLst>
                  <a:ext uri="{63B3BB69-23CF-44E3-9099-C40C66FF867C}">
                    <a14:compatExt spid="_x0000_s1073"/>
                  </a:ext>
                </a:extLst>
              </xdr:cNvPr>
              <xdr:cNvSpPr/>
            </xdr:nvSpPr>
            <xdr:spPr bwMode="auto">
              <a:xfrm>
                <a:off x="4371975" y="7781925"/>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X/Y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381000</xdr:colOff>
          <xdr:row>0</xdr:row>
          <xdr:rowOff>142875</xdr:rowOff>
        </xdr:from>
        <xdr:to>
          <xdr:col>13</xdr:col>
          <xdr:colOff>1066800</xdr:colOff>
          <xdr:row>3</xdr:row>
          <xdr:rowOff>19050</xdr:rowOff>
        </xdr:to>
        <xdr:sp macro="" textlink="">
          <xdr:nvSpPr>
            <xdr:cNvPr id="2051" name="Button 3" descr="Insert New Pokemon"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Add Pokemon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1143000</xdr:colOff>
          <xdr:row>0</xdr:row>
          <xdr:rowOff>142875</xdr:rowOff>
        </xdr:from>
        <xdr:to>
          <xdr:col>14</xdr:col>
          <xdr:colOff>542925</xdr:colOff>
          <xdr:row>3</xdr:row>
          <xdr:rowOff>9525</xdr:rowOff>
        </xdr:to>
        <xdr:sp macro="" textlink="">
          <xdr:nvSpPr>
            <xdr:cNvPr id="2055" name="Button 7" descr="Insert New Pokemon"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Remove Pokemon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142875</xdr:rowOff>
        </xdr:from>
        <xdr:to>
          <xdr:col>1</xdr:col>
          <xdr:colOff>276225</xdr:colOff>
          <xdr:row>3</xdr:row>
          <xdr:rowOff>19050</xdr:rowOff>
        </xdr:to>
        <xdr:sp macro="" textlink="">
          <xdr:nvSpPr>
            <xdr:cNvPr id="2059" name="Button 11" descr="Insert New Pokemon"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Party</a:t>
              </a:r>
            </a:p>
            <a:p>
              <a:pPr algn="ctr" rtl="0">
                <a:defRPr sz="1000"/>
              </a:pPr>
              <a:endParaRPr lang="en-US" sz="12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142875</xdr:rowOff>
        </xdr:from>
        <xdr:to>
          <xdr:col>2</xdr:col>
          <xdr:colOff>381000</xdr:colOff>
          <xdr:row>3</xdr:row>
          <xdr:rowOff>19050</xdr:rowOff>
        </xdr:to>
        <xdr:sp macro="" textlink="">
          <xdr:nvSpPr>
            <xdr:cNvPr id="2060" name="Button 12" descr="Insert New Pokemon" hidden="1">
              <a:extLst>
                <a:ext uri="{63B3BB69-23CF-44E3-9099-C40C66FF867C}">
                  <a14:compatExt spid="_x0000_s20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Save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447675</xdr:colOff>
          <xdr:row>0</xdr:row>
          <xdr:rowOff>142875</xdr:rowOff>
        </xdr:from>
        <xdr:to>
          <xdr:col>3</xdr:col>
          <xdr:colOff>304800</xdr:colOff>
          <xdr:row>3</xdr:row>
          <xdr:rowOff>19050</xdr:rowOff>
        </xdr:to>
        <xdr:sp macro="" textlink="">
          <xdr:nvSpPr>
            <xdr:cNvPr id="2061" name="Button 13" descr="Insert New Pokemon"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Delete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533400</xdr:colOff>
          <xdr:row>0</xdr:row>
          <xdr:rowOff>142875</xdr:rowOff>
        </xdr:from>
        <xdr:to>
          <xdr:col>17</xdr:col>
          <xdr:colOff>409575</xdr:colOff>
          <xdr:row>3</xdr:row>
          <xdr:rowOff>19050</xdr:rowOff>
        </xdr:to>
        <xdr:sp macro="" textlink="">
          <xdr:nvSpPr>
            <xdr:cNvPr id="2065" name="Button 17" descr="Insert New Pokemon"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Clear Screen</a:t>
              </a:r>
            </a:p>
            <a:p>
              <a:pPr algn="ctr" rtl="0">
                <a:defRPr sz="1000"/>
              </a:pPr>
              <a:endParaRPr lang="en-US" sz="12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619125</xdr:colOff>
          <xdr:row>0</xdr:row>
          <xdr:rowOff>142875</xdr:rowOff>
        </xdr:from>
        <xdr:to>
          <xdr:col>15</xdr:col>
          <xdr:colOff>561975</xdr:colOff>
          <xdr:row>3</xdr:row>
          <xdr:rowOff>9525</xdr:rowOff>
        </xdr:to>
        <xdr:sp macro="" textlink="">
          <xdr:nvSpPr>
            <xdr:cNvPr id="2066" name="Button 18" descr="Insert New Pokemon"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Sprite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619125</xdr:colOff>
          <xdr:row>0</xdr:row>
          <xdr:rowOff>142875</xdr:rowOff>
        </xdr:from>
        <xdr:to>
          <xdr:col>16</xdr:col>
          <xdr:colOff>457200</xdr:colOff>
          <xdr:row>3</xdr:row>
          <xdr:rowOff>9525</xdr:rowOff>
        </xdr:to>
        <xdr:sp macro="" textlink="">
          <xdr:nvSpPr>
            <xdr:cNvPr id="2068" name="Button 20" descr="Insert New Pokemon"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Toggle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381000</xdr:colOff>
          <xdr:row>0</xdr:row>
          <xdr:rowOff>142875</xdr:rowOff>
        </xdr:from>
        <xdr:to>
          <xdr:col>3</xdr:col>
          <xdr:colOff>1038225</xdr:colOff>
          <xdr:row>1</xdr:row>
          <xdr:rowOff>161925</xdr:rowOff>
        </xdr:to>
        <xdr:sp macro="" textlink="">
          <xdr:nvSpPr>
            <xdr:cNvPr id="2073" name="Button 25" descr="Insert New Pokemon"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381000</xdr:colOff>
          <xdr:row>2</xdr:row>
          <xdr:rowOff>9525</xdr:rowOff>
        </xdr:from>
        <xdr:to>
          <xdr:col>3</xdr:col>
          <xdr:colOff>1038225</xdr:colOff>
          <xdr:row>3</xdr:row>
          <xdr:rowOff>19050</xdr:rowOff>
        </xdr:to>
        <xdr:sp macro="" textlink="">
          <xdr:nvSpPr>
            <xdr:cNvPr id="2074" name="Button 26" descr="Insert New Pokemon" hidden="1">
              <a:extLst>
                <a:ext uri="{63B3BB69-23CF-44E3-9099-C40C66FF867C}">
                  <a14:compatExt spid="_x0000_s2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Export</a:t>
              </a:r>
            </a:p>
          </xdr:txBody>
        </xdr:sp>
        <xdr:clientData fPrintsWithSheet="0"/>
      </xdr:twoCellAnchor>
    </mc:Choice>
    <mc:Fallback/>
  </mc:AlternateContent>
  <xdr:twoCellAnchor>
    <xdr:from>
      <xdr:col>2</xdr:col>
      <xdr:colOff>0</xdr:colOff>
      <xdr:row>9</xdr:row>
      <xdr:rowOff>0</xdr:rowOff>
    </xdr:from>
    <xdr:to>
      <xdr:col>2</xdr:col>
      <xdr:colOff>711200</xdr:colOff>
      <xdr:row>12</xdr:row>
      <xdr:rowOff>139700</xdr:rowOff>
    </xdr:to>
    <xdr:pic>
      <xdr:nvPicPr>
        <xdr:cNvPr id="2" name="Picture 1"/>
        <xdr:cNvPicPr>
          <a:picLocks noChangeAspect="1"/>
        </xdr:cNvPicPr>
      </xdr:nvPicPr>
      <xdr:blipFill>
        <a:blip xmlns:r="http://schemas.openxmlformats.org/officeDocument/2006/relationships" r:link="rId1"/>
        <a:stretch>
          <a:fillRect/>
        </a:stretch>
      </xdr:blipFill>
      <xdr:spPr>
        <a:xfrm>
          <a:off x="1123950" y="1704975"/>
          <a:ext cx="711200" cy="711200"/>
        </a:xfrm>
        <a:prstGeom prst="rect">
          <a:avLst/>
        </a:prstGeom>
      </xdr:spPr>
    </xdr:pic>
    <xdr:clientData/>
  </xdr:twoCellAnchor>
  <xdr:twoCellAnchor>
    <xdr:from>
      <xdr:col>2</xdr:col>
      <xdr:colOff>0</xdr:colOff>
      <xdr:row>5</xdr:row>
      <xdr:rowOff>0</xdr:rowOff>
    </xdr:from>
    <xdr:to>
      <xdr:col>2</xdr:col>
      <xdr:colOff>711200</xdr:colOff>
      <xdr:row>8</xdr:row>
      <xdr:rowOff>139700</xdr:rowOff>
    </xdr:to>
    <xdr:pic>
      <xdr:nvPicPr>
        <xdr:cNvPr id="3" name="Picture 2"/>
        <xdr:cNvPicPr>
          <a:picLocks noChangeAspect="1"/>
        </xdr:cNvPicPr>
      </xdr:nvPicPr>
      <xdr:blipFill>
        <a:blip xmlns:r="http://schemas.openxmlformats.org/officeDocument/2006/relationships" r:link="rId2"/>
        <a:stretch>
          <a:fillRect/>
        </a:stretch>
      </xdr:blipFill>
      <xdr:spPr>
        <a:xfrm>
          <a:off x="1123950" y="942975"/>
          <a:ext cx="711200" cy="711200"/>
        </a:xfrm>
        <a:prstGeom prst="rect">
          <a:avLst/>
        </a:prstGeom>
      </xdr:spPr>
    </xdr:pic>
    <xdr:clientData/>
  </xdr:twoCellAnchor>
  <xdr:twoCellAnchor>
    <xdr:from>
      <xdr:col>2</xdr:col>
      <xdr:colOff>0</xdr:colOff>
      <xdr:row>13</xdr:row>
      <xdr:rowOff>0</xdr:rowOff>
    </xdr:from>
    <xdr:to>
      <xdr:col>2</xdr:col>
      <xdr:colOff>711200</xdr:colOff>
      <xdr:row>16</xdr:row>
      <xdr:rowOff>139700</xdr:rowOff>
    </xdr:to>
    <xdr:pic>
      <xdr:nvPicPr>
        <xdr:cNvPr id="4" name="Picture 3"/>
        <xdr:cNvPicPr>
          <a:picLocks noChangeAspect="1"/>
        </xdr:cNvPicPr>
      </xdr:nvPicPr>
      <xdr:blipFill>
        <a:blip xmlns:r="http://schemas.openxmlformats.org/officeDocument/2006/relationships" r:link="rId3"/>
        <a:stretch>
          <a:fillRect/>
        </a:stretch>
      </xdr:blipFill>
      <xdr:spPr>
        <a:xfrm>
          <a:off x="1123950" y="2466975"/>
          <a:ext cx="711200" cy="7112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GARNETT/Documents/Programming/PokePP/Beta-0.0.2/PokePP-Beta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to PokePP!"/>
      <sheetName val="Party Pkm"/>
      <sheetName val="Type Table"/>
      <sheetName val="Analysis"/>
      <sheetName val="Pokedex"/>
      <sheetName val="Movedex"/>
      <sheetName val="Hidden Type Chart"/>
      <sheetName val="Hidden Party Save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tables/table1.xml><?xml version="1.0" encoding="utf-8"?>
<table xmlns="http://schemas.openxmlformats.org/spreadsheetml/2006/main" id="46" name="PokedexTable" displayName="PokedexTable" ref="A1:EB774" totalsRowShown="0">
  <autoFilter ref="A1:EB774"/>
  <tableColumns count="132">
    <tableColumn id="1" name="Natdex #" dataDxfId="1480"/>
    <tableColumn id="2" name="Sprite Url" dataDxfId="1479"/>
    <tableColumn id="3" name="Name" dataDxfId="1478"/>
    <tableColumn id="4" name="Type One" dataDxfId="1477"/>
    <tableColumn id="5" name="Type Two" dataDxfId="1476"/>
    <tableColumn id="6" name="HP" dataDxfId="1475"/>
    <tableColumn id="7" name="Attack" dataDxfId="1474"/>
    <tableColumn id="8" name="Def" dataDxfId="1473"/>
    <tableColumn id="9" name="Spatt" dataDxfId="1472"/>
    <tableColumn id="10" name="Spdef" dataDxfId="1471"/>
    <tableColumn id="11" name="Speed" dataDxfId="1470"/>
    <tableColumn id="12" name="Total" dataDxfId="1469"/>
    <tableColumn id="13" name="Moveset" dataDxfId="1468"/>
    <tableColumn id="14" name="Column1" dataDxfId="1467"/>
    <tableColumn id="15" name="Column2"/>
    <tableColumn id="16" name="Column3"/>
    <tableColumn id="17" name="Column4"/>
    <tableColumn id="18" name="Column5"/>
    <tableColumn id="19" name="Column6"/>
    <tableColumn id="20" name="Column7"/>
    <tableColumn id="21" name="Column8"/>
    <tableColumn id="22" name="Column9"/>
    <tableColumn id="23" name="Column10"/>
    <tableColumn id="24" name="Column11"/>
    <tableColumn id="25" name="Column12"/>
    <tableColumn id="26" name="Column13"/>
    <tableColumn id="27" name="Column14"/>
    <tableColumn id="28" name="Column15"/>
    <tableColumn id="29" name="Column16"/>
    <tableColumn id="30" name="Column17"/>
    <tableColumn id="31" name="Column18"/>
    <tableColumn id="32" name="Column19"/>
    <tableColumn id="33" name="Column20"/>
    <tableColumn id="34" name="Column21"/>
    <tableColumn id="35" name="Column22"/>
    <tableColumn id="36" name="Column23"/>
    <tableColumn id="37" name="Column24"/>
    <tableColumn id="38" name="Column25"/>
    <tableColumn id="39" name="Column26"/>
    <tableColumn id="40" name="Column27"/>
    <tableColumn id="41" name="Column28"/>
    <tableColumn id="42" name="Column29"/>
    <tableColumn id="43" name="Column30"/>
    <tableColumn id="44" name="Column31"/>
    <tableColumn id="45" name="Column32"/>
    <tableColumn id="46" name="Column33"/>
    <tableColumn id="47" name="Column34"/>
    <tableColumn id="48" name="Column35"/>
    <tableColumn id="49" name="Column36"/>
    <tableColumn id="50" name="Column37"/>
    <tableColumn id="51" name="Column38"/>
    <tableColumn id="52" name="Column39"/>
    <tableColumn id="53" name="Column40"/>
    <tableColumn id="54" name="Column41"/>
    <tableColumn id="55" name="Column42"/>
    <tableColumn id="56" name="Column43"/>
    <tableColumn id="57" name="Column44"/>
    <tableColumn id="58" name="Column45"/>
    <tableColumn id="59" name="Column46"/>
    <tableColumn id="60" name="Column47"/>
    <tableColumn id="61" name="Column48"/>
    <tableColumn id="62" name="Column49"/>
    <tableColumn id="63" name="Column50"/>
    <tableColumn id="64" name="Column51"/>
    <tableColumn id="65" name="Column52"/>
    <tableColumn id="66" name="Column53"/>
    <tableColumn id="67" name="Column54"/>
    <tableColumn id="68" name="Column55"/>
    <tableColumn id="69" name="Column56"/>
    <tableColumn id="70" name="Column57"/>
    <tableColumn id="71" name="Column58"/>
    <tableColumn id="72" name="Column59"/>
    <tableColumn id="73" name="Column60"/>
    <tableColumn id="74" name="Column61"/>
    <tableColumn id="75" name="Column62"/>
    <tableColumn id="76" name="Column63"/>
    <tableColumn id="77" name="Column64"/>
    <tableColumn id="78" name="Column65"/>
    <tableColumn id="79" name="Column66"/>
    <tableColumn id="80" name="Column67"/>
    <tableColumn id="81" name="Column68"/>
    <tableColumn id="82" name="Column69"/>
    <tableColumn id="83" name="Column70"/>
    <tableColumn id="84" name="Column71"/>
    <tableColumn id="85" name="Column72"/>
    <tableColumn id="86" name="Column73"/>
    <tableColumn id="87" name="Column74"/>
    <tableColumn id="88" name="Column75"/>
    <tableColumn id="89" name="Column76"/>
    <tableColumn id="90" name="Column77"/>
    <tableColumn id="91" name="Column78"/>
    <tableColumn id="92" name="Column79"/>
    <tableColumn id="93" name="Column80"/>
    <tableColumn id="94" name="Column81"/>
    <tableColumn id="95" name="Column82"/>
    <tableColumn id="96" name="Column83"/>
    <tableColumn id="97" name="Column84"/>
    <tableColumn id="98" name="Column85"/>
    <tableColumn id="99" name="Column86"/>
    <tableColumn id="100" name="Column87"/>
    <tableColumn id="101" name="Column88"/>
    <tableColumn id="102" name="Column89"/>
    <tableColumn id="103" name="Column90"/>
    <tableColumn id="104" name="Column91"/>
    <tableColumn id="105" name="Column92"/>
    <tableColumn id="106" name="Column93"/>
    <tableColumn id="107" name="Column94"/>
    <tableColumn id="108" name="Column95"/>
    <tableColumn id="109" name="Column96"/>
    <tableColumn id="110" name="Column97"/>
    <tableColumn id="111" name="Column98"/>
    <tableColumn id="112" name="Column99"/>
    <tableColumn id="113" name="Column100"/>
    <tableColumn id="114" name="Column101"/>
    <tableColumn id="115" name="Column102"/>
    <tableColumn id="116" name="Column103"/>
    <tableColumn id="117" name="Column104"/>
    <tableColumn id="118" name="Column105"/>
    <tableColumn id="119" name="Column106"/>
    <tableColumn id="120" name="Column107"/>
    <tableColumn id="121" name="Column108"/>
    <tableColumn id="122" name="Column109"/>
    <tableColumn id="123" name="Column110"/>
    <tableColumn id="124" name="Column111"/>
    <tableColumn id="125" name="Column112"/>
    <tableColumn id="126" name="Column113"/>
    <tableColumn id="127" name="Column114"/>
    <tableColumn id="128" name="Column115"/>
    <tableColumn id="129" name="Column116"/>
    <tableColumn id="130" name="Column117"/>
    <tableColumn id="131" name="Column118"/>
    <tableColumn id="132" name="Column119"/>
  </tableColumns>
  <tableStyleInfo name="TableStyleMedium2" showFirstColumn="0" showLastColumn="0" showRowStripes="1" showColumnStripes="0"/>
</table>
</file>

<file path=xl/tables/table2.xml><?xml version="1.0" encoding="utf-8"?>
<table xmlns="http://schemas.openxmlformats.org/spreadsheetml/2006/main" id="47" name="MovedexTable" displayName="MovedexTable" ref="A1:G609" totalsRowShown="0" headerRowDxfId="1466" dataDxfId="1465">
  <autoFilter ref="A1:G609"/>
  <tableColumns count="7">
    <tableColumn id="1" name="Name" dataDxfId="1464"/>
    <tableColumn id="2" name="Type" dataDxfId="1463"/>
    <tableColumn id="3" name="Category" dataDxfId="1462"/>
    <tableColumn id="4" name="Power" dataDxfId="1461"/>
    <tableColumn id="5" name="Accuracy" dataDxfId="1460"/>
    <tableColumn id="6" name="PP" dataDxfId="1459"/>
    <tableColumn id="7" name="Description" dataDxfId="145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mailto:justcallmebaj@gmail.com"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pokepp-feedback.wikidot.com/" TargetMode="External"/><Relationship Id="rId16" Type="http://schemas.openxmlformats.org/officeDocument/2006/relationships/ctrlProp" Target="../ctrlProps/ctrlProp10.xml"/><Relationship Id="rId1" Type="http://schemas.openxmlformats.org/officeDocument/2006/relationships/hyperlink" Target="http://pokepp.wikidot.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elcomeSheet"/>
  <dimension ref="A1:M155"/>
  <sheetViews>
    <sheetView tabSelected="1" workbookViewId="0">
      <selection sqref="A1:L1"/>
    </sheetView>
  </sheetViews>
  <sheetFormatPr defaultRowHeight="15"/>
  <sheetData>
    <row r="1" spans="1:12" ht="40.5" customHeight="1" thickBot="1">
      <c r="A1" s="89" t="s">
        <v>94</v>
      </c>
      <c r="B1" s="89"/>
      <c r="C1" s="89"/>
      <c r="D1" s="89"/>
      <c r="E1" s="89"/>
      <c r="F1" s="89"/>
      <c r="G1" s="89"/>
      <c r="H1" s="89"/>
      <c r="I1" s="89"/>
      <c r="J1" s="89"/>
      <c r="K1" s="89"/>
      <c r="L1" s="89"/>
    </row>
    <row r="2" spans="1:12" ht="21.75" customHeight="1" thickTop="1">
      <c r="A2" s="90" t="s">
        <v>214</v>
      </c>
      <c r="B2" s="90"/>
      <c r="C2" s="90"/>
      <c r="D2" s="90"/>
      <c r="E2" s="90"/>
      <c r="F2" s="90"/>
      <c r="G2" s="90"/>
      <c r="H2" s="90"/>
      <c r="I2" s="90"/>
      <c r="J2" s="90"/>
      <c r="K2" s="90"/>
      <c r="L2" s="90"/>
    </row>
    <row r="4" spans="1:12" ht="18" thickBot="1">
      <c r="B4" s="77" t="s">
        <v>95</v>
      </c>
      <c r="C4" s="77"/>
      <c r="D4" s="77"/>
      <c r="E4" s="77"/>
      <c r="F4" s="77"/>
      <c r="G4" s="77"/>
      <c r="H4" s="77"/>
      <c r="I4" s="77"/>
      <c r="J4" s="77"/>
      <c r="K4" s="77"/>
    </row>
    <row r="5" spans="1:12" ht="15.75" thickTop="1">
      <c r="G5" s="60"/>
      <c r="H5" s="60"/>
      <c r="I5" s="60"/>
    </row>
    <row r="6" spans="1:12" ht="16.5" customHeight="1" thickBot="1">
      <c r="E6" s="28" t="s">
        <v>96</v>
      </c>
      <c r="G6" s="91" t="s">
        <v>97</v>
      </c>
      <c r="H6" s="91"/>
      <c r="I6" s="91"/>
    </row>
    <row r="7" spans="1:12" ht="15.75" thickTop="1">
      <c r="E7" s="4">
        <f>MATCH($G7,$B:$B,0 )</f>
        <v>14</v>
      </c>
      <c r="F7" s="4" t="s">
        <v>102</v>
      </c>
      <c r="G7" t="s">
        <v>98</v>
      </c>
    </row>
    <row r="8" spans="1:12">
      <c r="E8" s="4">
        <f>MATCH($G8,$B:$B,0 )</f>
        <v>42</v>
      </c>
      <c r="F8" s="4" t="s">
        <v>102</v>
      </c>
      <c r="G8" t="s">
        <v>99</v>
      </c>
    </row>
    <row r="9" spans="1:12">
      <c r="E9" s="4">
        <f>MATCH($G9,$B:$B,0 )</f>
        <v>96</v>
      </c>
      <c r="F9" s="4" t="s">
        <v>102</v>
      </c>
      <c r="G9" t="s">
        <v>100</v>
      </c>
    </row>
    <row r="10" spans="1:12">
      <c r="E10" s="4">
        <f>MATCH($G10,$B:$B,0 )</f>
        <v>137</v>
      </c>
      <c r="F10" s="4" t="s">
        <v>102</v>
      </c>
      <c r="G10" t="s">
        <v>200</v>
      </c>
    </row>
    <row r="11" spans="1:12">
      <c r="E11" s="4">
        <f>MATCH($G11,$B:$B,0 )</f>
        <v>149</v>
      </c>
      <c r="F11" s="4" t="s">
        <v>102</v>
      </c>
      <c r="G11" t="s">
        <v>101</v>
      </c>
    </row>
    <row r="14" spans="1:12" ht="18" thickBot="1">
      <c r="B14" s="77" t="s">
        <v>98</v>
      </c>
      <c r="C14" s="77"/>
      <c r="D14" s="77"/>
      <c r="E14" s="77"/>
      <c r="F14" s="77"/>
      <c r="G14" s="77"/>
      <c r="H14" s="77"/>
      <c r="I14" s="77"/>
      <c r="J14" s="77"/>
      <c r="K14" s="77"/>
    </row>
    <row r="15" spans="1:12" ht="15.75" thickTop="1"/>
    <row r="16" spans="1:12" ht="15" customHeight="1">
      <c r="C16" s="79" t="s">
        <v>113</v>
      </c>
      <c r="D16" s="79"/>
      <c r="E16" s="79"/>
      <c r="F16" s="79"/>
      <c r="G16" s="79"/>
      <c r="H16" s="79"/>
      <c r="I16" s="79"/>
      <c r="J16" s="79"/>
      <c r="K16" s="30"/>
    </row>
    <row r="17" spans="3:13">
      <c r="C17" s="79"/>
      <c r="D17" s="79"/>
      <c r="E17" s="79"/>
      <c r="F17" s="79"/>
      <c r="G17" s="79"/>
      <c r="H17" s="79"/>
      <c r="I17" s="79"/>
      <c r="J17" s="79"/>
      <c r="K17" s="30"/>
    </row>
    <row r="18" spans="3:13">
      <c r="C18" s="79"/>
      <c r="D18" s="79"/>
      <c r="E18" s="79"/>
      <c r="F18" s="79"/>
      <c r="G18" s="79"/>
      <c r="H18" s="79"/>
      <c r="I18" s="79"/>
      <c r="J18" s="79"/>
      <c r="K18" s="30"/>
    </row>
    <row r="19" spans="3:13">
      <c r="C19" s="30"/>
      <c r="D19" s="30"/>
      <c r="E19" s="30"/>
      <c r="F19" s="30"/>
      <c r="G19" s="30"/>
      <c r="H19" s="30"/>
      <c r="I19" s="30"/>
      <c r="J19" s="30"/>
      <c r="K19" s="30"/>
    </row>
    <row r="20" spans="3:13">
      <c r="C20" s="83" t="s">
        <v>114</v>
      </c>
      <c r="D20" s="83"/>
      <c r="E20" s="83"/>
      <c r="F20" s="83"/>
      <c r="G20" s="83"/>
      <c r="H20" s="83"/>
      <c r="I20" s="83"/>
      <c r="J20" s="83"/>
      <c r="K20" s="30"/>
    </row>
    <row r="21" spans="3:13" ht="15" customHeight="1">
      <c r="C21" s="82" t="s">
        <v>217</v>
      </c>
      <c r="D21" s="82"/>
      <c r="E21" s="82"/>
      <c r="F21" s="82"/>
      <c r="G21" s="82"/>
      <c r="H21" s="82"/>
      <c r="I21" s="82"/>
      <c r="J21" s="82"/>
      <c r="K21" s="30"/>
    </row>
    <row r="22" spans="3:13">
      <c r="C22" s="82"/>
      <c r="D22" s="82"/>
      <c r="E22" s="82"/>
      <c r="F22" s="82"/>
      <c r="G22" s="82"/>
      <c r="H22" s="82"/>
      <c r="I22" s="82"/>
      <c r="J22" s="82"/>
      <c r="K22" s="30"/>
    </row>
    <row r="23" spans="3:13">
      <c r="C23" s="82"/>
      <c r="D23" s="82"/>
      <c r="E23" s="82"/>
      <c r="F23" s="82"/>
      <c r="G23" s="82"/>
      <c r="H23" s="82"/>
      <c r="I23" s="82"/>
      <c r="J23" s="82"/>
      <c r="K23" s="30"/>
    </row>
    <row r="24" spans="3:13">
      <c r="C24" s="82"/>
      <c r="D24" s="82"/>
      <c r="E24" s="82"/>
      <c r="F24" s="82"/>
      <c r="G24" s="82"/>
      <c r="H24" s="82"/>
      <c r="I24" s="82"/>
      <c r="J24" s="82"/>
      <c r="K24" s="31"/>
    </row>
    <row r="25" spans="3:13">
      <c r="C25" s="33"/>
      <c r="D25" s="33"/>
      <c r="E25" s="33"/>
      <c r="F25" s="33"/>
      <c r="G25" s="33"/>
      <c r="H25" s="33"/>
      <c r="I25" s="33"/>
      <c r="J25" s="33"/>
      <c r="M25" s="36"/>
    </row>
    <row r="26" spans="3:13" ht="15.75" thickBot="1">
      <c r="C26" s="80" t="s">
        <v>108</v>
      </c>
      <c r="D26" s="80"/>
      <c r="E26" s="80" t="s">
        <v>110</v>
      </c>
      <c r="F26" s="80"/>
      <c r="G26" s="35" t="s">
        <v>109</v>
      </c>
      <c r="H26" s="81" t="s">
        <v>111</v>
      </c>
      <c r="I26" s="81"/>
      <c r="J26" s="81"/>
    </row>
    <row r="27" spans="3:13">
      <c r="C27" s="29" t="s">
        <v>103</v>
      </c>
      <c r="D27" s="29"/>
      <c r="E27" s="34">
        <v>1</v>
      </c>
      <c r="F27" s="34">
        <v>151</v>
      </c>
      <c r="G27" t="s">
        <v>116</v>
      </c>
    </row>
    <row r="28" spans="3:13">
      <c r="C28" s="29"/>
      <c r="D28" s="29"/>
      <c r="E28" s="34"/>
      <c r="F28" s="34"/>
    </row>
    <row r="29" spans="3:13">
      <c r="C29" t="s">
        <v>104</v>
      </c>
      <c r="E29" s="34">
        <v>152</v>
      </c>
      <c r="F29" s="34">
        <v>251</v>
      </c>
      <c r="G29" t="s">
        <v>112</v>
      </c>
    </row>
    <row r="30" spans="3:13">
      <c r="E30" s="34"/>
      <c r="F30" s="34"/>
    </row>
    <row r="31" spans="3:13">
      <c r="C31" t="s">
        <v>105</v>
      </c>
      <c r="E31" s="34">
        <v>252</v>
      </c>
      <c r="F31" s="34">
        <v>386</v>
      </c>
      <c r="G31" t="s">
        <v>117</v>
      </c>
    </row>
    <row r="32" spans="3:13">
      <c r="E32" s="34"/>
      <c r="F32" s="34"/>
    </row>
    <row r="34" spans="2:11">
      <c r="C34" t="s">
        <v>106</v>
      </c>
      <c r="E34" s="34">
        <v>387</v>
      </c>
      <c r="F34" s="34">
        <v>493</v>
      </c>
      <c r="G34" t="s">
        <v>118</v>
      </c>
    </row>
    <row r="35" spans="2:11">
      <c r="E35" s="34"/>
      <c r="F35" s="34"/>
    </row>
    <row r="37" spans="2:11">
      <c r="C37" t="s">
        <v>107</v>
      </c>
      <c r="E37" s="34">
        <v>494</v>
      </c>
      <c r="F37" s="34">
        <v>649</v>
      </c>
      <c r="G37" t="s">
        <v>119</v>
      </c>
    </row>
    <row r="39" spans="2:11">
      <c r="C39" t="s">
        <v>893</v>
      </c>
      <c r="E39" s="34">
        <v>650</v>
      </c>
      <c r="F39" s="34">
        <v>718</v>
      </c>
      <c r="G39" t="s">
        <v>892</v>
      </c>
    </row>
    <row r="42" spans="2:11" ht="18" thickBot="1">
      <c r="B42" s="77" t="s">
        <v>99</v>
      </c>
      <c r="C42" s="77"/>
      <c r="D42" s="77"/>
      <c r="E42" s="77"/>
      <c r="F42" s="77"/>
      <c r="G42" s="77"/>
      <c r="H42" s="77"/>
      <c r="I42" s="77"/>
      <c r="J42" s="77"/>
      <c r="K42" s="77"/>
    </row>
    <row r="43" spans="2:11" ht="15.75" thickTop="1"/>
    <row r="44" spans="2:11">
      <c r="C44" s="79" t="s">
        <v>193</v>
      </c>
      <c r="D44" s="79"/>
      <c r="E44" s="79"/>
      <c r="F44" s="79"/>
      <c r="G44" s="79"/>
      <c r="H44" s="79"/>
      <c r="I44" s="79"/>
      <c r="J44" s="79"/>
    </row>
    <row r="45" spans="2:11">
      <c r="C45" s="79"/>
      <c r="D45" s="79"/>
      <c r="E45" s="79"/>
      <c r="F45" s="79"/>
      <c r="G45" s="79"/>
      <c r="H45" s="79"/>
      <c r="I45" s="79"/>
      <c r="J45" s="79"/>
    </row>
    <row r="46" spans="2:11">
      <c r="C46" s="79"/>
      <c r="D46" s="79"/>
      <c r="E46" s="79"/>
      <c r="F46" s="79"/>
      <c r="G46" s="79"/>
      <c r="H46" s="79"/>
      <c r="I46" s="79"/>
      <c r="J46" s="79"/>
    </row>
    <row r="47" spans="2:11">
      <c r="C47" s="79"/>
      <c r="D47" s="79"/>
      <c r="E47" s="79"/>
      <c r="F47" s="79"/>
      <c r="G47" s="79"/>
      <c r="H47" s="79"/>
      <c r="I47" s="79"/>
      <c r="J47" s="79"/>
    </row>
    <row r="49" spans="3:10">
      <c r="C49" s="79" t="s">
        <v>194</v>
      </c>
      <c r="D49" s="79"/>
      <c r="E49" s="79"/>
      <c r="F49" s="79"/>
      <c r="G49" s="79"/>
      <c r="H49" s="79"/>
      <c r="I49" s="79"/>
      <c r="J49" s="79"/>
    </row>
    <row r="50" spans="3:10">
      <c r="C50" s="79"/>
      <c r="D50" s="79"/>
      <c r="E50" s="79"/>
      <c r="F50" s="79"/>
      <c r="G50" s="79"/>
      <c r="H50" s="79"/>
      <c r="I50" s="79"/>
      <c r="J50" s="79"/>
    </row>
    <row r="51" spans="3:10">
      <c r="C51" s="79"/>
      <c r="D51" s="79"/>
      <c r="E51" s="79"/>
      <c r="F51" s="79"/>
      <c r="G51" s="79"/>
      <c r="H51" s="79"/>
      <c r="I51" s="79"/>
      <c r="J51" s="79"/>
    </row>
    <row r="52" spans="3:10">
      <c r="C52" s="79"/>
      <c r="D52" s="79"/>
      <c r="E52" s="79"/>
      <c r="F52" s="79"/>
      <c r="G52" s="79"/>
      <c r="H52" s="79"/>
      <c r="I52" s="79"/>
      <c r="J52" s="79"/>
    </row>
    <row r="60" spans="3:10" ht="15" customHeight="1">
      <c r="C60" s="79" t="s">
        <v>195</v>
      </c>
      <c r="D60" s="79"/>
      <c r="E60" s="79"/>
      <c r="F60" s="79"/>
      <c r="G60" s="79"/>
      <c r="H60" s="79"/>
      <c r="I60" s="79"/>
      <c r="J60" s="79"/>
    </row>
    <row r="61" spans="3:10">
      <c r="C61" s="79"/>
      <c r="D61" s="79"/>
      <c r="E61" s="79"/>
      <c r="F61" s="79"/>
      <c r="G61" s="79"/>
      <c r="H61" s="79"/>
      <c r="I61" s="79"/>
      <c r="J61" s="79"/>
    </row>
    <row r="62" spans="3:10">
      <c r="C62" s="79"/>
      <c r="D62" s="79"/>
      <c r="E62" s="79"/>
      <c r="F62" s="79"/>
      <c r="G62" s="79"/>
      <c r="H62" s="79"/>
      <c r="I62" s="79"/>
      <c r="J62" s="79"/>
    </row>
    <row r="63" spans="3:10">
      <c r="C63" s="56"/>
      <c r="D63" s="56"/>
      <c r="E63" s="56"/>
      <c r="F63" s="56"/>
      <c r="G63" s="56"/>
      <c r="H63" s="56"/>
      <c r="I63" s="56"/>
      <c r="J63" s="56"/>
    </row>
    <row r="64" spans="3:10">
      <c r="C64" s="79" t="s">
        <v>196</v>
      </c>
      <c r="D64" s="79"/>
      <c r="E64" s="79"/>
      <c r="F64" s="79"/>
      <c r="G64" s="79"/>
      <c r="H64" s="79"/>
      <c r="I64" s="79"/>
      <c r="J64" s="79"/>
    </row>
    <row r="65" spans="3:10">
      <c r="C65" s="79"/>
      <c r="D65" s="79"/>
      <c r="E65" s="79"/>
      <c r="F65" s="79"/>
      <c r="G65" s="79"/>
      <c r="H65" s="79"/>
      <c r="I65" s="79"/>
      <c r="J65" s="79"/>
    </row>
    <row r="66" spans="3:10">
      <c r="C66" s="79"/>
      <c r="D66" s="79"/>
      <c r="E66" s="79"/>
      <c r="F66" s="79"/>
      <c r="G66" s="79"/>
      <c r="H66" s="79"/>
      <c r="I66" s="79"/>
      <c r="J66" s="79"/>
    </row>
    <row r="67" spans="3:10">
      <c r="C67" s="79"/>
      <c r="D67" s="79"/>
      <c r="E67" s="79"/>
      <c r="F67" s="79"/>
      <c r="G67" s="79"/>
      <c r="H67" s="79"/>
      <c r="I67" s="79"/>
      <c r="J67" s="79"/>
    </row>
    <row r="68" spans="3:10">
      <c r="C68" s="79"/>
      <c r="D68" s="79"/>
      <c r="E68" s="79"/>
      <c r="F68" s="79"/>
      <c r="G68" s="79"/>
      <c r="H68" s="79"/>
      <c r="I68" s="79"/>
      <c r="J68" s="79"/>
    </row>
    <row r="69" spans="3:10">
      <c r="C69" s="56"/>
      <c r="D69" s="56"/>
      <c r="E69" s="56"/>
      <c r="F69" s="56"/>
      <c r="G69" s="56"/>
      <c r="H69" s="56"/>
      <c r="I69" s="56"/>
      <c r="J69" s="56"/>
    </row>
    <row r="70" spans="3:10">
      <c r="C70" s="56"/>
      <c r="D70" s="56"/>
      <c r="E70" s="56"/>
      <c r="F70" s="56"/>
      <c r="G70" s="56"/>
      <c r="H70" s="56"/>
      <c r="I70" s="56"/>
      <c r="J70" s="56"/>
    </row>
    <row r="71" spans="3:10">
      <c r="C71" s="56"/>
      <c r="D71" s="56"/>
      <c r="E71" s="56"/>
      <c r="F71" s="56"/>
      <c r="G71" s="56"/>
      <c r="H71" s="56"/>
      <c r="I71" s="56"/>
      <c r="J71" s="56"/>
    </row>
    <row r="72" spans="3:10">
      <c r="C72" s="56"/>
      <c r="D72" s="56"/>
      <c r="E72" s="56"/>
      <c r="F72" s="56"/>
      <c r="G72" s="56"/>
      <c r="H72" s="56"/>
      <c r="I72" s="56"/>
      <c r="J72" s="56"/>
    </row>
    <row r="73" spans="3:10">
      <c r="C73" s="56"/>
      <c r="D73" s="56"/>
      <c r="E73" s="56"/>
      <c r="F73" s="56"/>
      <c r="G73" s="56"/>
      <c r="H73" s="56"/>
      <c r="I73" s="56"/>
      <c r="J73" s="56"/>
    </row>
    <row r="74" spans="3:10">
      <c r="C74" s="56"/>
      <c r="D74" s="56"/>
      <c r="E74" s="56"/>
      <c r="F74" s="56"/>
      <c r="G74" s="56"/>
      <c r="H74" s="56"/>
      <c r="I74" s="56"/>
      <c r="J74" s="56"/>
    </row>
    <row r="75" spans="3:10">
      <c r="C75" s="79" t="s">
        <v>197</v>
      </c>
      <c r="D75" s="79"/>
      <c r="E75" s="79"/>
      <c r="F75" s="79"/>
      <c r="G75" s="79"/>
      <c r="H75" s="79"/>
      <c r="I75" s="79"/>
      <c r="J75" s="79"/>
    </row>
    <row r="76" spans="3:10">
      <c r="C76" s="79"/>
      <c r="D76" s="79"/>
      <c r="E76" s="79"/>
      <c r="F76" s="79"/>
      <c r="G76" s="79"/>
      <c r="H76" s="79"/>
      <c r="I76" s="79"/>
      <c r="J76" s="79"/>
    </row>
    <row r="77" spans="3:10">
      <c r="C77" s="79"/>
      <c r="D77" s="79"/>
      <c r="E77" s="79"/>
      <c r="F77" s="79"/>
      <c r="G77" s="79"/>
      <c r="H77" s="79"/>
      <c r="I77" s="79"/>
      <c r="J77" s="79"/>
    </row>
    <row r="78" spans="3:10">
      <c r="C78" s="79"/>
      <c r="D78" s="79"/>
      <c r="E78" s="79"/>
      <c r="F78" s="79"/>
      <c r="G78" s="79"/>
      <c r="H78" s="79"/>
      <c r="I78" s="79"/>
      <c r="J78" s="79"/>
    </row>
    <row r="79" spans="3:10">
      <c r="C79" s="56"/>
      <c r="D79" s="56"/>
      <c r="E79" s="56"/>
      <c r="F79" s="56"/>
      <c r="G79" s="56"/>
      <c r="H79" s="56"/>
      <c r="I79" s="56"/>
      <c r="J79" s="56"/>
    </row>
    <row r="80" spans="3:10" ht="15" customHeight="1">
      <c r="C80" s="79" t="s">
        <v>198</v>
      </c>
      <c r="D80" s="79"/>
      <c r="E80" s="79"/>
      <c r="F80" s="79"/>
      <c r="G80" s="79"/>
      <c r="H80" s="79"/>
      <c r="I80" s="79"/>
      <c r="J80" s="79"/>
    </row>
    <row r="81" spans="2:11">
      <c r="C81" s="79"/>
      <c r="D81" s="79"/>
      <c r="E81" s="79"/>
      <c r="F81" s="79"/>
      <c r="G81" s="79"/>
      <c r="H81" s="79"/>
      <c r="I81" s="79"/>
      <c r="J81" s="79"/>
    </row>
    <row r="82" spans="2:11">
      <c r="C82" s="79"/>
      <c r="D82" s="79"/>
      <c r="E82" s="79"/>
      <c r="F82" s="79"/>
      <c r="G82" s="79"/>
      <c r="H82" s="79"/>
      <c r="I82" s="79"/>
      <c r="J82" s="79"/>
    </row>
    <row r="83" spans="2:11">
      <c r="C83" s="79"/>
      <c r="D83" s="79"/>
      <c r="E83" s="79"/>
      <c r="F83" s="79"/>
      <c r="G83" s="79"/>
      <c r="H83" s="79"/>
      <c r="I83" s="79"/>
      <c r="J83" s="79"/>
    </row>
    <row r="84" spans="2:11">
      <c r="C84" s="30"/>
      <c r="D84" s="30"/>
      <c r="E84" s="30"/>
      <c r="F84" s="30"/>
      <c r="G84" s="30"/>
      <c r="H84" s="30"/>
      <c r="I84" s="30"/>
      <c r="J84" s="30"/>
    </row>
    <row r="85" spans="2:11">
      <c r="C85" s="79" t="s">
        <v>199</v>
      </c>
      <c r="D85" s="79"/>
      <c r="E85" s="79"/>
      <c r="F85" s="79"/>
      <c r="G85" s="79"/>
      <c r="H85" s="79"/>
      <c r="I85" s="79"/>
      <c r="J85" s="79"/>
    </row>
    <row r="86" spans="2:11">
      <c r="C86" s="79"/>
      <c r="D86" s="79"/>
      <c r="E86" s="79"/>
      <c r="F86" s="79"/>
      <c r="G86" s="79"/>
      <c r="H86" s="79"/>
      <c r="I86" s="79"/>
      <c r="J86" s="79"/>
    </row>
    <row r="87" spans="2:11">
      <c r="C87" s="79"/>
      <c r="D87" s="79"/>
      <c r="E87" s="79"/>
      <c r="F87" s="79"/>
      <c r="G87" s="79"/>
      <c r="H87" s="79"/>
      <c r="I87" s="79"/>
      <c r="J87" s="79"/>
    </row>
    <row r="88" spans="2:11">
      <c r="C88" s="56"/>
      <c r="D88" s="56"/>
      <c r="E88" s="56"/>
      <c r="F88" s="56"/>
      <c r="G88" s="56"/>
      <c r="H88" s="56"/>
      <c r="I88" s="56"/>
      <c r="J88" s="56"/>
    </row>
    <row r="89" spans="2:11">
      <c r="C89" s="56"/>
      <c r="D89" s="56"/>
      <c r="E89" s="56"/>
      <c r="F89" s="56"/>
      <c r="G89" s="56"/>
      <c r="H89" s="56"/>
      <c r="I89" s="56"/>
      <c r="J89" s="56"/>
    </row>
    <row r="90" spans="2:11">
      <c r="C90" s="56"/>
      <c r="D90" s="56"/>
      <c r="E90" s="56"/>
      <c r="F90" s="56"/>
      <c r="G90" s="56"/>
      <c r="H90" s="56"/>
      <c r="I90" s="56"/>
      <c r="J90" s="56"/>
    </row>
    <row r="91" spans="2:11">
      <c r="C91" s="56"/>
      <c r="D91" s="56"/>
      <c r="E91" s="56"/>
      <c r="F91" s="56"/>
      <c r="G91" s="56"/>
      <c r="H91" s="56"/>
      <c r="I91" s="56"/>
      <c r="J91" s="56"/>
    </row>
    <row r="92" spans="2:11">
      <c r="C92" s="56"/>
      <c r="D92" s="56"/>
      <c r="E92" s="56"/>
      <c r="F92" s="56"/>
      <c r="G92" s="56"/>
      <c r="H92" s="56"/>
      <c r="I92" s="56"/>
      <c r="J92" s="56"/>
    </row>
    <row r="93" spans="2:11">
      <c r="C93" s="56"/>
      <c r="D93" s="56"/>
      <c r="E93" s="56"/>
      <c r="F93" s="56"/>
      <c r="G93" s="56"/>
      <c r="H93" s="56"/>
      <c r="I93" s="56"/>
      <c r="J93" s="56"/>
    </row>
    <row r="94" spans="2:11">
      <c r="C94" s="56"/>
      <c r="D94" s="56"/>
      <c r="E94" s="56"/>
      <c r="F94" s="56"/>
      <c r="G94" s="56"/>
      <c r="H94" s="56"/>
      <c r="I94" s="56"/>
      <c r="J94" s="56"/>
    </row>
    <row r="96" spans="2:11" ht="18" thickBot="1">
      <c r="B96" s="77" t="s">
        <v>100</v>
      </c>
      <c r="C96" s="77"/>
      <c r="D96" s="77"/>
      <c r="E96" s="77"/>
      <c r="F96" s="77"/>
      <c r="G96" s="77"/>
      <c r="H96" s="77"/>
      <c r="I96" s="77"/>
      <c r="J96" s="77"/>
      <c r="K96" s="77"/>
    </row>
    <row r="97" spans="3:10" ht="15.75" thickTop="1"/>
    <row r="98" spans="3:10">
      <c r="C98" s="79" t="s">
        <v>201</v>
      </c>
      <c r="D98" s="79"/>
      <c r="E98" s="79"/>
      <c r="F98" s="79"/>
      <c r="G98" s="79"/>
      <c r="H98" s="79"/>
      <c r="I98" s="79"/>
      <c r="J98" s="79"/>
    </row>
    <row r="99" spans="3:10">
      <c r="C99" s="79"/>
      <c r="D99" s="79"/>
      <c r="E99" s="79"/>
      <c r="F99" s="79"/>
      <c r="G99" s="79"/>
      <c r="H99" s="79"/>
      <c r="I99" s="79"/>
      <c r="J99" s="79"/>
    </row>
    <row r="100" spans="3:10">
      <c r="C100" s="79"/>
      <c r="D100" s="79"/>
      <c r="E100" s="79"/>
      <c r="F100" s="79"/>
      <c r="G100" s="79"/>
      <c r="H100" s="79"/>
      <c r="I100" s="79"/>
      <c r="J100" s="79"/>
    </row>
    <row r="101" spans="3:10">
      <c r="C101" s="79"/>
      <c r="D101" s="79"/>
      <c r="E101" s="79"/>
      <c r="F101" s="79"/>
      <c r="G101" s="79"/>
      <c r="H101" s="79"/>
      <c r="I101" s="79"/>
      <c r="J101" s="79"/>
    </row>
    <row r="102" spans="3:10">
      <c r="C102" s="79"/>
      <c r="D102" s="79"/>
      <c r="E102" s="79"/>
      <c r="F102" s="79"/>
      <c r="G102" s="79"/>
      <c r="H102" s="79"/>
      <c r="I102" s="79"/>
      <c r="J102" s="79"/>
    </row>
    <row r="104" spans="3:10">
      <c r="E104" s="79" t="s">
        <v>205</v>
      </c>
      <c r="F104" s="79"/>
      <c r="G104" s="79"/>
      <c r="H104" s="79"/>
      <c r="I104" s="79"/>
      <c r="J104" s="79"/>
    </row>
    <row r="105" spans="3:10">
      <c r="E105" s="79"/>
      <c r="F105" s="79"/>
      <c r="G105" s="79"/>
      <c r="H105" s="79"/>
      <c r="I105" s="79"/>
      <c r="J105" s="79"/>
    </row>
    <row r="106" spans="3:10">
      <c r="E106" s="79"/>
      <c r="F106" s="79"/>
      <c r="G106" s="79"/>
      <c r="H106" s="79"/>
      <c r="I106" s="79"/>
      <c r="J106" s="79"/>
    </row>
    <row r="107" spans="3:10">
      <c r="E107" s="79"/>
      <c r="F107" s="79"/>
      <c r="G107" s="79"/>
      <c r="H107" s="79"/>
      <c r="I107" s="79"/>
      <c r="J107" s="79"/>
    </row>
    <row r="108" spans="3:10">
      <c r="E108" s="79"/>
      <c r="F108" s="79"/>
      <c r="G108" s="79"/>
      <c r="H108" s="79"/>
      <c r="I108" s="79"/>
      <c r="J108" s="79"/>
    </row>
    <row r="110" spans="3:10">
      <c r="E110" s="79" t="s">
        <v>202</v>
      </c>
      <c r="F110" s="79"/>
      <c r="G110" s="79"/>
      <c r="H110" s="79"/>
    </row>
    <row r="111" spans="3:10">
      <c r="E111" s="79"/>
      <c r="F111" s="79"/>
      <c r="G111" s="79"/>
      <c r="H111" s="79"/>
    </row>
    <row r="112" spans="3:10">
      <c r="E112" s="79"/>
      <c r="F112" s="79"/>
      <c r="G112" s="79"/>
      <c r="H112" s="79"/>
    </row>
    <row r="113" spans="5:8">
      <c r="E113" s="79"/>
      <c r="F113" s="79"/>
      <c r="G113" s="79"/>
      <c r="H113" s="79"/>
    </row>
    <row r="114" spans="5:8">
      <c r="E114" s="79"/>
      <c r="F114" s="79"/>
      <c r="G114" s="79"/>
      <c r="H114" s="79"/>
    </row>
    <row r="116" spans="5:8">
      <c r="E116" s="79" t="s">
        <v>203</v>
      </c>
      <c r="F116" s="79"/>
      <c r="G116" s="79"/>
    </row>
    <row r="117" spans="5:8">
      <c r="E117" s="79"/>
      <c r="F117" s="79"/>
      <c r="G117" s="79"/>
    </row>
    <row r="118" spans="5:8">
      <c r="E118" s="79"/>
      <c r="F118" s="79"/>
      <c r="G118" s="79"/>
    </row>
    <row r="119" spans="5:8">
      <c r="E119" s="79"/>
      <c r="F119" s="79"/>
      <c r="G119" s="79"/>
    </row>
    <row r="120" spans="5:8">
      <c r="E120" s="79"/>
      <c r="F120" s="79"/>
      <c r="G120" s="79"/>
    </row>
    <row r="121" spans="5:8">
      <c r="E121" s="79"/>
      <c r="F121" s="79"/>
      <c r="G121" s="79"/>
    </row>
    <row r="122" spans="5:8">
      <c r="E122" s="79"/>
      <c r="F122" s="79"/>
      <c r="G122" s="79"/>
    </row>
    <row r="123" spans="5:8">
      <c r="E123" s="79"/>
      <c r="F123" s="79"/>
      <c r="G123" s="79"/>
    </row>
    <row r="124" spans="5:8">
      <c r="E124" s="79"/>
      <c r="F124" s="79"/>
      <c r="G124" s="79"/>
    </row>
    <row r="125" spans="5:8">
      <c r="E125" s="79"/>
      <c r="F125" s="79"/>
      <c r="G125" s="79"/>
    </row>
    <row r="126" spans="5:8">
      <c r="E126" s="79"/>
      <c r="F126" s="79"/>
      <c r="G126" s="79"/>
    </row>
    <row r="127" spans="5:8">
      <c r="E127" s="79"/>
      <c r="F127" s="79"/>
      <c r="G127" s="79"/>
    </row>
    <row r="130" spans="2:11">
      <c r="C130" s="79" t="s">
        <v>204</v>
      </c>
      <c r="D130" s="79"/>
      <c r="E130" s="79"/>
      <c r="F130" s="79"/>
      <c r="G130" s="79"/>
      <c r="H130" s="79"/>
      <c r="I130" s="79"/>
      <c r="J130" s="79"/>
    </row>
    <row r="131" spans="2:11">
      <c r="C131" s="79"/>
      <c r="D131" s="79"/>
      <c r="E131" s="79"/>
      <c r="F131" s="79"/>
      <c r="G131" s="79"/>
      <c r="H131" s="79"/>
      <c r="I131" s="79"/>
      <c r="J131" s="79"/>
    </row>
    <row r="132" spans="2:11">
      <c r="C132" s="79"/>
      <c r="D132" s="79"/>
      <c r="E132" s="79"/>
      <c r="F132" s="79"/>
      <c r="G132" s="79"/>
      <c r="H132" s="79"/>
      <c r="I132" s="79"/>
      <c r="J132" s="79"/>
    </row>
    <row r="133" spans="2:11">
      <c r="C133" s="79"/>
      <c r="D133" s="79"/>
      <c r="E133" s="79"/>
      <c r="F133" s="79"/>
      <c r="G133" s="79"/>
      <c r="H133" s="79"/>
      <c r="I133" s="79"/>
      <c r="J133" s="79"/>
    </row>
    <row r="134" spans="2:11">
      <c r="C134" s="79"/>
      <c r="D134" s="79"/>
      <c r="E134" s="79"/>
      <c r="F134" s="79"/>
      <c r="G134" s="79"/>
      <c r="H134" s="79"/>
      <c r="I134" s="79"/>
      <c r="J134" s="79"/>
    </row>
    <row r="137" spans="2:11" ht="18" thickBot="1">
      <c r="B137" s="77" t="s">
        <v>200</v>
      </c>
      <c r="C137" s="77"/>
      <c r="D137" s="77"/>
      <c r="E137" s="77"/>
      <c r="F137" s="77"/>
      <c r="G137" s="77"/>
      <c r="H137" s="77"/>
      <c r="I137" s="77"/>
      <c r="J137" s="77"/>
      <c r="K137" s="77"/>
    </row>
    <row r="138" spans="2:11" ht="15.75" thickTop="1"/>
    <row r="139" spans="2:11" ht="15" customHeight="1">
      <c r="C139" s="79" t="s">
        <v>206</v>
      </c>
      <c r="D139" s="79"/>
      <c r="E139" s="79"/>
      <c r="F139" s="79"/>
      <c r="G139" s="79"/>
      <c r="H139" s="79"/>
      <c r="I139" s="79"/>
      <c r="J139" s="79"/>
    </row>
    <row r="140" spans="2:11">
      <c r="C140" s="88" t="s">
        <v>207</v>
      </c>
      <c r="D140" s="79"/>
      <c r="E140" s="79"/>
      <c r="F140" s="79"/>
      <c r="G140" s="79"/>
      <c r="H140" s="79"/>
      <c r="I140" s="79"/>
      <c r="J140" s="79"/>
    </row>
    <row r="141" spans="2:11">
      <c r="C141" s="30"/>
      <c r="D141" s="30"/>
      <c r="E141" s="30"/>
      <c r="F141" s="30"/>
      <c r="G141" s="30"/>
      <c r="H141" s="30"/>
      <c r="I141" s="30"/>
      <c r="J141" s="30"/>
    </row>
    <row r="142" spans="2:11">
      <c r="C142" s="79" t="s">
        <v>208</v>
      </c>
      <c r="D142" s="79"/>
      <c r="E142" s="79"/>
      <c r="F142" s="79"/>
      <c r="G142" s="79"/>
      <c r="H142" s="79"/>
      <c r="I142" s="79"/>
      <c r="J142" s="79"/>
    </row>
    <row r="143" spans="2:11">
      <c r="C143" s="84" t="s">
        <v>209</v>
      </c>
      <c r="D143" s="85"/>
      <c r="E143" s="85"/>
      <c r="F143" s="85"/>
      <c r="G143" s="85"/>
      <c r="H143" s="85"/>
      <c r="I143" s="85"/>
      <c r="J143" s="85"/>
    </row>
    <row r="144" spans="2:11">
      <c r="C144" s="58"/>
      <c r="D144" s="57"/>
      <c r="E144" s="57"/>
      <c r="F144" s="57"/>
      <c r="G144" s="57"/>
      <c r="H144" s="57"/>
      <c r="I144" s="57"/>
      <c r="J144" s="57"/>
    </row>
    <row r="145" spans="2:11">
      <c r="C145" s="86" t="s">
        <v>211</v>
      </c>
      <c r="D145" s="87"/>
      <c r="E145" s="87"/>
      <c r="F145" s="87"/>
      <c r="G145" s="87"/>
      <c r="H145" s="87"/>
      <c r="I145" s="87"/>
      <c r="J145" s="87"/>
    </row>
    <row r="146" spans="2:11">
      <c r="C146" s="87" t="s">
        <v>210</v>
      </c>
      <c r="D146" s="87"/>
      <c r="E146" s="87"/>
      <c r="F146" s="87"/>
      <c r="G146" s="87"/>
      <c r="H146" s="87"/>
      <c r="I146" s="87"/>
      <c r="J146" s="87"/>
    </row>
    <row r="147" spans="2:11">
      <c r="C147" s="59"/>
      <c r="D147" s="59"/>
      <c r="E147" s="59"/>
      <c r="F147" s="59"/>
      <c r="G147" s="59"/>
      <c r="H147" s="59"/>
      <c r="I147" s="59"/>
      <c r="J147" s="59"/>
    </row>
    <row r="149" spans="2:11" ht="18" thickBot="1">
      <c r="B149" s="77" t="s">
        <v>101</v>
      </c>
      <c r="C149" s="77"/>
      <c r="D149" s="77"/>
      <c r="E149" s="77"/>
      <c r="F149" s="77"/>
      <c r="G149" s="77"/>
      <c r="H149" s="77"/>
      <c r="I149" s="77"/>
      <c r="J149" s="77"/>
      <c r="K149" s="77"/>
    </row>
    <row r="150" spans="2:11" ht="15.75" thickTop="1"/>
    <row r="151" spans="2:11" ht="18" thickBot="1">
      <c r="C151" s="77" t="s">
        <v>212</v>
      </c>
      <c r="D151" s="77"/>
      <c r="E151" s="77"/>
      <c r="F151" s="77"/>
      <c r="G151" s="77"/>
      <c r="H151" s="77"/>
      <c r="I151" s="77"/>
      <c r="J151" s="77"/>
    </row>
    <row r="152" spans="2:11" ht="15.75" thickTop="1"/>
    <row r="153" spans="2:11">
      <c r="D153" s="78" t="s">
        <v>213</v>
      </c>
      <c r="E153" s="79"/>
      <c r="F153" s="79"/>
      <c r="G153" s="79"/>
      <c r="H153" s="79"/>
      <c r="I153" s="79"/>
    </row>
    <row r="154" spans="2:11">
      <c r="D154" s="79"/>
      <c r="E154" s="79"/>
      <c r="F154" s="79"/>
      <c r="G154" s="79"/>
      <c r="H154" s="79"/>
      <c r="I154" s="79"/>
    </row>
    <row r="155" spans="2:11">
      <c r="D155" s="79"/>
      <c r="E155" s="79"/>
      <c r="F155" s="79"/>
      <c r="G155" s="79"/>
      <c r="H155" s="79"/>
      <c r="I155" s="79"/>
    </row>
  </sheetData>
  <sheetProtection sheet="1" objects="1" scenarios="1"/>
  <mergeCells count="35">
    <mergeCell ref="A1:L1"/>
    <mergeCell ref="A2:L2"/>
    <mergeCell ref="B4:K4"/>
    <mergeCell ref="B14:K14"/>
    <mergeCell ref="C16:J18"/>
    <mergeCell ref="G6:I6"/>
    <mergeCell ref="C145:J145"/>
    <mergeCell ref="C146:J146"/>
    <mergeCell ref="E110:H114"/>
    <mergeCell ref="E116:G127"/>
    <mergeCell ref="C130:J134"/>
    <mergeCell ref="C139:J139"/>
    <mergeCell ref="C140:J140"/>
    <mergeCell ref="C142:J142"/>
    <mergeCell ref="C21:J24"/>
    <mergeCell ref="B137:K137"/>
    <mergeCell ref="C26:D26"/>
    <mergeCell ref="C20:J20"/>
    <mergeCell ref="C143:J143"/>
    <mergeCell ref="C151:J151"/>
    <mergeCell ref="D153:I155"/>
    <mergeCell ref="B149:K149"/>
    <mergeCell ref="E26:F26"/>
    <mergeCell ref="B42:K42"/>
    <mergeCell ref="B96:K96"/>
    <mergeCell ref="H26:J26"/>
    <mergeCell ref="C44:J47"/>
    <mergeCell ref="C49:J52"/>
    <mergeCell ref="C64:J68"/>
    <mergeCell ref="C75:J78"/>
    <mergeCell ref="C80:J83"/>
    <mergeCell ref="C60:J62"/>
    <mergeCell ref="C85:J87"/>
    <mergeCell ref="C98:J102"/>
    <mergeCell ref="E104:J108"/>
  </mergeCells>
  <hyperlinks>
    <hyperlink ref="C140" r:id="rId1"/>
    <hyperlink ref="C143" r:id="rId2"/>
    <hyperlink ref="C146" r:id="rId3"/>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61" r:id="rId7" name="Radio_RedBlue">
              <controlPr defaultSize="0" autoFill="0" autoLine="0" autoPict="0" macro="[0]!WelcomeSheet.Radio_GameColour_Click">
                <anchor moveWithCells="1">
                  <from>
                    <xdr:col>7</xdr:col>
                    <xdr:colOff>104775</xdr:colOff>
                    <xdr:row>26</xdr:row>
                    <xdr:rowOff>0</xdr:rowOff>
                  </from>
                  <to>
                    <xdr:col>9</xdr:col>
                    <xdr:colOff>114300</xdr:colOff>
                    <xdr:row>27</xdr:row>
                    <xdr:rowOff>28575</xdr:rowOff>
                  </to>
                </anchor>
              </controlPr>
            </control>
          </mc:Choice>
        </mc:AlternateContent>
        <mc:AlternateContent xmlns:mc="http://schemas.openxmlformats.org/markup-compatibility/2006">
          <mc:Choice Requires="x14">
            <control shapeId="1062" r:id="rId8" name="Radio_Yellow">
              <controlPr defaultSize="0" autoFill="0" autoLine="0" autoPict="0" macro="[0]!WelcomeSheet.Radio_GameColour_Click">
                <anchor moveWithCells="1">
                  <from>
                    <xdr:col>7</xdr:col>
                    <xdr:colOff>104775</xdr:colOff>
                    <xdr:row>26</xdr:row>
                    <xdr:rowOff>190500</xdr:rowOff>
                  </from>
                  <to>
                    <xdr:col>9</xdr:col>
                    <xdr:colOff>114300</xdr:colOff>
                    <xdr:row>28</xdr:row>
                    <xdr:rowOff>19050</xdr:rowOff>
                  </to>
                </anchor>
              </controlPr>
            </control>
          </mc:Choice>
        </mc:AlternateContent>
        <mc:AlternateContent xmlns:mc="http://schemas.openxmlformats.org/markup-compatibility/2006">
          <mc:Choice Requires="x14">
            <control shapeId="1063" r:id="rId9" name="Radio_GoldSilver">
              <controlPr defaultSize="0" autoFill="0" autoLine="0" autoPict="0" macro="[0]!WelcomeSheet.Radio_GameColour_Click">
                <anchor moveWithCells="1">
                  <from>
                    <xdr:col>7</xdr:col>
                    <xdr:colOff>104775</xdr:colOff>
                    <xdr:row>27</xdr:row>
                    <xdr:rowOff>180975</xdr:rowOff>
                  </from>
                  <to>
                    <xdr:col>9</xdr:col>
                    <xdr:colOff>114300</xdr:colOff>
                    <xdr:row>29</xdr:row>
                    <xdr:rowOff>19050</xdr:rowOff>
                  </to>
                </anchor>
              </controlPr>
            </control>
          </mc:Choice>
        </mc:AlternateContent>
        <mc:AlternateContent xmlns:mc="http://schemas.openxmlformats.org/markup-compatibility/2006">
          <mc:Choice Requires="x14">
            <control shapeId="1064" r:id="rId10" name="Radio_Crystal">
              <controlPr defaultSize="0" autoFill="0" autoLine="0" autoPict="0" macro="[0]!WelcomeSheet.Radio_GameColour_Click">
                <anchor moveWithCells="1">
                  <from>
                    <xdr:col>7</xdr:col>
                    <xdr:colOff>104775</xdr:colOff>
                    <xdr:row>28</xdr:row>
                    <xdr:rowOff>180975</xdr:rowOff>
                  </from>
                  <to>
                    <xdr:col>9</xdr:col>
                    <xdr:colOff>114300</xdr:colOff>
                    <xdr:row>30</xdr:row>
                    <xdr:rowOff>19050</xdr:rowOff>
                  </to>
                </anchor>
              </controlPr>
            </control>
          </mc:Choice>
        </mc:AlternateContent>
        <mc:AlternateContent xmlns:mc="http://schemas.openxmlformats.org/markup-compatibility/2006">
          <mc:Choice Requires="x14">
            <control shapeId="1065" r:id="rId11" name="Radio_HeartGoldSoulSilver">
              <controlPr defaultSize="0" autoFill="0" autoLine="0" autoPict="0" macro="[0]!WelcomeSheet.Radio_GameColour_Click">
                <anchor moveWithCells="1">
                  <from>
                    <xdr:col>7</xdr:col>
                    <xdr:colOff>104775</xdr:colOff>
                    <xdr:row>34</xdr:row>
                    <xdr:rowOff>171450</xdr:rowOff>
                  </from>
                  <to>
                    <xdr:col>9</xdr:col>
                    <xdr:colOff>114300</xdr:colOff>
                    <xdr:row>36</xdr:row>
                    <xdr:rowOff>9525</xdr:rowOff>
                  </to>
                </anchor>
              </controlPr>
            </control>
          </mc:Choice>
        </mc:AlternateContent>
        <mc:AlternateContent xmlns:mc="http://schemas.openxmlformats.org/markup-compatibility/2006">
          <mc:Choice Requires="x14">
            <control shapeId="1066" r:id="rId12" name="Radio_Ruby/Sapphire">
              <controlPr defaultSize="0" autoFill="0" autoLine="0" autoPict="0" macro="[0]!WelcomeSheet.Radio_GameColour_Click">
                <anchor moveWithCells="1">
                  <from>
                    <xdr:col>7</xdr:col>
                    <xdr:colOff>104775</xdr:colOff>
                    <xdr:row>29</xdr:row>
                    <xdr:rowOff>190500</xdr:rowOff>
                  </from>
                  <to>
                    <xdr:col>9</xdr:col>
                    <xdr:colOff>114300</xdr:colOff>
                    <xdr:row>31</xdr:row>
                    <xdr:rowOff>9525</xdr:rowOff>
                  </to>
                </anchor>
              </controlPr>
            </control>
          </mc:Choice>
        </mc:AlternateContent>
        <mc:AlternateContent xmlns:mc="http://schemas.openxmlformats.org/markup-compatibility/2006">
          <mc:Choice Requires="x14">
            <control shapeId="1067" r:id="rId13" name="Radio_Emerald">
              <controlPr defaultSize="0" autoFill="0" autoLine="0" autoPict="0" macro="[0]!WelcomeSheet.Radio_GameColour_Click">
                <anchor moveWithCells="1">
                  <from>
                    <xdr:col>7</xdr:col>
                    <xdr:colOff>104775</xdr:colOff>
                    <xdr:row>31</xdr:row>
                    <xdr:rowOff>180975</xdr:rowOff>
                  </from>
                  <to>
                    <xdr:col>9</xdr:col>
                    <xdr:colOff>114300</xdr:colOff>
                    <xdr:row>33</xdr:row>
                    <xdr:rowOff>9525</xdr:rowOff>
                  </to>
                </anchor>
              </controlPr>
            </control>
          </mc:Choice>
        </mc:AlternateContent>
        <mc:AlternateContent xmlns:mc="http://schemas.openxmlformats.org/markup-compatibility/2006">
          <mc:Choice Requires="x14">
            <control shapeId="1068" r:id="rId14" name="Radio_DiamondPearl">
              <controlPr defaultSize="0" autoFill="0" autoLine="0" autoPict="0" macro="[0]!WelcomeSheet.Radio_GameColour_Click">
                <anchor moveWithCells="1">
                  <from>
                    <xdr:col>7</xdr:col>
                    <xdr:colOff>104775</xdr:colOff>
                    <xdr:row>32</xdr:row>
                    <xdr:rowOff>171450</xdr:rowOff>
                  </from>
                  <to>
                    <xdr:col>9</xdr:col>
                    <xdr:colOff>114300</xdr:colOff>
                    <xdr:row>34</xdr:row>
                    <xdr:rowOff>9525</xdr:rowOff>
                  </to>
                </anchor>
              </controlPr>
            </control>
          </mc:Choice>
        </mc:AlternateContent>
        <mc:AlternateContent xmlns:mc="http://schemas.openxmlformats.org/markup-compatibility/2006">
          <mc:Choice Requires="x14">
            <control shapeId="1069" r:id="rId15" name="Radio_Platinum">
              <controlPr defaultSize="0" autoFill="0" autoLine="0" autoPict="0" macro="[0]!WelcomeSheet.Radio_GameColour_Click">
                <anchor moveWithCells="1">
                  <from>
                    <xdr:col>7</xdr:col>
                    <xdr:colOff>104775</xdr:colOff>
                    <xdr:row>33</xdr:row>
                    <xdr:rowOff>171450</xdr:rowOff>
                  </from>
                  <to>
                    <xdr:col>9</xdr:col>
                    <xdr:colOff>114300</xdr:colOff>
                    <xdr:row>35</xdr:row>
                    <xdr:rowOff>9525</xdr:rowOff>
                  </to>
                </anchor>
              </controlPr>
            </control>
          </mc:Choice>
        </mc:AlternateContent>
        <mc:AlternateContent xmlns:mc="http://schemas.openxmlformats.org/markup-compatibility/2006">
          <mc:Choice Requires="x14">
            <control shapeId="1070" r:id="rId16" name="Radio_BlackWhite">
              <controlPr defaultSize="0" autoFill="0" autoLine="0" autoPict="0" macro="[0]!WelcomeSheet.Radio_GameColour_Click">
                <anchor moveWithCells="1">
                  <from>
                    <xdr:col>7</xdr:col>
                    <xdr:colOff>104775</xdr:colOff>
                    <xdr:row>35</xdr:row>
                    <xdr:rowOff>190500</xdr:rowOff>
                  </from>
                  <to>
                    <xdr:col>9</xdr:col>
                    <xdr:colOff>114300</xdr:colOff>
                    <xdr:row>37</xdr:row>
                    <xdr:rowOff>19050</xdr:rowOff>
                  </to>
                </anchor>
              </controlPr>
            </control>
          </mc:Choice>
        </mc:AlternateContent>
        <mc:AlternateContent xmlns:mc="http://schemas.openxmlformats.org/markup-compatibility/2006">
          <mc:Choice Requires="x14">
            <control shapeId="1071" r:id="rId17" name="Radio_Black2White2">
              <controlPr defaultSize="0" autoFill="0" autoLine="0" autoPict="0" macro="[0]!WelcomeSheet.Radio_GameColour_Click">
                <anchor moveWithCells="1">
                  <from>
                    <xdr:col>7</xdr:col>
                    <xdr:colOff>104775</xdr:colOff>
                    <xdr:row>36</xdr:row>
                    <xdr:rowOff>180975</xdr:rowOff>
                  </from>
                  <to>
                    <xdr:col>9</xdr:col>
                    <xdr:colOff>114300</xdr:colOff>
                    <xdr:row>38</xdr:row>
                    <xdr:rowOff>19050</xdr:rowOff>
                  </to>
                </anchor>
              </controlPr>
            </control>
          </mc:Choice>
        </mc:AlternateContent>
        <mc:AlternateContent xmlns:mc="http://schemas.openxmlformats.org/markup-compatibility/2006">
          <mc:Choice Requires="x14">
            <control shapeId="1072" r:id="rId18" name="Option Button 48">
              <controlPr defaultSize="0" autoFill="0" autoLine="0" autoPict="0" macro="[0]!WelcomeSheet.Radio_GameColour_Click">
                <anchor moveWithCells="1">
                  <from>
                    <xdr:col>7</xdr:col>
                    <xdr:colOff>104775</xdr:colOff>
                    <xdr:row>31</xdr:row>
                    <xdr:rowOff>0</xdr:rowOff>
                  </from>
                  <to>
                    <xdr:col>9</xdr:col>
                    <xdr:colOff>114300</xdr:colOff>
                    <xdr:row>32</xdr:row>
                    <xdr:rowOff>9525</xdr:rowOff>
                  </to>
                </anchor>
              </controlPr>
            </control>
          </mc:Choice>
        </mc:AlternateContent>
        <mc:AlternateContent xmlns:mc="http://schemas.openxmlformats.org/markup-compatibility/2006">
          <mc:Choice Requires="x14">
            <control shapeId="1073" r:id="rId19" name="Option Button 49">
              <controlPr defaultSize="0" autoFill="0" autoLine="0" autoPict="0" macro="[0]!WelcomeSheet.Radio_GameColour_Click">
                <anchor moveWithCells="1">
                  <from>
                    <xdr:col>7</xdr:col>
                    <xdr:colOff>104775</xdr:colOff>
                    <xdr:row>38</xdr:row>
                    <xdr:rowOff>0</xdr:rowOff>
                  </from>
                  <to>
                    <xdr:col>9</xdr:col>
                    <xdr:colOff>114300</xdr:colOff>
                    <xdr:row>39</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tyPkmSheet">
    <pageSetUpPr autoPageBreaks="0"/>
  </sheetPr>
  <dimension ref="A1:W17"/>
  <sheetViews>
    <sheetView showGridLines="0" zoomScaleNormal="100" workbookViewId="0">
      <pane ySplit="5" topLeftCell="A6" activePane="bottomLeft" state="frozen"/>
      <selection pane="bottomLeft" activeCell="E4" sqref="E4:F4"/>
    </sheetView>
  </sheetViews>
  <sheetFormatPr defaultColWidth="12.7109375" defaultRowHeight="15"/>
  <cols>
    <col min="1" max="1" width="7.42578125" style="18" customWidth="1"/>
    <col min="2" max="2" width="9.42578125" style="17" customWidth="1"/>
    <col min="3" max="3" width="12" style="32" customWidth="1"/>
    <col min="4" max="4" width="15.85546875" style="21" customWidth="1"/>
    <col min="5" max="6" width="14.7109375" style="17" customWidth="1"/>
    <col min="7" max="7" width="4.28515625" style="21" hidden="1" customWidth="1"/>
    <col min="8" max="9" width="5.42578125" style="17" hidden="1" customWidth="1"/>
    <col min="10" max="12" width="8.140625" style="17" hidden="1" customWidth="1"/>
    <col min="13" max="13" width="8.28515625" style="32" hidden="1" customWidth="1"/>
    <col min="14" max="14" width="19.28515625" style="32" customWidth="1"/>
    <col min="15" max="15" width="11.140625" customWidth="1"/>
    <col min="16" max="16" width="12.85546875" style="32" customWidth="1"/>
    <col min="17" max="17" width="11.7109375" style="32" customWidth="1"/>
    <col min="18" max="18" width="8" style="32" customWidth="1"/>
    <col min="19" max="19" width="11.140625" style="32" customWidth="1"/>
    <col min="20" max="20" width="4.140625" style="32" customWidth="1"/>
    <col min="21" max="21" width="29.42578125" style="53" customWidth="1"/>
    <col min="22" max="22" width="25.140625" style="17" hidden="1" customWidth="1"/>
    <col min="23" max="23" width="12.7109375" style="17" hidden="1" customWidth="1"/>
    <col min="24" max="16384" width="12.7109375" style="18"/>
  </cols>
  <sheetData>
    <row r="1" spans="1:23" s="38" customFormat="1" ht="15" customHeight="1">
      <c r="A1" s="41"/>
      <c r="B1" s="42"/>
      <c r="C1" s="42"/>
      <c r="D1" s="42"/>
      <c r="E1" s="101" t="s">
        <v>2931</v>
      </c>
      <c r="F1" s="101"/>
      <c r="G1" s="64"/>
      <c r="H1" s="42"/>
      <c r="I1" s="42"/>
      <c r="J1" s="42"/>
      <c r="K1" s="42"/>
      <c r="L1" s="42"/>
      <c r="M1" s="42"/>
      <c r="N1" s="42"/>
      <c r="O1" s="42"/>
      <c r="P1" s="42"/>
      <c r="Q1" s="42"/>
      <c r="R1" s="42"/>
      <c r="S1" s="42"/>
      <c r="T1" s="42"/>
      <c r="U1" s="41"/>
      <c r="V1" s="41"/>
      <c r="W1" s="41"/>
    </row>
    <row r="2" spans="1:23" s="38" customFormat="1" ht="15" customHeight="1">
      <c r="A2" s="41"/>
      <c r="B2" s="42"/>
      <c r="C2" s="42"/>
      <c r="D2" s="42"/>
      <c r="E2" s="101"/>
      <c r="F2" s="101"/>
      <c r="G2" s="64"/>
      <c r="H2" s="42"/>
      <c r="I2" s="42"/>
      <c r="J2" s="42"/>
      <c r="K2" s="42"/>
      <c r="L2" s="42"/>
      <c r="M2" s="42"/>
      <c r="N2" s="42"/>
      <c r="O2" s="42"/>
      <c r="P2" s="42"/>
      <c r="Q2" s="42"/>
      <c r="R2" s="42"/>
      <c r="S2" s="42"/>
      <c r="T2" s="42"/>
      <c r="U2" s="41"/>
      <c r="V2" s="41"/>
      <c r="W2" s="41"/>
    </row>
    <row r="3" spans="1:23" s="38" customFormat="1" ht="15" customHeight="1">
      <c r="A3" s="41"/>
      <c r="B3" s="42"/>
      <c r="C3" s="42"/>
      <c r="D3" s="42"/>
      <c r="E3" s="101"/>
      <c r="F3" s="101"/>
      <c r="G3" s="64"/>
      <c r="H3" s="42"/>
      <c r="I3" s="42"/>
      <c r="J3" s="42"/>
      <c r="K3" s="42"/>
      <c r="L3" s="42"/>
      <c r="M3" s="42"/>
      <c r="N3" s="42"/>
      <c r="O3" s="42"/>
      <c r="P3" s="42"/>
      <c r="Q3" s="42"/>
      <c r="R3" s="42"/>
      <c r="S3" s="42"/>
      <c r="T3" s="42"/>
      <c r="U3" s="41"/>
      <c r="V3" s="41"/>
      <c r="W3" s="41"/>
    </row>
    <row r="4" spans="1:23" s="38" customFormat="1" ht="15" customHeight="1">
      <c r="A4" s="41"/>
      <c r="B4" s="42"/>
      <c r="C4" s="42"/>
      <c r="D4" s="42"/>
      <c r="E4" s="102" t="s">
        <v>2413</v>
      </c>
      <c r="F4" s="102"/>
      <c r="G4" s="64"/>
      <c r="H4" s="42"/>
      <c r="I4" s="42"/>
      <c r="J4" s="42"/>
      <c r="K4" s="42"/>
      <c r="L4" s="42"/>
      <c r="M4" s="42"/>
      <c r="N4" s="42"/>
      <c r="O4" s="42"/>
      <c r="P4" s="42"/>
      <c r="Q4" s="42"/>
      <c r="R4" s="42"/>
      <c r="S4" s="42"/>
      <c r="T4" s="42"/>
      <c r="U4" s="41"/>
      <c r="V4" s="41"/>
      <c r="W4" s="41"/>
    </row>
    <row r="5" spans="1:23" s="39" customFormat="1" ht="14.25">
      <c r="A5" s="43" t="s">
        <v>128</v>
      </c>
      <c r="B5" s="43" t="s">
        <v>115</v>
      </c>
      <c r="C5" s="43" t="s">
        <v>120</v>
      </c>
      <c r="D5" s="43" t="s">
        <v>0</v>
      </c>
      <c r="E5" s="43" t="s">
        <v>1</v>
      </c>
      <c r="F5" s="43" t="s">
        <v>2</v>
      </c>
      <c r="G5" s="45" t="s">
        <v>150</v>
      </c>
      <c r="H5" s="45" t="s">
        <v>151</v>
      </c>
      <c r="I5" s="45" t="s">
        <v>152</v>
      </c>
      <c r="J5" s="45" t="s">
        <v>153</v>
      </c>
      <c r="K5" s="45" t="s">
        <v>154</v>
      </c>
      <c r="L5" s="45" t="s">
        <v>155</v>
      </c>
      <c r="M5" s="45" t="s">
        <v>156</v>
      </c>
      <c r="N5" s="43" t="s">
        <v>3</v>
      </c>
      <c r="O5" s="43" t="s">
        <v>188</v>
      </c>
      <c r="P5" s="43" t="s">
        <v>4</v>
      </c>
      <c r="Q5" s="43" t="s">
        <v>5</v>
      </c>
      <c r="R5" s="43" t="s">
        <v>6</v>
      </c>
      <c r="S5" s="43" t="s">
        <v>7</v>
      </c>
      <c r="T5" s="43" t="s">
        <v>8</v>
      </c>
      <c r="U5" s="43" t="s">
        <v>187</v>
      </c>
      <c r="V5" s="27" t="s">
        <v>157</v>
      </c>
      <c r="W5" s="43" t="s">
        <v>121</v>
      </c>
    </row>
    <row r="6" spans="1:23" customFormat="1">
      <c r="A6" s="95" t="s">
        <v>2929</v>
      </c>
      <c r="B6" s="92">
        <f ca="1">IF(ISNA(INDIRECT("'Pokedex'!$A" &amp; MATCH(INDIRECT("$D"&amp;ROW()), Pokedex!C:C,0))), "", INDIRECT("'Pokedex'!$A" &amp; MATCH(INDIRECT("$D"&amp;ROW()), Pokedex!C:C,0)))</f>
        <v>1</v>
      </c>
      <c r="C6" s="92"/>
      <c r="D6" s="98" t="s">
        <v>130</v>
      </c>
      <c r="E6" s="92" t="str">
        <f ca="1">IF(ISTEXT(INDIRECT("'Pokedex'!$D" &amp; MATCH(INDIRECT("$B"&amp;ROW()), Pokedex!$A:$A,0))), INDIRECT("'Pokedex'!$D" &amp; MATCH(INDIRECT("$B"&amp;ROW()), Pokedex!$A:$A,0)), "")</f>
        <v>Grass</v>
      </c>
      <c r="F6" s="92" t="str">
        <f ca="1">IF(ISTEXT(INDIRECT("'Pokedex'!$E" &amp; MATCH(INDIRECT("$B"&amp;ROW()), Pokedex!$A:$A,0))), INDIRECT("'Pokedex'!$E" &amp; MATCH(INDIRECT("$B"&amp;ROW()), Pokedex!$A:$A,0)), "")</f>
        <v>Poison</v>
      </c>
      <c r="G6" s="92">
        <f ca="1">IF(ISNA(INDIRECT("'Pokedex'!$F" &amp; MATCH(INDIRECT("$B"&amp;ROW()), Pokedex!$A:$A,0))), "--", INDIRECT("'Pokedex'!$F" &amp; MATCH(INDIRECT("$B"&amp;ROW()), Pokedex!$A:$A,0)))</f>
        <v>45</v>
      </c>
      <c r="H6" s="92">
        <f ca="1">IF(ISNA(INDIRECT("'Pokedex'!$G" &amp; MATCH(INDIRECT("$B"&amp;ROW()), Pokedex!$A:$A,0))), "--", INDIRECT("'Pokedex'!$G" &amp; MATCH(INDIRECT("$B"&amp;ROW()), Pokedex!$A:$A,0)))</f>
        <v>49</v>
      </c>
      <c r="I6" s="92">
        <f ca="1">IF(ISNA(INDIRECT("'Pokedex'!$H" &amp; MATCH(INDIRECT("$B"&amp;ROW()), Pokedex!$A:$A,0))), "--", INDIRECT("'Pokedex'!$H" &amp; MATCH(INDIRECT("$B"&amp;ROW()), Pokedex!$A:$A,0)))</f>
        <v>49</v>
      </c>
      <c r="J6" s="92">
        <f ca="1">IF(ISNA(INDIRECT("'Pokedex'!$I" &amp; MATCH(INDIRECT("$B"&amp;ROW()), Pokedex!$A:$A,0))), "--", INDIRECT("'Pokedex'!$I" &amp; MATCH(INDIRECT("$B"&amp;ROW()), Pokedex!$A:$A,0)))</f>
        <v>65</v>
      </c>
      <c r="K6" s="92">
        <f ca="1">IF(ISNA(INDIRECT("'Pokedex'!$J" &amp; MATCH(INDIRECT("$B"&amp;ROW()), Pokedex!$A:$A,0))), "--", INDIRECT("'Pokedex'!$J" &amp; MATCH(INDIRECT("$B"&amp;ROW()), Pokedex!$A:$A,0)))</f>
        <v>65</v>
      </c>
      <c r="L6" s="92">
        <f ca="1">IF(ISNA(INDIRECT("'Pokedex'!$K" &amp; MATCH(INDIRECT("$B"&amp;ROW()), Pokedex!$A:$A,0))), "--", INDIRECT("'Pokedex'!$K" &amp; MATCH(INDIRECT("$B"&amp;ROW()), Pokedex!$A:$A,0)))</f>
        <v>45</v>
      </c>
      <c r="M6" s="92">
        <f ca="1">IF(ISNA(INDIRECT("'Pokedex'!$L" &amp; MATCH(INDIRECT("$B"&amp;ROW()), Pokedex!$A:$A,0))), "--", INDIRECT("'Pokedex'!$L" &amp; MATCH(INDIRECT("$B"&amp;ROW()), Pokedex!$A:$A,0)))</f>
        <v>318</v>
      </c>
      <c r="N6" s="74" t="s">
        <v>145</v>
      </c>
      <c r="O6" s="71"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TM</v>
      </c>
      <c r="P6" s="71" t="str">
        <f ca="1">IF(ISNA(INDIRECT("'Movedex'!$B" &amp; MATCH(INDIRECT("$N"&amp;ROW()), Movedex!$A:$A,0))), "--", INDIRECT("'Movedex'!$B" &amp; MATCH(INDIRECT("$N"&amp;ROW()), Movedex!$A:$A,0)))</f>
        <v>Normal</v>
      </c>
      <c r="Q6" s="71" t="str">
        <f ca="1">IF(ISNA(INDIRECT("'Movedex'!$C" &amp; MATCH(INDIRECT("$N"&amp;ROW()), Movedex!$A:$A,0))), "--", INDIRECT("'Movedex'!$C" &amp; MATCH(INDIRECT("$N"&amp;ROW()), Movedex!$A:$A,0)))</f>
        <v>Status</v>
      </c>
      <c r="R6" s="71" t="str">
        <f ca="1">IF(ISNA(INDIRECT("'Movedex'!$D" &amp; MATCH(INDIRECT("$N"&amp;ROW()), Movedex!$A:$A,0))), "--", INDIRECT("'Movedex'!$D" &amp; MATCH(INDIRECT("$N"&amp;ROW()), Movedex!$A:$A,0)))</f>
        <v>-</v>
      </c>
      <c r="S6" s="71" t="str">
        <f ca="1">IF(ISNA(INDIRECT("'Movedex'!$E" &amp; MATCH(INDIRECT("$N"&amp;ROW()), Movedex!$A:$A,0))), "--", INDIRECT("'Movedex'!$E" &amp; MATCH(INDIRECT("$N"&amp;ROW()), Movedex!$A:$A,0)))</f>
        <v>-</v>
      </c>
      <c r="T6" s="71">
        <f ca="1">IF(ISNA(INDIRECT("'Movedex'!$F" &amp; MATCH(INDIRECT("$N"&amp;ROW()), Movedex!$A:$A,0))), "--", INDIRECT("'Movedex'!$F" &amp; MATCH(INDIRECT("$N"&amp;ROW()), Movedex!$A:$A,0)))</f>
        <v>30</v>
      </c>
      <c r="U6" s="68" t="str">
        <f ca="1">IF(ISNA(INDIRECT("'Movedex'!$G" &amp; MATCH(INDIRECT("$N"&amp;ROW()), Movedex!$A:$A,0))), "--", INDIRECT("'Movedex'!$G" &amp; MATCH(INDIRECT("$N"&amp;ROW()), Movedex!$A:$A,0)))</f>
        <v>Sharply raises user's Attack.</v>
      </c>
      <c r="V6" s="71"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'Pokedex'!$N2:CB2</v>
      </c>
      <c r="W6" s="65">
        <f>IF(MOD(ROW()-2, 4)=0, ROW(),IF(MOD(ROW()-2, 4)=1, ROW()-1, IF(MOD(ROW()-2, 4)=2, ROW()-2, ROW()-3)))</f>
        <v>6</v>
      </c>
    </row>
    <row r="7" spans="1:23" customFormat="1">
      <c r="A7" s="96"/>
      <c r="B7" s="93"/>
      <c r="C7" s="93"/>
      <c r="D7" s="99"/>
      <c r="E7" s="93"/>
      <c r="F7" s="93"/>
      <c r="G7" s="93"/>
      <c r="H7" s="93"/>
      <c r="I7" s="93"/>
      <c r="J7" s="93"/>
      <c r="K7" s="93"/>
      <c r="L7" s="93"/>
      <c r="M7" s="93"/>
      <c r="N7" s="75" t="s">
        <v>171</v>
      </c>
      <c r="O7"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Egg</v>
      </c>
      <c r="P7" s="72" t="str">
        <f ca="1">IF(ISNA(INDIRECT("'Movedex'!$B" &amp; MATCH(INDIRECT("$N"&amp;ROW()), Movedex!$A:$A,0))), "--", INDIRECT("'Movedex'!$B" &amp; MATCH(INDIRECT("$N"&amp;ROW()), Movedex!$A:$A,0)))</f>
        <v>Grass</v>
      </c>
      <c r="Q7" s="72" t="str">
        <f ca="1">IF(ISNA(INDIRECT("'Movedex'!$C" &amp; MATCH(INDIRECT("$N"&amp;ROW()), Movedex!$A:$A,0))), "--", INDIRECT("'Movedex'!$C" &amp; MATCH(INDIRECT("$N"&amp;ROW()), Movedex!$A:$A,0)))</f>
        <v>Special</v>
      </c>
      <c r="R7" s="72">
        <f ca="1">IF(ISNA(INDIRECT("'Movedex'!$D" &amp; MATCH(INDIRECT("$N"&amp;ROW()), Movedex!$A:$A,0))), "--", INDIRECT("'Movedex'!$D" &amp; MATCH(INDIRECT("$N"&amp;ROW()), Movedex!$A:$A,0)))</f>
        <v>75</v>
      </c>
      <c r="S7" s="72">
        <f ca="1">IF(ISNA(INDIRECT("'Movedex'!$E" &amp; MATCH(INDIRECT("$N"&amp;ROW()), Movedex!$A:$A,0))), "--", INDIRECT("'Movedex'!$E" &amp; MATCH(INDIRECT("$N"&amp;ROW()), Movedex!$A:$A,0)))</f>
        <v>100</v>
      </c>
      <c r="T7" s="72">
        <f ca="1">IF(ISNA(INDIRECT("'Movedex'!$F" &amp; MATCH(INDIRECT("$N"&amp;ROW()), Movedex!$A:$A,0))), "--", INDIRECT("'Movedex'!$F" &amp; MATCH(INDIRECT("$N"&amp;ROW()), Movedex!$A:$A,0)))</f>
        <v>10</v>
      </c>
      <c r="U7" s="69" t="str">
        <f ca="1">IF(ISNA(INDIRECT("'Movedex'!$G" &amp; MATCH(INDIRECT("$N"&amp;ROW()), Movedex!$A:$A,0))), "--", INDIRECT("'Movedex'!$G" &amp; MATCH(INDIRECT("$N"&amp;ROW()), Movedex!$A:$A,0)))</f>
        <v>User recovers half the HP inflicted on opponent.</v>
      </c>
      <c r="V7"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'Pokedex'!$N2:CB2</v>
      </c>
      <c r="W7" s="66">
        <f>IF(MOD(ROW()-2, 4)=0, ROW(),IF(MOD(ROW()-2, 4)=1, ROW()-1, IF(MOD(ROW()-2, 4)=2, ROW()-2, ROW()-3)))</f>
        <v>6</v>
      </c>
    </row>
    <row r="8" spans="1:23" customFormat="1">
      <c r="A8" s="96"/>
      <c r="B8" s="93"/>
      <c r="C8" s="93"/>
      <c r="D8" s="99"/>
      <c r="E8" s="93"/>
      <c r="F8" s="93"/>
      <c r="G8" s="93"/>
      <c r="H8" s="93"/>
      <c r="I8" s="93"/>
      <c r="J8" s="93"/>
      <c r="K8" s="93"/>
      <c r="L8" s="93"/>
      <c r="M8" s="93"/>
      <c r="N8" s="75" t="s">
        <v>149</v>
      </c>
      <c r="O8"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Level</v>
      </c>
      <c r="P8" s="72" t="str">
        <f ca="1">IF(ISNA(INDIRECT("'Movedex'!$B" &amp; MATCH(INDIRECT("$N"&amp;ROW()), Movedex!$A:$A,0))), "--", INDIRECT("'Movedex'!$B" &amp; MATCH(INDIRECT("$N"&amp;ROW()), Movedex!$A:$A,0)))</f>
        <v>Grass</v>
      </c>
      <c r="Q8" s="72" t="str">
        <f ca="1">IF(ISNA(INDIRECT("'Movedex'!$C" &amp; MATCH(INDIRECT("$N"&amp;ROW()), Movedex!$A:$A,0))), "--", INDIRECT("'Movedex'!$C" &amp; MATCH(INDIRECT("$N"&amp;ROW()), Movedex!$A:$A,0)))</f>
        <v>Physical</v>
      </c>
      <c r="R8" s="72">
        <f ca="1">IF(ISNA(INDIRECT("'Movedex'!$D" &amp; MATCH(INDIRECT("$N"&amp;ROW()), Movedex!$A:$A,0))), "--", INDIRECT("'Movedex'!$D" &amp; MATCH(INDIRECT("$N"&amp;ROW()), Movedex!$A:$A,0)))</f>
        <v>35</v>
      </c>
      <c r="S8" s="72">
        <f ca="1">IF(ISNA(INDIRECT("'Movedex'!$E" &amp; MATCH(INDIRECT("$N"&amp;ROW()), Movedex!$A:$A,0))), "--", INDIRECT("'Movedex'!$E" &amp; MATCH(INDIRECT("$N"&amp;ROW()), Movedex!$A:$A,0)))</f>
        <v>100</v>
      </c>
      <c r="T8" s="72">
        <f ca="1">IF(ISNA(INDIRECT("'Movedex'!$F" &amp; MATCH(INDIRECT("$N"&amp;ROW()), Movedex!$A:$A,0))), "--", INDIRECT("'Movedex'!$F" &amp; MATCH(INDIRECT("$N"&amp;ROW()), Movedex!$A:$A,0)))</f>
        <v>15</v>
      </c>
      <c r="U8" s="69">
        <f ca="1">IF(ISNA(INDIRECT("'Movedex'!$G" &amp; MATCH(INDIRECT("$N"&amp;ROW()), Movedex!$A:$A,0))), "--", INDIRECT("'Movedex'!$G" &amp; MATCH(INDIRECT("$N"&amp;ROW()), Movedex!$A:$A,0)))</f>
        <v>0</v>
      </c>
      <c r="V8"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'Pokedex'!$N2:CB2</v>
      </c>
      <c r="W8" s="66">
        <f>IF(MOD(ROW()-2, 4)=0, ROW(),IF(MOD(ROW()-2, 4)=1, ROW()-1, IF(MOD(ROW()-2, 4)=2, ROW()-2, ROW()-3)))</f>
        <v>6</v>
      </c>
    </row>
    <row r="9" spans="1:23" customFormat="1">
      <c r="A9" s="97"/>
      <c r="B9" s="94"/>
      <c r="C9" s="94"/>
      <c r="D9" s="100"/>
      <c r="E9" s="94"/>
      <c r="F9" s="94"/>
      <c r="G9" s="94"/>
      <c r="H9" s="94"/>
      <c r="I9" s="94"/>
      <c r="J9" s="94"/>
      <c r="K9" s="94"/>
      <c r="L9" s="94"/>
      <c r="M9" s="94"/>
      <c r="N9" s="76" t="s">
        <v>148</v>
      </c>
      <c r="O9" s="73"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TM</v>
      </c>
      <c r="P9" s="73" t="str">
        <f ca="1">IF(ISNA(INDIRECT("'Movedex'!$B" &amp; MATCH(INDIRECT("$N"&amp;ROW()), Movedex!$A:$A,0))), "--", INDIRECT("'Movedex'!$B" &amp; MATCH(INDIRECT("$N"&amp;ROW()), Movedex!$A:$A,0)))</f>
        <v>Poison</v>
      </c>
      <c r="Q9" s="73" t="str">
        <f ca="1">IF(ISNA(INDIRECT("'Movedex'!$C" &amp; MATCH(INDIRECT("$N"&amp;ROW()), Movedex!$A:$A,0))), "--", INDIRECT("'Movedex'!$C" &amp; MATCH(INDIRECT("$N"&amp;ROW()), Movedex!$A:$A,0)))</f>
        <v>Status</v>
      </c>
      <c r="R9" s="73" t="str">
        <f ca="1">IF(ISNA(INDIRECT("'Movedex'!$D" &amp; MATCH(INDIRECT("$N"&amp;ROW()), Movedex!$A:$A,0))), "--", INDIRECT("'Movedex'!$D" &amp; MATCH(INDIRECT("$N"&amp;ROW()), Movedex!$A:$A,0)))</f>
        <v>-</v>
      </c>
      <c r="S9" s="73">
        <f ca="1">IF(ISNA(INDIRECT("'Movedex'!$E" &amp; MATCH(INDIRECT("$N"&amp;ROW()), Movedex!$A:$A,0))), "--", INDIRECT("'Movedex'!$E" &amp; MATCH(INDIRECT("$N"&amp;ROW()), Movedex!$A:$A,0)))</f>
        <v>90</v>
      </c>
      <c r="T9" s="73">
        <f ca="1">IF(ISNA(INDIRECT("'Movedex'!$F" &amp; MATCH(INDIRECT("$N"&amp;ROW()), Movedex!$A:$A,0))), "--", INDIRECT("'Movedex'!$F" &amp; MATCH(INDIRECT("$N"&amp;ROW()), Movedex!$A:$A,0)))</f>
        <v>10</v>
      </c>
      <c r="U9" s="70" t="str">
        <f ca="1">IF(ISNA(INDIRECT("'Movedex'!$G" &amp; MATCH(INDIRECT("$N"&amp;ROW()), Movedex!$A:$A,0))), "--", INDIRECT("'Movedex'!$G" &amp; MATCH(INDIRECT("$N"&amp;ROW()), Movedex!$A:$A,0)))</f>
        <v>Badly poisons opponent.</v>
      </c>
      <c r="V9" s="73"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'Pokedex'!$N2:CB2</v>
      </c>
      <c r="W9" s="67">
        <f>IF(MOD(ROW()-2, 4)=0, ROW(),IF(MOD(ROW()-2, 4)=1, ROW()-1, IF(MOD(ROW()-2, 4)=2, ROW()-2, ROW()-3)))</f>
        <v>6</v>
      </c>
    </row>
    <row r="10" spans="1:23" customFormat="1">
      <c r="A10" s="95" t="s">
        <v>28</v>
      </c>
      <c r="B10" s="92">
        <f ca="1">IF(ISNA(INDIRECT("'Pokedex'!$A" &amp; MATCH(INDIRECT("$D"&amp;ROW()), Pokedex!C:C,0))), "", INDIRECT("'Pokedex'!$A" &amp; MATCH(INDIRECT("$D"&amp;ROW()), Pokedex!C:C,0)))</f>
        <v>4</v>
      </c>
      <c r="C10" s="92"/>
      <c r="D10" s="98" t="s">
        <v>131</v>
      </c>
      <c r="E10" s="92" t="str">
        <f ca="1">IF(ISTEXT(INDIRECT("'Pokedex'!$D" &amp; MATCH(INDIRECT("$B"&amp;ROW()), Pokedex!$A:$A,0))), INDIRECT("'Pokedex'!$D" &amp; MATCH(INDIRECT("$B"&amp;ROW()), Pokedex!$A:$A,0)), "")</f>
        <v>Fire</v>
      </c>
      <c r="F10" s="92" t="str">
        <f ca="1">IF(ISTEXT(INDIRECT("'Pokedex'!$E" &amp; MATCH(INDIRECT("$B"&amp;ROW()), Pokedex!$A:$A,0))), INDIRECT("'Pokedex'!$E" &amp; MATCH(INDIRECT("$B"&amp;ROW()), Pokedex!$A:$A,0)), "")</f>
        <v/>
      </c>
      <c r="G10" s="92">
        <f ca="1">IF(ISNA(INDIRECT("'Pokedex'!$F" &amp; MATCH(INDIRECT("$B"&amp;ROW()), Pokedex!$A:$A,0))), "--", INDIRECT("'Pokedex'!$F" &amp; MATCH(INDIRECT("$B"&amp;ROW()), Pokedex!$A:$A,0)))</f>
        <v>39</v>
      </c>
      <c r="H10" s="92">
        <f ca="1">IF(ISNA(INDIRECT("'Pokedex'!$G" &amp; MATCH(INDIRECT("$B"&amp;ROW()), Pokedex!$A:$A,0))), "--", INDIRECT("'Pokedex'!$G" &amp; MATCH(INDIRECT("$B"&amp;ROW()), Pokedex!$A:$A,0)))</f>
        <v>52</v>
      </c>
      <c r="I10" s="92">
        <f ca="1">IF(ISNA(INDIRECT("'Pokedex'!$H" &amp; MATCH(INDIRECT("$B"&amp;ROW()), Pokedex!$A:$A,0))), "--", INDIRECT("'Pokedex'!$H" &amp; MATCH(INDIRECT("$B"&amp;ROW()), Pokedex!$A:$A,0)))</f>
        <v>43</v>
      </c>
      <c r="J10" s="92">
        <f ca="1">IF(ISNA(INDIRECT("'Pokedex'!$I" &amp; MATCH(INDIRECT("$B"&amp;ROW()), Pokedex!$A:$A,0))), "--", INDIRECT("'Pokedex'!$I" &amp; MATCH(INDIRECT("$B"&amp;ROW()), Pokedex!$A:$A,0)))</f>
        <v>60</v>
      </c>
      <c r="K10" s="92">
        <f ca="1">IF(ISNA(INDIRECT("'Pokedex'!$J" &amp; MATCH(INDIRECT("$B"&amp;ROW()), Pokedex!$A:$A,0))), "--", INDIRECT("'Pokedex'!$J" &amp; MATCH(INDIRECT("$B"&amp;ROW()), Pokedex!$A:$A,0)))</f>
        <v>50</v>
      </c>
      <c r="L10" s="92">
        <f ca="1">IF(ISNA(INDIRECT("'Pokedex'!$K" &amp; MATCH(INDIRECT("$B"&amp;ROW()), Pokedex!$A:$A,0))), "--", INDIRECT("'Pokedex'!$K" &amp; MATCH(INDIRECT("$B"&amp;ROW()), Pokedex!$A:$A,0)))</f>
        <v>65</v>
      </c>
      <c r="M10" s="92">
        <f ca="1">IF(ISNA(INDIRECT("'Pokedex'!$L" &amp; MATCH(INDIRECT("$B"&amp;ROW()), Pokedex!$A:$A,0))), "--", INDIRECT("'Pokedex'!$L" &amp; MATCH(INDIRECT("$B"&amp;ROW()), Pokedex!$A:$A,0)))</f>
        <v>309</v>
      </c>
      <c r="N10" s="74" t="s">
        <v>185</v>
      </c>
      <c r="O10" s="71"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Level</v>
      </c>
      <c r="P10" s="71" t="str">
        <f ca="1">IF(ISNA(INDIRECT("'Movedex'!$B" &amp; MATCH(INDIRECT("$N"&amp;ROW()), Movedex!$A:$A,0))), "--", INDIRECT("'Movedex'!$B" &amp; MATCH(INDIRECT("$N"&amp;ROW()), Movedex!$A:$A,0)))</f>
        <v>Fire</v>
      </c>
      <c r="Q10" s="71" t="str">
        <f ca="1">IF(ISNA(INDIRECT("'Movedex'!$C" &amp; MATCH(INDIRECT("$N"&amp;ROW()), Movedex!$A:$A,0))), "--", INDIRECT("'Movedex'!$C" &amp; MATCH(INDIRECT("$N"&amp;ROW()), Movedex!$A:$A,0)))</f>
        <v>Special</v>
      </c>
      <c r="R10" s="71">
        <f ca="1">IF(ISNA(INDIRECT("'Movedex'!$D" &amp; MATCH(INDIRECT("$N"&amp;ROW()), Movedex!$A:$A,0))), "--", INDIRECT("'Movedex'!$D" &amp; MATCH(INDIRECT("$N"&amp;ROW()), Movedex!$A:$A,0)))</f>
        <v>100</v>
      </c>
      <c r="S10" s="71">
        <f ca="1">IF(ISNA(INDIRECT("'Movedex'!$E" &amp; MATCH(INDIRECT("$N"&amp;ROW()), Movedex!$A:$A,0))), "--", INDIRECT("'Movedex'!$E" &amp; MATCH(INDIRECT("$N"&amp;ROW()), Movedex!$A:$A,0)))</f>
        <v>50</v>
      </c>
      <c r="T10" s="71">
        <f ca="1">IF(ISNA(INDIRECT("'Movedex'!$F" &amp; MATCH(INDIRECT("$N"&amp;ROW()), Movedex!$A:$A,0))), "--", INDIRECT("'Movedex'!$F" &amp; MATCH(INDIRECT("$N"&amp;ROW()), Movedex!$A:$A,0)))</f>
        <v>5</v>
      </c>
      <c r="U10" s="68" t="str">
        <f ca="1">IF(ISNA(INDIRECT("'Movedex'!$G" &amp; MATCH(INDIRECT("$N"&amp;ROW()), Movedex!$A:$A,0))), "--", INDIRECT("'Movedex'!$G" &amp; MATCH(INDIRECT("$N"&amp;ROW()), Movedex!$A:$A,0)))</f>
        <v>Burns opponent.</v>
      </c>
      <c r="V10" s="71"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'Pokedex'!$N6:CE6</v>
      </c>
      <c r="W10" s="65">
        <f>IF(MOD(ROW()-2, 4)=0, ROW(),IF(MOD(ROW()-2, 4)=1, ROW()-1, IF(MOD(ROW()-2, 4)=2, ROW()-2, ROW()-3)))</f>
        <v>10</v>
      </c>
    </row>
    <row r="11" spans="1:23" customFormat="1">
      <c r="A11" s="96"/>
      <c r="B11" s="93"/>
      <c r="C11" s="93"/>
      <c r="D11" s="99"/>
      <c r="E11" s="93"/>
      <c r="F11" s="93"/>
      <c r="G11" s="93"/>
      <c r="H11" s="93"/>
      <c r="I11" s="93"/>
      <c r="J11" s="93"/>
      <c r="K11" s="93"/>
      <c r="L11" s="93"/>
      <c r="M11" s="93"/>
      <c r="N11" s="75" t="s">
        <v>1030</v>
      </c>
      <c r="O11"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TM</v>
      </c>
      <c r="P11" s="72" t="str">
        <f ca="1">IF(ISNA(INDIRECT("'Movedex'!$B" &amp; MATCH(INDIRECT("$N"&amp;ROW()), Movedex!$A:$A,0))), "--", INDIRECT("'Movedex'!$B" &amp; MATCH(INDIRECT("$N"&amp;ROW()), Movedex!$A:$A,0)))</f>
        <v>Dark</v>
      </c>
      <c r="Q11" s="72" t="str">
        <f ca="1">IF(ISNA(INDIRECT("'Movedex'!$C" &amp; MATCH(INDIRECT("$N"&amp;ROW()), Movedex!$A:$A,0))), "--", INDIRECT("'Movedex'!$C" &amp; MATCH(INDIRECT("$N"&amp;ROW()), Movedex!$A:$A,0)))</f>
        <v>Status</v>
      </c>
      <c r="R11" s="72" t="str">
        <f ca="1">IF(ISNA(INDIRECT("'Movedex'!$D" &amp; MATCH(INDIRECT("$N"&amp;ROW()), Movedex!$A:$A,0))), "--", INDIRECT("'Movedex'!$D" &amp; MATCH(INDIRECT("$N"&amp;ROW()), Movedex!$A:$A,0)))</f>
        <v>-</v>
      </c>
      <c r="S11" s="72" t="str">
        <f ca="1">IF(ISNA(INDIRECT("'Movedex'!$E" &amp; MATCH(INDIRECT("$N"&amp;ROW()), Movedex!$A:$A,0))), "--", INDIRECT("'Movedex'!$E" &amp; MATCH(INDIRECT("$N"&amp;ROW()), Movedex!$A:$A,0)))</f>
        <v>-</v>
      </c>
      <c r="T11" s="72">
        <f ca="1">IF(ISNA(INDIRECT("'Movedex'!$F" &amp; MATCH(INDIRECT("$N"&amp;ROW()), Movedex!$A:$A,0))), "--", INDIRECT("'Movedex'!$F" &amp; MATCH(INDIRECT("$N"&amp;ROW()), Movedex!$A:$A,0)))</f>
        <v>15</v>
      </c>
      <c r="U11" s="69" t="str">
        <f ca="1">IF(ISNA(INDIRECT("'Movedex'!$G" &amp; MATCH(INDIRECT("$N"&amp;ROW()), Movedex!$A:$A,0))), "--", INDIRECT("'Movedex'!$G" &amp; MATCH(INDIRECT("$N"&amp;ROW()), Movedex!$A:$A,0)))</f>
        <v>Raises user's Attack and Accuracy.</v>
      </c>
      <c r="V11"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'Pokedex'!$N6:CE6</v>
      </c>
      <c r="W11" s="66">
        <f>IF(MOD(ROW()-2, 4)=0, ROW(),IF(MOD(ROW()-2, 4)=1, ROW()-1, IF(MOD(ROW()-2, 4)=2, ROW()-2, ROW()-3)))</f>
        <v>10</v>
      </c>
    </row>
    <row r="12" spans="1:23" customFormat="1">
      <c r="A12" s="96"/>
      <c r="B12" s="93"/>
      <c r="C12" s="93"/>
      <c r="D12" s="99"/>
      <c r="E12" s="93"/>
      <c r="F12" s="93"/>
      <c r="G12" s="93"/>
      <c r="H12" s="93"/>
      <c r="I12" s="93"/>
      <c r="J12" s="93"/>
      <c r="K12" s="93"/>
      <c r="L12" s="93"/>
      <c r="M12" s="93"/>
      <c r="N12" s="75" t="s">
        <v>180</v>
      </c>
      <c r="O12"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Egg</v>
      </c>
      <c r="P12" s="72" t="str">
        <f ca="1">IF(ISNA(INDIRECT("'Movedex'!$B" &amp; MATCH(INDIRECT("$N"&amp;ROW()), Movedex!$A:$A,0))), "--", INDIRECT("'Movedex'!$B" &amp; MATCH(INDIRECT("$N"&amp;ROW()), Movedex!$A:$A,0)))</f>
        <v>Dragon</v>
      </c>
      <c r="Q12" s="72" t="str">
        <f ca="1">IF(ISNA(INDIRECT("'Movedex'!$C" &amp; MATCH(INDIRECT("$N"&amp;ROW()), Movedex!$A:$A,0))), "--", INDIRECT("'Movedex'!$C" &amp; MATCH(INDIRECT("$N"&amp;ROW()), Movedex!$A:$A,0)))</f>
        <v>Physical</v>
      </c>
      <c r="R12" s="72">
        <f ca="1">IF(ISNA(INDIRECT("'Movedex'!$D" &amp; MATCH(INDIRECT("$N"&amp;ROW()), Movedex!$A:$A,0))), "--", INDIRECT("'Movedex'!$D" &amp; MATCH(INDIRECT("$N"&amp;ROW()), Movedex!$A:$A,0)))</f>
        <v>100</v>
      </c>
      <c r="S12" s="72">
        <f ca="1">IF(ISNA(INDIRECT("'Movedex'!$E" &amp; MATCH(INDIRECT("$N"&amp;ROW()), Movedex!$A:$A,0))), "--", INDIRECT("'Movedex'!$E" &amp; MATCH(INDIRECT("$N"&amp;ROW()), Movedex!$A:$A,0)))</f>
        <v>75</v>
      </c>
      <c r="T12" s="72">
        <f ca="1">IF(ISNA(INDIRECT("'Movedex'!$F" &amp; MATCH(INDIRECT("$N"&amp;ROW()), Movedex!$A:$A,0))), "--", INDIRECT("'Movedex'!$F" &amp; MATCH(INDIRECT("$N"&amp;ROW()), Movedex!$A:$A,0)))</f>
        <v>10</v>
      </c>
      <c r="U12" s="69" t="str">
        <f ca="1">IF(ISNA(INDIRECT("'Movedex'!$G" &amp; MATCH(INDIRECT("$N"&amp;ROW()), Movedex!$A:$A,0))), "--", INDIRECT("'Movedex'!$G" &amp; MATCH(INDIRECT("$N"&amp;ROW()), Movedex!$A:$A,0)))</f>
        <v>May cause flinching.</v>
      </c>
      <c r="V12"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'Pokedex'!$N6:CE6</v>
      </c>
      <c r="W12" s="66">
        <f>IF(MOD(ROW()-2, 4)=0, ROW(),IF(MOD(ROW()-2, 4)=1, ROW()-1, IF(MOD(ROW()-2, 4)=2, ROW()-2, ROW()-3)))</f>
        <v>10</v>
      </c>
    </row>
    <row r="13" spans="1:23" customFormat="1">
      <c r="A13" s="97"/>
      <c r="B13" s="94"/>
      <c r="C13" s="94"/>
      <c r="D13" s="100"/>
      <c r="E13" s="94"/>
      <c r="F13" s="94"/>
      <c r="G13" s="94"/>
      <c r="H13" s="94"/>
      <c r="I13" s="94"/>
      <c r="J13" s="94"/>
      <c r="K13" s="94"/>
      <c r="L13" s="94"/>
      <c r="M13" s="94"/>
      <c r="N13" s="76" t="s">
        <v>182</v>
      </c>
      <c r="O13" s="73"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Level</v>
      </c>
      <c r="P13" s="73" t="str">
        <f ca="1">IF(ISNA(INDIRECT("'Movedex'!$B" &amp; MATCH(INDIRECT("$N"&amp;ROW()), Movedex!$A:$A,0))), "--", INDIRECT("'Movedex'!$B" &amp; MATCH(INDIRECT("$N"&amp;ROW()), Movedex!$A:$A,0)))</f>
        <v>Fire</v>
      </c>
      <c r="Q13" s="73" t="str">
        <f ca="1">IF(ISNA(INDIRECT("'Movedex'!$C" &amp; MATCH(INDIRECT("$N"&amp;ROW()), Movedex!$A:$A,0))), "--", INDIRECT("'Movedex'!$C" &amp; MATCH(INDIRECT("$N"&amp;ROW()), Movedex!$A:$A,0)))</f>
        <v>Physical</v>
      </c>
      <c r="R13" s="73">
        <f ca="1">IF(ISNA(INDIRECT("'Movedex'!$D" &amp; MATCH(INDIRECT("$N"&amp;ROW()), Movedex!$A:$A,0))), "--", INDIRECT("'Movedex'!$D" &amp; MATCH(INDIRECT("$N"&amp;ROW()), Movedex!$A:$A,0)))</f>
        <v>65</v>
      </c>
      <c r="S13" s="73">
        <f ca="1">IF(ISNA(INDIRECT("'Movedex'!$E" &amp; MATCH(INDIRECT("$N"&amp;ROW()), Movedex!$A:$A,0))), "--", INDIRECT("'Movedex'!$E" &amp; MATCH(INDIRECT("$N"&amp;ROW()), Movedex!$A:$A,0)))</f>
        <v>95</v>
      </c>
      <c r="T13" s="73">
        <f ca="1">IF(ISNA(INDIRECT("'Movedex'!$F" &amp; MATCH(INDIRECT("$N"&amp;ROW()), Movedex!$A:$A,0))), "--", INDIRECT("'Movedex'!$F" &amp; MATCH(INDIRECT("$N"&amp;ROW()), Movedex!$A:$A,0)))</f>
        <v>15</v>
      </c>
      <c r="U13" s="70" t="str">
        <f ca="1">IF(ISNA(INDIRECT("'Movedex'!$G" &amp; MATCH(INDIRECT("$N"&amp;ROW()), Movedex!$A:$A,0))), "--", INDIRECT("'Movedex'!$G" &amp; MATCH(INDIRECT("$N"&amp;ROW()), Movedex!$A:$A,0)))</f>
        <v>May cause flinching and/or burn opponent.</v>
      </c>
      <c r="V13" s="73"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'Pokedex'!$N6:CE6</v>
      </c>
      <c r="W13" s="67">
        <f>IF(MOD(ROW()-2, 4)=0, ROW(),IF(MOD(ROW()-2, 4)=1, ROW()-1, IF(MOD(ROW()-2, 4)=2, ROW()-2, ROW()-3)))</f>
        <v>10</v>
      </c>
    </row>
    <row r="14" spans="1:23" customFormat="1">
      <c r="A14" s="95" t="s">
        <v>2930</v>
      </c>
      <c r="B14" s="92">
        <f ca="1">IF(ISNA(INDIRECT("'Pokedex'!$A" &amp; MATCH(INDIRECT("$D"&amp;ROW()), Pokedex!C:C,0))), "", INDIRECT("'Pokedex'!$A" &amp; MATCH(INDIRECT("$D"&amp;ROW()), Pokedex!C:C,0)))</f>
        <v>7</v>
      </c>
      <c r="C14" s="92"/>
      <c r="D14" s="98" t="s">
        <v>132</v>
      </c>
      <c r="E14" s="92" t="str">
        <f ca="1">IF(ISTEXT(INDIRECT("'Pokedex'!$D" &amp; MATCH(INDIRECT("$B"&amp;ROW()), Pokedex!$A:$A,0))), INDIRECT("'Pokedex'!$D" &amp; MATCH(INDIRECT("$B"&amp;ROW()), Pokedex!$A:$A,0)), "")</f>
        <v>Water</v>
      </c>
      <c r="F14" s="92" t="str">
        <f ca="1">IF(ISTEXT(INDIRECT("'Pokedex'!$E" &amp; MATCH(INDIRECT("$B"&amp;ROW()), Pokedex!$A:$A,0))), INDIRECT("'Pokedex'!$E" &amp; MATCH(INDIRECT("$B"&amp;ROW()), Pokedex!$A:$A,0)), "")</f>
        <v/>
      </c>
      <c r="G14" s="92">
        <f ca="1">IF(ISNA(INDIRECT("'Pokedex'!$F" &amp; MATCH(INDIRECT("$B"&amp;ROW()), Pokedex!$A:$A,0))), "--", INDIRECT("'Pokedex'!$F" &amp; MATCH(INDIRECT("$B"&amp;ROW()), Pokedex!$A:$A,0)))</f>
        <v>44</v>
      </c>
      <c r="H14" s="92">
        <f ca="1">IF(ISNA(INDIRECT("'Pokedex'!$G" &amp; MATCH(INDIRECT("$B"&amp;ROW()), Pokedex!$A:$A,0))), "--", INDIRECT("'Pokedex'!$G" &amp; MATCH(INDIRECT("$B"&amp;ROW()), Pokedex!$A:$A,0)))</f>
        <v>48</v>
      </c>
      <c r="I14" s="92">
        <f ca="1">IF(ISNA(INDIRECT("'Pokedex'!$H" &amp; MATCH(INDIRECT("$B"&amp;ROW()), Pokedex!$A:$A,0))), "--", INDIRECT("'Pokedex'!$H" &amp; MATCH(INDIRECT("$B"&amp;ROW()), Pokedex!$A:$A,0)))</f>
        <v>65</v>
      </c>
      <c r="J14" s="92">
        <f ca="1">IF(ISNA(INDIRECT("'Pokedex'!$I" &amp; MATCH(INDIRECT("$B"&amp;ROW()), Pokedex!$A:$A,0))), "--", INDIRECT("'Pokedex'!$I" &amp; MATCH(INDIRECT("$B"&amp;ROW()), Pokedex!$A:$A,0)))</f>
        <v>50</v>
      </c>
      <c r="K14" s="92">
        <f ca="1">IF(ISNA(INDIRECT("'Pokedex'!$J" &amp; MATCH(INDIRECT("$B"&amp;ROW()), Pokedex!$A:$A,0))), "--", INDIRECT("'Pokedex'!$J" &amp; MATCH(INDIRECT("$B"&amp;ROW()), Pokedex!$A:$A,0)))</f>
        <v>64</v>
      </c>
      <c r="L14" s="92">
        <f ca="1">IF(ISNA(INDIRECT("'Pokedex'!$K" &amp; MATCH(INDIRECT("$B"&amp;ROW()), Pokedex!$A:$A,0))), "--", INDIRECT("'Pokedex'!$K" &amp; MATCH(INDIRECT("$B"&amp;ROW()), Pokedex!$A:$A,0)))</f>
        <v>43</v>
      </c>
      <c r="M14" s="92">
        <f ca="1">IF(ISNA(INDIRECT("'Pokedex'!$L" &amp; MATCH(INDIRECT("$B"&amp;ROW()), Pokedex!$A:$A,0))), "--", INDIRECT("'Pokedex'!$L" &amp; MATCH(INDIRECT("$B"&amp;ROW()), Pokedex!$A:$A,0)))</f>
        <v>314</v>
      </c>
      <c r="N14" s="74" t="s">
        <v>178</v>
      </c>
      <c r="O14" s="71"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Egg</v>
      </c>
      <c r="P14" s="71" t="str">
        <f ca="1">IF(ISNA(INDIRECT("'Movedex'!$B" &amp; MATCH(INDIRECT("$N"&amp;ROW()), Movedex!$A:$A,0))), "--", INDIRECT("'Movedex'!$B" &amp; MATCH(INDIRECT("$N"&amp;ROW()), Movedex!$A:$A,0)))</f>
        <v>Water</v>
      </c>
      <c r="Q14" s="71" t="str">
        <f ca="1">IF(ISNA(INDIRECT("'Movedex'!$C" &amp; MATCH(INDIRECT("$N"&amp;ROW()), Movedex!$A:$A,0))), "--", INDIRECT("'Movedex'!$C" &amp; MATCH(INDIRECT("$N"&amp;ROW()), Movedex!$A:$A,0)))</f>
        <v>Status</v>
      </c>
      <c r="R14" s="71" t="str">
        <f ca="1">IF(ISNA(INDIRECT("'Movedex'!$D" &amp; MATCH(INDIRECT("$N"&amp;ROW()), Movedex!$A:$A,0))), "--", INDIRECT("'Movedex'!$D" &amp; MATCH(INDIRECT("$N"&amp;ROW()), Movedex!$A:$A,0)))</f>
        <v>-</v>
      </c>
      <c r="S14" s="71" t="str">
        <f ca="1">IF(ISNA(INDIRECT("'Movedex'!$E" &amp; MATCH(INDIRECT("$N"&amp;ROW()), Movedex!$A:$A,0))), "--", INDIRECT("'Movedex'!$E" &amp; MATCH(INDIRECT("$N"&amp;ROW()), Movedex!$A:$A,0)))</f>
        <v>-</v>
      </c>
      <c r="T14" s="71">
        <f ca="1">IF(ISNA(INDIRECT("'Movedex'!$F" &amp; MATCH(INDIRECT("$N"&amp;ROW()), Movedex!$A:$A,0))), "--", INDIRECT("'Movedex'!$F" &amp; MATCH(INDIRECT("$N"&amp;ROW()), Movedex!$A:$A,0)))</f>
        <v>20</v>
      </c>
      <c r="U14" s="68" t="str">
        <f ca="1">IF(ISNA(INDIRECT("'Movedex'!$G" &amp; MATCH(INDIRECT("$N"&amp;ROW()), Movedex!$A:$A,0))), "--", INDIRECT("'Movedex'!$G" &amp; MATCH(INDIRECT("$N"&amp;ROW()), Movedex!$A:$A,0)))</f>
        <v>Restores a little HP each turn.</v>
      </c>
      <c r="V14" s="71"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'Pokedex'!$N11:CE11</v>
      </c>
      <c r="W14" s="65">
        <f>IF(MOD(ROW()-2, 4)=0, ROW(),IF(MOD(ROW()-2, 4)=1, ROW()-1, IF(MOD(ROW()-2, 4)=2, ROW()-2, ROW()-3)))</f>
        <v>14</v>
      </c>
    </row>
    <row r="15" spans="1:23" customFormat="1">
      <c r="A15" s="96"/>
      <c r="B15" s="93"/>
      <c r="C15" s="93"/>
      <c r="D15" s="99"/>
      <c r="E15" s="93"/>
      <c r="F15" s="93"/>
      <c r="G15" s="93"/>
      <c r="H15" s="93"/>
      <c r="I15" s="93"/>
      <c r="J15" s="93"/>
      <c r="K15" s="93"/>
      <c r="L15" s="93"/>
      <c r="M15" s="93"/>
      <c r="N15" s="75" t="s">
        <v>140</v>
      </c>
      <c r="O15"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Level</v>
      </c>
      <c r="P15" s="72" t="str">
        <f ca="1">IF(ISNA(INDIRECT("'Movedex'!$B" &amp; MATCH(INDIRECT("$N"&amp;ROW()), Movedex!$A:$A,0))), "--", INDIRECT("'Movedex'!$B" &amp; MATCH(INDIRECT("$N"&amp;ROW()), Movedex!$A:$A,0)))</f>
        <v>Water</v>
      </c>
      <c r="Q15" s="72" t="str">
        <f ca="1">IF(ISNA(INDIRECT("'Movedex'!$C" &amp; MATCH(INDIRECT("$N"&amp;ROW()), Movedex!$A:$A,0))), "--", INDIRECT("'Movedex'!$C" &amp; MATCH(INDIRECT("$N"&amp;ROW()), Movedex!$A:$A,0)))</f>
        <v>Special</v>
      </c>
      <c r="R15" s="72">
        <f ca="1">IF(ISNA(INDIRECT("'Movedex'!$D" &amp; MATCH(INDIRECT("$N"&amp;ROW()), Movedex!$A:$A,0))), "--", INDIRECT("'Movedex'!$D" &amp; MATCH(INDIRECT("$N"&amp;ROW()), Movedex!$A:$A,0)))</f>
        <v>120</v>
      </c>
      <c r="S15" s="72">
        <f ca="1">IF(ISNA(INDIRECT("'Movedex'!$E" &amp; MATCH(INDIRECT("$N"&amp;ROW()), Movedex!$A:$A,0))), "--", INDIRECT("'Movedex'!$E" &amp; MATCH(INDIRECT("$N"&amp;ROW()), Movedex!$A:$A,0)))</f>
        <v>80</v>
      </c>
      <c r="T15" s="72">
        <f ca="1">IF(ISNA(INDIRECT("'Movedex'!$F" &amp; MATCH(INDIRECT("$N"&amp;ROW()), Movedex!$A:$A,0))), "--", INDIRECT("'Movedex'!$F" &amp; MATCH(INDIRECT("$N"&amp;ROW()), Movedex!$A:$A,0)))</f>
        <v>5</v>
      </c>
      <c r="U15" s="69">
        <f ca="1">IF(ISNA(INDIRECT("'Movedex'!$G" &amp; MATCH(INDIRECT("$N"&amp;ROW()), Movedex!$A:$A,0))), "--", INDIRECT("'Movedex'!$G" &amp; MATCH(INDIRECT("$N"&amp;ROW()), Movedex!$A:$A,0)))</f>
        <v>0</v>
      </c>
      <c r="V15"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'Pokedex'!$N11:CE11</v>
      </c>
      <c r="W15" s="66">
        <f>IF(MOD(ROW()-2, 4)=0, ROW(),IF(MOD(ROW()-2, 4)=1, ROW()-1, IF(MOD(ROW()-2, 4)=2, ROW()-2, ROW()-3)))</f>
        <v>14</v>
      </c>
    </row>
    <row r="16" spans="1:23" customFormat="1">
      <c r="A16" s="96"/>
      <c r="B16" s="93"/>
      <c r="C16" s="93"/>
      <c r="D16" s="99"/>
      <c r="E16" s="93"/>
      <c r="F16" s="93"/>
      <c r="G16" s="93"/>
      <c r="H16" s="93"/>
      <c r="I16" s="93"/>
      <c r="J16" s="93"/>
      <c r="K16" s="93"/>
      <c r="L16" s="93"/>
      <c r="M16" s="93"/>
      <c r="N16" s="75" t="s">
        <v>173</v>
      </c>
      <c r="O16" s="72"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Level</v>
      </c>
      <c r="P16" s="72" t="str">
        <f ca="1">IF(ISNA(INDIRECT("'Movedex'!$B" &amp; MATCH(INDIRECT("$N"&amp;ROW()), Movedex!$A:$A,0))), "--", INDIRECT("'Movedex'!$B" &amp; MATCH(INDIRECT("$N"&amp;ROW()), Movedex!$A:$A,0)))</f>
        <v>Normal</v>
      </c>
      <c r="Q16" s="72" t="str">
        <f ca="1">IF(ISNA(INDIRECT("'Movedex'!$C" &amp; MATCH(INDIRECT("$N"&amp;ROW()), Movedex!$A:$A,0))), "--", INDIRECT("'Movedex'!$C" &amp; MATCH(INDIRECT("$N"&amp;ROW()), Movedex!$A:$A,0)))</f>
        <v>Physical</v>
      </c>
      <c r="R16" s="72">
        <f ca="1">IF(ISNA(INDIRECT("'Movedex'!$D" &amp; MATCH(INDIRECT("$N"&amp;ROW()), Movedex!$A:$A,0))), "--", INDIRECT("'Movedex'!$D" &amp; MATCH(INDIRECT("$N"&amp;ROW()), Movedex!$A:$A,0)))</f>
        <v>20</v>
      </c>
      <c r="S16" s="72">
        <f ca="1">IF(ISNA(INDIRECT("'Movedex'!$E" &amp; MATCH(INDIRECT("$N"&amp;ROW()), Movedex!$A:$A,0))), "--", INDIRECT("'Movedex'!$E" &amp; MATCH(INDIRECT("$N"&amp;ROW()), Movedex!$A:$A,0)))</f>
        <v>100</v>
      </c>
      <c r="T16" s="72">
        <f ca="1">IF(ISNA(INDIRECT("'Movedex'!$F" &amp; MATCH(INDIRECT("$N"&amp;ROW()), Movedex!$A:$A,0))), "--", INDIRECT("'Movedex'!$F" &amp; MATCH(INDIRECT("$N"&amp;ROW()), Movedex!$A:$A,0)))</f>
        <v>40</v>
      </c>
      <c r="U16" s="69" t="str">
        <f ca="1">IF(ISNA(INDIRECT("'Movedex'!$G" &amp; MATCH(INDIRECT("$N"&amp;ROW()), Movedex!$A:$A,0))), "--", INDIRECT("'Movedex'!$G" &amp; MATCH(INDIRECT("$N"&amp;ROW()), Movedex!$A:$A,0)))</f>
        <v>Removes effects of trap moves.</v>
      </c>
      <c r="V16" s="72"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'Pokedex'!$N11:CE11</v>
      </c>
      <c r="W16" s="66">
        <f>IF(MOD(ROW()-2, 4)=0, ROW(),IF(MOD(ROW()-2, 4)=1, ROW()-1, IF(MOD(ROW()-2, 4)=2, ROW()-2, ROW()-3)))</f>
        <v>14</v>
      </c>
    </row>
    <row r="17" spans="1:23" customFormat="1">
      <c r="A17" s="97"/>
      <c r="B17" s="94"/>
      <c r="C17" s="94"/>
      <c r="D17" s="100"/>
      <c r="E17" s="94"/>
      <c r="F17" s="94"/>
      <c r="G17" s="94"/>
      <c r="H17" s="94"/>
      <c r="I17" s="94"/>
      <c r="J17" s="94"/>
      <c r="K17" s="94"/>
      <c r="L17" s="94"/>
      <c r="M17" s="94"/>
      <c r="N17" s="76" t="s">
        <v>172</v>
      </c>
      <c r="O17" s="73" t="str">
        <f ca="1">IF(MATCH(INDIRECT("$N" &amp; ROW()),INDIRECT(INDIRECT("$V" &amp; ROW())),0)&gt;MATCH("---DREAM---",INDIRECT(INDIRECT("$V" &amp; ROW())),0),"Dream", IF(MATCH(INDIRECT("$N" &amp; ROW()),INDIRECT(INDIRECT("$V" &amp; ROW())),0)&gt;MATCH("---SPECIAL---",INDIRECT(INDIRECT("$V" &amp; ROW())),0),"Special", IF(MATCH(INDIRECT("$N" &amp; ROW()),INDIRECT(INDIRECT("$V" &amp; ROW())),0)&gt;MATCH("---TUTOR---",INDIRECT(INDIRECT("$V" &amp; ROW())),0),"Tutor", IF(MATCH(INDIRECT("$N" &amp; ROW()),INDIRECT(INDIRECT("$V" &amp; ROW())),0)&gt;MATCH("---EGG---",INDIRECT(INDIRECT("$V" &amp; ROW())),0),"Egg", IF(MATCH(INDIRECT("$N" &amp; ROW()),INDIRECT(INDIRECT("$V" &amp; ROW())),0)&gt;MATCH("---PREVO---",INDIRECT(INDIRECT("$V" &amp; ROW())),0),"Pre-evo", IF(MATCH(INDIRECT("$N" &amp; ROW()),INDIRECT(INDIRECT("$V" &amp; ROW())),0)&gt;MATCH("---TM---",INDIRECT(INDIRECT("$V" &amp; ROW())),0),"TM", IF(MATCH(INDIRECT("$N" &amp; ROW()),INDIRECT(INDIRECT("$V" &amp; ROW())),0)&gt;MATCH("---HM---",INDIRECT(INDIRECT("$V" &amp; ROW())),0),"HM", IF(MATCH(INDIRECT("$N" &amp; ROW()),INDIRECT(INDIRECT("$V" &amp; ROW())),0)&gt;MATCH("---LEVEL---",INDIRECT(INDIRECT("$V" &amp; ROW())),0),"Level", ""))))))))</f>
        <v>TM</v>
      </c>
      <c r="P17" s="73" t="str">
        <f ca="1">IF(ISNA(INDIRECT("'Movedex'!$B" &amp; MATCH(INDIRECT("$N"&amp;ROW()), Movedex!$A:$A,0))), "--", INDIRECT("'Movedex'!$B" &amp; MATCH(INDIRECT("$N"&amp;ROW()), Movedex!$A:$A,0)))</f>
        <v>Normal</v>
      </c>
      <c r="Q17" s="73" t="str">
        <f ca="1">IF(ISNA(INDIRECT("'Movedex'!$C" &amp; MATCH(INDIRECT("$N"&amp;ROW()), Movedex!$A:$A,0))), "--", INDIRECT("'Movedex'!$C" &amp; MATCH(INDIRECT("$N"&amp;ROW()), Movedex!$A:$A,0)))</f>
        <v>Special</v>
      </c>
      <c r="R17" s="73" t="str">
        <f ca="1">IF(ISNA(INDIRECT("'Movedex'!$D" &amp; MATCH(INDIRECT("$N"&amp;ROW()), Movedex!$A:$A,0))), "--", INDIRECT("'Movedex'!$D" &amp; MATCH(INDIRECT("$N"&amp;ROW()), Movedex!$A:$A,0)))</f>
        <v>-</v>
      </c>
      <c r="S17" s="73">
        <f ca="1">IF(ISNA(INDIRECT("'Movedex'!$E" &amp; MATCH(INDIRECT("$N"&amp;ROW()), Movedex!$A:$A,0))), "--", INDIRECT("'Movedex'!$E" &amp; MATCH(INDIRECT("$N"&amp;ROW()), Movedex!$A:$A,0)))</f>
        <v>100</v>
      </c>
      <c r="T17" s="73">
        <f ca="1">IF(ISNA(INDIRECT("'Movedex'!$F" &amp; MATCH(INDIRECT("$N"&amp;ROW()), Movedex!$A:$A,0))), "--", INDIRECT("'Movedex'!$F" &amp; MATCH(INDIRECT("$N"&amp;ROW()), Movedex!$A:$A,0)))</f>
        <v>15</v>
      </c>
      <c r="U17" s="70" t="str">
        <f ca="1">IF(ISNA(INDIRECT("'Movedex'!$G" &amp; MATCH(INDIRECT("$N"&amp;ROW()), Movedex!$A:$A,0))), "--", INDIRECT("'Movedex'!$G" &amp; MATCH(INDIRECT("$N"&amp;ROW()), Movedex!$A:$A,0)))</f>
        <v>Type and power depends on user's IVs.</v>
      </c>
      <c r="V17" s="73" t="str">
        <f ca="1">IF(ISNA("'Pokedex'!$N" &amp; MATCH(INDIRECT("$B"&amp;INDIRECT("$W"&amp;ROW())), Pokedex!$A:$A,0) &amp; ":" &amp; INDIRECT("'Pokedex'!M" &amp; MATCH(INDIRECT("$B"&amp;INDIRECT("$W"&amp;ROW())),Pokedex!$A:$A,0)) &amp; MATCH(INDIRECT("$B"&amp;INDIRECT("$W"&amp;ROW())), Pokedex!$A:$A,0)), "Pokedex!$N1:N1", "'Pokedex'!$N" &amp; MATCH(INDIRECT("$B"&amp;INDIRECT("$W"&amp;ROW())), Pokedex!$A:$A,0) &amp; ":" &amp; INDIRECT("'Pokedex'!M"&amp;MATCH(INDIRECT("$B"&amp;INDIRECT("$W"&amp;ROW())),Pokedex!$A:$A,0)) &amp; MATCH(INDIRECT("$B"&amp;INDIRECT("$W"&amp;ROW())), Pokedex!$A:$A,0))</f>
        <v>'Pokedex'!$N11:CE11</v>
      </c>
      <c r="W17" s="67">
        <f>IF(MOD(ROW()-2, 4)=0, ROW(),IF(MOD(ROW()-2, 4)=1, ROW()-1, IF(MOD(ROW()-2, 4)=2, ROW()-2, ROW()-3)))</f>
        <v>14</v>
      </c>
    </row>
  </sheetData>
  <sheetProtection sheet="1" objects="1" scenarios="1"/>
  <dataConsolidate/>
  <mergeCells count="41">
    <mergeCell ref="K14:K17"/>
    <mergeCell ref="L14:L17"/>
    <mergeCell ref="M14:M17"/>
    <mergeCell ref="A6:A9"/>
    <mergeCell ref="B6:B9"/>
    <mergeCell ref="D6:D9"/>
    <mergeCell ref="C6:C9"/>
    <mergeCell ref="E6:E9"/>
    <mergeCell ref="F6:F9"/>
    <mergeCell ref="G6:G9"/>
    <mergeCell ref="H6:H9"/>
    <mergeCell ref="I6:I9"/>
    <mergeCell ref="J6:J9"/>
    <mergeCell ref="K6:K9"/>
    <mergeCell ref="L6:L9"/>
    <mergeCell ref="M6:M9"/>
    <mergeCell ref="F14:F17"/>
    <mergeCell ref="G14:G17"/>
    <mergeCell ref="H14:H17"/>
    <mergeCell ref="I14:I17"/>
    <mergeCell ref="J14:J17"/>
    <mergeCell ref="A14:A17"/>
    <mergeCell ref="B14:B17"/>
    <mergeCell ref="D14:D17"/>
    <mergeCell ref="C14:C17"/>
    <mergeCell ref="E14:E17"/>
    <mergeCell ref="E1:F3"/>
    <mergeCell ref="E4:F4"/>
    <mergeCell ref="A10:A13"/>
    <mergeCell ref="B10:B13"/>
    <mergeCell ref="D10:D13"/>
    <mergeCell ref="C10:C13"/>
    <mergeCell ref="E10:E13"/>
    <mergeCell ref="F10:F13"/>
    <mergeCell ref="G10:G13"/>
    <mergeCell ref="H10:H13"/>
    <mergeCell ref="I10:I13"/>
    <mergeCell ref="J10:J13"/>
    <mergeCell ref="K10:K13"/>
    <mergeCell ref="L10:L13"/>
    <mergeCell ref="M10:M13"/>
  </mergeCells>
  <conditionalFormatting sqref="Q5">
    <cfRule type="containsText" dxfId="1457" priority="8926" operator="containsText" text="Water">
      <formula>NOT(ISERROR(SEARCH("Water",Q5)))</formula>
    </cfRule>
    <cfRule type="containsText" dxfId="1456" priority="8927" operator="containsText" text="Steel">
      <formula>NOT(ISERROR(SEARCH("Steel",Q5)))</formula>
    </cfRule>
    <cfRule type="containsText" dxfId="1455" priority="8928" operator="containsText" text="Rock">
      <formula>NOT(ISERROR(SEARCH("Rock",Q5)))</formula>
    </cfRule>
    <cfRule type="containsText" dxfId="1454" priority="8929" operator="containsText" text="Ice">
      <formula>NOT(ISERROR(SEARCH("Ice",Q5)))</formula>
    </cfRule>
    <cfRule type="containsText" dxfId="1453" priority="8930" operator="containsText" text="Ground">
      <formula>NOT(ISERROR(SEARCH("Ground",Q5)))</formula>
    </cfRule>
    <cfRule type="containsText" dxfId="1452" priority="8931" operator="containsText" text="Grass">
      <formula>NOT(ISERROR(SEARCH("Grass",Q5)))</formula>
    </cfRule>
    <cfRule type="containsText" dxfId="1451" priority="8932" operator="containsText" text="Poison">
      <formula>NOT(ISERROR(SEARCH("Poison",Q5)))</formula>
    </cfRule>
    <cfRule type="containsText" dxfId="1450" priority="8933" operator="containsText" text="Flying">
      <formula>NOT(ISERROR(SEARCH("Flying",Q5)))</formula>
    </cfRule>
    <cfRule type="containsText" dxfId="1449" priority="8934" operator="containsText" text="Fighting">
      <formula>NOT(ISERROR(SEARCH("Fighting",Q5)))</formula>
    </cfRule>
    <cfRule type="containsText" dxfId="1448" priority="8935" operator="containsText" text="Electric">
      <formula>NOT(ISERROR(SEARCH("Electric",Q5)))</formula>
    </cfRule>
    <cfRule type="containsText" dxfId="1447" priority="8936" operator="containsText" text="Dragon">
      <formula>NOT(ISERROR(SEARCH("Dragon",Q5)))</formula>
    </cfRule>
    <cfRule type="containsText" dxfId="1446" priority="8937" operator="containsText" text="Dark">
      <formula>NOT(ISERROR(SEARCH("Dark",Q5)))</formula>
    </cfRule>
    <cfRule type="containsText" dxfId="1445" priority="8938" operator="containsText" text="Bug">
      <formula>NOT(ISERROR(SEARCH("Bug",Q5)))</formula>
    </cfRule>
    <cfRule type="containsText" dxfId="1444" priority="8939" operator="containsText" text="Fire">
      <formula>NOT(ISERROR(SEARCH("Fire",Q5)))</formula>
    </cfRule>
    <cfRule type="containsText" dxfId="1443" priority="8940" operator="containsText" text="Normal">
      <formula>NOT(ISERROR(SEARCH("Normal",Q5)))</formula>
    </cfRule>
    <cfRule type="containsText" dxfId="1442" priority="8941" operator="containsText" text="Psychic">
      <formula>NOT(ISERROR(SEARCH("Psychic",Q5)))</formula>
    </cfRule>
    <cfRule type="containsText" dxfId="1441" priority="8942" operator="containsText" text="Ghost">
      <formula>NOT(ISERROR(SEARCH("Ghost",Q5)))</formula>
    </cfRule>
  </conditionalFormatting>
  <conditionalFormatting sqref="E6 E10 E14">
    <cfRule type="containsText" dxfId="83" priority="84" stopIfTrue="1" operator="containsText" text="Special">
      <formula>NOT(ISERROR(SEARCH("Special",E6)))</formula>
    </cfRule>
    <cfRule type="containsText" dxfId="82" priority="83" stopIfTrue="1" operator="containsText" text="Physical">
      <formula>NOT(ISERROR(SEARCH("Physical",E6)))</formula>
    </cfRule>
    <cfRule type="containsText" dxfId="81" priority="82" stopIfTrue="1" operator="containsText" text="Status">
      <formula>NOT(ISERROR(SEARCH("Status",E6)))</formula>
    </cfRule>
    <cfRule type="containsText" dxfId="80" priority="81" stopIfTrue="1" operator="containsText" text="Water">
      <formula>NOT(ISERROR(SEARCH("Water",E6)))</formula>
    </cfRule>
    <cfRule type="containsText" dxfId="79" priority="80" stopIfTrue="1" operator="containsText" text="Steel">
      <formula>NOT(ISERROR(SEARCH("Steel",E6)))</formula>
    </cfRule>
    <cfRule type="containsText" dxfId="78" priority="79" stopIfTrue="1" operator="containsText" text="Rock">
      <formula>NOT(ISERROR(SEARCH("Rock",E6)))</formula>
    </cfRule>
    <cfRule type="containsText" dxfId="77" priority="78" stopIfTrue="1" operator="containsText" text="Poison">
      <formula>NOT(ISERROR(SEARCH("Poison",E6)))</formula>
    </cfRule>
    <cfRule type="containsText" dxfId="76" priority="77" stopIfTrue="1" operator="containsText" text="Ice">
      <formula>NOT(ISERROR(SEARCH("Ice",E6)))</formula>
    </cfRule>
    <cfRule type="containsText" dxfId="75" priority="76" stopIfTrue="1" operator="containsText" text="Ground">
      <formula>NOT(ISERROR(SEARCH("Ground",E6)))</formula>
    </cfRule>
    <cfRule type="containsText" dxfId="74" priority="75" stopIfTrue="1" operator="containsText" text="Grass">
      <formula>NOT(ISERROR(SEARCH("Grass",E6)))</formula>
    </cfRule>
    <cfRule type="containsText" dxfId="73" priority="74" stopIfTrue="1" operator="containsText" text="Flying">
      <formula>NOT(ISERROR(SEARCH("Flying",E6)))</formula>
    </cfRule>
    <cfRule type="containsText" dxfId="72" priority="73" stopIfTrue="1" operator="containsText" text="Fighting">
      <formula>NOT(ISERROR(SEARCH("Fighting",E6)))</formula>
    </cfRule>
    <cfRule type="containsText" dxfId="71" priority="72" stopIfTrue="1" operator="containsText" text="Fairy">
      <formula>NOT(ISERROR(SEARCH("Fairy",E6)))</formula>
    </cfRule>
    <cfRule type="containsText" dxfId="70" priority="71" stopIfTrue="1" operator="containsText" text="Electric">
      <formula>NOT(ISERROR(SEARCH("Electric",E6)))</formula>
    </cfRule>
    <cfRule type="containsText" dxfId="69" priority="70" stopIfTrue="1" operator="containsText" text="Dragon">
      <formula>NOT(ISERROR(SEARCH("Dragon",E6)))</formula>
    </cfRule>
    <cfRule type="containsText" dxfId="68" priority="69" stopIfTrue="1" operator="containsText" text="Dark">
      <formula>NOT(ISERROR(SEARCH("Dark",E6)))</formula>
    </cfRule>
    <cfRule type="containsText" dxfId="67" priority="68" stopIfTrue="1" operator="containsText" text="Bug">
      <formula>NOT(ISERROR(SEARCH("Bug",E6)))</formula>
    </cfRule>
    <cfRule type="containsText" dxfId="66" priority="67" stopIfTrue="1" operator="containsText" text="Fire">
      <formula>NOT(ISERROR(SEARCH("Fire",E6)))</formula>
    </cfRule>
    <cfRule type="containsText" dxfId="65" priority="66" stopIfTrue="1" operator="containsText" text="Normal">
      <formula>NOT(ISERROR(SEARCH("Normal",E6)))</formula>
    </cfRule>
    <cfRule type="containsText" dxfId="64" priority="65" stopIfTrue="1" operator="containsText" text="Psychic">
      <formula>NOT(ISERROR(SEARCH("Psychic",E6)))</formula>
    </cfRule>
    <cfRule type="containsText" dxfId="63" priority="64" stopIfTrue="1" operator="containsText" text="Ghost">
      <formula>NOT(ISERROR(SEARCH("Ghost",E6)))</formula>
    </cfRule>
  </conditionalFormatting>
  <conditionalFormatting sqref="F6 F10 F14">
    <cfRule type="containsText" dxfId="62" priority="63" stopIfTrue="1" operator="containsText" text="Special">
      <formula>NOT(ISERROR(SEARCH("Special",F6)))</formula>
    </cfRule>
    <cfRule type="containsText" dxfId="61" priority="62" stopIfTrue="1" operator="containsText" text="Physical">
      <formula>NOT(ISERROR(SEARCH("Physical",F6)))</formula>
    </cfRule>
    <cfRule type="containsText" dxfId="60" priority="61" stopIfTrue="1" operator="containsText" text="Status">
      <formula>NOT(ISERROR(SEARCH("Status",F6)))</formula>
    </cfRule>
    <cfRule type="containsText" dxfId="59" priority="60" stopIfTrue="1" operator="containsText" text="Water">
      <formula>NOT(ISERROR(SEARCH("Water",F6)))</formula>
    </cfRule>
    <cfRule type="containsText" dxfId="58" priority="59" stopIfTrue="1" operator="containsText" text="Steel">
      <formula>NOT(ISERROR(SEARCH("Steel",F6)))</formula>
    </cfRule>
    <cfRule type="containsText" dxfId="57" priority="58" stopIfTrue="1" operator="containsText" text="Rock">
      <formula>NOT(ISERROR(SEARCH("Rock",F6)))</formula>
    </cfRule>
    <cfRule type="containsText" dxfId="56" priority="57" stopIfTrue="1" operator="containsText" text="Poison">
      <formula>NOT(ISERROR(SEARCH("Poison",F6)))</formula>
    </cfRule>
    <cfRule type="containsText" dxfId="55" priority="56" stopIfTrue="1" operator="containsText" text="Ice">
      <formula>NOT(ISERROR(SEARCH("Ice",F6)))</formula>
    </cfRule>
    <cfRule type="containsText" dxfId="54" priority="55" stopIfTrue="1" operator="containsText" text="Ground">
      <formula>NOT(ISERROR(SEARCH("Ground",F6)))</formula>
    </cfRule>
    <cfRule type="containsText" dxfId="53" priority="54" stopIfTrue="1" operator="containsText" text="Grass">
      <formula>NOT(ISERROR(SEARCH("Grass",F6)))</formula>
    </cfRule>
    <cfRule type="containsText" dxfId="52" priority="53" stopIfTrue="1" operator="containsText" text="Flying">
      <formula>NOT(ISERROR(SEARCH("Flying",F6)))</formula>
    </cfRule>
    <cfRule type="containsText" dxfId="51" priority="52" stopIfTrue="1" operator="containsText" text="Fighting">
      <formula>NOT(ISERROR(SEARCH("Fighting",F6)))</formula>
    </cfRule>
    <cfRule type="containsText" dxfId="50" priority="51" stopIfTrue="1" operator="containsText" text="Fairy">
      <formula>NOT(ISERROR(SEARCH("Fairy",F6)))</formula>
    </cfRule>
    <cfRule type="containsText" dxfId="49" priority="50" stopIfTrue="1" operator="containsText" text="Electric">
      <formula>NOT(ISERROR(SEARCH("Electric",F6)))</formula>
    </cfRule>
    <cfRule type="containsText" dxfId="48" priority="49" stopIfTrue="1" operator="containsText" text="Dragon">
      <formula>NOT(ISERROR(SEARCH("Dragon",F6)))</formula>
    </cfRule>
    <cfRule type="containsText" dxfId="47" priority="48" stopIfTrue="1" operator="containsText" text="Dark">
      <formula>NOT(ISERROR(SEARCH("Dark",F6)))</formula>
    </cfRule>
    <cfRule type="containsText" dxfId="46" priority="47" stopIfTrue="1" operator="containsText" text="Bug">
      <formula>NOT(ISERROR(SEARCH("Bug",F6)))</formula>
    </cfRule>
    <cfRule type="containsText" dxfId="45" priority="46" stopIfTrue="1" operator="containsText" text="Fire">
      <formula>NOT(ISERROR(SEARCH("Fire",F6)))</formula>
    </cfRule>
    <cfRule type="containsText" dxfId="44" priority="45" stopIfTrue="1" operator="containsText" text="Normal">
      <formula>NOT(ISERROR(SEARCH("Normal",F6)))</formula>
    </cfRule>
    <cfRule type="containsText" dxfId="43" priority="44" stopIfTrue="1" operator="containsText" text="Psychic">
      <formula>NOT(ISERROR(SEARCH("Psychic",F6)))</formula>
    </cfRule>
    <cfRule type="containsText" dxfId="42" priority="43" stopIfTrue="1" operator="containsText" text="Ghost">
      <formula>NOT(ISERROR(SEARCH("Ghost",F6)))</formula>
    </cfRule>
  </conditionalFormatting>
  <conditionalFormatting sqref="P6:P17">
    <cfRule type="containsText" dxfId="41" priority="42" stopIfTrue="1" operator="containsText" text="Special">
      <formula>NOT(ISERROR(SEARCH("Special",P6)))</formula>
    </cfRule>
    <cfRule type="containsText" dxfId="40" priority="41" stopIfTrue="1" operator="containsText" text="Physical">
      <formula>NOT(ISERROR(SEARCH("Physical",P6)))</formula>
    </cfRule>
    <cfRule type="containsText" dxfId="39" priority="40" stopIfTrue="1" operator="containsText" text="Status">
      <formula>NOT(ISERROR(SEARCH("Status",P6)))</formula>
    </cfRule>
    <cfRule type="containsText" dxfId="38" priority="39" stopIfTrue="1" operator="containsText" text="Water">
      <formula>NOT(ISERROR(SEARCH("Water",P6)))</formula>
    </cfRule>
    <cfRule type="containsText" dxfId="37" priority="38" stopIfTrue="1" operator="containsText" text="Steel">
      <formula>NOT(ISERROR(SEARCH("Steel",P6)))</formula>
    </cfRule>
    <cfRule type="containsText" dxfId="36" priority="37" stopIfTrue="1" operator="containsText" text="Rock">
      <formula>NOT(ISERROR(SEARCH("Rock",P6)))</formula>
    </cfRule>
    <cfRule type="containsText" dxfId="35" priority="36" stopIfTrue="1" operator="containsText" text="Poison">
      <formula>NOT(ISERROR(SEARCH("Poison",P6)))</formula>
    </cfRule>
    <cfRule type="containsText" dxfId="34" priority="35" stopIfTrue="1" operator="containsText" text="Ice">
      <formula>NOT(ISERROR(SEARCH("Ice",P6)))</formula>
    </cfRule>
    <cfRule type="containsText" dxfId="33" priority="34" stopIfTrue="1" operator="containsText" text="Ground">
      <formula>NOT(ISERROR(SEARCH("Ground",P6)))</formula>
    </cfRule>
    <cfRule type="containsText" dxfId="32" priority="33" stopIfTrue="1" operator="containsText" text="Grass">
      <formula>NOT(ISERROR(SEARCH("Grass",P6)))</formula>
    </cfRule>
    <cfRule type="containsText" dxfId="31" priority="32" stopIfTrue="1" operator="containsText" text="Flying">
      <formula>NOT(ISERROR(SEARCH("Flying",P6)))</formula>
    </cfRule>
    <cfRule type="containsText" dxfId="30" priority="31" stopIfTrue="1" operator="containsText" text="Fighting">
      <formula>NOT(ISERROR(SEARCH("Fighting",P6)))</formula>
    </cfRule>
    <cfRule type="containsText" dxfId="29" priority="30" stopIfTrue="1" operator="containsText" text="Fairy">
      <formula>NOT(ISERROR(SEARCH("Fairy",P6)))</formula>
    </cfRule>
    <cfRule type="containsText" dxfId="28" priority="29" stopIfTrue="1" operator="containsText" text="Electric">
      <formula>NOT(ISERROR(SEARCH("Electric",P6)))</formula>
    </cfRule>
    <cfRule type="containsText" dxfId="27" priority="28" stopIfTrue="1" operator="containsText" text="Dragon">
      <formula>NOT(ISERROR(SEARCH("Dragon",P6)))</formula>
    </cfRule>
    <cfRule type="containsText" dxfId="26" priority="27" stopIfTrue="1" operator="containsText" text="Dark">
      <formula>NOT(ISERROR(SEARCH("Dark",P6)))</formula>
    </cfRule>
    <cfRule type="containsText" dxfId="25" priority="26" stopIfTrue="1" operator="containsText" text="Bug">
      <formula>NOT(ISERROR(SEARCH("Bug",P6)))</formula>
    </cfRule>
    <cfRule type="containsText" dxfId="24" priority="25" stopIfTrue="1" operator="containsText" text="Fire">
      <formula>NOT(ISERROR(SEARCH("Fire",P6)))</formula>
    </cfRule>
    <cfRule type="containsText" dxfId="23" priority="24" stopIfTrue="1" operator="containsText" text="Normal">
      <formula>NOT(ISERROR(SEARCH("Normal",P6)))</formula>
    </cfRule>
    <cfRule type="containsText" dxfId="22" priority="23" stopIfTrue="1" operator="containsText" text="Psychic">
      <formula>NOT(ISERROR(SEARCH("Psychic",P6)))</formula>
    </cfRule>
    <cfRule type="containsText" dxfId="21" priority="22" stopIfTrue="1" operator="containsText" text="Ghost">
      <formula>NOT(ISERROR(SEARCH("Ghost",P6)))</formula>
    </cfRule>
  </conditionalFormatting>
  <conditionalFormatting sqref="Q6:Q17">
    <cfRule type="containsText" dxfId="20" priority="21" stopIfTrue="1" operator="containsText" text="Special">
      <formula>NOT(ISERROR(SEARCH("Special",Q6)))</formula>
    </cfRule>
    <cfRule type="containsText" dxfId="19" priority="20" stopIfTrue="1" operator="containsText" text="Physical">
      <formula>NOT(ISERROR(SEARCH("Physical",Q6)))</formula>
    </cfRule>
    <cfRule type="containsText" dxfId="18" priority="19" stopIfTrue="1" operator="containsText" text="Status">
      <formula>NOT(ISERROR(SEARCH("Status",Q6)))</formula>
    </cfRule>
    <cfRule type="containsText" dxfId="17" priority="18" stopIfTrue="1" operator="containsText" text="Water">
      <formula>NOT(ISERROR(SEARCH("Water",Q6)))</formula>
    </cfRule>
    <cfRule type="containsText" dxfId="16" priority="17" stopIfTrue="1" operator="containsText" text="Steel">
      <formula>NOT(ISERROR(SEARCH("Steel",Q6)))</formula>
    </cfRule>
    <cfRule type="containsText" dxfId="15" priority="16" stopIfTrue="1" operator="containsText" text="Rock">
      <formula>NOT(ISERROR(SEARCH("Rock",Q6)))</formula>
    </cfRule>
    <cfRule type="containsText" dxfId="14" priority="15" stopIfTrue="1" operator="containsText" text="Poison">
      <formula>NOT(ISERROR(SEARCH("Poison",Q6)))</formula>
    </cfRule>
    <cfRule type="containsText" dxfId="13" priority="14" stopIfTrue="1" operator="containsText" text="Ice">
      <formula>NOT(ISERROR(SEARCH("Ice",Q6)))</formula>
    </cfRule>
    <cfRule type="containsText" dxfId="12" priority="13" stopIfTrue="1" operator="containsText" text="Ground">
      <formula>NOT(ISERROR(SEARCH("Ground",Q6)))</formula>
    </cfRule>
    <cfRule type="containsText" dxfId="11" priority="12" stopIfTrue="1" operator="containsText" text="Grass">
      <formula>NOT(ISERROR(SEARCH("Grass",Q6)))</formula>
    </cfRule>
    <cfRule type="containsText" dxfId="10" priority="11" stopIfTrue="1" operator="containsText" text="Flying">
      <formula>NOT(ISERROR(SEARCH("Flying",Q6)))</formula>
    </cfRule>
    <cfRule type="containsText" dxfId="9" priority="10" stopIfTrue="1" operator="containsText" text="Fighting">
      <formula>NOT(ISERROR(SEARCH("Fighting",Q6)))</formula>
    </cfRule>
    <cfRule type="containsText" dxfId="8" priority="9" stopIfTrue="1" operator="containsText" text="Fairy">
      <formula>NOT(ISERROR(SEARCH("Fairy",Q6)))</formula>
    </cfRule>
    <cfRule type="containsText" dxfId="7" priority="8" stopIfTrue="1" operator="containsText" text="Electric">
      <formula>NOT(ISERROR(SEARCH("Electric",Q6)))</formula>
    </cfRule>
    <cfRule type="containsText" dxfId="6" priority="7" stopIfTrue="1" operator="containsText" text="Dragon">
      <formula>NOT(ISERROR(SEARCH("Dragon",Q6)))</formula>
    </cfRule>
    <cfRule type="containsText" dxfId="5" priority="6" stopIfTrue="1" operator="containsText" text="Dark">
      <formula>NOT(ISERROR(SEARCH("Dark",Q6)))</formula>
    </cfRule>
    <cfRule type="containsText" dxfId="4" priority="5" stopIfTrue="1" operator="containsText" text="Bug">
      <formula>NOT(ISERROR(SEARCH("Bug",Q6)))</formula>
    </cfRule>
    <cfRule type="containsText" dxfId="3" priority="4" stopIfTrue="1" operator="containsText" text="Fire">
      <formula>NOT(ISERROR(SEARCH("Fire",Q6)))</formula>
    </cfRule>
    <cfRule type="containsText" dxfId="2" priority="3" stopIfTrue="1" operator="containsText" text="Normal">
      <formula>NOT(ISERROR(SEARCH("Normal",Q6)))</formula>
    </cfRule>
    <cfRule type="containsText" dxfId="1" priority="2" stopIfTrue="1" operator="containsText" text="Psychic">
      <formula>NOT(ISERROR(SEARCH("Psychic",Q6)))</formula>
    </cfRule>
    <cfRule type="containsText" dxfId="0" priority="1" stopIfTrue="1" operator="containsText" text="Ghost">
      <formula>NOT(ISERROR(SEARCH("Ghost",Q6)))</formula>
    </cfRule>
  </conditionalFormatting>
  <dataValidations count="2">
    <dataValidation type="list" allowBlank="1" showInputMessage="1" showErrorMessage="1" sqref="D6:D17">
      <formula1>INDIRECT("PokedexTable[Name]")</formula1>
    </dataValidation>
    <dataValidation type="list" allowBlank="1" showInputMessage="1" showErrorMessage="1" sqref="N6:N17">
      <formula1>INDIRECT(INDIRECT("$V"&amp;ROW()))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PartyPkmSheet.InsertNewPokemonRow" altText="Insert New Pokemon">
                <anchor>
                  <from>
                    <xdr:col>13</xdr:col>
                    <xdr:colOff>381000</xdr:colOff>
                    <xdr:row>0</xdr:row>
                    <xdr:rowOff>142875</xdr:rowOff>
                  </from>
                  <to>
                    <xdr:col>13</xdr:col>
                    <xdr:colOff>1066800</xdr:colOff>
                    <xdr:row>3</xdr:row>
                    <xdr:rowOff>19050</xdr:rowOff>
                  </to>
                </anchor>
              </controlPr>
            </control>
          </mc:Choice>
        </mc:AlternateContent>
        <mc:AlternateContent xmlns:mc="http://schemas.openxmlformats.org/markup-compatibility/2006">
          <mc:Choice Requires="x14">
            <control shapeId="2055" r:id="rId5" name="Button 7">
              <controlPr defaultSize="0" print="0" autoFill="0" autoPict="0" macro="[0]!PartyPkmSheet.RemovePokemon" altText="Insert New Pokemon">
                <anchor>
                  <from>
                    <xdr:col>13</xdr:col>
                    <xdr:colOff>1143000</xdr:colOff>
                    <xdr:row>0</xdr:row>
                    <xdr:rowOff>142875</xdr:rowOff>
                  </from>
                  <to>
                    <xdr:col>14</xdr:col>
                    <xdr:colOff>542925</xdr:colOff>
                    <xdr:row>3</xdr:row>
                    <xdr:rowOff>9525</xdr:rowOff>
                  </to>
                </anchor>
              </controlPr>
            </control>
          </mc:Choice>
        </mc:AlternateContent>
        <mc:AlternateContent xmlns:mc="http://schemas.openxmlformats.org/markup-compatibility/2006">
          <mc:Choice Requires="x14">
            <control shapeId="2059" r:id="rId6" name="Button 11">
              <controlPr defaultSize="0" print="0" autoFill="0" autoPict="0" macro="[0]!PartyPkmSheet.OpenParty" altText="Insert New Pokemon">
                <anchor>
                  <from>
                    <xdr:col>0</xdr:col>
                    <xdr:colOff>114300</xdr:colOff>
                    <xdr:row>0</xdr:row>
                    <xdr:rowOff>142875</xdr:rowOff>
                  </from>
                  <to>
                    <xdr:col>1</xdr:col>
                    <xdr:colOff>276225</xdr:colOff>
                    <xdr:row>3</xdr:row>
                    <xdr:rowOff>19050</xdr:rowOff>
                  </to>
                </anchor>
              </controlPr>
            </control>
          </mc:Choice>
        </mc:AlternateContent>
        <mc:AlternateContent xmlns:mc="http://schemas.openxmlformats.org/markup-compatibility/2006">
          <mc:Choice Requires="x14">
            <control shapeId="2060" r:id="rId7" name="Button 12">
              <controlPr defaultSize="0" print="0" autoFill="0" autoPict="0" macro="[0]!PartyPkmSheet.SaveParty" altText="Insert New Pokemon">
                <anchor>
                  <from>
                    <xdr:col>1</xdr:col>
                    <xdr:colOff>352425</xdr:colOff>
                    <xdr:row>0</xdr:row>
                    <xdr:rowOff>142875</xdr:rowOff>
                  </from>
                  <to>
                    <xdr:col>2</xdr:col>
                    <xdr:colOff>381000</xdr:colOff>
                    <xdr:row>3</xdr:row>
                    <xdr:rowOff>19050</xdr:rowOff>
                  </to>
                </anchor>
              </controlPr>
            </control>
          </mc:Choice>
        </mc:AlternateContent>
        <mc:AlternateContent xmlns:mc="http://schemas.openxmlformats.org/markup-compatibility/2006">
          <mc:Choice Requires="x14">
            <control shapeId="2061" r:id="rId8" name="Button 13">
              <controlPr defaultSize="0" print="0" autoFill="0" autoPict="0" macro="[0]!PartyPkmSheet.DeleteParty" altText="Insert New Pokemon">
                <anchor>
                  <from>
                    <xdr:col>2</xdr:col>
                    <xdr:colOff>447675</xdr:colOff>
                    <xdr:row>0</xdr:row>
                    <xdr:rowOff>142875</xdr:rowOff>
                  </from>
                  <to>
                    <xdr:col>3</xdr:col>
                    <xdr:colOff>304800</xdr:colOff>
                    <xdr:row>3</xdr:row>
                    <xdr:rowOff>19050</xdr:rowOff>
                  </to>
                </anchor>
              </controlPr>
            </control>
          </mc:Choice>
        </mc:AlternateContent>
        <mc:AlternateContent xmlns:mc="http://schemas.openxmlformats.org/markup-compatibility/2006">
          <mc:Choice Requires="x14">
            <control shapeId="2065" r:id="rId9" name="Button 17">
              <controlPr defaultSize="0" print="0" autoFill="0" autoPict="0" macro="[0]!PartyPkmSheet.ClearScreen" altText="Insert New Pokemon">
                <anchor>
                  <from>
                    <xdr:col>16</xdr:col>
                    <xdr:colOff>533400</xdr:colOff>
                    <xdr:row>0</xdr:row>
                    <xdr:rowOff>142875</xdr:rowOff>
                  </from>
                  <to>
                    <xdr:col>17</xdr:col>
                    <xdr:colOff>409575</xdr:colOff>
                    <xdr:row>3</xdr:row>
                    <xdr:rowOff>19050</xdr:rowOff>
                  </to>
                </anchor>
              </controlPr>
            </control>
          </mc:Choice>
        </mc:AlternateContent>
        <mc:AlternateContent xmlns:mc="http://schemas.openxmlformats.org/markup-compatibility/2006">
          <mc:Choice Requires="x14">
            <control shapeId="2066" r:id="rId10" name="Button 18">
              <controlPr defaultSize="0" print="0" autoFill="0" autoPict="0" macro="[0]!PartyPkmSheet.LoadSprite" altText="Insert New Pokemon">
                <anchor>
                  <from>
                    <xdr:col>14</xdr:col>
                    <xdr:colOff>619125</xdr:colOff>
                    <xdr:row>0</xdr:row>
                    <xdr:rowOff>142875</xdr:rowOff>
                  </from>
                  <to>
                    <xdr:col>15</xdr:col>
                    <xdr:colOff>561975</xdr:colOff>
                    <xdr:row>3</xdr:row>
                    <xdr:rowOff>9525</xdr:rowOff>
                  </to>
                </anchor>
              </controlPr>
            </control>
          </mc:Choice>
        </mc:AlternateContent>
        <mc:AlternateContent xmlns:mc="http://schemas.openxmlformats.org/markup-compatibility/2006">
          <mc:Choice Requires="x14">
            <control shapeId="2068" r:id="rId11" name="Button 20">
              <controlPr defaultSize="0" print="0" autoFill="0" autoPict="0" macro="[0]!PartyPkmSheet.ToggleStatsVisibility" altText="Insert New Pokemon">
                <anchor>
                  <from>
                    <xdr:col>15</xdr:col>
                    <xdr:colOff>619125</xdr:colOff>
                    <xdr:row>0</xdr:row>
                    <xdr:rowOff>142875</xdr:rowOff>
                  </from>
                  <to>
                    <xdr:col>16</xdr:col>
                    <xdr:colOff>457200</xdr:colOff>
                    <xdr:row>3</xdr:row>
                    <xdr:rowOff>9525</xdr:rowOff>
                  </to>
                </anchor>
              </controlPr>
            </control>
          </mc:Choice>
        </mc:AlternateContent>
        <mc:AlternateContent xmlns:mc="http://schemas.openxmlformats.org/markup-compatibility/2006">
          <mc:Choice Requires="x14">
            <control shapeId="2073" r:id="rId12" name="Button 25">
              <controlPr defaultSize="0" print="0" autoFill="0" autoPict="0" macro="[0]!PartyPkmSheet.importParty" altText="Insert New Pokemon">
                <anchor>
                  <from>
                    <xdr:col>3</xdr:col>
                    <xdr:colOff>381000</xdr:colOff>
                    <xdr:row>0</xdr:row>
                    <xdr:rowOff>142875</xdr:rowOff>
                  </from>
                  <to>
                    <xdr:col>3</xdr:col>
                    <xdr:colOff>1038225</xdr:colOff>
                    <xdr:row>1</xdr:row>
                    <xdr:rowOff>161925</xdr:rowOff>
                  </to>
                </anchor>
              </controlPr>
            </control>
          </mc:Choice>
        </mc:AlternateContent>
        <mc:AlternateContent xmlns:mc="http://schemas.openxmlformats.org/markup-compatibility/2006">
          <mc:Choice Requires="x14">
            <control shapeId="2074" r:id="rId13" name="Button 26">
              <controlPr defaultSize="0" print="0" autoFill="0" autoPict="0" macro="[0]!PartyPkmSheet.exportCurrentParty" altText="Insert New Pokemon">
                <anchor>
                  <from>
                    <xdr:col>3</xdr:col>
                    <xdr:colOff>381000</xdr:colOff>
                    <xdr:row>2</xdr:row>
                    <xdr:rowOff>9525</xdr:rowOff>
                  </from>
                  <to>
                    <xdr:col>3</xdr:col>
                    <xdr:colOff>1038225</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DropDown="1" showInputMessage="1" showErrorMessage="1">
          <x14:formula1>
            <xm:f>'[1]Hidden Type Chart'!#REF!</xm:f>
          </x14:formula1>
          <xm:sqref>F5:F6 F10 F14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ypeTableSheet"/>
  <dimension ref="A1:T29"/>
  <sheetViews>
    <sheetView zoomScaleNormal="100" workbookViewId="0"/>
  </sheetViews>
  <sheetFormatPr defaultRowHeight="15"/>
  <cols>
    <col min="1" max="1" width="9.7109375" customWidth="1"/>
    <col min="24" max="24" width="32.140625" bestFit="1" customWidth="1"/>
    <col min="25" max="25" width="40" bestFit="1" customWidth="1"/>
    <col min="26" max="26" width="7.85546875" customWidth="1"/>
  </cols>
  <sheetData>
    <row r="1" spans="1:20">
      <c r="B1" s="62" t="s">
        <v>31</v>
      </c>
      <c r="C1" s="1">
        <f t="shared" ref="C1:T1" si="0">(COUNTIF(C$3:C$20, "0")*$K$26 + COUNTIF(C$3:C$20, "1/2")*$K$25 + COUNTIF(C$3:C$20, "2")*$K$24)</f>
        <v>-3</v>
      </c>
      <c r="D1" s="1">
        <f t="shared" si="0"/>
        <v>-2</v>
      </c>
      <c r="E1" s="1">
        <f t="shared" si="0"/>
        <v>-2</v>
      </c>
      <c r="F1" s="1">
        <f t="shared" si="0"/>
        <v>1</v>
      </c>
      <c r="G1" s="4">
        <f t="shared" si="0"/>
        <v>1</v>
      </c>
      <c r="H1" s="1">
        <f t="shared" si="0"/>
        <v>-2</v>
      </c>
      <c r="I1" s="1">
        <f t="shared" si="0"/>
        <v>0</v>
      </c>
      <c r="J1" s="1">
        <f t="shared" si="0"/>
        <v>-1</v>
      </c>
      <c r="K1" s="1">
        <f t="shared" si="0"/>
        <v>2</v>
      </c>
      <c r="L1" s="1">
        <f t="shared" si="0"/>
        <v>-6</v>
      </c>
      <c r="M1" s="1">
        <f t="shared" si="0"/>
        <v>-2</v>
      </c>
      <c r="N1" s="1">
        <f t="shared" si="0"/>
        <v>-7</v>
      </c>
      <c r="O1" s="1">
        <f t="shared" si="0"/>
        <v>0</v>
      </c>
      <c r="P1" s="1">
        <f t="shared" si="0"/>
        <v>1</v>
      </c>
      <c r="Q1" s="1">
        <f t="shared" si="0"/>
        <v>-4</v>
      </c>
      <c r="R1" s="1">
        <f t="shared" si="0"/>
        <v>-6</v>
      </c>
      <c r="S1" s="1">
        <f t="shared" si="0"/>
        <v>7</v>
      </c>
      <c r="T1" s="1">
        <f t="shared" si="0"/>
        <v>0</v>
      </c>
    </row>
    <row r="2" spans="1:20">
      <c r="A2" s="61" t="s">
        <v>30</v>
      </c>
      <c r="B2" s="2" t="s">
        <v>12</v>
      </c>
      <c r="C2" s="3" t="str">
        <f>'Hidden Type Chart'!$A2</f>
        <v>Bug</v>
      </c>
      <c r="D2" s="3" t="str">
        <f>'Hidden Type Chart'!$A3</f>
        <v>Dark</v>
      </c>
      <c r="E2" s="3" t="str">
        <f>'Hidden Type Chart'!$A4</f>
        <v>Dragon</v>
      </c>
      <c r="F2" s="3" t="str">
        <f>'Hidden Type Chart'!$A5</f>
        <v>Electric</v>
      </c>
      <c r="G2" s="3" t="s">
        <v>894</v>
      </c>
      <c r="H2" s="3" t="str">
        <f>'Hidden Type Chart'!$A7</f>
        <v>Fighting</v>
      </c>
      <c r="I2" s="3" t="str">
        <f>'Hidden Type Chart'!$A8</f>
        <v>Fire</v>
      </c>
      <c r="J2" s="3" t="str">
        <f>'Hidden Type Chart'!$A9</f>
        <v>Flying</v>
      </c>
      <c r="K2" s="3" t="str">
        <f>'Hidden Type Chart'!$A10</f>
        <v>Ghost</v>
      </c>
      <c r="L2" s="3" t="str">
        <f>'Hidden Type Chart'!$A11</f>
        <v>Grass</v>
      </c>
      <c r="M2" s="3" t="str">
        <f>'Hidden Type Chart'!$A12</f>
        <v>Ground</v>
      </c>
      <c r="N2" s="3" t="str">
        <f>'Hidden Type Chart'!$A13</f>
        <v>Ice</v>
      </c>
      <c r="O2" s="3" t="str">
        <f>'Hidden Type Chart'!$A14</f>
        <v>Normal</v>
      </c>
      <c r="P2" s="3" t="str">
        <f>'Hidden Type Chart'!$A15</f>
        <v>Poison</v>
      </c>
      <c r="Q2" s="3" t="str">
        <f>'Hidden Type Chart'!$A16</f>
        <v>Psychic</v>
      </c>
      <c r="R2" s="3" t="str">
        <f>'Hidden Type Chart'!$A17</f>
        <v>Rock</v>
      </c>
      <c r="S2" s="3" t="str">
        <f>'Hidden Type Chart'!$A18</f>
        <v>Steel</v>
      </c>
      <c r="T2" s="3" t="str">
        <f>'Hidden Type Chart'!$A19</f>
        <v>Water</v>
      </c>
    </row>
    <row r="3" spans="1:20">
      <c r="A3" s="1">
        <f>(COUNTIF($C3:$T3, "2")*$E$24 + COUNTIF($C3:$T3, "1/2")*$E$25 + COUNTIF($C3:$T3, "0")*$E$26)</f>
        <v>-1</v>
      </c>
      <c r="B3" s="3" t="str">
        <f>'Hidden Type Chart'!$A2</f>
        <v>Bug</v>
      </c>
      <c r="C3" s="1" t="str">
        <f>IF(ISERR(FIND(C$2, 'Hidden Type Chart'!$B2)), IF(ISERR(FIND(C$2, 'Hidden Type Chart'!$C2)), IF(ISERR(FIND(C$2, 'Hidden Type Chart'!$D2)), "", $P$26), $P$25), $P$24)</f>
        <v/>
      </c>
      <c r="D3" s="4" t="str">
        <f>IF(ISERR(FIND(D$2, 'Hidden Type Chart'!$B2)), IF(ISERR(FIND(D$2, 'Hidden Type Chart'!$C2)), IF(ISERR(FIND(D$2, 'Hidden Type Chart'!$D2)), "", $P$26), $P$25), $P$24)</f>
        <v>2</v>
      </c>
      <c r="E3" s="4" t="str">
        <f>IF(ISERR(FIND(E$2, 'Hidden Type Chart'!$B2)), IF(ISERR(FIND(E$2, 'Hidden Type Chart'!$C2)), IF(ISERR(FIND(E$2, 'Hidden Type Chart'!$D2)), "", $P$26), $P$25), $P$24)</f>
        <v/>
      </c>
      <c r="F3" s="4" t="str">
        <f>IF(ISERR(FIND(F$2, 'Hidden Type Chart'!$B2)), IF(ISERR(FIND(F$2, 'Hidden Type Chart'!$C2)), IF(ISERR(FIND(F$2, 'Hidden Type Chart'!$D2)), "", $P$26), $P$25), $P$24)</f>
        <v/>
      </c>
      <c r="G3" s="4" t="str">
        <f>IF(ISERR(FIND(G$2, 'Hidden Type Chart'!$B2)), IF(ISERR(FIND(G$2, 'Hidden Type Chart'!$C2)), IF(ISERR(FIND(G$2, 'Hidden Type Chart'!$D2)), "", $P$26), $P$25), $P$24)</f>
        <v>1/2</v>
      </c>
      <c r="H3" s="4" t="str">
        <f>IF(ISERR(FIND(H$2, 'Hidden Type Chart'!$B2)), IF(ISERR(FIND(H$2, 'Hidden Type Chart'!$C2)), IF(ISERR(FIND(H$2, 'Hidden Type Chart'!$D2)), "", $P$26), $P$25), $P$24)</f>
        <v>1/2</v>
      </c>
      <c r="I3" s="4" t="str">
        <f>IF(ISERR(FIND(I$2, 'Hidden Type Chart'!$B2)), IF(ISERR(FIND(I$2, 'Hidden Type Chart'!$C2)), IF(ISERR(FIND(I$2, 'Hidden Type Chart'!$D2)), "", $P$26), $P$25), $P$24)</f>
        <v>1/2</v>
      </c>
      <c r="J3" s="4" t="str">
        <f>IF(ISERR(FIND(J$2, 'Hidden Type Chart'!$B2)), IF(ISERR(FIND(J$2, 'Hidden Type Chart'!$C2)), IF(ISERR(FIND(J$2, 'Hidden Type Chart'!$D2)), "", $P$26), $P$25), $P$24)</f>
        <v>1/2</v>
      </c>
      <c r="K3" s="4" t="str">
        <f>IF(ISERR(FIND(K$2, 'Hidden Type Chart'!$B2)), IF(ISERR(FIND(K$2, 'Hidden Type Chart'!$C2)), IF(ISERR(FIND(K$2, 'Hidden Type Chart'!$D2)), "", $P$26), $P$25), $P$24)</f>
        <v>1/2</v>
      </c>
      <c r="L3" s="4" t="str">
        <f>IF(ISERR(FIND(L$2, 'Hidden Type Chart'!$B2)), IF(ISERR(FIND(L$2, 'Hidden Type Chart'!$C2)), IF(ISERR(FIND(L$2, 'Hidden Type Chart'!$D2)), "", $P$26), $P$25), $P$24)</f>
        <v>2</v>
      </c>
      <c r="M3" s="4" t="str">
        <f>IF(ISERR(FIND(M$2, 'Hidden Type Chart'!$B2)), IF(ISERR(FIND(M$2, 'Hidden Type Chart'!$C2)), IF(ISERR(FIND(M$2, 'Hidden Type Chart'!$D2)), "", $P$26), $P$25), $P$24)</f>
        <v/>
      </c>
      <c r="N3" s="4" t="str">
        <f>IF(ISERR(FIND(N$2, 'Hidden Type Chart'!$B2)), IF(ISERR(FIND(N$2, 'Hidden Type Chart'!$C2)), IF(ISERR(FIND(N$2, 'Hidden Type Chart'!$D2)), "", $P$26), $P$25), $P$24)</f>
        <v/>
      </c>
      <c r="O3" s="4" t="str">
        <f>IF(ISERR(FIND(O$2, 'Hidden Type Chart'!$B2)), IF(ISERR(FIND(O$2, 'Hidden Type Chart'!$C2)), IF(ISERR(FIND(O$2, 'Hidden Type Chart'!$D2)), "", $P$26), $P$25), $P$24)</f>
        <v/>
      </c>
      <c r="P3" s="4" t="str">
        <f>IF(ISERR(FIND(P$2, 'Hidden Type Chart'!$B2)), IF(ISERR(FIND(P$2, 'Hidden Type Chart'!$C2)), IF(ISERR(FIND(P$2, 'Hidden Type Chart'!$D2)), "", $P$26), $P$25), $P$24)</f>
        <v>1/2</v>
      </c>
      <c r="Q3" s="4" t="str">
        <f>IF(ISERR(FIND(Q$2, 'Hidden Type Chart'!$B2)), IF(ISERR(FIND(Q$2, 'Hidden Type Chart'!$C2)), IF(ISERR(FIND(Q$2, 'Hidden Type Chart'!$D2)), "", $P$26), $P$25), $P$24)</f>
        <v>2</v>
      </c>
      <c r="R3" s="4" t="str">
        <f>IF(ISERR(FIND(R$2, 'Hidden Type Chart'!$B2)), IF(ISERR(FIND(R$2, 'Hidden Type Chart'!$C2)), IF(ISERR(FIND(R$2, 'Hidden Type Chart'!$D2)), "", $P$26), $P$25), $P$24)</f>
        <v/>
      </c>
      <c r="S3" s="4" t="str">
        <f>IF(ISERR(FIND(S$2, 'Hidden Type Chart'!$B2)), IF(ISERR(FIND(S$2, 'Hidden Type Chart'!$C2)), IF(ISERR(FIND(S$2, 'Hidden Type Chart'!$D2)), "", $P$26), $P$25), $P$24)</f>
        <v>1/2</v>
      </c>
      <c r="T3" s="4" t="str">
        <f>IF(ISERR(FIND(T$2, 'Hidden Type Chart'!$B2)), IF(ISERR(FIND(T$2, 'Hidden Type Chart'!$C2)), IF(ISERR(FIND(T$2, 'Hidden Type Chart'!$D2)), "", $P$26), $P$25), $P$24)</f>
        <v/>
      </c>
    </row>
    <row r="4" spans="1:20">
      <c r="A4" s="4">
        <f t="shared" ref="A4:A20" si="1">(COUNTIF($C4:$T4, "2")*$E$24 + COUNTIF($C4:$T4, "1/2")*$E$25 + COUNTIF($C4:$T4, "0")*$E$26)</f>
        <v>0</v>
      </c>
      <c r="B4" s="3" t="str">
        <f>'Hidden Type Chart'!$A3</f>
        <v>Dark</v>
      </c>
      <c r="C4" s="4" t="str">
        <f>IF(ISERR(FIND(C$2, 'Hidden Type Chart'!$B3)), IF(ISERR(FIND(C$2, 'Hidden Type Chart'!$C3)), IF(ISERR(FIND(C$2, 'Hidden Type Chart'!$D3)), "", $P$26), $P$25), $P$24)</f>
        <v/>
      </c>
      <c r="D4" s="4" t="str">
        <f>IF(ISERR(FIND(D$2, 'Hidden Type Chart'!$B3)), IF(ISERR(FIND(D$2, 'Hidden Type Chart'!$C3)), IF(ISERR(FIND(D$2, 'Hidden Type Chart'!$D3)), "", $P$26), $P$25), $P$24)</f>
        <v>1/2</v>
      </c>
      <c r="E4" s="4" t="str">
        <f>IF(ISERR(FIND(E$2, 'Hidden Type Chart'!$B3)), IF(ISERR(FIND(E$2, 'Hidden Type Chart'!$C3)), IF(ISERR(FIND(E$2, 'Hidden Type Chart'!$D3)), "", $P$26), $P$25), $P$24)</f>
        <v/>
      </c>
      <c r="F4" s="4" t="str">
        <f>IF(ISERR(FIND(F$2, 'Hidden Type Chart'!$B3)), IF(ISERR(FIND(F$2, 'Hidden Type Chart'!$C3)), IF(ISERR(FIND(F$2, 'Hidden Type Chart'!$D3)), "", $P$26), $P$25), $P$24)</f>
        <v/>
      </c>
      <c r="G4" s="4" t="str">
        <f>IF(ISERR(FIND(G$2, 'Hidden Type Chart'!$B3)), IF(ISERR(FIND(G$2, 'Hidden Type Chart'!$C3)), IF(ISERR(FIND(G$2, 'Hidden Type Chart'!$D3)), "", $P$26), $P$25), $P$24)</f>
        <v>1/2</v>
      </c>
      <c r="H4" s="4" t="str">
        <f>IF(ISERR(FIND(H$2, 'Hidden Type Chart'!$B3)), IF(ISERR(FIND(H$2, 'Hidden Type Chart'!$C3)), IF(ISERR(FIND(H$2, 'Hidden Type Chart'!$D3)), "", $P$26), $P$25), $P$24)</f>
        <v>1/2</v>
      </c>
      <c r="I4" s="4" t="str">
        <f>IF(ISERR(FIND(I$2, 'Hidden Type Chart'!$B3)), IF(ISERR(FIND(I$2, 'Hidden Type Chart'!$C3)), IF(ISERR(FIND(I$2, 'Hidden Type Chart'!$D3)), "", $P$26), $P$25), $P$24)</f>
        <v/>
      </c>
      <c r="J4" s="4" t="str">
        <f>IF(ISERR(FIND(J$2, 'Hidden Type Chart'!$B3)), IF(ISERR(FIND(J$2, 'Hidden Type Chart'!$C3)), IF(ISERR(FIND(J$2, 'Hidden Type Chart'!$D3)), "", $P$26), $P$25), $P$24)</f>
        <v/>
      </c>
      <c r="K4" s="4" t="str">
        <f>IF(ISERR(FIND(K$2, 'Hidden Type Chart'!$B3)), IF(ISERR(FIND(K$2, 'Hidden Type Chart'!$C3)), IF(ISERR(FIND(K$2, 'Hidden Type Chart'!$D3)), "", $P$26), $P$25), $P$24)</f>
        <v>2</v>
      </c>
      <c r="L4" s="4" t="str">
        <f>IF(ISERR(FIND(L$2, 'Hidden Type Chart'!$B3)), IF(ISERR(FIND(L$2, 'Hidden Type Chart'!$C3)), IF(ISERR(FIND(L$2, 'Hidden Type Chart'!$D3)), "", $P$26), $P$25), $P$24)</f>
        <v/>
      </c>
      <c r="M4" s="4" t="str">
        <f>IF(ISERR(FIND(M$2, 'Hidden Type Chart'!$B3)), IF(ISERR(FIND(M$2, 'Hidden Type Chart'!$C3)), IF(ISERR(FIND(M$2, 'Hidden Type Chart'!$D3)), "", $P$26), $P$25), $P$24)</f>
        <v/>
      </c>
      <c r="N4" s="4" t="str">
        <f>IF(ISERR(FIND(N$2, 'Hidden Type Chart'!$B3)), IF(ISERR(FIND(N$2, 'Hidden Type Chart'!$C3)), IF(ISERR(FIND(N$2, 'Hidden Type Chart'!$D3)), "", $P$26), $P$25), $P$24)</f>
        <v/>
      </c>
      <c r="O4" s="4" t="str">
        <f>IF(ISERR(FIND(O$2, 'Hidden Type Chart'!$B3)), IF(ISERR(FIND(O$2, 'Hidden Type Chart'!$C3)), IF(ISERR(FIND(O$2, 'Hidden Type Chart'!$D3)), "", $P$26), $P$25), $P$24)</f>
        <v/>
      </c>
      <c r="P4" s="4" t="str">
        <f>IF(ISERR(FIND(P$2, 'Hidden Type Chart'!$B3)), IF(ISERR(FIND(P$2, 'Hidden Type Chart'!$C3)), IF(ISERR(FIND(P$2, 'Hidden Type Chart'!$D3)), "", $P$26), $P$25), $P$24)</f>
        <v/>
      </c>
      <c r="Q4" s="4" t="str">
        <f>IF(ISERR(FIND(Q$2, 'Hidden Type Chart'!$B3)), IF(ISERR(FIND(Q$2, 'Hidden Type Chart'!$C3)), IF(ISERR(FIND(Q$2, 'Hidden Type Chart'!$D3)), "", $P$26), $P$25), $P$24)</f>
        <v>2</v>
      </c>
      <c r="R4" s="4" t="str">
        <f>IF(ISERR(FIND(R$2, 'Hidden Type Chart'!$B3)), IF(ISERR(FIND(R$2, 'Hidden Type Chart'!$C3)), IF(ISERR(FIND(R$2, 'Hidden Type Chart'!$D3)), "", $P$26), $P$25), $P$24)</f>
        <v/>
      </c>
      <c r="S4" s="4" t="str">
        <f>IF(ISERR(FIND(S$2, 'Hidden Type Chart'!$B3)), IF(ISERR(FIND(S$2, 'Hidden Type Chart'!$C3)), IF(ISERR(FIND(S$2, 'Hidden Type Chart'!$D3)), "", $P$26), $P$25), $P$24)</f>
        <v>1/2</v>
      </c>
      <c r="T4" s="4" t="str">
        <f>IF(ISERR(FIND(T$2, 'Hidden Type Chart'!$B3)), IF(ISERR(FIND(T$2, 'Hidden Type Chart'!$C3)), IF(ISERR(FIND(T$2, 'Hidden Type Chart'!$D3)), "", $P$26), $P$25), $P$24)</f>
        <v/>
      </c>
    </row>
    <row r="5" spans="1:20">
      <c r="A5" s="4">
        <f t="shared" si="1"/>
        <v>-1</v>
      </c>
      <c r="B5" s="3" t="str">
        <f>'Hidden Type Chart'!$A4</f>
        <v>Dragon</v>
      </c>
      <c r="C5" s="4" t="str">
        <f>IF(ISERR(FIND(C$2, 'Hidden Type Chart'!$B4)), IF(ISERR(FIND(C$2, 'Hidden Type Chart'!$C4)), IF(ISERR(FIND(C$2, 'Hidden Type Chart'!$D4)), "", $P$26), $P$25), $P$24)</f>
        <v/>
      </c>
      <c r="D5" s="4" t="str">
        <f>IF(ISERR(FIND(D$2, 'Hidden Type Chart'!$B4)), IF(ISERR(FIND(D$2, 'Hidden Type Chart'!$C4)), IF(ISERR(FIND(D$2, 'Hidden Type Chart'!$D4)), "", $P$26), $P$25), $P$24)</f>
        <v/>
      </c>
      <c r="E5" s="4" t="str">
        <f>IF(ISERR(FIND(E$2, 'Hidden Type Chart'!$B4)), IF(ISERR(FIND(E$2, 'Hidden Type Chart'!$C4)), IF(ISERR(FIND(E$2, 'Hidden Type Chart'!$D4)), "", $P$26), $P$25), $P$24)</f>
        <v>2</v>
      </c>
      <c r="F5" s="4" t="str">
        <f>IF(ISERR(FIND(F$2, 'Hidden Type Chart'!$B4)), IF(ISERR(FIND(F$2, 'Hidden Type Chart'!$C4)), IF(ISERR(FIND(F$2, 'Hidden Type Chart'!$D4)), "", $P$26), $P$25), $P$24)</f>
        <v/>
      </c>
      <c r="G5" s="4" t="str">
        <f>IF(ISERR(FIND(G$2, 'Hidden Type Chart'!$B4)), IF(ISERR(FIND(G$2, 'Hidden Type Chart'!$C4)), IF(ISERR(FIND(G$2, 'Hidden Type Chart'!$D4)), "", $P$26), $P$25), $P$24)</f>
        <v>0</v>
      </c>
      <c r="H5" s="4" t="str">
        <f>IF(ISERR(FIND(H$2, 'Hidden Type Chart'!$B4)), IF(ISERR(FIND(H$2, 'Hidden Type Chart'!$C4)), IF(ISERR(FIND(H$2, 'Hidden Type Chart'!$D4)), "", $P$26), $P$25), $P$24)</f>
        <v/>
      </c>
      <c r="I5" s="4" t="str">
        <f>IF(ISERR(FIND(I$2, 'Hidden Type Chart'!$B4)), IF(ISERR(FIND(I$2, 'Hidden Type Chart'!$C4)), IF(ISERR(FIND(I$2, 'Hidden Type Chart'!$D4)), "", $P$26), $P$25), $P$24)</f>
        <v/>
      </c>
      <c r="J5" s="4" t="str">
        <f>IF(ISERR(FIND(J$2, 'Hidden Type Chart'!$B4)), IF(ISERR(FIND(J$2, 'Hidden Type Chart'!$C4)), IF(ISERR(FIND(J$2, 'Hidden Type Chart'!$D4)), "", $P$26), $P$25), $P$24)</f>
        <v/>
      </c>
      <c r="K5" s="4" t="str">
        <f>IF(ISERR(FIND(K$2, 'Hidden Type Chart'!$B4)), IF(ISERR(FIND(K$2, 'Hidden Type Chart'!$C4)), IF(ISERR(FIND(K$2, 'Hidden Type Chart'!$D4)), "", $P$26), $P$25), $P$24)</f>
        <v/>
      </c>
      <c r="L5" s="4" t="str">
        <f>IF(ISERR(FIND(L$2, 'Hidden Type Chart'!$B4)), IF(ISERR(FIND(L$2, 'Hidden Type Chart'!$C4)), IF(ISERR(FIND(L$2, 'Hidden Type Chart'!$D4)), "", $P$26), $P$25), $P$24)</f>
        <v/>
      </c>
      <c r="M5" s="4" t="str">
        <f>IF(ISERR(FIND(M$2, 'Hidden Type Chart'!$B4)), IF(ISERR(FIND(M$2, 'Hidden Type Chart'!$C4)), IF(ISERR(FIND(M$2, 'Hidden Type Chart'!$D4)), "", $P$26), $P$25), $P$24)</f>
        <v/>
      </c>
      <c r="N5" s="4" t="str">
        <f>IF(ISERR(FIND(N$2, 'Hidden Type Chart'!$B4)), IF(ISERR(FIND(N$2, 'Hidden Type Chart'!$C4)), IF(ISERR(FIND(N$2, 'Hidden Type Chart'!$D4)), "", $P$26), $P$25), $P$24)</f>
        <v/>
      </c>
      <c r="O5" s="4" t="str">
        <f>IF(ISERR(FIND(O$2, 'Hidden Type Chart'!$B4)), IF(ISERR(FIND(O$2, 'Hidden Type Chart'!$C4)), IF(ISERR(FIND(O$2, 'Hidden Type Chart'!$D4)), "", $P$26), $P$25), $P$24)</f>
        <v/>
      </c>
      <c r="P5" s="4" t="str">
        <f>IF(ISERR(FIND(P$2, 'Hidden Type Chart'!$B4)), IF(ISERR(FIND(P$2, 'Hidden Type Chart'!$C4)), IF(ISERR(FIND(P$2, 'Hidden Type Chart'!$D4)), "", $P$26), $P$25), $P$24)</f>
        <v/>
      </c>
      <c r="Q5" s="4" t="str">
        <f>IF(ISERR(FIND(Q$2, 'Hidden Type Chart'!$B4)), IF(ISERR(FIND(Q$2, 'Hidden Type Chart'!$C4)), IF(ISERR(FIND(Q$2, 'Hidden Type Chart'!$D4)), "", $P$26), $P$25), $P$24)</f>
        <v/>
      </c>
      <c r="R5" s="4" t="str">
        <f>IF(ISERR(FIND(R$2, 'Hidden Type Chart'!$B4)), IF(ISERR(FIND(R$2, 'Hidden Type Chart'!$C4)), IF(ISERR(FIND(R$2, 'Hidden Type Chart'!$D4)), "", $P$26), $P$25), $P$24)</f>
        <v/>
      </c>
      <c r="S5" s="4" t="str">
        <f>IF(ISERR(FIND(S$2, 'Hidden Type Chart'!$B4)), IF(ISERR(FIND(S$2, 'Hidden Type Chart'!$C4)), IF(ISERR(FIND(S$2, 'Hidden Type Chart'!$D4)), "", $P$26), $P$25), $P$24)</f>
        <v>1/2</v>
      </c>
      <c r="T5" s="4" t="str">
        <f>IF(ISERR(FIND(T$2, 'Hidden Type Chart'!$B4)), IF(ISERR(FIND(T$2, 'Hidden Type Chart'!$C4)), IF(ISERR(FIND(T$2, 'Hidden Type Chart'!$D4)), "", $P$26), $P$25), $P$24)</f>
        <v/>
      </c>
    </row>
    <row r="6" spans="1:20">
      <c r="A6" s="4">
        <f t="shared" si="1"/>
        <v>-1</v>
      </c>
      <c r="B6" s="3" t="str">
        <f>'Hidden Type Chart'!$A5</f>
        <v>Electric</v>
      </c>
      <c r="C6" s="4" t="str">
        <f>IF(ISERR(FIND(C$2, 'Hidden Type Chart'!$B5)), IF(ISERR(FIND(C$2, 'Hidden Type Chart'!$C5)), IF(ISERR(FIND(C$2, 'Hidden Type Chart'!$D5)), "", $P$26), $P$25), $P$24)</f>
        <v/>
      </c>
      <c r="D6" s="4" t="str">
        <f>IF(ISERR(FIND(D$2, 'Hidden Type Chart'!$B5)), IF(ISERR(FIND(D$2, 'Hidden Type Chart'!$C5)), IF(ISERR(FIND(D$2, 'Hidden Type Chart'!$D5)), "", $P$26), $P$25), $P$24)</f>
        <v/>
      </c>
      <c r="E6" s="4" t="str">
        <f>IF(ISERR(FIND(E$2, 'Hidden Type Chart'!$B5)), IF(ISERR(FIND(E$2, 'Hidden Type Chart'!$C5)), IF(ISERR(FIND(E$2, 'Hidden Type Chart'!$D5)), "", $P$26), $P$25), $P$24)</f>
        <v>1/2</v>
      </c>
      <c r="F6" s="4" t="str">
        <f>IF(ISERR(FIND(F$2, 'Hidden Type Chart'!$B5)), IF(ISERR(FIND(F$2, 'Hidden Type Chart'!$C5)), IF(ISERR(FIND(F$2, 'Hidden Type Chart'!$D5)), "", $P$26), $P$25), $P$24)</f>
        <v>1/2</v>
      </c>
      <c r="G6" s="4" t="str">
        <f>IF(ISERR(FIND(G$2, 'Hidden Type Chart'!$B5)), IF(ISERR(FIND(G$2, 'Hidden Type Chart'!$C5)), IF(ISERR(FIND(G$2, 'Hidden Type Chart'!$D5)), "", $P$26), $P$25), $P$24)</f>
        <v/>
      </c>
      <c r="H6" s="4" t="str">
        <f>IF(ISERR(FIND(H$2, 'Hidden Type Chart'!$B5)), IF(ISERR(FIND(H$2, 'Hidden Type Chart'!$C5)), IF(ISERR(FIND(H$2, 'Hidden Type Chart'!$D5)), "", $P$26), $P$25), $P$24)</f>
        <v/>
      </c>
      <c r="I6" s="4" t="str">
        <f>IF(ISERR(FIND(I$2, 'Hidden Type Chart'!$B5)), IF(ISERR(FIND(I$2, 'Hidden Type Chart'!$C5)), IF(ISERR(FIND(I$2, 'Hidden Type Chart'!$D5)), "", $P$26), $P$25), $P$24)</f>
        <v/>
      </c>
      <c r="J6" s="4" t="str">
        <f>IF(ISERR(FIND(J$2, 'Hidden Type Chart'!$B5)), IF(ISERR(FIND(J$2, 'Hidden Type Chart'!$C5)), IF(ISERR(FIND(J$2, 'Hidden Type Chart'!$D5)), "", $P$26), $P$25), $P$24)</f>
        <v>2</v>
      </c>
      <c r="K6" s="4" t="str">
        <f>IF(ISERR(FIND(K$2, 'Hidden Type Chart'!$B5)), IF(ISERR(FIND(K$2, 'Hidden Type Chart'!$C5)), IF(ISERR(FIND(K$2, 'Hidden Type Chart'!$D5)), "", $P$26), $P$25), $P$24)</f>
        <v/>
      </c>
      <c r="L6" s="4" t="str">
        <f>IF(ISERR(FIND(L$2, 'Hidden Type Chart'!$B5)), IF(ISERR(FIND(L$2, 'Hidden Type Chart'!$C5)), IF(ISERR(FIND(L$2, 'Hidden Type Chart'!$D5)), "", $P$26), $P$25), $P$24)</f>
        <v>1/2</v>
      </c>
      <c r="M6" s="4" t="str">
        <f>IF(ISERR(FIND(M$2, 'Hidden Type Chart'!$B5)), IF(ISERR(FIND(M$2, 'Hidden Type Chart'!$C5)), IF(ISERR(FIND(M$2, 'Hidden Type Chart'!$D5)), "", $P$26), $P$25), $P$24)</f>
        <v>0</v>
      </c>
      <c r="N6" s="4" t="str">
        <f>IF(ISERR(FIND(N$2, 'Hidden Type Chart'!$B5)), IF(ISERR(FIND(N$2, 'Hidden Type Chart'!$C5)), IF(ISERR(FIND(N$2, 'Hidden Type Chart'!$D5)), "", $P$26), $P$25), $P$24)</f>
        <v/>
      </c>
      <c r="O6" s="4" t="str">
        <f>IF(ISERR(FIND(O$2, 'Hidden Type Chart'!$B5)), IF(ISERR(FIND(O$2, 'Hidden Type Chart'!$C5)), IF(ISERR(FIND(O$2, 'Hidden Type Chart'!$D5)), "", $P$26), $P$25), $P$24)</f>
        <v/>
      </c>
      <c r="P6" s="4" t="str">
        <f>IF(ISERR(FIND(P$2, 'Hidden Type Chart'!$B5)), IF(ISERR(FIND(P$2, 'Hidden Type Chart'!$C5)), IF(ISERR(FIND(P$2, 'Hidden Type Chart'!$D5)), "", $P$26), $P$25), $P$24)</f>
        <v/>
      </c>
      <c r="Q6" s="4" t="str">
        <f>IF(ISERR(FIND(Q$2, 'Hidden Type Chart'!$B5)), IF(ISERR(FIND(Q$2, 'Hidden Type Chart'!$C5)), IF(ISERR(FIND(Q$2, 'Hidden Type Chart'!$D5)), "", $P$26), $P$25), $P$24)</f>
        <v/>
      </c>
      <c r="R6" s="4" t="str">
        <f>IF(ISERR(FIND(R$2, 'Hidden Type Chart'!$B5)), IF(ISERR(FIND(R$2, 'Hidden Type Chart'!$C5)), IF(ISERR(FIND(R$2, 'Hidden Type Chart'!$D5)), "", $P$26), $P$25), $P$24)</f>
        <v/>
      </c>
      <c r="S6" s="4" t="str">
        <f>IF(ISERR(FIND(S$2, 'Hidden Type Chart'!$B5)), IF(ISERR(FIND(S$2, 'Hidden Type Chart'!$C5)), IF(ISERR(FIND(S$2, 'Hidden Type Chart'!$D5)), "", $P$26), $P$25), $P$24)</f>
        <v/>
      </c>
      <c r="T6" s="4" t="str">
        <f>IF(ISERR(FIND(T$2, 'Hidden Type Chart'!$B5)), IF(ISERR(FIND(T$2, 'Hidden Type Chart'!$C5)), IF(ISERR(FIND(T$2, 'Hidden Type Chart'!$D5)), "", $P$26), $P$25), $P$24)</f>
        <v>2</v>
      </c>
    </row>
    <row r="7" spans="1:20">
      <c r="A7" s="4">
        <f t="shared" si="1"/>
        <v>3</v>
      </c>
      <c r="B7" s="3" t="s">
        <v>894</v>
      </c>
      <c r="C7" s="4" t="str">
        <f>IF(ISERR(FIND(C$2, 'Hidden Type Chart'!$B6)), IF(ISERR(FIND(C$2, 'Hidden Type Chart'!$C6)), IF(ISERR(FIND(C$2, 'Hidden Type Chart'!$D6)), "", $P$26), $P$25), $P$24)</f>
        <v/>
      </c>
      <c r="D7" s="4" t="str">
        <f>IF(ISERR(FIND(D$2, 'Hidden Type Chart'!$B6)), IF(ISERR(FIND(D$2, 'Hidden Type Chart'!$C6)), IF(ISERR(FIND(D$2, 'Hidden Type Chart'!$D6)), "", $P$26), $P$25), $P$24)</f>
        <v>2</v>
      </c>
      <c r="E7" s="4" t="str">
        <f>IF(ISERR(FIND(E$2, 'Hidden Type Chart'!$B6)), IF(ISERR(FIND(E$2, 'Hidden Type Chart'!$C6)), IF(ISERR(FIND(E$2, 'Hidden Type Chart'!$D6)), "", $P$26), $P$25), $P$24)</f>
        <v>2</v>
      </c>
      <c r="F7" s="4" t="str">
        <f>IF(ISERR(FIND(F$2, 'Hidden Type Chart'!$B6)), IF(ISERR(FIND(F$2, 'Hidden Type Chart'!$C6)), IF(ISERR(FIND(F$2, 'Hidden Type Chart'!$D6)), "", $P$26), $P$25), $P$24)</f>
        <v/>
      </c>
      <c r="G7" s="4" t="str">
        <f>IF(ISERR(FIND(G$2, 'Hidden Type Chart'!$B6)), IF(ISERR(FIND(G$2, 'Hidden Type Chart'!$C6)), IF(ISERR(FIND(G$2, 'Hidden Type Chart'!$D6)), "", $P$26), $P$25), $P$24)</f>
        <v/>
      </c>
      <c r="H7" s="4" t="str">
        <f>IF(ISERR(FIND(H$2, 'Hidden Type Chart'!$B6)), IF(ISERR(FIND(H$2, 'Hidden Type Chart'!$C6)), IF(ISERR(FIND(H$2, 'Hidden Type Chart'!$D6)), "", $P$26), $P$25), $P$24)</f>
        <v>2</v>
      </c>
      <c r="I7" s="4" t="str">
        <f>IF(ISERR(FIND(I$2, 'Hidden Type Chart'!$B6)), IF(ISERR(FIND(I$2, 'Hidden Type Chart'!$C6)), IF(ISERR(FIND(I$2, 'Hidden Type Chart'!$D6)), "", $P$26), $P$25), $P$24)</f>
        <v>1/2</v>
      </c>
      <c r="J7" s="4" t="str">
        <f>IF(ISERR(FIND(J$2, 'Hidden Type Chart'!$B6)), IF(ISERR(FIND(J$2, 'Hidden Type Chart'!$C6)), IF(ISERR(FIND(J$2, 'Hidden Type Chart'!$D6)), "", $P$26), $P$25), $P$24)</f>
        <v/>
      </c>
      <c r="K7" s="4" t="str">
        <f>IF(ISERR(FIND(K$2, 'Hidden Type Chart'!$B6)), IF(ISERR(FIND(K$2, 'Hidden Type Chart'!$C6)), IF(ISERR(FIND(K$2, 'Hidden Type Chart'!$D6)), "", $P$26), $P$25), $P$24)</f>
        <v/>
      </c>
      <c r="L7" s="4" t="str">
        <f>IF(ISERR(FIND(L$2, 'Hidden Type Chart'!$B6)), IF(ISERR(FIND(L$2, 'Hidden Type Chart'!$C6)), IF(ISERR(FIND(L$2, 'Hidden Type Chart'!$D6)), "", $P$26), $P$25), $P$24)</f>
        <v/>
      </c>
      <c r="M7" s="4" t="str">
        <f>IF(ISERR(FIND(M$2, 'Hidden Type Chart'!$B6)), IF(ISERR(FIND(M$2, 'Hidden Type Chart'!$C6)), IF(ISERR(FIND(M$2, 'Hidden Type Chart'!$D6)), "", $P$26), $P$25), $P$24)</f>
        <v/>
      </c>
      <c r="N7" s="4" t="str">
        <f>IF(ISERR(FIND(N$2, 'Hidden Type Chart'!$B6)), IF(ISERR(FIND(N$2, 'Hidden Type Chart'!$C6)), IF(ISERR(FIND(N$2, 'Hidden Type Chart'!$D6)), "", $P$26), $P$25), $P$24)</f>
        <v/>
      </c>
      <c r="O7" s="4" t="str">
        <f>IF(ISERR(FIND(O$2, 'Hidden Type Chart'!$B6)), IF(ISERR(FIND(O$2, 'Hidden Type Chart'!$C6)), IF(ISERR(FIND(O$2, 'Hidden Type Chart'!$D6)), "", $P$26), $P$25), $P$24)</f>
        <v/>
      </c>
      <c r="P7" s="4" t="str">
        <f>IF(ISERR(FIND(P$2, 'Hidden Type Chart'!$B6)), IF(ISERR(FIND(P$2, 'Hidden Type Chart'!$C6)), IF(ISERR(FIND(P$2, 'Hidden Type Chart'!$D6)), "", $P$26), $P$25), $P$24)</f>
        <v>1/2</v>
      </c>
      <c r="Q7" s="4" t="str">
        <f>IF(ISERR(FIND(Q$2, 'Hidden Type Chart'!$B6)), IF(ISERR(FIND(Q$2, 'Hidden Type Chart'!$C6)), IF(ISERR(FIND(Q$2, 'Hidden Type Chart'!$D6)), "", $P$26), $P$25), $P$24)</f>
        <v/>
      </c>
      <c r="R7" s="4" t="str">
        <f>IF(ISERR(FIND(R$2, 'Hidden Type Chart'!$B6)), IF(ISERR(FIND(R$2, 'Hidden Type Chart'!$C6)), IF(ISERR(FIND(R$2, 'Hidden Type Chart'!$D6)), "", $P$26), $P$25), $P$24)</f>
        <v/>
      </c>
      <c r="S7" s="4" t="str">
        <f>IF(ISERR(FIND(S$2, 'Hidden Type Chart'!$B6)), IF(ISERR(FIND(S$2, 'Hidden Type Chart'!$C6)), IF(ISERR(FIND(S$2, 'Hidden Type Chart'!$D6)), "", $P$26), $P$25), $P$24)</f>
        <v>1/2</v>
      </c>
      <c r="T7" s="4" t="str">
        <f>IF(ISERR(FIND(T$2, 'Hidden Type Chart'!$B6)), IF(ISERR(FIND(T$2, 'Hidden Type Chart'!$C6)), IF(ISERR(FIND(T$2, 'Hidden Type Chart'!$D6)), "", $P$26), $P$25), $P$24)</f>
        <v/>
      </c>
    </row>
    <row r="8" spans="1:20">
      <c r="A8" s="4">
        <f t="shared" si="1"/>
        <v>2</v>
      </c>
      <c r="B8" s="3" t="str">
        <f>'Hidden Type Chart'!$A7</f>
        <v>Fighting</v>
      </c>
      <c r="C8" s="4" t="str">
        <f>IF(ISERR(FIND(C$2, 'Hidden Type Chart'!$B7)), IF(ISERR(FIND(C$2, 'Hidden Type Chart'!$C7)), IF(ISERR(FIND(C$2, 'Hidden Type Chart'!$D7)), "", $P$26), $P$25), $P$24)</f>
        <v>1/2</v>
      </c>
      <c r="D8" s="4" t="str">
        <f>IF(ISERR(FIND(D$2, 'Hidden Type Chart'!$B7)), IF(ISERR(FIND(D$2, 'Hidden Type Chart'!$C7)), IF(ISERR(FIND(D$2, 'Hidden Type Chart'!$D7)), "", $P$26), $P$25), $P$24)</f>
        <v>2</v>
      </c>
      <c r="E8" s="4" t="str">
        <f>IF(ISERR(FIND(E$2, 'Hidden Type Chart'!$B7)), IF(ISERR(FIND(E$2, 'Hidden Type Chart'!$C7)), IF(ISERR(FIND(E$2, 'Hidden Type Chart'!$D7)), "", $P$26), $P$25), $P$24)</f>
        <v/>
      </c>
      <c r="F8" s="4" t="str">
        <f>IF(ISERR(FIND(F$2, 'Hidden Type Chart'!$B7)), IF(ISERR(FIND(F$2, 'Hidden Type Chart'!$C7)), IF(ISERR(FIND(F$2, 'Hidden Type Chart'!$D7)), "", $P$26), $P$25), $P$24)</f>
        <v/>
      </c>
      <c r="G8" s="4" t="str">
        <f>IF(ISERR(FIND(G$2, 'Hidden Type Chart'!$B7)), IF(ISERR(FIND(G$2, 'Hidden Type Chart'!$C7)), IF(ISERR(FIND(G$2, 'Hidden Type Chart'!$D7)), "", $P$26), $P$25), $P$24)</f>
        <v>1/2</v>
      </c>
      <c r="H8" s="4" t="str">
        <f>IF(ISERR(FIND(H$2, 'Hidden Type Chart'!$B7)), IF(ISERR(FIND(H$2, 'Hidden Type Chart'!$C7)), IF(ISERR(FIND(H$2, 'Hidden Type Chart'!$D7)), "", $P$26), $P$25), $P$24)</f>
        <v>1/2</v>
      </c>
      <c r="I8" s="4" t="str">
        <f>IF(ISERR(FIND(I$2, 'Hidden Type Chart'!$B7)), IF(ISERR(FIND(I$2, 'Hidden Type Chart'!$C7)), IF(ISERR(FIND(I$2, 'Hidden Type Chart'!$D7)), "", $P$26), $P$25), $P$24)</f>
        <v/>
      </c>
      <c r="J8" s="4" t="str">
        <f>IF(ISERR(FIND(J$2, 'Hidden Type Chart'!$B7)), IF(ISERR(FIND(J$2, 'Hidden Type Chart'!$C7)), IF(ISERR(FIND(J$2, 'Hidden Type Chart'!$D7)), "", $P$26), $P$25), $P$24)</f>
        <v>1/2</v>
      </c>
      <c r="K8" s="4" t="str">
        <f>IF(ISERR(FIND(K$2, 'Hidden Type Chart'!$B7)), IF(ISERR(FIND(K$2, 'Hidden Type Chart'!$C7)), IF(ISERR(FIND(K$2, 'Hidden Type Chart'!$D7)), "", $P$26), $P$25), $P$24)</f>
        <v>0</v>
      </c>
      <c r="L8" s="4" t="str">
        <f>IF(ISERR(FIND(L$2, 'Hidden Type Chart'!$B7)), IF(ISERR(FIND(L$2, 'Hidden Type Chart'!$C7)), IF(ISERR(FIND(L$2, 'Hidden Type Chart'!$D7)), "", $P$26), $P$25), $P$24)</f>
        <v/>
      </c>
      <c r="M8" s="4" t="str">
        <f>IF(ISERR(FIND(M$2, 'Hidden Type Chart'!$B7)), IF(ISERR(FIND(M$2, 'Hidden Type Chart'!$C7)), IF(ISERR(FIND(M$2, 'Hidden Type Chart'!$D7)), "", $P$26), $P$25), $P$24)</f>
        <v/>
      </c>
      <c r="N8" s="4" t="str">
        <f>IF(ISERR(FIND(N$2, 'Hidden Type Chart'!$B7)), IF(ISERR(FIND(N$2, 'Hidden Type Chart'!$C7)), IF(ISERR(FIND(N$2, 'Hidden Type Chart'!$D7)), "", $P$26), $P$25), $P$24)</f>
        <v>2</v>
      </c>
      <c r="O8" s="4" t="str">
        <f>IF(ISERR(FIND(O$2, 'Hidden Type Chart'!$B7)), IF(ISERR(FIND(O$2, 'Hidden Type Chart'!$C7)), IF(ISERR(FIND(O$2, 'Hidden Type Chart'!$D7)), "", $P$26), $P$25), $P$24)</f>
        <v>2</v>
      </c>
      <c r="P8" s="4" t="str">
        <f>IF(ISERR(FIND(P$2, 'Hidden Type Chart'!$B7)), IF(ISERR(FIND(P$2, 'Hidden Type Chart'!$C7)), IF(ISERR(FIND(P$2, 'Hidden Type Chart'!$D7)), "", $P$26), $P$25), $P$24)</f>
        <v>1/2</v>
      </c>
      <c r="Q8" s="4" t="str">
        <f>IF(ISERR(FIND(Q$2, 'Hidden Type Chart'!$B7)), IF(ISERR(FIND(Q$2, 'Hidden Type Chart'!$C7)), IF(ISERR(FIND(Q$2, 'Hidden Type Chart'!$D7)), "", $P$26), $P$25), $P$24)</f>
        <v>1/2</v>
      </c>
      <c r="R8" s="4" t="str">
        <f>IF(ISERR(FIND(R$2, 'Hidden Type Chart'!$B7)), IF(ISERR(FIND(R$2, 'Hidden Type Chart'!$C7)), IF(ISERR(FIND(R$2, 'Hidden Type Chart'!$D7)), "", $P$26), $P$25), $P$24)</f>
        <v>2</v>
      </c>
      <c r="S8" s="4" t="str">
        <f>IF(ISERR(FIND(S$2, 'Hidden Type Chart'!$B7)), IF(ISERR(FIND(S$2, 'Hidden Type Chart'!$C7)), IF(ISERR(FIND(S$2, 'Hidden Type Chart'!$D7)), "", $P$26), $P$25), $P$24)</f>
        <v>2</v>
      </c>
      <c r="T8" s="4" t="str">
        <f>IF(ISERR(FIND(T$2, 'Hidden Type Chart'!$B7)), IF(ISERR(FIND(T$2, 'Hidden Type Chart'!$C7)), IF(ISERR(FIND(T$2, 'Hidden Type Chart'!$D7)), "", $P$26), $P$25), $P$24)</f>
        <v/>
      </c>
    </row>
    <row r="9" spans="1:20">
      <c r="A9" s="4">
        <f t="shared" si="1"/>
        <v>4</v>
      </c>
      <c r="B9" s="3" t="str">
        <f>'Hidden Type Chart'!$A8</f>
        <v>Fire</v>
      </c>
      <c r="C9" s="4" t="str">
        <f>IF(ISERR(FIND(C$2, 'Hidden Type Chart'!$B8)), IF(ISERR(FIND(C$2, 'Hidden Type Chart'!$C8)), IF(ISERR(FIND(C$2, 'Hidden Type Chart'!$D8)), "", $P$26), $P$25), $P$24)</f>
        <v>2</v>
      </c>
      <c r="D9" s="4" t="str">
        <f>IF(ISERR(FIND(D$2, 'Hidden Type Chart'!$B8)), IF(ISERR(FIND(D$2, 'Hidden Type Chart'!$C8)), IF(ISERR(FIND(D$2, 'Hidden Type Chart'!$D8)), "", $P$26), $P$25), $P$24)</f>
        <v/>
      </c>
      <c r="E9" s="4" t="str">
        <f>IF(ISERR(FIND(E$2, 'Hidden Type Chart'!$B8)), IF(ISERR(FIND(E$2, 'Hidden Type Chart'!$C8)), IF(ISERR(FIND(E$2, 'Hidden Type Chart'!$D8)), "", $P$26), $P$25), $P$24)</f>
        <v>1/2</v>
      </c>
      <c r="F9" s="4" t="str">
        <f>IF(ISERR(FIND(F$2, 'Hidden Type Chart'!$B8)), IF(ISERR(FIND(F$2, 'Hidden Type Chart'!$C8)), IF(ISERR(FIND(F$2, 'Hidden Type Chart'!$D8)), "", $P$26), $P$25), $P$24)</f>
        <v/>
      </c>
      <c r="G9" s="4" t="str">
        <f>IF(ISERR(FIND(G$2, 'Hidden Type Chart'!$B8)), IF(ISERR(FIND(G$2, 'Hidden Type Chart'!$C8)), IF(ISERR(FIND(G$2, 'Hidden Type Chart'!$D8)), "", $P$26), $P$25), $P$24)</f>
        <v/>
      </c>
      <c r="H9" s="4" t="str">
        <f>IF(ISERR(FIND(H$2, 'Hidden Type Chart'!$B8)), IF(ISERR(FIND(H$2, 'Hidden Type Chart'!$C8)), IF(ISERR(FIND(H$2, 'Hidden Type Chart'!$D8)), "", $P$26), $P$25), $P$24)</f>
        <v/>
      </c>
      <c r="I9" s="4" t="str">
        <f>IF(ISERR(FIND(I$2, 'Hidden Type Chart'!$B8)), IF(ISERR(FIND(I$2, 'Hidden Type Chart'!$C8)), IF(ISERR(FIND(I$2, 'Hidden Type Chart'!$D8)), "", $P$26), $P$25), $P$24)</f>
        <v>1/2</v>
      </c>
      <c r="J9" s="4" t="str">
        <f>IF(ISERR(FIND(J$2, 'Hidden Type Chart'!$B8)), IF(ISERR(FIND(J$2, 'Hidden Type Chart'!$C8)), IF(ISERR(FIND(J$2, 'Hidden Type Chart'!$D8)), "", $P$26), $P$25), $P$24)</f>
        <v/>
      </c>
      <c r="K9" s="4" t="str">
        <f>IF(ISERR(FIND(K$2, 'Hidden Type Chart'!$B8)), IF(ISERR(FIND(K$2, 'Hidden Type Chart'!$C8)), IF(ISERR(FIND(K$2, 'Hidden Type Chart'!$D8)), "", $P$26), $P$25), $P$24)</f>
        <v/>
      </c>
      <c r="L9" s="4" t="str">
        <f>IF(ISERR(FIND(L$2, 'Hidden Type Chart'!$B8)), IF(ISERR(FIND(L$2, 'Hidden Type Chart'!$C8)), IF(ISERR(FIND(L$2, 'Hidden Type Chart'!$D8)), "", $P$26), $P$25), $P$24)</f>
        <v>2</v>
      </c>
      <c r="M9" s="4" t="str">
        <f>IF(ISERR(FIND(M$2, 'Hidden Type Chart'!$B8)), IF(ISERR(FIND(M$2, 'Hidden Type Chart'!$C8)), IF(ISERR(FIND(M$2, 'Hidden Type Chart'!$D8)), "", $P$26), $P$25), $P$24)</f>
        <v/>
      </c>
      <c r="N9" s="4" t="str">
        <f>IF(ISERR(FIND(N$2, 'Hidden Type Chart'!$B8)), IF(ISERR(FIND(N$2, 'Hidden Type Chart'!$C8)), IF(ISERR(FIND(N$2, 'Hidden Type Chart'!$D8)), "", $P$26), $P$25), $P$24)</f>
        <v>2</v>
      </c>
      <c r="O9" s="4" t="str">
        <f>IF(ISERR(FIND(O$2, 'Hidden Type Chart'!$B8)), IF(ISERR(FIND(O$2, 'Hidden Type Chart'!$C8)), IF(ISERR(FIND(O$2, 'Hidden Type Chart'!$D8)), "", $P$26), $P$25), $P$24)</f>
        <v/>
      </c>
      <c r="P9" s="4" t="str">
        <f>IF(ISERR(FIND(P$2, 'Hidden Type Chart'!$B8)), IF(ISERR(FIND(P$2, 'Hidden Type Chart'!$C8)), IF(ISERR(FIND(P$2, 'Hidden Type Chart'!$D8)), "", $P$26), $P$25), $P$24)</f>
        <v/>
      </c>
      <c r="Q9" s="4" t="str">
        <f>IF(ISERR(FIND(Q$2, 'Hidden Type Chart'!$B8)), IF(ISERR(FIND(Q$2, 'Hidden Type Chart'!$C8)), IF(ISERR(FIND(Q$2, 'Hidden Type Chart'!$D8)), "", $P$26), $P$25), $P$24)</f>
        <v/>
      </c>
      <c r="R9" s="4" t="str">
        <f>IF(ISERR(FIND(R$2, 'Hidden Type Chart'!$B8)), IF(ISERR(FIND(R$2, 'Hidden Type Chart'!$C8)), IF(ISERR(FIND(R$2, 'Hidden Type Chart'!$D8)), "", $P$26), $P$25), $P$24)</f>
        <v>1/2</v>
      </c>
      <c r="S9" s="4" t="str">
        <f>IF(ISERR(FIND(S$2, 'Hidden Type Chart'!$B8)), IF(ISERR(FIND(S$2, 'Hidden Type Chart'!$C8)), IF(ISERR(FIND(S$2, 'Hidden Type Chart'!$D8)), "", $P$26), $P$25), $P$24)</f>
        <v>2</v>
      </c>
      <c r="T9" s="4" t="str">
        <f>IF(ISERR(FIND(T$2, 'Hidden Type Chart'!$B8)), IF(ISERR(FIND(T$2, 'Hidden Type Chart'!$C8)), IF(ISERR(FIND(T$2, 'Hidden Type Chart'!$D8)), "", $P$26), $P$25), $P$24)</f>
        <v>1/2</v>
      </c>
    </row>
    <row r="10" spans="1:20">
      <c r="A10" s="4">
        <f t="shared" si="1"/>
        <v>3</v>
      </c>
      <c r="B10" s="3" t="str">
        <f>'Hidden Type Chart'!$A9</f>
        <v>Flying</v>
      </c>
      <c r="C10" s="4" t="str">
        <f>IF(ISERR(FIND(C$2, 'Hidden Type Chart'!$B9)), IF(ISERR(FIND(C$2, 'Hidden Type Chart'!$C9)), IF(ISERR(FIND(C$2, 'Hidden Type Chart'!$D9)), "", $P$26), $P$25), $P$24)</f>
        <v>2</v>
      </c>
      <c r="D10" s="4" t="str">
        <f>IF(ISERR(FIND(D$2, 'Hidden Type Chart'!$B9)), IF(ISERR(FIND(D$2, 'Hidden Type Chart'!$C9)), IF(ISERR(FIND(D$2, 'Hidden Type Chart'!$D9)), "", $P$26), $P$25), $P$24)</f>
        <v/>
      </c>
      <c r="E10" s="4" t="str">
        <f>IF(ISERR(FIND(E$2, 'Hidden Type Chart'!$B9)), IF(ISERR(FIND(E$2, 'Hidden Type Chart'!$C9)), IF(ISERR(FIND(E$2, 'Hidden Type Chart'!$D9)), "", $P$26), $P$25), $P$24)</f>
        <v/>
      </c>
      <c r="F10" s="4" t="str">
        <f>IF(ISERR(FIND(F$2, 'Hidden Type Chart'!$B9)), IF(ISERR(FIND(F$2, 'Hidden Type Chart'!$C9)), IF(ISERR(FIND(F$2, 'Hidden Type Chart'!$D9)), "", $P$26), $P$25), $P$24)</f>
        <v>1/2</v>
      </c>
      <c r="G10" s="4" t="str">
        <f>IF(ISERR(FIND(G$2, 'Hidden Type Chart'!$B9)), IF(ISERR(FIND(G$2, 'Hidden Type Chart'!$C9)), IF(ISERR(FIND(G$2, 'Hidden Type Chart'!$D9)), "", $P$26), $P$25), $P$24)</f>
        <v/>
      </c>
      <c r="H10" s="4" t="str">
        <f>IF(ISERR(FIND(H$2, 'Hidden Type Chart'!$B9)), IF(ISERR(FIND(H$2, 'Hidden Type Chart'!$C9)), IF(ISERR(FIND(H$2, 'Hidden Type Chart'!$D9)), "", $P$26), $P$25), $P$24)</f>
        <v>2</v>
      </c>
      <c r="I10" s="4" t="str">
        <f>IF(ISERR(FIND(I$2, 'Hidden Type Chart'!$B9)), IF(ISERR(FIND(I$2, 'Hidden Type Chart'!$C9)), IF(ISERR(FIND(I$2, 'Hidden Type Chart'!$D9)), "", $P$26), $P$25), $P$24)</f>
        <v/>
      </c>
      <c r="J10" s="4" t="str">
        <f>IF(ISERR(FIND(J$2, 'Hidden Type Chart'!$B9)), IF(ISERR(FIND(J$2, 'Hidden Type Chart'!$C9)), IF(ISERR(FIND(J$2, 'Hidden Type Chart'!$D9)), "", $P$26), $P$25), $P$24)</f>
        <v/>
      </c>
      <c r="K10" s="4" t="str">
        <f>IF(ISERR(FIND(K$2, 'Hidden Type Chart'!$B9)), IF(ISERR(FIND(K$2, 'Hidden Type Chart'!$C9)), IF(ISERR(FIND(K$2, 'Hidden Type Chart'!$D9)), "", $P$26), $P$25), $P$24)</f>
        <v/>
      </c>
      <c r="L10" s="4" t="str">
        <f>IF(ISERR(FIND(L$2, 'Hidden Type Chart'!$B9)), IF(ISERR(FIND(L$2, 'Hidden Type Chart'!$C9)), IF(ISERR(FIND(L$2, 'Hidden Type Chart'!$D9)), "", $P$26), $P$25), $P$24)</f>
        <v>2</v>
      </c>
      <c r="M10" s="4" t="str">
        <f>IF(ISERR(FIND(M$2, 'Hidden Type Chart'!$B9)), IF(ISERR(FIND(M$2, 'Hidden Type Chart'!$C9)), IF(ISERR(FIND(M$2, 'Hidden Type Chart'!$D9)), "", $P$26), $P$25), $P$24)</f>
        <v/>
      </c>
      <c r="N10" s="4" t="str">
        <f>IF(ISERR(FIND(N$2, 'Hidden Type Chart'!$B9)), IF(ISERR(FIND(N$2, 'Hidden Type Chart'!$C9)), IF(ISERR(FIND(N$2, 'Hidden Type Chart'!$D9)), "", $P$26), $P$25), $P$24)</f>
        <v/>
      </c>
      <c r="O10" s="4" t="str">
        <f>IF(ISERR(FIND(O$2, 'Hidden Type Chart'!$B9)), IF(ISERR(FIND(O$2, 'Hidden Type Chart'!$C9)), IF(ISERR(FIND(O$2, 'Hidden Type Chart'!$D9)), "", $P$26), $P$25), $P$24)</f>
        <v/>
      </c>
      <c r="P10" s="4" t="str">
        <f>IF(ISERR(FIND(P$2, 'Hidden Type Chart'!$B9)), IF(ISERR(FIND(P$2, 'Hidden Type Chart'!$C9)), IF(ISERR(FIND(P$2, 'Hidden Type Chart'!$D9)), "", $P$26), $P$25), $P$24)</f>
        <v/>
      </c>
      <c r="Q10" s="4" t="str">
        <f>IF(ISERR(FIND(Q$2, 'Hidden Type Chart'!$B9)), IF(ISERR(FIND(Q$2, 'Hidden Type Chart'!$C9)), IF(ISERR(FIND(Q$2, 'Hidden Type Chart'!$D9)), "", $P$26), $P$25), $P$24)</f>
        <v/>
      </c>
      <c r="R10" s="4" t="str">
        <f>IF(ISERR(FIND(R$2, 'Hidden Type Chart'!$B9)), IF(ISERR(FIND(R$2, 'Hidden Type Chart'!$C9)), IF(ISERR(FIND(R$2, 'Hidden Type Chart'!$D9)), "", $P$26), $P$25), $P$24)</f>
        <v>1/2</v>
      </c>
      <c r="S10" s="4" t="str">
        <f>IF(ISERR(FIND(S$2, 'Hidden Type Chart'!$B9)), IF(ISERR(FIND(S$2, 'Hidden Type Chart'!$C9)), IF(ISERR(FIND(S$2, 'Hidden Type Chart'!$D9)), "", $P$26), $P$25), $P$24)</f>
        <v>1/2</v>
      </c>
      <c r="T10" s="4" t="str">
        <f>IF(ISERR(FIND(T$2, 'Hidden Type Chart'!$B9)), IF(ISERR(FIND(T$2, 'Hidden Type Chart'!$C9)), IF(ISERR(FIND(T$2, 'Hidden Type Chart'!$D9)), "", $P$26), $P$25), $P$24)</f>
        <v/>
      </c>
    </row>
    <row r="11" spans="1:20">
      <c r="A11" s="4">
        <f t="shared" si="1"/>
        <v>0</v>
      </c>
      <c r="B11" s="3" t="str">
        <f>'Hidden Type Chart'!$A10</f>
        <v>Ghost</v>
      </c>
      <c r="C11" s="4" t="str">
        <f>IF(ISERR(FIND(C$2, 'Hidden Type Chart'!$B10)), IF(ISERR(FIND(C$2, 'Hidden Type Chart'!$C10)), IF(ISERR(FIND(C$2, 'Hidden Type Chart'!$D10)), "", $P$26), $P$25), $P$24)</f>
        <v/>
      </c>
      <c r="D11" s="4" t="str">
        <f>IF(ISERR(FIND(D$2, 'Hidden Type Chart'!$B10)), IF(ISERR(FIND(D$2, 'Hidden Type Chart'!$C10)), IF(ISERR(FIND(D$2, 'Hidden Type Chart'!$D10)), "", $P$26), $P$25), $P$24)</f>
        <v>1/2</v>
      </c>
      <c r="E11" s="4" t="str">
        <f>IF(ISERR(FIND(E$2, 'Hidden Type Chart'!$B10)), IF(ISERR(FIND(E$2, 'Hidden Type Chart'!$C10)), IF(ISERR(FIND(E$2, 'Hidden Type Chart'!$D10)), "", $P$26), $P$25), $P$24)</f>
        <v/>
      </c>
      <c r="F11" s="4" t="str">
        <f>IF(ISERR(FIND(F$2, 'Hidden Type Chart'!$B10)), IF(ISERR(FIND(F$2, 'Hidden Type Chart'!$C10)), IF(ISERR(FIND(F$2, 'Hidden Type Chart'!$D10)), "", $P$26), $P$25), $P$24)</f>
        <v/>
      </c>
      <c r="G11" s="4" t="str">
        <f>IF(ISERR(FIND(G$2, 'Hidden Type Chart'!$B10)), IF(ISERR(FIND(G$2, 'Hidden Type Chart'!$C10)), IF(ISERR(FIND(G$2, 'Hidden Type Chart'!$D10)), "", $P$26), $P$25), $P$24)</f>
        <v/>
      </c>
      <c r="H11" s="4" t="str">
        <f>IF(ISERR(FIND(H$2, 'Hidden Type Chart'!$B10)), IF(ISERR(FIND(H$2, 'Hidden Type Chart'!$C10)), IF(ISERR(FIND(H$2, 'Hidden Type Chart'!$D10)), "", $P$26), $P$25), $P$24)</f>
        <v/>
      </c>
      <c r="I11" s="4" t="str">
        <f>IF(ISERR(FIND(I$2, 'Hidden Type Chart'!$B10)), IF(ISERR(FIND(I$2, 'Hidden Type Chart'!$C10)), IF(ISERR(FIND(I$2, 'Hidden Type Chart'!$D10)), "", $P$26), $P$25), $P$24)</f>
        <v/>
      </c>
      <c r="J11" s="4" t="str">
        <f>IF(ISERR(FIND(J$2, 'Hidden Type Chart'!$B10)), IF(ISERR(FIND(J$2, 'Hidden Type Chart'!$C10)), IF(ISERR(FIND(J$2, 'Hidden Type Chart'!$D10)), "", $P$26), $P$25), $P$24)</f>
        <v/>
      </c>
      <c r="K11" s="4" t="str">
        <f>IF(ISERR(FIND(K$2, 'Hidden Type Chart'!$B10)), IF(ISERR(FIND(K$2, 'Hidden Type Chart'!$C10)), IF(ISERR(FIND(K$2, 'Hidden Type Chart'!$D10)), "", $P$26), $P$25), $P$24)</f>
        <v>2</v>
      </c>
      <c r="L11" s="4" t="str">
        <f>IF(ISERR(FIND(L$2, 'Hidden Type Chart'!$B10)), IF(ISERR(FIND(L$2, 'Hidden Type Chart'!$C10)), IF(ISERR(FIND(L$2, 'Hidden Type Chart'!$D10)), "", $P$26), $P$25), $P$24)</f>
        <v/>
      </c>
      <c r="M11" s="4" t="str">
        <f>IF(ISERR(FIND(M$2, 'Hidden Type Chart'!$B10)), IF(ISERR(FIND(M$2, 'Hidden Type Chart'!$C10)), IF(ISERR(FIND(M$2, 'Hidden Type Chart'!$D10)), "", $P$26), $P$25), $P$24)</f>
        <v/>
      </c>
      <c r="N11" s="4" t="str">
        <f>IF(ISERR(FIND(N$2, 'Hidden Type Chart'!$B10)), IF(ISERR(FIND(N$2, 'Hidden Type Chart'!$C10)), IF(ISERR(FIND(N$2, 'Hidden Type Chart'!$D10)), "", $P$26), $P$25), $P$24)</f>
        <v/>
      </c>
      <c r="O11" s="4" t="str">
        <f>IF(ISERR(FIND(O$2, 'Hidden Type Chart'!$B10)), IF(ISERR(FIND(O$2, 'Hidden Type Chart'!$C10)), IF(ISERR(FIND(O$2, 'Hidden Type Chart'!$D10)), "", $P$26), $P$25), $P$24)</f>
        <v>0</v>
      </c>
      <c r="P11" s="4" t="str">
        <f>IF(ISERR(FIND(P$2, 'Hidden Type Chart'!$B10)), IF(ISERR(FIND(P$2, 'Hidden Type Chart'!$C10)), IF(ISERR(FIND(P$2, 'Hidden Type Chart'!$D10)), "", $P$26), $P$25), $P$24)</f>
        <v/>
      </c>
      <c r="Q11" s="4" t="str">
        <f>IF(ISERR(FIND(Q$2, 'Hidden Type Chart'!$B10)), IF(ISERR(FIND(Q$2, 'Hidden Type Chart'!$C10)), IF(ISERR(FIND(Q$2, 'Hidden Type Chart'!$D10)), "", $P$26), $P$25), $P$24)</f>
        <v>2</v>
      </c>
      <c r="R11" s="4" t="str">
        <f>IF(ISERR(FIND(R$2, 'Hidden Type Chart'!$B10)), IF(ISERR(FIND(R$2, 'Hidden Type Chart'!$C10)), IF(ISERR(FIND(R$2, 'Hidden Type Chart'!$D10)), "", $P$26), $P$25), $P$24)</f>
        <v/>
      </c>
      <c r="S11" s="4" t="str">
        <f>IF(ISERR(FIND(S$2, 'Hidden Type Chart'!$B10)), IF(ISERR(FIND(S$2, 'Hidden Type Chart'!$C10)), IF(ISERR(FIND(S$2, 'Hidden Type Chart'!$D10)), "", $P$26), $P$25), $P$24)</f>
        <v>1/2</v>
      </c>
      <c r="T11" s="4" t="str">
        <f>IF(ISERR(FIND(T$2, 'Hidden Type Chart'!$B10)), IF(ISERR(FIND(T$2, 'Hidden Type Chart'!$C10)), IF(ISERR(FIND(T$2, 'Hidden Type Chart'!$D10)), "", $P$26), $P$25), $P$24)</f>
        <v/>
      </c>
    </row>
    <row r="12" spans="1:20">
      <c r="A12" s="4">
        <f t="shared" si="1"/>
        <v>0</v>
      </c>
      <c r="B12" s="3" t="str">
        <f>'Hidden Type Chart'!$A11</f>
        <v>Grass</v>
      </c>
      <c r="C12" s="4" t="str">
        <f>IF(ISERR(FIND(C$2, 'Hidden Type Chart'!$B11)), IF(ISERR(FIND(C$2, 'Hidden Type Chart'!$C11)), IF(ISERR(FIND(C$2, 'Hidden Type Chart'!$D11)), "", $P$26), $P$25), $P$24)</f>
        <v>1/2</v>
      </c>
      <c r="D12" s="4" t="str">
        <f>IF(ISERR(FIND(D$2, 'Hidden Type Chart'!$B11)), IF(ISERR(FIND(D$2, 'Hidden Type Chart'!$C11)), IF(ISERR(FIND(D$2, 'Hidden Type Chart'!$D11)), "", $P$26), $P$25), $P$24)</f>
        <v/>
      </c>
      <c r="E12" s="4" t="str">
        <f>IF(ISERR(FIND(E$2, 'Hidden Type Chart'!$B11)), IF(ISERR(FIND(E$2, 'Hidden Type Chart'!$C11)), IF(ISERR(FIND(E$2, 'Hidden Type Chart'!$D11)), "", $P$26), $P$25), $P$24)</f>
        <v>1/2</v>
      </c>
      <c r="F12" s="4" t="str">
        <f>IF(ISERR(FIND(F$2, 'Hidden Type Chart'!$B11)), IF(ISERR(FIND(F$2, 'Hidden Type Chart'!$C11)), IF(ISERR(FIND(F$2, 'Hidden Type Chart'!$D11)), "", $P$26), $P$25), $P$24)</f>
        <v/>
      </c>
      <c r="G12" s="4" t="str">
        <f>IF(ISERR(FIND(G$2, 'Hidden Type Chart'!$B11)), IF(ISERR(FIND(G$2, 'Hidden Type Chart'!$C11)), IF(ISERR(FIND(G$2, 'Hidden Type Chart'!$D11)), "", $P$26), $P$25), $P$24)</f>
        <v/>
      </c>
      <c r="H12" s="4" t="str">
        <f>IF(ISERR(FIND(H$2, 'Hidden Type Chart'!$B11)), IF(ISERR(FIND(H$2, 'Hidden Type Chart'!$C11)), IF(ISERR(FIND(H$2, 'Hidden Type Chart'!$D11)), "", $P$26), $P$25), $P$24)</f>
        <v/>
      </c>
      <c r="I12" s="4" t="str">
        <f>IF(ISERR(FIND(I$2, 'Hidden Type Chart'!$B11)), IF(ISERR(FIND(I$2, 'Hidden Type Chart'!$C11)), IF(ISERR(FIND(I$2, 'Hidden Type Chart'!$D11)), "", $P$26), $P$25), $P$24)</f>
        <v>1/2</v>
      </c>
      <c r="J12" s="4" t="str">
        <f>IF(ISERR(FIND(J$2, 'Hidden Type Chart'!$B11)), IF(ISERR(FIND(J$2, 'Hidden Type Chart'!$C11)), IF(ISERR(FIND(J$2, 'Hidden Type Chart'!$D11)), "", $P$26), $P$25), $P$24)</f>
        <v>1/2</v>
      </c>
      <c r="K12" s="4" t="str">
        <f>IF(ISERR(FIND(K$2, 'Hidden Type Chart'!$B11)), IF(ISERR(FIND(K$2, 'Hidden Type Chart'!$C11)), IF(ISERR(FIND(K$2, 'Hidden Type Chart'!$D11)), "", $P$26), $P$25), $P$24)</f>
        <v/>
      </c>
      <c r="L12" s="4" t="str">
        <f>IF(ISERR(FIND(L$2, 'Hidden Type Chart'!$B11)), IF(ISERR(FIND(L$2, 'Hidden Type Chart'!$C11)), IF(ISERR(FIND(L$2, 'Hidden Type Chart'!$D11)), "", $P$26), $P$25), $P$24)</f>
        <v>1/2</v>
      </c>
      <c r="M12" s="4" t="str">
        <f>IF(ISERR(FIND(M$2, 'Hidden Type Chart'!$B11)), IF(ISERR(FIND(M$2, 'Hidden Type Chart'!$C11)), IF(ISERR(FIND(M$2, 'Hidden Type Chart'!$D11)), "", $P$26), $P$25), $P$24)</f>
        <v>2</v>
      </c>
      <c r="N12" s="4" t="str">
        <f>IF(ISERR(FIND(N$2, 'Hidden Type Chart'!$B11)), IF(ISERR(FIND(N$2, 'Hidden Type Chart'!$C11)), IF(ISERR(FIND(N$2, 'Hidden Type Chart'!$D11)), "", $P$26), $P$25), $P$24)</f>
        <v/>
      </c>
      <c r="O12" s="4" t="str">
        <f>IF(ISERR(FIND(O$2, 'Hidden Type Chart'!$B11)), IF(ISERR(FIND(O$2, 'Hidden Type Chart'!$C11)), IF(ISERR(FIND(O$2, 'Hidden Type Chart'!$D11)), "", $P$26), $P$25), $P$24)</f>
        <v/>
      </c>
      <c r="P12" s="4" t="str">
        <f>IF(ISERR(FIND(P$2, 'Hidden Type Chart'!$B11)), IF(ISERR(FIND(P$2, 'Hidden Type Chart'!$C11)), IF(ISERR(FIND(P$2, 'Hidden Type Chart'!$D11)), "", $P$26), $P$25), $P$24)</f>
        <v>1/2</v>
      </c>
      <c r="Q12" s="4" t="str">
        <f>IF(ISERR(FIND(Q$2, 'Hidden Type Chart'!$B11)), IF(ISERR(FIND(Q$2, 'Hidden Type Chart'!$C11)), IF(ISERR(FIND(Q$2, 'Hidden Type Chart'!$D11)), "", $P$26), $P$25), $P$24)</f>
        <v/>
      </c>
      <c r="R12" s="4" t="str">
        <f>IF(ISERR(FIND(R$2, 'Hidden Type Chart'!$B11)), IF(ISERR(FIND(R$2, 'Hidden Type Chart'!$C11)), IF(ISERR(FIND(R$2, 'Hidden Type Chart'!$D11)), "", $P$26), $P$25), $P$24)</f>
        <v>2</v>
      </c>
      <c r="S12" s="4" t="str">
        <f>IF(ISERR(FIND(S$2, 'Hidden Type Chart'!$B11)), IF(ISERR(FIND(S$2, 'Hidden Type Chart'!$C11)), IF(ISERR(FIND(S$2, 'Hidden Type Chart'!$D11)), "", $P$26), $P$25), $P$24)</f>
        <v/>
      </c>
      <c r="T12" s="4" t="str">
        <f>IF(ISERR(FIND(T$2, 'Hidden Type Chart'!$B11)), IF(ISERR(FIND(T$2, 'Hidden Type Chart'!$C11)), IF(ISERR(FIND(T$2, 'Hidden Type Chart'!$D11)), "", $P$26), $P$25), $P$24)</f>
        <v>2</v>
      </c>
    </row>
    <row r="13" spans="1:20">
      <c r="A13" s="4">
        <f t="shared" si="1"/>
        <v>6</v>
      </c>
      <c r="B13" s="3" t="str">
        <f>'Hidden Type Chart'!$A12</f>
        <v>Ground</v>
      </c>
      <c r="C13" s="4" t="str">
        <f>IF(ISERR(FIND(C$2, 'Hidden Type Chart'!$B12)), IF(ISERR(FIND(C$2, 'Hidden Type Chart'!$C12)), IF(ISERR(FIND(C$2, 'Hidden Type Chart'!$D12)), "", $P$26), $P$25), $P$24)</f>
        <v>1/2</v>
      </c>
      <c r="D13" s="4" t="str">
        <f>IF(ISERR(FIND(D$2, 'Hidden Type Chart'!$B12)), IF(ISERR(FIND(D$2, 'Hidden Type Chart'!$C12)), IF(ISERR(FIND(D$2, 'Hidden Type Chart'!$D12)), "", $P$26), $P$25), $P$24)</f>
        <v/>
      </c>
      <c r="E13" s="4" t="str">
        <f>IF(ISERR(FIND(E$2, 'Hidden Type Chart'!$B12)), IF(ISERR(FIND(E$2, 'Hidden Type Chart'!$C12)), IF(ISERR(FIND(E$2, 'Hidden Type Chart'!$D12)), "", $P$26), $P$25), $P$24)</f>
        <v/>
      </c>
      <c r="F13" s="4" t="str">
        <f>IF(ISERR(FIND(F$2, 'Hidden Type Chart'!$B12)), IF(ISERR(FIND(F$2, 'Hidden Type Chart'!$C12)), IF(ISERR(FIND(F$2, 'Hidden Type Chart'!$D12)), "", $P$26), $P$25), $P$24)</f>
        <v>2</v>
      </c>
      <c r="G13" s="4" t="str">
        <f>IF(ISERR(FIND(G$2, 'Hidden Type Chart'!$B12)), IF(ISERR(FIND(G$2, 'Hidden Type Chart'!$C12)), IF(ISERR(FIND(G$2, 'Hidden Type Chart'!$D12)), "", $P$26), $P$25), $P$24)</f>
        <v/>
      </c>
      <c r="H13" s="4" t="str">
        <f>IF(ISERR(FIND(H$2, 'Hidden Type Chart'!$B12)), IF(ISERR(FIND(H$2, 'Hidden Type Chart'!$C12)), IF(ISERR(FIND(H$2, 'Hidden Type Chart'!$D12)), "", $P$26), $P$25), $P$24)</f>
        <v/>
      </c>
      <c r="I13" s="4" t="str">
        <f>IF(ISERR(FIND(I$2, 'Hidden Type Chart'!$B12)), IF(ISERR(FIND(I$2, 'Hidden Type Chart'!$C12)), IF(ISERR(FIND(I$2, 'Hidden Type Chart'!$D12)), "", $P$26), $P$25), $P$24)</f>
        <v>2</v>
      </c>
      <c r="J13" s="4" t="str">
        <f>IF(ISERR(FIND(J$2, 'Hidden Type Chart'!$B12)), IF(ISERR(FIND(J$2, 'Hidden Type Chart'!$C12)), IF(ISERR(FIND(J$2, 'Hidden Type Chart'!$D12)), "", $P$26), $P$25), $P$24)</f>
        <v>0</v>
      </c>
      <c r="K13" s="4" t="str">
        <f>IF(ISERR(FIND(K$2, 'Hidden Type Chart'!$B12)), IF(ISERR(FIND(K$2, 'Hidden Type Chart'!$C12)), IF(ISERR(FIND(K$2, 'Hidden Type Chart'!$D12)), "", $P$26), $P$25), $P$24)</f>
        <v/>
      </c>
      <c r="L13" s="4" t="str">
        <f>IF(ISERR(FIND(L$2, 'Hidden Type Chart'!$B12)), IF(ISERR(FIND(L$2, 'Hidden Type Chart'!$C12)), IF(ISERR(FIND(L$2, 'Hidden Type Chart'!$D12)), "", $P$26), $P$25), $P$24)</f>
        <v>1/2</v>
      </c>
      <c r="M13" s="4" t="str">
        <f>IF(ISERR(FIND(M$2, 'Hidden Type Chart'!$B12)), IF(ISERR(FIND(M$2, 'Hidden Type Chart'!$C12)), IF(ISERR(FIND(M$2, 'Hidden Type Chart'!$D12)), "", $P$26), $P$25), $P$24)</f>
        <v/>
      </c>
      <c r="N13" s="4" t="str">
        <f>IF(ISERR(FIND(N$2, 'Hidden Type Chart'!$B12)), IF(ISERR(FIND(N$2, 'Hidden Type Chart'!$C12)), IF(ISERR(FIND(N$2, 'Hidden Type Chart'!$D12)), "", $P$26), $P$25), $P$24)</f>
        <v/>
      </c>
      <c r="O13" s="4" t="str">
        <f>IF(ISERR(FIND(O$2, 'Hidden Type Chart'!$B12)), IF(ISERR(FIND(O$2, 'Hidden Type Chart'!$C12)), IF(ISERR(FIND(O$2, 'Hidden Type Chart'!$D12)), "", $P$26), $P$25), $P$24)</f>
        <v/>
      </c>
      <c r="P13" s="4" t="str">
        <f>IF(ISERR(FIND(P$2, 'Hidden Type Chart'!$B12)), IF(ISERR(FIND(P$2, 'Hidden Type Chart'!$C12)), IF(ISERR(FIND(P$2, 'Hidden Type Chart'!$D12)), "", $P$26), $P$25), $P$24)</f>
        <v>2</v>
      </c>
      <c r="Q13" s="4" t="str">
        <f>IF(ISERR(FIND(Q$2, 'Hidden Type Chart'!$B12)), IF(ISERR(FIND(Q$2, 'Hidden Type Chart'!$C12)), IF(ISERR(FIND(Q$2, 'Hidden Type Chart'!$D12)), "", $P$26), $P$25), $P$24)</f>
        <v/>
      </c>
      <c r="R13" s="4" t="str">
        <f>IF(ISERR(FIND(R$2, 'Hidden Type Chart'!$B12)), IF(ISERR(FIND(R$2, 'Hidden Type Chart'!$C12)), IF(ISERR(FIND(R$2, 'Hidden Type Chart'!$D12)), "", $P$26), $P$25), $P$24)</f>
        <v>2</v>
      </c>
      <c r="S13" s="4" t="str">
        <f>IF(ISERR(FIND(S$2, 'Hidden Type Chart'!$B12)), IF(ISERR(FIND(S$2, 'Hidden Type Chart'!$C12)), IF(ISERR(FIND(S$2, 'Hidden Type Chart'!$D12)), "", $P$26), $P$25), $P$24)</f>
        <v>2</v>
      </c>
      <c r="T13" s="4" t="str">
        <f>IF(ISERR(FIND(T$2, 'Hidden Type Chart'!$B12)), IF(ISERR(FIND(T$2, 'Hidden Type Chart'!$C12)), IF(ISERR(FIND(T$2, 'Hidden Type Chart'!$D12)), "", $P$26), $P$25), $P$24)</f>
        <v/>
      </c>
    </row>
    <row r="14" spans="1:20">
      <c r="A14" s="4">
        <f t="shared" si="1"/>
        <v>4</v>
      </c>
      <c r="B14" s="3" t="str">
        <f>'Hidden Type Chart'!$A13</f>
        <v>Ice</v>
      </c>
      <c r="C14" s="4" t="str">
        <f>IF(ISERR(FIND(C$2, 'Hidden Type Chart'!$B13)), IF(ISERR(FIND(C$2, 'Hidden Type Chart'!$C13)), IF(ISERR(FIND(C$2, 'Hidden Type Chart'!$D13)), "", $P$26), $P$25), $P$24)</f>
        <v/>
      </c>
      <c r="D14" s="4" t="str">
        <f>IF(ISERR(FIND(D$2, 'Hidden Type Chart'!$B13)), IF(ISERR(FIND(D$2, 'Hidden Type Chart'!$C13)), IF(ISERR(FIND(D$2, 'Hidden Type Chart'!$D13)), "", $P$26), $P$25), $P$24)</f>
        <v/>
      </c>
      <c r="E14" s="4" t="str">
        <f>IF(ISERR(FIND(E$2, 'Hidden Type Chart'!$B13)), IF(ISERR(FIND(E$2, 'Hidden Type Chart'!$C13)), IF(ISERR(FIND(E$2, 'Hidden Type Chart'!$D13)), "", $P$26), $P$25), $P$24)</f>
        <v>2</v>
      </c>
      <c r="F14" s="4" t="str">
        <f>IF(ISERR(FIND(F$2, 'Hidden Type Chart'!$B13)), IF(ISERR(FIND(F$2, 'Hidden Type Chart'!$C13)), IF(ISERR(FIND(F$2, 'Hidden Type Chart'!$D13)), "", $P$26), $P$25), $P$24)</f>
        <v/>
      </c>
      <c r="G14" s="4" t="str">
        <f>IF(ISERR(FIND(G$2, 'Hidden Type Chart'!$B13)), IF(ISERR(FIND(G$2, 'Hidden Type Chart'!$C13)), IF(ISERR(FIND(G$2, 'Hidden Type Chart'!$D13)), "", $P$26), $P$25), $P$24)</f>
        <v/>
      </c>
      <c r="H14" s="4" t="str">
        <f>IF(ISERR(FIND(H$2, 'Hidden Type Chart'!$B13)), IF(ISERR(FIND(H$2, 'Hidden Type Chart'!$C13)), IF(ISERR(FIND(H$2, 'Hidden Type Chart'!$D13)), "", $P$26), $P$25), $P$24)</f>
        <v/>
      </c>
      <c r="I14" s="4" t="str">
        <f>IF(ISERR(FIND(I$2, 'Hidden Type Chart'!$B13)), IF(ISERR(FIND(I$2, 'Hidden Type Chart'!$C13)), IF(ISERR(FIND(I$2, 'Hidden Type Chart'!$D13)), "", $P$26), $P$25), $P$24)</f>
        <v>1/2</v>
      </c>
      <c r="J14" s="4" t="str">
        <f>IF(ISERR(FIND(J$2, 'Hidden Type Chart'!$B13)), IF(ISERR(FIND(J$2, 'Hidden Type Chart'!$C13)), IF(ISERR(FIND(J$2, 'Hidden Type Chart'!$D13)), "", $P$26), $P$25), $P$24)</f>
        <v>2</v>
      </c>
      <c r="K14" s="4" t="str">
        <f>IF(ISERR(FIND(K$2, 'Hidden Type Chart'!$B13)), IF(ISERR(FIND(K$2, 'Hidden Type Chart'!$C13)), IF(ISERR(FIND(K$2, 'Hidden Type Chart'!$D13)), "", $P$26), $P$25), $P$24)</f>
        <v/>
      </c>
      <c r="L14" s="4" t="str">
        <f>IF(ISERR(FIND(L$2, 'Hidden Type Chart'!$B13)), IF(ISERR(FIND(L$2, 'Hidden Type Chart'!$C13)), IF(ISERR(FIND(L$2, 'Hidden Type Chart'!$D13)), "", $P$26), $P$25), $P$24)</f>
        <v>2</v>
      </c>
      <c r="M14" s="4" t="str">
        <f>IF(ISERR(FIND(M$2, 'Hidden Type Chart'!$B13)), IF(ISERR(FIND(M$2, 'Hidden Type Chart'!$C13)), IF(ISERR(FIND(M$2, 'Hidden Type Chart'!$D13)), "", $P$26), $P$25), $P$24)</f>
        <v>2</v>
      </c>
      <c r="N14" s="4" t="str">
        <f>IF(ISERR(FIND(N$2, 'Hidden Type Chart'!$B13)), IF(ISERR(FIND(N$2, 'Hidden Type Chart'!$C13)), IF(ISERR(FIND(N$2, 'Hidden Type Chart'!$D13)), "", $P$26), $P$25), $P$24)</f>
        <v>1/2</v>
      </c>
      <c r="O14" s="4" t="str">
        <f>IF(ISERR(FIND(O$2, 'Hidden Type Chart'!$B13)), IF(ISERR(FIND(O$2, 'Hidden Type Chart'!$C13)), IF(ISERR(FIND(O$2, 'Hidden Type Chart'!$D13)), "", $P$26), $P$25), $P$24)</f>
        <v/>
      </c>
      <c r="P14" s="4" t="str">
        <f>IF(ISERR(FIND(P$2, 'Hidden Type Chart'!$B13)), IF(ISERR(FIND(P$2, 'Hidden Type Chart'!$C13)), IF(ISERR(FIND(P$2, 'Hidden Type Chart'!$D13)), "", $P$26), $P$25), $P$24)</f>
        <v/>
      </c>
      <c r="Q14" s="4" t="str">
        <f>IF(ISERR(FIND(Q$2, 'Hidden Type Chart'!$B13)), IF(ISERR(FIND(Q$2, 'Hidden Type Chart'!$C13)), IF(ISERR(FIND(Q$2, 'Hidden Type Chart'!$D13)), "", $P$26), $P$25), $P$24)</f>
        <v/>
      </c>
      <c r="R14" s="4" t="str">
        <f>IF(ISERR(FIND(R$2, 'Hidden Type Chart'!$B13)), IF(ISERR(FIND(R$2, 'Hidden Type Chart'!$C13)), IF(ISERR(FIND(R$2, 'Hidden Type Chart'!$D13)), "", $P$26), $P$25), $P$24)</f>
        <v/>
      </c>
      <c r="S14" s="4" t="str">
        <f>IF(ISERR(FIND(S$2, 'Hidden Type Chart'!$B13)), IF(ISERR(FIND(S$2, 'Hidden Type Chart'!$C13)), IF(ISERR(FIND(S$2, 'Hidden Type Chart'!$D13)), "", $P$26), $P$25), $P$24)</f>
        <v>1/2</v>
      </c>
      <c r="T14" s="4" t="str">
        <f>IF(ISERR(FIND(T$2, 'Hidden Type Chart'!$B13)), IF(ISERR(FIND(T$2, 'Hidden Type Chart'!$C13)), IF(ISERR(FIND(T$2, 'Hidden Type Chart'!$D13)), "", $P$26), $P$25), $P$24)</f>
        <v>1/2</v>
      </c>
    </row>
    <row r="15" spans="1:20">
      <c r="A15" s="4">
        <f>(COUNTIF($C15:$T15, "2")*$E$24 + COUNTIF($C15:$T15, "1/2")*$E$25 + COUNTIF($C15:$T15, "0")*$E$26)</f>
        <v>-4</v>
      </c>
      <c r="B15" s="3" t="str">
        <f>'Hidden Type Chart'!$A14</f>
        <v>Normal</v>
      </c>
      <c r="C15" s="4" t="str">
        <f>IF(ISERR(FIND(C$2, 'Hidden Type Chart'!$B14)), IF(ISERR(FIND(C$2, 'Hidden Type Chart'!$C14)), IF(ISERR(FIND(C$2, 'Hidden Type Chart'!$D14)), "", $P$26), $P$25), $P$24)</f>
        <v/>
      </c>
      <c r="D15" s="4" t="str">
        <f>IF(ISERR(FIND(D$2, 'Hidden Type Chart'!$B14)), IF(ISERR(FIND(D$2, 'Hidden Type Chart'!$C14)), IF(ISERR(FIND(D$2, 'Hidden Type Chart'!$D14)), "", $P$26), $P$25), $P$24)</f>
        <v/>
      </c>
      <c r="E15" s="4" t="str">
        <f>IF(ISERR(FIND(E$2, 'Hidden Type Chart'!$B14)), IF(ISERR(FIND(E$2, 'Hidden Type Chart'!$C14)), IF(ISERR(FIND(E$2, 'Hidden Type Chart'!$D14)), "", $P$26), $P$25), $P$24)</f>
        <v/>
      </c>
      <c r="F15" s="4" t="str">
        <f>IF(ISERR(FIND(F$2, 'Hidden Type Chart'!$B14)), IF(ISERR(FIND(F$2, 'Hidden Type Chart'!$C14)), IF(ISERR(FIND(F$2, 'Hidden Type Chart'!$D14)), "", $P$26), $P$25), $P$24)</f>
        <v/>
      </c>
      <c r="G15" s="4" t="str">
        <f>IF(ISERR(FIND(G$2, 'Hidden Type Chart'!$B14)), IF(ISERR(FIND(G$2, 'Hidden Type Chart'!$C14)), IF(ISERR(FIND(G$2, 'Hidden Type Chart'!$D14)), "", $P$26), $P$25), $P$24)</f>
        <v/>
      </c>
      <c r="H15" s="4" t="str">
        <f>IF(ISERR(FIND(H$2, 'Hidden Type Chart'!$B14)), IF(ISERR(FIND(H$2, 'Hidden Type Chart'!$C14)), IF(ISERR(FIND(H$2, 'Hidden Type Chart'!$D14)), "", $P$26), $P$25), $P$24)</f>
        <v/>
      </c>
      <c r="I15" s="4" t="str">
        <f>IF(ISERR(FIND(I$2, 'Hidden Type Chart'!$B14)), IF(ISERR(FIND(I$2, 'Hidden Type Chart'!$C14)), IF(ISERR(FIND(I$2, 'Hidden Type Chart'!$D14)), "", $P$26), $P$25), $P$24)</f>
        <v/>
      </c>
      <c r="J15" s="4" t="str">
        <f>IF(ISERR(FIND(J$2, 'Hidden Type Chart'!$B14)), IF(ISERR(FIND(J$2, 'Hidden Type Chart'!$C14)), IF(ISERR(FIND(J$2, 'Hidden Type Chart'!$D14)), "", $P$26), $P$25), $P$24)</f>
        <v/>
      </c>
      <c r="K15" s="4" t="str">
        <f>IF(ISERR(FIND(K$2, 'Hidden Type Chart'!$B14)), IF(ISERR(FIND(K$2, 'Hidden Type Chart'!$C14)), IF(ISERR(FIND(K$2, 'Hidden Type Chart'!$D14)), "", $P$26), $P$25), $P$24)</f>
        <v>0</v>
      </c>
      <c r="L15" s="4" t="str">
        <f>IF(ISERR(FIND(L$2, 'Hidden Type Chart'!$B14)), IF(ISERR(FIND(L$2, 'Hidden Type Chart'!$C14)), IF(ISERR(FIND(L$2, 'Hidden Type Chart'!$D14)), "", $P$26), $P$25), $P$24)</f>
        <v/>
      </c>
      <c r="M15" s="4" t="str">
        <f>IF(ISERR(FIND(M$2, 'Hidden Type Chart'!$B14)), IF(ISERR(FIND(M$2, 'Hidden Type Chart'!$C14)), IF(ISERR(FIND(M$2, 'Hidden Type Chart'!$D14)), "", $P$26), $P$25), $P$24)</f>
        <v/>
      </c>
      <c r="N15" s="4" t="str">
        <f>IF(ISERR(FIND(N$2, 'Hidden Type Chart'!$B14)), IF(ISERR(FIND(N$2, 'Hidden Type Chart'!$C14)), IF(ISERR(FIND(N$2, 'Hidden Type Chart'!$D14)), "", $P$26), $P$25), $P$24)</f>
        <v/>
      </c>
      <c r="O15" s="4" t="str">
        <f>IF(ISERR(FIND(O$2, 'Hidden Type Chart'!$B14)), IF(ISERR(FIND(O$2, 'Hidden Type Chart'!$C14)), IF(ISERR(FIND(O$2, 'Hidden Type Chart'!$D14)), "", $P$26), $P$25), $P$24)</f>
        <v/>
      </c>
      <c r="P15" s="4" t="str">
        <f>IF(ISERR(FIND(P$2, 'Hidden Type Chart'!$B14)), IF(ISERR(FIND(P$2, 'Hidden Type Chart'!$C14)), IF(ISERR(FIND(P$2, 'Hidden Type Chart'!$D14)), "", $P$26), $P$25), $P$24)</f>
        <v/>
      </c>
      <c r="Q15" s="4" t="str">
        <f>IF(ISERR(FIND(Q$2, 'Hidden Type Chart'!$B14)), IF(ISERR(FIND(Q$2, 'Hidden Type Chart'!$C14)), IF(ISERR(FIND(Q$2, 'Hidden Type Chart'!$D14)), "", $P$26), $P$25), $P$24)</f>
        <v/>
      </c>
      <c r="R15" s="4" t="str">
        <f>IF(ISERR(FIND(R$2, 'Hidden Type Chart'!$B14)), IF(ISERR(FIND(R$2, 'Hidden Type Chart'!$C14)), IF(ISERR(FIND(R$2, 'Hidden Type Chart'!$D14)), "", $P$26), $P$25), $P$24)</f>
        <v>1/2</v>
      </c>
      <c r="S15" s="4" t="str">
        <f>IF(ISERR(FIND(S$2, 'Hidden Type Chart'!$B14)), IF(ISERR(FIND(S$2, 'Hidden Type Chart'!$C14)), IF(ISERR(FIND(S$2, 'Hidden Type Chart'!$D14)), "", $P$26), $P$25), $P$24)</f>
        <v>1/2</v>
      </c>
      <c r="T15" s="4" t="str">
        <f>IF(ISERR(FIND(T$2, 'Hidden Type Chart'!$B14)), IF(ISERR(FIND(T$2, 'Hidden Type Chart'!$C14)), IF(ISERR(FIND(T$2, 'Hidden Type Chart'!$D14)), "", $P$26), $P$25), $P$24)</f>
        <v/>
      </c>
    </row>
    <row r="16" spans="1:20">
      <c r="A16" s="4">
        <f t="shared" si="1"/>
        <v>-2</v>
      </c>
      <c r="B16" s="3" t="str">
        <f>'Hidden Type Chart'!$A15</f>
        <v>Poison</v>
      </c>
      <c r="C16" s="4" t="str">
        <f>IF(ISERR(FIND(C$2, 'Hidden Type Chart'!$B15)), IF(ISERR(FIND(C$2, 'Hidden Type Chart'!$C15)), IF(ISERR(FIND(C$2, 'Hidden Type Chart'!$D15)), "", $P$26), $P$25), $P$24)</f>
        <v/>
      </c>
      <c r="D16" s="4" t="str">
        <f>IF(ISERR(FIND(D$2, 'Hidden Type Chart'!$B15)), IF(ISERR(FIND(D$2, 'Hidden Type Chart'!$C15)), IF(ISERR(FIND(D$2, 'Hidden Type Chart'!$D15)), "", $P$26), $P$25), $P$24)</f>
        <v/>
      </c>
      <c r="E16" s="4" t="str">
        <f>IF(ISERR(FIND(E$2, 'Hidden Type Chart'!$B15)), IF(ISERR(FIND(E$2, 'Hidden Type Chart'!$C15)), IF(ISERR(FIND(E$2, 'Hidden Type Chart'!$D15)), "", $P$26), $P$25), $P$24)</f>
        <v/>
      </c>
      <c r="F16" s="4" t="str">
        <f>IF(ISERR(FIND(F$2, 'Hidden Type Chart'!$B15)), IF(ISERR(FIND(F$2, 'Hidden Type Chart'!$C15)), IF(ISERR(FIND(F$2, 'Hidden Type Chart'!$D15)), "", $P$26), $P$25), $P$24)</f>
        <v/>
      </c>
      <c r="G16" s="4" t="str">
        <f>IF(ISERR(FIND(G$2, 'Hidden Type Chart'!$B15)), IF(ISERR(FIND(G$2, 'Hidden Type Chart'!$C15)), IF(ISERR(FIND(G$2, 'Hidden Type Chart'!$D15)), "", $P$26), $P$25), $P$24)</f>
        <v>2</v>
      </c>
      <c r="H16" s="4" t="str">
        <f>IF(ISERR(FIND(H$2, 'Hidden Type Chart'!$B15)), IF(ISERR(FIND(H$2, 'Hidden Type Chart'!$C15)), IF(ISERR(FIND(H$2, 'Hidden Type Chart'!$D15)), "", $P$26), $P$25), $P$24)</f>
        <v/>
      </c>
      <c r="I16" s="4" t="str">
        <f>IF(ISERR(FIND(I$2, 'Hidden Type Chart'!$B15)), IF(ISERR(FIND(I$2, 'Hidden Type Chart'!$C15)), IF(ISERR(FIND(I$2, 'Hidden Type Chart'!$D15)), "", $P$26), $P$25), $P$24)</f>
        <v/>
      </c>
      <c r="J16" s="4" t="str">
        <f>IF(ISERR(FIND(J$2, 'Hidden Type Chart'!$B15)), IF(ISERR(FIND(J$2, 'Hidden Type Chart'!$C15)), IF(ISERR(FIND(J$2, 'Hidden Type Chart'!$D15)), "", $P$26), $P$25), $P$24)</f>
        <v/>
      </c>
      <c r="K16" s="4" t="str">
        <f>IF(ISERR(FIND(K$2, 'Hidden Type Chart'!$B15)), IF(ISERR(FIND(K$2, 'Hidden Type Chart'!$C15)), IF(ISERR(FIND(K$2, 'Hidden Type Chart'!$D15)), "", $P$26), $P$25), $P$24)</f>
        <v>1/2</v>
      </c>
      <c r="L16" s="4" t="str">
        <f>IF(ISERR(FIND(L$2, 'Hidden Type Chart'!$B15)), IF(ISERR(FIND(L$2, 'Hidden Type Chart'!$C15)), IF(ISERR(FIND(L$2, 'Hidden Type Chart'!$D15)), "", $P$26), $P$25), $P$24)</f>
        <v>2</v>
      </c>
      <c r="M16" s="4" t="str">
        <f>IF(ISERR(FIND(M$2, 'Hidden Type Chart'!$B15)), IF(ISERR(FIND(M$2, 'Hidden Type Chart'!$C15)), IF(ISERR(FIND(M$2, 'Hidden Type Chart'!$D15)), "", $P$26), $P$25), $P$24)</f>
        <v>1/2</v>
      </c>
      <c r="N16" s="4" t="str">
        <f>IF(ISERR(FIND(N$2, 'Hidden Type Chart'!$B15)), IF(ISERR(FIND(N$2, 'Hidden Type Chart'!$C15)), IF(ISERR(FIND(N$2, 'Hidden Type Chart'!$D15)), "", $P$26), $P$25), $P$24)</f>
        <v/>
      </c>
      <c r="O16" s="4" t="str">
        <f>IF(ISERR(FIND(O$2, 'Hidden Type Chart'!$B15)), IF(ISERR(FIND(O$2, 'Hidden Type Chart'!$C15)), IF(ISERR(FIND(O$2, 'Hidden Type Chart'!$D15)), "", $P$26), $P$25), $P$24)</f>
        <v/>
      </c>
      <c r="P16" s="4" t="str">
        <f>IF(ISERR(FIND(P$2, 'Hidden Type Chart'!$B15)), IF(ISERR(FIND(P$2, 'Hidden Type Chart'!$C15)), IF(ISERR(FIND(P$2, 'Hidden Type Chart'!$D15)), "", $P$26), $P$25), $P$24)</f>
        <v>1/2</v>
      </c>
      <c r="Q16" s="4" t="str">
        <f>IF(ISERR(FIND(Q$2, 'Hidden Type Chart'!$B15)), IF(ISERR(FIND(Q$2, 'Hidden Type Chart'!$C15)), IF(ISERR(FIND(Q$2, 'Hidden Type Chart'!$D15)), "", $P$26), $P$25), $P$24)</f>
        <v/>
      </c>
      <c r="R16" s="4" t="str">
        <f>IF(ISERR(FIND(R$2, 'Hidden Type Chart'!$B15)), IF(ISERR(FIND(R$2, 'Hidden Type Chart'!$C15)), IF(ISERR(FIND(R$2, 'Hidden Type Chart'!$D15)), "", $P$26), $P$25), $P$24)</f>
        <v>1/2</v>
      </c>
      <c r="S16" s="4" t="str">
        <f>IF(ISERR(FIND(S$2, 'Hidden Type Chart'!$B15)), IF(ISERR(FIND(S$2, 'Hidden Type Chart'!$C15)), IF(ISERR(FIND(S$2, 'Hidden Type Chart'!$D15)), "", $P$26), $P$25), $P$24)</f>
        <v>0</v>
      </c>
      <c r="T16" s="4" t="str">
        <f>IF(ISERR(FIND(T$2, 'Hidden Type Chart'!$B15)), IF(ISERR(FIND(T$2, 'Hidden Type Chart'!$C15)), IF(ISERR(FIND(T$2, 'Hidden Type Chart'!$D15)), "", $P$26), $P$25), $P$24)</f>
        <v/>
      </c>
    </row>
    <row r="17" spans="1:20">
      <c r="A17" s="4">
        <f t="shared" si="1"/>
        <v>0</v>
      </c>
      <c r="B17" s="3" t="str">
        <f>'Hidden Type Chart'!$A16</f>
        <v>Psychic</v>
      </c>
      <c r="C17" s="4" t="str">
        <f>IF(ISERR(FIND(C$2, 'Hidden Type Chart'!$B16)), IF(ISERR(FIND(C$2, 'Hidden Type Chart'!$C16)), IF(ISERR(FIND(C$2, 'Hidden Type Chart'!$D16)), "", $P$26), $P$25), $P$24)</f>
        <v/>
      </c>
      <c r="D17" s="4" t="str">
        <f>IF(ISERR(FIND(D$2, 'Hidden Type Chart'!$B16)), IF(ISERR(FIND(D$2, 'Hidden Type Chart'!$C16)), IF(ISERR(FIND(D$2, 'Hidden Type Chart'!$D16)), "", $P$26), $P$25), $P$24)</f>
        <v>0</v>
      </c>
      <c r="E17" s="4" t="str">
        <f>IF(ISERR(FIND(E$2, 'Hidden Type Chart'!$B16)), IF(ISERR(FIND(E$2, 'Hidden Type Chart'!$C16)), IF(ISERR(FIND(E$2, 'Hidden Type Chart'!$D16)), "", $P$26), $P$25), $P$24)</f>
        <v/>
      </c>
      <c r="F17" s="4" t="str">
        <f>IF(ISERR(FIND(F$2, 'Hidden Type Chart'!$B16)), IF(ISERR(FIND(F$2, 'Hidden Type Chart'!$C16)), IF(ISERR(FIND(F$2, 'Hidden Type Chart'!$D16)), "", $P$26), $P$25), $P$24)</f>
        <v/>
      </c>
      <c r="G17" s="4" t="str">
        <f>IF(ISERR(FIND(G$2, 'Hidden Type Chart'!$B16)), IF(ISERR(FIND(G$2, 'Hidden Type Chart'!$C16)), IF(ISERR(FIND(G$2, 'Hidden Type Chart'!$D16)), "", $P$26), $P$25), $P$24)</f>
        <v/>
      </c>
      <c r="H17" s="4" t="str">
        <f>IF(ISERR(FIND(H$2, 'Hidden Type Chart'!$B16)), IF(ISERR(FIND(H$2, 'Hidden Type Chart'!$C16)), IF(ISERR(FIND(H$2, 'Hidden Type Chart'!$D16)), "", $P$26), $P$25), $P$24)</f>
        <v>2</v>
      </c>
      <c r="I17" s="4" t="str">
        <f>IF(ISERR(FIND(I$2, 'Hidden Type Chart'!$B16)), IF(ISERR(FIND(I$2, 'Hidden Type Chart'!$C16)), IF(ISERR(FIND(I$2, 'Hidden Type Chart'!$D16)), "", $P$26), $P$25), $P$24)</f>
        <v/>
      </c>
      <c r="J17" s="4" t="str">
        <f>IF(ISERR(FIND(J$2, 'Hidden Type Chart'!$B16)), IF(ISERR(FIND(J$2, 'Hidden Type Chart'!$C16)), IF(ISERR(FIND(J$2, 'Hidden Type Chart'!$D16)), "", $P$26), $P$25), $P$24)</f>
        <v/>
      </c>
      <c r="K17" s="4" t="str">
        <f>IF(ISERR(FIND(K$2, 'Hidden Type Chart'!$B16)), IF(ISERR(FIND(K$2, 'Hidden Type Chart'!$C16)), IF(ISERR(FIND(K$2, 'Hidden Type Chart'!$D16)), "", $P$26), $P$25), $P$24)</f>
        <v/>
      </c>
      <c r="L17" s="4" t="str">
        <f>IF(ISERR(FIND(L$2, 'Hidden Type Chart'!$B16)), IF(ISERR(FIND(L$2, 'Hidden Type Chart'!$C16)), IF(ISERR(FIND(L$2, 'Hidden Type Chart'!$D16)), "", $P$26), $P$25), $P$24)</f>
        <v/>
      </c>
      <c r="M17" s="4" t="str">
        <f>IF(ISERR(FIND(M$2, 'Hidden Type Chart'!$B16)), IF(ISERR(FIND(M$2, 'Hidden Type Chart'!$C16)), IF(ISERR(FIND(M$2, 'Hidden Type Chart'!$D16)), "", $P$26), $P$25), $P$24)</f>
        <v/>
      </c>
      <c r="N17" s="4" t="str">
        <f>IF(ISERR(FIND(N$2, 'Hidden Type Chart'!$B16)), IF(ISERR(FIND(N$2, 'Hidden Type Chart'!$C16)), IF(ISERR(FIND(N$2, 'Hidden Type Chart'!$D16)), "", $P$26), $P$25), $P$24)</f>
        <v/>
      </c>
      <c r="O17" s="4" t="str">
        <f>IF(ISERR(FIND(O$2, 'Hidden Type Chart'!$B16)), IF(ISERR(FIND(O$2, 'Hidden Type Chart'!$C16)), IF(ISERR(FIND(O$2, 'Hidden Type Chart'!$D16)), "", $P$26), $P$25), $P$24)</f>
        <v/>
      </c>
      <c r="P17" s="4" t="str">
        <f>IF(ISERR(FIND(P$2, 'Hidden Type Chart'!$B16)), IF(ISERR(FIND(P$2, 'Hidden Type Chart'!$C16)), IF(ISERR(FIND(P$2, 'Hidden Type Chart'!$D16)), "", $P$26), $P$25), $P$24)</f>
        <v>2</v>
      </c>
      <c r="Q17" s="4" t="str">
        <f>IF(ISERR(FIND(Q$2, 'Hidden Type Chart'!$B16)), IF(ISERR(FIND(Q$2, 'Hidden Type Chart'!$C16)), IF(ISERR(FIND(Q$2, 'Hidden Type Chart'!$D16)), "", $P$26), $P$25), $P$24)</f>
        <v>1/2</v>
      </c>
      <c r="R17" s="4" t="str">
        <f>IF(ISERR(FIND(R$2, 'Hidden Type Chart'!$B16)), IF(ISERR(FIND(R$2, 'Hidden Type Chart'!$C16)), IF(ISERR(FIND(R$2, 'Hidden Type Chart'!$D16)), "", $P$26), $P$25), $P$24)</f>
        <v/>
      </c>
      <c r="S17" s="4" t="str">
        <f>IF(ISERR(FIND(S$2, 'Hidden Type Chart'!$B16)), IF(ISERR(FIND(S$2, 'Hidden Type Chart'!$C16)), IF(ISERR(FIND(S$2, 'Hidden Type Chart'!$D16)), "", $P$26), $P$25), $P$24)</f>
        <v>1/2</v>
      </c>
      <c r="T17" s="4" t="str">
        <f>IF(ISERR(FIND(T$2, 'Hidden Type Chart'!$B16)), IF(ISERR(FIND(T$2, 'Hidden Type Chart'!$C16)), IF(ISERR(FIND(T$2, 'Hidden Type Chart'!$D16)), "", $P$26), $P$25), $P$24)</f>
        <v/>
      </c>
    </row>
    <row r="18" spans="1:20">
      <c r="A18" s="4">
        <f t="shared" si="1"/>
        <v>5</v>
      </c>
      <c r="B18" s="3" t="str">
        <f>'Hidden Type Chart'!$A17</f>
        <v>Rock</v>
      </c>
      <c r="C18" s="4" t="str">
        <f>IF(ISERR(FIND(C$2, 'Hidden Type Chart'!$B17)), IF(ISERR(FIND(C$2, 'Hidden Type Chart'!$C17)), IF(ISERR(FIND(C$2, 'Hidden Type Chart'!$D17)), "", $P$26), $P$25), $P$24)</f>
        <v>2</v>
      </c>
      <c r="D18" s="4" t="str">
        <f>IF(ISERR(FIND(D$2, 'Hidden Type Chart'!$B17)), IF(ISERR(FIND(D$2, 'Hidden Type Chart'!$C17)), IF(ISERR(FIND(D$2, 'Hidden Type Chart'!$D17)), "", $P$26), $P$25), $P$24)</f>
        <v/>
      </c>
      <c r="E18" s="4" t="str">
        <f>IF(ISERR(FIND(E$2, 'Hidden Type Chart'!$B17)), IF(ISERR(FIND(E$2, 'Hidden Type Chart'!$C17)), IF(ISERR(FIND(E$2, 'Hidden Type Chart'!$D17)), "", $P$26), $P$25), $P$24)</f>
        <v/>
      </c>
      <c r="F18" s="4" t="str">
        <f>IF(ISERR(FIND(F$2, 'Hidden Type Chart'!$B17)), IF(ISERR(FIND(F$2, 'Hidden Type Chart'!$C17)), IF(ISERR(FIND(F$2, 'Hidden Type Chart'!$D17)), "", $P$26), $P$25), $P$24)</f>
        <v/>
      </c>
      <c r="G18" s="4" t="str">
        <f>IF(ISERR(FIND(G$2, 'Hidden Type Chart'!$B17)), IF(ISERR(FIND(G$2, 'Hidden Type Chart'!$C17)), IF(ISERR(FIND(G$2, 'Hidden Type Chart'!$D17)), "", $P$26), $P$25), $P$24)</f>
        <v/>
      </c>
      <c r="H18" s="4" t="str">
        <f>IF(ISERR(FIND(H$2, 'Hidden Type Chart'!$B17)), IF(ISERR(FIND(H$2, 'Hidden Type Chart'!$C17)), IF(ISERR(FIND(H$2, 'Hidden Type Chart'!$D17)), "", $P$26), $P$25), $P$24)</f>
        <v>1/2</v>
      </c>
      <c r="I18" s="4" t="str">
        <f>IF(ISERR(FIND(I$2, 'Hidden Type Chart'!$B17)), IF(ISERR(FIND(I$2, 'Hidden Type Chart'!$C17)), IF(ISERR(FIND(I$2, 'Hidden Type Chart'!$D17)), "", $P$26), $P$25), $P$24)</f>
        <v>2</v>
      </c>
      <c r="J18" s="4" t="str">
        <f>IF(ISERR(FIND(J$2, 'Hidden Type Chart'!$B17)), IF(ISERR(FIND(J$2, 'Hidden Type Chart'!$C17)), IF(ISERR(FIND(J$2, 'Hidden Type Chart'!$D17)), "", $P$26), $P$25), $P$24)</f>
        <v>2</v>
      </c>
      <c r="K18" s="4" t="str">
        <f>IF(ISERR(FIND(K$2, 'Hidden Type Chart'!$B17)), IF(ISERR(FIND(K$2, 'Hidden Type Chart'!$C17)), IF(ISERR(FIND(K$2, 'Hidden Type Chart'!$D17)), "", $P$26), $P$25), $P$24)</f>
        <v/>
      </c>
      <c r="L18" s="4" t="str">
        <f>IF(ISERR(FIND(L$2, 'Hidden Type Chart'!$B17)), IF(ISERR(FIND(L$2, 'Hidden Type Chart'!$C17)), IF(ISERR(FIND(L$2, 'Hidden Type Chart'!$D17)), "", $P$26), $P$25), $P$24)</f>
        <v/>
      </c>
      <c r="M18" s="4" t="str">
        <f>IF(ISERR(FIND(M$2, 'Hidden Type Chart'!$B17)), IF(ISERR(FIND(M$2, 'Hidden Type Chart'!$C17)), IF(ISERR(FIND(M$2, 'Hidden Type Chart'!$D17)), "", $P$26), $P$25), $P$24)</f>
        <v>1/2</v>
      </c>
      <c r="N18" s="4" t="str">
        <f>IF(ISERR(FIND(N$2, 'Hidden Type Chart'!$B17)), IF(ISERR(FIND(N$2, 'Hidden Type Chart'!$C17)), IF(ISERR(FIND(N$2, 'Hidden Type Chart'!$D17)), "", $P$26), $P$25), $P$24)</f>
        <v>2</v>
      </c>
      <c r="O18" s="4" t="str">
        <f>IF(ISERR(FIND(O$2, 'Hidden Type Chart'!$B17)), IF(ISERR(FIND(O$2, 'Hidden Type Chart'!$C17)), IF(ISERR(FIND(O$2, 'Hidden Type Chart'!$D17)), "", $P$26), $P$25), $P$24)</f>
        <v/>
      </c>
      <c r="P18" s="4" t="str">
        <f>IF(ISERR(FIND(P$2, 'Hidden Type Chart'!$B17)), IF(ISERR(FIND(P$2, 'Hidden Type Chart'!$C17)), IF(ISERR(FIND(P$2, 'Hidden Type Chart'!$D17)), "", $P$26), $P$25), $P$24)</f>
        <v/>
      </c>
      <c r="Q18" s="4" t="str">
        <f>IF(ISERR(FIND(Q$2, 'Hidden Type Chart'!$B17)), IF(ISERR(FIND(Q$2, 'Hidden Type Chart'!$C17)), IF(ISERR(FIND(Q$2, 'Hidden Type Chart'!$D17)), "", $P$26), $P$25), $P$24)</f>
        <v/>
      </c>
      <c r="R18" s="4" t="str">
        <f>IF(ISERR(FIND(R$2, 'Hidden Type Chart'!$B17)), IF(ISERR(FIND(R$2, 'Hidden Type Chart'!$C17)), IF(ISERR(FIND(R$2, 'Hidden Type Chart'!$D17)), "", $P$26), $P$25), $P$24)</f>
        <v/>
      </c>
      <c r="S18" s="4" t="str">
        <f>IF(ISERR(FIND(S$2, 'Hidden Type Chart'!$B17)), IF(ISERR(FIND(S$2, 'Hidden Type Chart'!$C17)), IF(ISERR(FIND(S$2, 'Hidden Type Chart'!$D17)), "", $P$26), $P$25), $P$24)</f>
        <v>1/2</v>
      </c>
      <c r="T18" s="4" t="str">
        <f>IF(ISERR(FIND(T$2, 'Hidden Type Chart'!$B17)), IF(ISERR(FIND(T$2, 'Hidden Type Chart'!$C17)), IF(ISERR(FIND(T$2, 'Hidden Type Chart'!$D17)), "", $P$26), $P$25), $P$24)</f>
        <v/>
      </c>
    </row>
    <row r="19" spans="1:20">
      <c r="A19" s="4">
        <f t="shared" si="1"/>
        <v>2</v>
      </c>
      <c r="B19" s="3" t="str">
        <f>'Hidden Type Chart'!$A18</f>
        <v>Steel</v>
      </c>
      <c r="C19" s="4" t="str">
        <f>IF(ISERR(FIND(C$2, 'Hidden Type Chart'!$B18)), IF(ISERR(FIND(C$2, 'Hidden Type Chart'!$C18)), IF(ISERR(FIND(C$2, 'Hidden Type Chart'!$D18)), "", $P$26), $P$25), $P$24)</f>
        <v/>
      </c>
      <c r="D19" s="4" t="str">
        <f>IF(ISERR(FIND(D$2, 'Hidden Type Chart'!$B18)), IF(ISERR(FIND(D$2, 'Hidden Type Chart'!$C18)), IF(ISERR(FIND(D$2, 'Hidden Type Chart'!$D18)), "", $P$26), $P$25), $P$24)</f>
        <v/>
      </c>
      <c r="E19" s="4" t="str">
        <f>IF(ISERR(FIND(E$2, 'Hidden Type Chart'!$B18)), IF(ISERR(FIND(E$2, 'Hidden Type Chart'!$C18)), IF(ISERR(FIND(E$2, 'Hidden Type Chart'!$D18)), "", $P$26), $P$25), $P$24)</f>
        <v/>
      </c>
      <c r="F19" s="4" t="str">
        <f>IF(ISERR(FIND(F$2, 'Hidden Type Chart'!$B18)), IF(ISERR(FIND(F$2, 'Hidden Type Chart'!$C18)), IF(ISERR(FIND(F$2, 'Hidden Type Chart'!$D18)), "", $P$26), $P$25), $P$24)</f>
        <v>1/2</v>
      </c>
      <c r="G19" s="4" t="str">
        <f>IF(ISERR(FIND(G$2, 'Hidden Type Chart'!$B18)), IF(ISERR(FIND(G$2, 'Hidden Type Chart'!$C18)), IF(ISERR(FIND(G$2, 'Hidden Type Chart'!$D18)), "", $P$26), $P$25), $P$24)</f>
        <v>2</v>
      </c>
      <c r="H19" s="4" t="str">
        <f>IF(ISERR(FIND(H$2, 'Hidden Type Chart'!$B18)), IF(ISERR(FIND(H$2, 'Hidden Type Chart'!$C18)), IF(ISERR(FIND(H$2, 'Hidden Type Chart'!$D18)), "", $P$26), $P$25), $P$24)</f>
        <v/>
      </c>
      <c r="I19" s="4" t="str">
        <f>IF(ISERR(FIND(I$2, 'Hidden Type Chart'!$B18)), IF(ISERR(FIND(I$2, 'Hidden Type Chart'!$C18)), IF(ISERR(FIND(I$2, 'Hidden Type Chart'!$D18)), "", $P$26), $P$25), $P$24)</f>
        <v>1/2</v>
      </c>
      <c r="J19" s="4" t="str">
        <f>IF(ISERR(FIND(J$2, 'Hidden Type Chart'!$B18)), IF(ISERR(FIND(J$2, 'Hidden Type Chart'!$C18)), IF(ISERR(FIND(J$2, 'Hidden Type Chart'!$D18)), "", $P$26), $P$25), $P$24)</f>
        <v/>
      </c>
      <c r="K19" s="4" t="str">
        <f>IF(ISERR(FIND(K$2, 'Hidden Type Chart'!$B18)), IF(ISERR(FIND(K$2, 'Hidden Type Chart'!$C18)), IF(ISERR(FIND(K$2, 'Hidden Type Chart'!$D18)), "", $P$26), $P$25), $P$24)</f>
        <v/>
      </c>
      <c r="L19" s="4" t="str">
        <f>IF(ISERR(FIND(L$2, 'Hidden Type Chart'!$B18)), IF(ISERR(FIND(L$2, 'Hidden Type Chart'!$C18)), IF(ISERR(FIND(L$2, 'Hidden Type Chart'!$D18)), "", $P$26), $P$25), $P$24)</f>
        <v/>
      </c>
      <c r="M19" s="4" t="str">
        <f>IF(ISERR(FIND(M$2, 'Hidden Type Chart'!$B18)), IF(ISERR(FIND(M$2, 'Hidden Type Chart'!$C18)), IF(ISERR(FIND(M$2, 'Hidden Type Chart'!$D18)), "", $P$26), $P$25), $P$24)</f>
        <v/>
      </c>
      <c r="N19" s="4" t="str">
        <f>IF(ISERR(FIND(N$2, 'Hidden Type Chart'!$B18)), IF(ISERR(FIND(N$2, 'Hidden Type Chart'!$C18)), IF(ISERR(FIND(N$2, 'Hidden Type Chart'!$D18)), "", $P$26), $P$25), $P$24)</f>
        <v>2</v>
      </c>
      <c r="O19" s="4" t="str">
        <f>IF(ISERR(FIND(O$2, 'Hidden Type Chart'!$B18)), IF(ISERR(FIND(O$2, 'Hidden Type Chart'!$C18)), IF(ISERR(FIND(O$2, 'Hidden Type Chart'!$D18)), "", $P$26), $P$25), $P$24)</f>
        <v/>
      </c>
      <c r="P19" s="4" t="str">
        <f>IF(ISERR(FIND(P$2, 'Hidden Type Chart'!$B18)), IF(ISERR(FIND(P$2, 'Hidden Type Chart'!$C18)), IF(ISERR(FIND(P$2, 'Hidden Type Chart'!$D18)), "", $P$26), $P$25), $P$24)</f>
        <v/>
      </c>
      <c r="Q19" s="4" t="str">
        <f>IF(ISERR(FIND(Q$2, 'Hidden Type Chart'!$B18)), IF(ISERR(FIND(Q$2, 'Hidden Type Chart'!$C18)), IF(ISERR(FIND(Q$2, 'Hidden Type Chart'!$D18)), "", $P$26), $P$25), $P$24)</f>
        <v/>
      </c>
      <c r="R19" s="4" t="str">
        <f>IF(ISERR(FIND(R$2, 'Hidden Type Chart'!$B18)), IF(ISERR(FIND(R$2, 'Hidden Type Chart'!$C18)), IF(ISERR(FIND(R$2, 'Hidden Type Chart'!$D18)), "", $P$26), $P$25), $P$24)</f>
        <v>2</v>
      </c>
      <c r="S19" s="4" t="str">
        <f>IF(ISERR(FIND(S$2, 'Hidden Type Chart'!$B18)), IF(ISERR(FIND(S$2, 'Hidden Type Chart'!$C18)), IF(ISERR(FIND(S$2, 'Hidden Type Chart'!$D18)), "", $P$26), $P$25), $P$24)</f>
        <v>1/2</v>
      </c>
      <c r="T19" s="4" t="str">
        <f>IF(ISERR(FIND(T$2, 'Hidden Type Chart'!$B18)), IF(ISERR(FIND(T$2, 'Hidden Type Chart'!$C18)), IF(ISERR(FIND(T$2, 'Hidden Type Chart'!$D18)), "", $P$26), $P$25), $P$24)</f>
        <v>1/2</v>
      </c>
    </row>
    <row r="20" spans="1:20">
      <c r="A20" s="4">
        <f t="shared" si="1"/>
        <v>3</v>
      </c>
      <c r="B20" s="3" t="str">
        <f>'Hidden Type Chart'!$A19</f>
        <v>Water</v>
      </c>
      <c r="C20" s="4" t="str">
        <f>IF(ISERR(FIND(C$2, 'Hidden Type Chart'!$B19)), IF(ISERR(FIND(C$2, 'Hidden Type Chart'!$C19)), IF(ISERR(FIND(C$2, 'Hidden Type Chart'!$D19)), "", $P$26), $P$25), $P$24)</f>
        <v/>
      </c>
      <c r="D20" s="4" t="str">
        <f>IF(ISERR(FIND(D$2, 'Hidden Type Chart'!$B19)), IF(ISERR(FIND(D$2, 'Hidden Type Chart'!$C19)), IF(ISERR(FIND(D$2, 'Hidden Type Chart'!$D19)), "", $P$26), $P$25), $P$24)</f>
        <v/>
      </c>
      <c r="E20" s="4" t="str">
        <f>IF(ISERR(FIND(E$2, 'Hidden Type Chart'!$B19)), IF(ISERR(FIND(E$2, 'Hidden Type Chart'!$C19)), IF(ISERR(FIND(E$2, 'Hidden Type Chart'!$D19)), "", $P$26), $P$25), $P$24)</f>
        <v>1/2</v>
      </c>
      <c r="F20" s="4" t="str">
        <f>IF(ISERR(FIND(F$2, 'Hidden Type Chart'!$B19)), IF(ISERR(FIND(F$2, 'Hidden Type Chart'!$C19)), IF(ISERR(FIND(F$2, 'Hidden Type Chart'!$D19)), "", $P$26), $P$25), $P$24)</f>
        <v/>
      </c>
      <c r="G20" s="4" t="str">
        <f>IF(ISERR(FIND(G$2, 'Hidden Type Chart'!$B19)), IF(ISERR(FIND(G$2, 'Hidden Type Chart'!$C19)), IF(ISERR(FIND(G$2, 'Hidden Type Chart'!$D19)), "", $P$26), $P$25), $P$24)</f>
        <v/>
      </c>
      <c r="H20" s="4" t="str">
        <f>IF(ISERR(FIND(H$2, 'Hidden Type Chart'!$B19)), IF(ISERR(FIND(H$2, 'Hidden Type Chart'!$C19)), IF(ISERR(FIND(H$2, 'Hidden Type Chart'!$D19)), "", $P$26), $P$25), $P$24)</f>
        <v/>
      </c>
      <c r="I20" s="4" t="str">
        <f>IF(ISERR(FIND(I$2, 'Hidden Type Chart'!$B19)), IF(ISERR(FIND(I$2, 'Hidden Type Chart'!$C19)), IF(ISERR(FIND(I$2, 'Hidden Type Chart'!$D19)), "", $P$26), $P$25), $P$24)</f>
        <v>2</v>
      </c>
      <c r="J20" s="4" t="str">
        <f>IF(ISERR(FIND(J$2, 'Hidden Type Chart'!$B19)), IF(ISERR(FIND(J$2, 'Hidden Type Chart'!$C19)), IF(ISERR(FIND(J$2, 'Hidden Type Chart'!$D19)), "", $P$26), $P$25), $P$24)</f>
        <v/>
      </c>
      <c r="K20" s="4" t="str">
        <f>IF(ISERR(FIND(K$2, 'Hidden Type Chart'!$B19)), IF(ISERR(FIND(K$2, 'Hidden Type Chart'!$C19)), IF(ISERR(FIND(K$2, 'Hidden Type Chart'!$D19)), "", $P$26), $P$25), $P$24)</f>
        <v/>
      </c>
      <c r="L20" s="4" t="str">
        <f>IF(ISERR(FIND(L$2, 'Hidden Type Chart'!$B19)), IF(ISERR(FIND(L$2, 'Hidden Type Chart'!$C19)), IF(ISERR(FIND(L$2, 'Hidden Type Chart'!$D19)), "", $P$26), $P$25), $P$24)</f>
        <v>1/2</v>
      </c>
      <c r="M20" s="4" t="str">
        <f>IF(ISERR(FIND(M$2, 'Hidden Type Chart'!$B19)), IF(ISERR(FIND(M$2, 'Hidden Type Chart'!$C19)), IF(ISERR(FIND(M$2, 'Hidden Type Chart'!$D19)), "", $P$26), $P$25), $P$24)</f>
        <v>2</v>
      </c>
      <c r="N20" s="4" t="str">
        <f>IF(ISERR(FIND(N$2, 'Hidden Type Chart'!$B19)), IF(ISERR(FIND(N$2, 'Hidden Type Chart'!$C19)), IF(ISERR(FIND(N$2, 'Hidden Type Chart'!$D19)), "", $P$26), $P$25), $P$24)</f>
        <v/>
      </c>
      <c r="O20" s="4" t="str">
        <f>IF(ISERR(FIND(O$2, 'Hidden Type Chart'!$B19)), IF(ISERR(FIND(O$2, 'Hidden Type Chart'!$C19)), IF(ISERR(FIND(O$2, 'Hidden Type Chart'!$D19)), "", $P$26), $P$25), $P$24)</f>
        <v/>
      </c>
      <c r="P20" s="4" t="str">
        <f>IF(ISERR(FIND(P$2, 'Hidden Type Chart'!$B19)), IF(ISERR(FIND(P$2, 'Hidden Type Chart'!$C19)), IF(ISERR(FIND(P$2, 'Hidden Type Chart'!$D19)), "", $P$26), $P$25), $P$24)</f>
        <v/>
      </c>
      <c r="Q20" s="4" t="str">
        <f>IF(ISERR(FIND(Q$2, 'Hidden Type Chart'!$B19)), IF(ISERR(FIND(Q$2, 'Hidden Type Chart'!$C19)), IF(ISERR(FIND(Q$2, 'Hidden Type Chart'!$D19)), "", $P$26), $P$25), $P$24)</f>
        <v/>
      </c>
      <c r="R20" s="4" t="str">
        <f>IF(ISERR(FIND(R$2, 'Hidden Type Chart'!$B19)), IF(ISERR(FIND(R$2, 'Hidden Type Chart'!$C19)), IF(ISERR(FIND(R$2, 'Hidden Type Chart'!$D19)), "", $P$26), $P$25), $P$24)</f>
        <v>2</v>
      </c>
      <c r="S20" s="4" t="str">
        <f>IF(ISERR(FIND(S$2, 'Hidden Type Chart'!$B19)), IF(ISERR(FIND(S$2, 'Hidden Type Chart'!$C19)), IF(ISERR(FIND(S$2, 'Hidden Type Chart'!$D19)), "", $P$26), $P$25), $P$24)</f>
        <v/>
      </c>
      <c r="T20" s="4" t="str">
        <f>IF(ISERR(FIND(T$2, 'Hidden Type Chart'!$B19)), IF(ISERR(FIND(T$2, 'Hidden Type Chart'!$C19)), IF(ISERR(FIND(T$2, 'Hidden Type Chart'!$D19)), "", $P$26), $P$25), $P$24)</f>
        <v>1/2</v>
      </c>
    </row>
    <row r="22" spans="1:20" ht="15" customHeight="1">
      <c r="B22" s="13" t="s">
        <v>66</v>
      </c>
      <c r="C22" s="6"/>
      <c r="D22" s="6"/>
      <c r="E22" s="6"/>
      <c r="F22" s="6"/>
      <c r="G22" s="6"/>
      <c r="H22" s="6"/>
      <c r="I22" s="6"/>
      <c r="J22" s="6"/>
      <c r="K22" s="7"/>
      <c r="M22" s="5" t="s">
        <v>39</v>
      </c>
      <c r="N22" s="6"/>
      <c r="O22" s="6"/>
      <c r="P22" s="7"/>
      <c r="R22" s="103" t="s">
        <v>65</v>
      </c>
      <c r="S22" s="104"/>
      <c r="T22" s="105"/>
    </row>
    <row r="23" spans="1:20">
      <c r="B23" s="14" t="s">
        <v>32</v>
      </c>
      <c r="C23" s="9"/>
      <c r="D23" s="9"/>
      <c r="E23" s="9"/>
      <c r="F23" s="9"/>
      <c r="G23" s="9"/>
      <c r="H23" s="9" t="s">
        <v>35</v>
      </c>
      <c r="I23" s="9"/>
      <c r="J23" s="9"/>
      <c r="K23" s="10"/>
      <c r="M23" s="8"/>
      <c r="N23" s="9"/>
      <c r="O23" s="9"/>
      <c r="P23" s="10"/>
      <c r="R23" s="106"/>
      <c r="S23" s="107"/>
      <c r="T23" s="108"/>
    </row>
    <row r="24" spans="1:20">
      <c r="B24" s="15"/>
      <c r="C24" s="9" t="s">
        <v>33</v>
      </c>
      <c r="D24" s="9"/>
      <c r="E24" s="22">
        <v>2</v>
      </c>
      <c r="F24" s="9"/>
      <c r="G24" s="9"/>
      <c r="H24" s="9"/>
      <c r="I24" s="9" t="s">
        <v>33</v>
      </c>
      <c r="J24" s="9"/>
      <c r="K24" s="22">
        <v>-2</v>
      </c>
      <c r="M24" s="8"/>
      <c r="N24" s="9" t="s">
        <v>40</v>
      </c>
      <c r="O24" s="9"/>
      <c r="P24" s="23" t="s">
        <v>28</v>
      </c>
      <c r="R24" s="106"/>
      <c r="S24" s="107"/>
      <c r="T24" s="108"/>
    </row>
    <row r="25" spans="1:20">
      <c r="B25" s="8"/>
      <c r="C25" s="9" t="s">
        <v>34</v>
      </c>
      <c r="D25" s="9"/>
      <c r="E25" s="22">
        <v>-1</v>
      </c>
      <c r="F25" s="9"/>
      <c r="G25" s="9"/>
      <c r="H25" s="9"/>
      <c r="I25" s="9" t="s">
        <v>34</v>
      </c>
      <c r="J25" s="9"/>
      <c r="K25" s="22">
        <v>1</v>
      </c>
      <c r="M25" s="8"/>
      <c r="N25" s="9" t="s">
        <v>41</v>
      </c>
      <c r="O25" s="9"/>
      <c r="P25" s="24" t="s">
        <v>13</v>
      </c>
      <c r="R25" s="106"/>
      <c r="S25" s="107"/>
      <c r="T25" s="108"/>
    </row>
    <row r="26" spans="1:20">
      <c r="B26" s="11"/>
      <c r="C26" s="12" t="s">
        <v>36</v>
      </c>
      <c r="D26" s="12"/>
      <c r="E26" s="22">
        <v>-2</v>
      </c>
      <c r="F26" s="12"/>
      <c r="G26" s="12"/>
      <c r="H26" s="12"/>
      <c r="I26" s="12" t="s">
        <v>36</v>
      </c>
      <c r="J26" s="12"/>
      <c r="K26" s="22">
        <v>2</v>
      </c>
      <c r="M26" s="11"/>
      <c r="N26" s="12" t="s">
        <v>36</v>
      </c>
      <c r="O26" s="12"/>
      <c r="P26" s="25" t="s">
        <v>29</v>
      </c>
      <c r="R26" s="109"/>
      <c r="S26" s="110"/>
      <c r="T26" s="111"/>
    </row>
    <row r="29" spans="1:20">
      <c r="L29" s="18"/>
    </row>
  </sheetData>
  <sheetProtection sheet="1" objects="1" scenarios="1"/>
  <mergeCells count="1">
    <mergeCell ref="R22:T26"/>
  </mergeCells>
  <conditionalFormatting sqref="B22:B23 B2:B6 B8:B20 B1:T1">
    <cfRule type="containsText" dxfId="1440" priority="98" operator="containsText" text="Water">
      <formula>NOT(ISERROR(SEARCH("Water",B1)))</formula>
    </cfRule>
    <cfRule type="containsText" dxfId="1439" priority="99" operator="containsText" text="Steel">
      <formula>NOT(ISERROR(SEARCH("Steel",B1)))</formula>
    </cfRule>
    <cfRule type="containsText" dxfId="1438" priority="100" operator="containsText" text="Rock">
      <formula>NOT(ISERROR(SEARCH("Rock",B1)))</formula>
    </cfRule>
    <cfRule type="containsText" dxfId="1437" priority="101" operator="containsText" text="Poison">
      <formula>NOT(ISERROR(SEARCH("Poison",B1)))</formula>
    </cfRule>
    <cfRule type="containsText" dxfId="1436" priority="102" operator="containsText" text="Ice">
      <formula>NOT(ISERROR(SEARCH("Ice",B1)))</formula>
    </cfRule>
    <cfRule type="containsText" dxfId="1435" priority="103" operator="containsText" text="Ground">
      <formula>NOT(ISERROR(SEARCH("Ground",B1)))</formula>
    </cfRule>
    <cfRule type="containsText" dxfId="1434" priority="104" operator="containsText" text="Grass">
      <formula>NOT(ISERROR(SEARCH("Grass",B1)))</formula>
    </cfRule>
    <cfRule type="containsText" dxfId="1433" priority="105" operator="containsText" text="Flying">
      <formula>NOT(ISERROR(SEARCH("Flying",B1)))</formula>
    </cfRule>
    <cfRule type="containsText" dxfId="1432" priority="106" operator="containsText" text="Fighting">
      <formula>NOT(ISERROR(SEARCH("Fighting",B1)))</formula>
    </cfRule>
    <cfRule type="containsText" dxfId="1431" priority="107" operator="containsText" text="Electric">
      <formula>NOT(ISERROR(SEARCH("Electric",B1)))</formula>
    </cfRule>
    <cfRule type="containsText" dxfId="1430" priority="108" operator="containsText" text="Dragon">
      <formula>NOT(ISERROR(SEARCH("Dragon",B1)))</formula>
    </cfRule>
    <cfRule type="containsText" dxfId="1429" priority="109" operator="containsText" text="Dark">
      <formula>NOT(ISERROR(SEARCH("Dark",B1)))</formula>
    </cfRule>
    <cfRule type="containsText" dxfId="1428" priority="110" operator="containsText" text="Bug">
      <formula>NOT(ISERROR(SEARCH("Bug",B1)))</formula>
    </cfRule>
    <cfRule type="containsText" dxfId="1427" priority="111" operator="containsText" text="Fire">
      <formula>NOT(ISERROR(SEARCH("Fire",B1)))</formula>
    </cfRule>
    <cfRule type="containsText" dxfId="1426" priority="112" operator="containsText" text="Normal">
      <formula>NOT(ISERROR(SEARCH("Normal",B1)))</formula>
    </cfRule>
    <cfRule type="containsText" dxfId="1425" priority="113" operator="containsText" text="Psychic">
      <formula>NOT(ISERROR(SEARCH("Psychic",B1)))</formula>
    </cfRule>
    <cfRule type="containsText" dxfId="1424" priority="114" operator="containsText" text="Ghost">
      <formula>NOT(ISERROR(SEARCH("Ghost",B1)))</formula>
    </cfRule>
  </conditionalFormatting>
  <conditionalFormatting sqref="C2:F2 H2:T2">
    <cfRule type="containsText" dxfId="1423" priority="45" operator="containsText" text="Water">
      <formula>NOT(ISERROR(SEARCH("Water",C2)))</formula>
    </cfRule>
    <cfRule type="containsText" dxfId="1422" priority="46" operator="containsText" text="Steel">
      <formula>NOT(ISERROR(SEARCH("Steel",C2)))</formula>
    </cfRule>
    <cfRule type="containsText" dxfId="1421" priority="47" operator="containsText" text="Rock">
      <formula>NOT(ISERROR(SEARCH("Rock",C2)))</formula>
    </cfRule>
    <cfRule type="containsText" dxfId="1420" priority="48" operator="containsText" text="Poison">
      <formula>NOT(ISERROR(SEARCH("Poison",C2)))</formula>
    </cfRule>
    <cfRule type="containsText" dxfId="1419" priority="49" operator="containsText" text="Ice">
      <formula>NOT(ISERROR(SEARCH("Ice",C2)))</formula>
    </cfRule>
    <cfRule type="containsText" dxfId="1418" priority="50" operator="containsText" text="Ground">
      <formula>NOT(ISERROR(SEARCH("Ground",C2)))</formula>
    </cfRule>
    <cfRule type="containsText" dxfId="1417" priority="51" operator="containsText" text="Grass">
      <formula>NOT(ISERROR(SEARCH("Grass",C2)))</formula>
    </cfRule>
    <cfRule type="containsText" dxfId="1416" priority="52" operator="containsText" text="Flying">
      <formula>NOT(ISERROR(SEARCH("Flying",C2)))</formula>
    </cfRule>
    <cfRule type="containsText" dxfId="1415" priority="53" operator="containsText" text="Fighting">
      <formula>NOT(ISERROR(SEARCH("Fighting",C2)))</formula>
    </cfRule>
    <cfRule type="containsText" dxfId="1414" priority="54" operator="containsText" text="Electric">
      <formula>NOT(ISERROR(SEARCH("Electric",C2)))</formula>
    </cfRule>
    <cfRule type="containsText" dxfId="1413" priority="55" operator="containsText" text="Dragon">
      <formula>NOT(ISERROR(SEARCH("Dragon",C2)))</formula>
    </cfRule>
    <cfRule type="containsText" dxfId="1412" priority="56" operator="containsText" text="Dark">
      <formula>NOT(ISERROR(SEARCH("Dark",C2)))</formula>
    </cfRule>
    <cfRule type="containsText" dxfId="1411" priority="57" operator="containsText" text="Bug">
      <formula>NOT(ISERROR(SEARCH("Bug",C2)))</formula>
    </cfRule>
    <cfRule type="containsText" dxfId="1410" priority="58" operator="containsText" text="Fire">
      <formula>NOT(ISERROR(SEARCH("Fire",C2)))</formula>
    </cfRule>
    <cfRule type="containsText" dxfId="1409" priority="59" operator="containsText" text="Normal">
      <formula>NOT(ISERROR(SEARCH("Normal",C2)))</formula>
    </cfRule>
    <cfRule type="containsText" dxfId="1408" priority="60" operator="containsText" text="Psychic">
      <formula>NOT(ISERROR(SEARCH("Psychic",C2)))</formula>
    </cfRule>
    <cfRule type="containsText" dxfId="1407" priority="61" operator="containsText" text="Ghost">
      <formula>NOT(ISERROR(SEARCH("Ghost",C2)))</formula>
    </cfRule>
  </conditionalFormatting>
  <conditionalFormatting sqref="P24:P26 C3:T20">
    <cfRule type="containsText" dxfId="1406" priority="44" operator="containsText" text="2">
      <formula>NOT(ISERROR(SEARCH("2",C3)))</formula>
    </cfRule>
  </conditionalFormatting>
  <conditionalFormatting sqref="P24:P26 C3:T20">
    <cfRule type="containsText" dxfId="1405" priority="43" operator="containsText" text="1/2">
      <formula>NOT(ISERROR(SEARCH("1/2",C3)))</formula>
    </cfRule>
  </conditionalFormatting>
  <conditionalFormatting sqref="P24:P26 C3:T20">
    <cfRule type="containsText" dxfId="1404" priority="42" operator="containsText" text="0">
      <formula>NOT(ISERROR(SEARCH("0",C3)))</formula>
    </cfRule>
  </conditionalFormatting>
  <conditionalFormatting sqref="A3:A20">
    <cfRule type="colorScale" priority="40">
      <colorScale>
        <cfvo type="min"/>
        <cfvo type="max"/>
        <color theme="0"/>
        <color rgb="FF92D050"/>
      </colorScale>
    </cfRule>
  </conditionalFormatting>
  <conditionalFormatting sqref="C1:T1">
    <cfRule type="colorScale" priority="39">
      <colorScale>
        <cfvo type="min"/>
        <cfvo type="max"/>
        <color theme="0"/>
        <color rgb="FF92D050"/>
      </colorScale>
    </cfRule>
  </conditionalFormatting>
  <conditionalFormatting sqref="B7">
    <cfRule type="containsText" dxfId="1403" priority="20" operator="containsText" text="Water">
      <formula>NOT(ISERROR(SEARCH("Water",B7)))</formula>
    </cfRule>
    <cfRule type="containsText" dxfId="1402" priority="21" operator="containsText" text="Steel">
      <formula>NOT(ISERROR(SEARCH("Steel",B7)))</formula>
    </cfRule>
    <cfRule type="containsText" dxfId="1401" priority="22" operator="containsText" text="Rock">
      <formula>NOT(ISERROR(SEARCH("Rock",B7)))</formula>
    </cfRule>
    <cfRule type="containsText" dxfId="1400" priority="23" operator="containsText" text="Poison">
      <formula>NOT(ISERROR(SEARCH("Poison",B7)))</formula>
    </cfRule>
    <cfRule type="containsText" dxfId="1399" priority="24" operator="containsText" text="Ice">
      <formula>NOT(ISERROR(SEARCH("Ice",B7)))</formula>
    </cfRule>
    <cfRule type="containsText" dxfId="1398" priority="25" operator="containsText" text="Ground">
      <formula>NOT(ISERROR(SEARCH("Ground",B7)))</formula>
    </cfRule>
    <cfRule type="containsText" dxfId="1397" priority="26" operator="containsText" text="Grass">
      <formula>NOT(ISERROR(SEARCH("Grass",B7)))</formula>
    </cfRule>
    <cfRule type="containsText" dxfId="1396" priority="27" operator="containsText" text="Flying">
      <formula>NOT(ISERROR(SEARCH("Flying",B7)))</formula>
    </cfRule>
    <cfRule type="containsText" dxfId="1395" priority="28" operator="containsText" text="Fighting">
      <formula>NOT(ISERROR(SEARCH("Fighting",B7)))</formula>
    </cfRule>
    <cfRule type="containsText" dxfId="1394" priority="29" operator="containsText" text="Electric">
      <formula>NOT(ISERROR(SEARCH("Electric",B7)))</formula>
    </cfRule>
    <cfRule type="containsText" dxfId="1393" priority="30" operator="containsText" text="Dragon">
      <formula>NOT(ISERROR(SEARCH("Dragon",B7)))</formula>
    </cfRule>
    <cfRule type="containsText" dxfId="1392" priority="31" operator="containsText" text="Dark">
      <formula>NOT(ISERROR(SEARCH("Dark",B7)))</formula>
    </cfRule>
    <cfRule type="containsText" dxfId="1391" priority="32" operator="containsText" text="Bug">
      <formula>NOT(ISERROR(SEARCH("Bug",B7)))</formula>
    </cfRule>
    <cfRule type="containsText" dxfId="1390" priority="33" operator="containsText" text="Fire">
      <formula>NOT(ISERROR(SEARCH("Fire",B7)))</formula>
    </cfRule>
    <cfRule type="containsText" dxfId="1389" priority="34" operator="containsText" text="Normal">
      <formula>NOT(ISERROR(SEARCH("Normal",B7)))</formula>
    </cfRule>
    <cfRule type="containsText" dxfId="1388" priority="35" operator="containsText" text="Psychic">
      <formula>NOT(ISERROR(SEARCH("Psychic",B7)))</formula>
    </cfRule>
    <cfRule type="containsText" dxfId="1387" priority="36" operator="containsText" text="Ghost">
      <formula>NOT(ISERROR(SEARCH("Ghost",B7)))</formula>
    </cfRule>
  </conditionalFormatting>
  <conditionalFormatting sqref="B7">
    <cfRule type="containsText" dxfId="1386" priority="19" operator="containsText" text="Fairy">
      <formula>NOT(ISERROR(SEARCH("Fairy",B7)))</formula>
    </cfRule>
  </conditionalFormatting>
  <conditionalFormatting sqref="G2">
    <cfRule type="containsText" dxfId="1385" priority="2" operator="containsText" text="Water">
      <formula>NOT(ISERROR(SEARCH("Water",G2)))</formula>
    </cfRule>
    <cfRule type="containsText" dxfId="1384" priority="3" operator="containsText" text="Steel">
      <formula>NOT(ISERROR(SEARCH("Steel",G2)))</formula>
    </cfRule>
    <cfRule type="containsText" dxfId="1383" priority="4" operator="containsText" text="Rock">
      <formula>NOT(ISERROR(SEARCH("Rock",G2)))</formula>
    </cfRule>
    <cfRule type="containsText" dxfId="1382" priority="5" operator="containsText" text="Poison">
      <formula>NOT(ISERROR(SEARCH("Poison",G2)))</formula>
    </cfRule>
    <cfRule type="containsText" dxfId="1381" priority="6" operator="containsText" text="Ice">
      <formula>NOT(ISERROR(SEARCH("Ice",G2)))</formula>
    </cfRule>
    <cfRule type="containsText" dxfId="1380" priority="7" operator="containsText" text="Ground">
      <formula>NOT(ISERROR(SEARCH("Ground",G2)))</formula>
    </cfRule>
    <cfRule type="containsText" dxfId="1379" priority="8" operator="containsText" text="Grass">
      <formula>NOT(ISERROR(SEARCH("Grass",G2)))</formula>
    </cfRule>
    <cfRule type="containsText" dxfId="1378" priority="9" operator="containsText" text="Flying">
      <formula>NOT(ISERROR(SEARCH("Flying",G2)))</formula>
    </cfRule>
    <cfRule type="containsText" dxfId="1377" priority="10" operator="containsText" text="Fighting">
      <formula>NOT(ISERROR(SEARCH("Fighting",G2)))</formula>
    </cfRule>
    <cfRule type="containsText" dxfId="1376" priority="11" operator="containsText" text="Electric">
      <formula>NOT(ISERROR(SEARCH("Electric",G2)))</formula>
    </cfRule>
    <cfRule type="containsText" dxfId="1375" priority="12" operator="containsText" text="Dragon">
      <formula>NOT(ISERROR(SEARCH("Dragon",G2)))</formula>
    </cfRule>
    <cfRule type="containsText" dxfId="1374" priority="13" operator="containsText" text="Dark">
      <formula>NOT(ISERROR(SEARCH("Dark",G2)))</formula>
    </cfRule>
    <cfRule type="containsText" dxfId="1373" priority="14" operator="containsText" text="Bug">
      <formula>NOT(ISERROR(SEARCH("Bug",G2)))</formula>
    </cfRule>
    <cfRule type="containsText" dxfId="1372" priority="15" operator="containsText" text="Fire">
      <formula>NOT(ISERROR(SEARCH("Fire",G2)))</formula>
    </cfRule>
    <cfRule type="containsText" dxfId="1371" priority="16" operator="containsText" text="Normal">
      <formula>NOT(ISERROR(SEARCH("Normal",G2)))</formula>
    </cfRule>
    <cfRule type="containsText" dxfId="1370" priority="17" operator="containsText" text="Psychic">
      <formula>NOT(ISERROR(SEARCH("Psychic",G2)))</formula>
    </cfRule>
    <cfRule type="containsText" dxfId="1369" priority="18" operator="containsText" text="Ghost">
      <formula>NOT(ISERROR(SEARCH("Ghost",G2)))</formula>
    </cfRule>
  </conditionalFormatting>
  <conditionalFormatting sqref="G2">
    <cfRule type="containsText" dxfId="1368" priority="1" operator="containsText" text="Fairy">
      <formula>NOT(ISERROR(SEARCH("Fairy",G2)))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0" id="{3780A7DC-349B-4F65-96AF-20E995566A37}">
            <x14:iconSet iconSet="3Triangles">
              <x14:cfvo type="percent">
                <xm:f>0</xm:f>
              </x14:cfvo>
              <x14:cfvo type="percentile">
                <xm:f>33</xm:f>
              </x14:cfvo>
              <x14:cfvo type="percentile">
                <xm:f>67</xm:f>
              </x14:cfvo>
            </x14:iconSet>
          </x14:cfRule>
          <xm:sqref>A3:A20</xm:sqref>
        </x14:conditionalFormatting>
        <x14:conditionalFormatting xmlns:xm="http://schemas.microsoft.com/office/excel/2006/main">
          <x14:cfRule type="iconSet" priority="79" id="{A98075AF-0099-493F-A291-D77E3412664E}">
            <x14:iconSet iconSet="3Triangles">
              <x14:cfvo type="percent">
                <xm:f>0</xm:f>
              </x14:cfvo>
              <x14:cfvo type="percentile" gte="0">
                <xm:f>33</xm:f>
              </x14:cfvo>
              <x14:cfvo type="percentile" gte="0">
                <xm:f>67</xm:f>
              </x14:cfvo>
            </x14:iconSet>
          </x14:cfRule>
          <xm:sqref>C1:T1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alysisSheet"/>
  <dimension ref="B2:AC23"/>
  <sheetViews>
    <sheetView topLeftCell="F1" workbookViewId="0">
      <selection activeCell="F1" sqref="F1"/>
    </sheetView>
  </sheetViews>
  <sheetFormatPr defaultRowHeight="15"/>
  <cols>
    <col min="13" max="13" width="18.28515625" customWidth="1"/>
    <col min="14" max="14" width="18" customWidth="1"/>
    <col min="15" max="16" width="16.28515625" customWidth="1"/>
    <col min="17" max="17" width="10.140625" customWidth="1"/>
    <col min="18" max="18" width="12" bestFit="1" customWidth="1"/>
    <col min="19" max="19" width="11.5703125" bestFit="1" customWidth="1"/>
    <col min="20" max="20" width="8.85546875" customWidth="1"/>
    <col min="21" max="21" width="10.28515625" customWidth="1"/>
    <col min="22" max="22" width="8.85546875" customWidth="1"/>
    <col min="23" max="23" width="12.140625" bestFit="1" customWidth="1"/>
    <col min="24" max="24" width="12.5703125" bestFit="1" customWidth="1"/>
    <col min="26" max="29" width="9.140625" hidden="1" customWidth="1"/>
  </cols>
  <sheetData>
    <row r="2" spans="2:29" ht="18.75">
      <c r="B2" s="113" t="s">
        <v>189</v>
      </c>
      <c r="C2" s="114"/>
      <c r="D2" s="114"/>
      <c r="E2" s="115"/>
      <c r="F2" s="17"/>
      <c r="G2" s="112" t="s">
        <v>160</v>
      </c>
      <c r="H2" s="112"/>
      <c r="I2" s="112"/>
      <c r="J2" s="112"/>
      <c r="K2" s="112"/>
      <c r="L2" s="18"/>
      <c r="M2" s="124" t="s">
        <v>799</v>
      </c>
      <c r="N2" s="124"/>
      <c r="O2" s="124"/>
      <c r="P2" s="124"/>
      <c r="R2" s="112" t="s">
        <v>167</v>
      </c>
      <c r="S2" s="112"/>
      <c r="T2" s="112"/>
      <c r="U2" s="112"/>
      <c r="V2" s="112"/>
      <c r="W2" s="112"/>
      <c r="X2" s="112"/>
    </row>
    <row r="3" spans="2:29">
      <c r="B3" s="116"/>
      <c r="C3" s="117"/>
      <c r="D3" s="117"/>
      <c r="E3" s="118"/>
      <c r="F3" s="17"/>
      <c r="G3" s="123" t="s">
        <v>0</v>
      </c>
      <c r="H3" s="123"/>
      <c r="I3" s="48" t="s">
        <v>37</v>
      </c>
      <c r="J3" s="122" t="s">
        <v>3</v>
      </c>
      <c r="K3" s="122"/>
      <c r="L3" s="18"/>
      <c r="M3" s="48" t="s">
        <v>37</v>
      </c>
      <c r="N3" s="54" t="s">
        <v>191</v>
      </c>
      <c r="O3" s="54" t="s">
        <v>192</v>
      </c>
      <c r="P3" s="54" t="s">
        <v>798</v>
      </c>
      <c r="R3" s="50" t="s">
        <v>162</v>
      </c>
      <c r="S3" s="50" t="s">
        <v>163</v>
      </c>
      <c r="T3" s="50" t="s">
        <v>164</v>
      </c>
      <c r="U3" s="48" t="s">
        <v>37</v>
      </c>
      <c r="V3" s="50" t="s">
        <v>164</v>
      </c>
      <c r="W3" s="50" t="s">
        <v>165</v>
      </c>
      <c r="X3" s="50" t="s">
        <v>166</v>
      </c>
      <c r="Z3" t="s">
        <v>1052</v>
      </c>
      <c r="AA3" t="s">
        <v>1054</v>
      </c>
      <c r="AB3" t="s">
        <v>1053</v>
      </c>
      <c r="AC3" t="s">
        <v>1055</v>
      </c>
    </row>
    <row r="4" spans="2:29">
      <c r="B4" s="116"/>
      <c r="C4" s="117"/>
      <c r="D4" s="117"/>
      <c r="E4" s="118"/>
      <c r="F4" s="17"/>
      <c r="G4" s="18"/>
      <c r="H4" s="44">
        <f ca="1">COUNTIF('Party Pkm'!$E:$F, Analysis!I4)</f>
        <v>0</v>
      </c>
      <c r="I4" s="47" t="str">
        <f>'Hidden Type Chart'!$A2</f>
        <v>Bug</v>
      </c>
      <c r="J4" s="46">
        <f ca="1">COUNTIFS('Party Pkm'!$P:$P, Analysis!I4, 'Party Pkm'!$Q:$Q, "&lt;&gt;Status")</f>
        <v>0</v>
      </c>
      <c r="K4" s="18"/>
      <c r="L4" s="18"/>
      <c r="M4" s="47" t="str">
        <f>'Hidden Type Chart'!$A2</f>
        <v>Bug</v>
      </c>
      <c r="N4" s="55">
        <f t="shared" ref="N4:N21" ca="1" si="0">V4-R4</f>
        <v>3</v>
      </c>
      <c r="O4" s="44">
        <f>COUNTIF(PokedexTable[Type One], M4) + COUNTIF(PokedexTable[Type Two], M4)</f>
        <v>71</v>
      </c>
      <c r="P4" s="44">
        <f>COUNTIF(MovedexTable[Type], M4)</f>
        <v>25</v>
      </c>
      <c r="Q4" s="18"/>
      <c r="R4" s="46">
        <f ca="1">INDIRECT("$H"&amp;MATCH(INDIRECT("'Hidden Type Chart'!$B"&amp;Z4),  $I$4:$I$22,0)+3)+INDIRECT("$H"&amp;MATCH(INDIRECT("'Hidden Type Chart'!$C"&amp;Z4), $I$4:$I$22,0)+3)+INDIRECT("$H"&amp;MATCH(INDIRECT("'Hidden Type Chart'!$D"&amp;Z4),  $I$4:$I$22,0)+3)+INDIRECT("$H"&amp;MATCH(INDIRECT("'Hidden Type Chart'!$E"&amp;Z4), $I$4:$I$22,0)+3)+INDIRECT("$H"&amp;MATCH(INDIRECT("'Hidden Type Chart'!$F"&amp;Z4),  $I$4:$I$22,0)+3)+INDIRECT("$H"&amp;MATCH(INDIRECT("'Hidden Type Chart'!$G"&amp;Z4), $I$4:$I$22,0)+3)+INDIRECT("$H"&amp;MATCH(INDIRECT("'Hidden Type Chart'!$H"&amp;Z4), $I$4:$I$22,0)+3)+INDIRECT("$H"&amp;MATCH(INDIRECT("'Hidden Type Chart'!$I"&amp;Z4),  $I$4:$I$22,0)+3)+INDIRECT("$H"&amp;MATCH(INDIRECT("'Hidden Type Chart'!$J"&amp;Z4), $I$4:$I$22,0)+3)+INDIRECT("$H"&amp;MATCH(INDIRECT("'Hidden Type Chart'!$K"&amp;Z4),  $I$4:$I$22,0)+3)+INDIRECT("$H"&amp;MATCH(INDIRECT("'Hidden Type Chart'!$L"&amp;Z4),  $I$4:$I$22,0)+3)</f>
        <v>1</v>
      </c>
      <c r="S4" s="46">
        <f t="shared" ref="S4:S19" ca="1" si="1">INDIRECT("$J"&amp;MATCH(INDIRECT("'Hidden Type Chart'!$B"&amp;AB4),  $I$4:$I$22,0)+3)+INDIRECT("$J"&amp;MATCH(INDIRECT("'Hidden Type Chart'!$C"&amp;AB4), $I$4:$I$22,0)+3)+INDIRECT("$J"&amp;MATCH(INDIRECT("'Hidden Type Chart'!$D"&amp;AB4),  $I$4:$I$22,0)+3)+INDIRECT("$J"&amp;MATCH(INDIRECT("'Hidden Type Chart'!$E"&amp;AB4), $I$4:$I$22,0)+3)+INDIRECT("$J"&amp;MATCH(INDIRECT("'Hidden Type Chart'!$F"&amp;AB4),  $I$4:$I$22,0)+3)+INDIRECT("$J"&amp;MATCH(INDIRECT("'Hidden Type Chart'!$G"&amp;AB4), $I$4:$I$22,0)+3)+INDIRECT("$J"&amp;MATCH(INDIRECT("'Hidden Type Chart'!$H"&amp;AB4), $I$4:$I$22,0)+3)+INDIRECT("$J"&amp;MATCH(INDIRECT("'Hidden Type Chart'!$I"&amp;AB4),  $I$4:$I$22,0)+3)+INDIRECT("$J"&amp;MATCH(INDIRECT("'Hidden Type Chart'!$J"&amp;AB4), $I$4:$I$22,0)+3)+INDIRECT("$J"&amp;MATCH(INDIRECT("'Hidden Type Chart'!$K"&amp;AB4),  $I$4:$I$22,0)+3)+INDIRECT("$J"&amp;MATCH(INDIRECT("'Hidden Type Chart'!$L"&amp;AB4),  $I$4:$I$22,0)+3)</f>
        <v>2</v>
      </c>
      <c r="T4" s="46">
        <f ca="1">R4+S4</f>
        <v>3</v>
      </c>
      <c r="U4" s="47" t="str">
        <f>'Hidden Type Chart'!$A2</f>
        <v>Bug</v>
      </c>
      <c r="V4" s="46">
        <f ca="1">W4+X4</f>
        <v>4</v>
      </c>
      <c r="W4" s="46">
        <f ca="1">INDIRECT("$J"&amp;MATCH(INDIRECT("'Hidden Type Chart'!$B"&amp;AA4), $I$4:$I$22,0)+3)+INDIRECT("$J"&amp;MATCH(INDIRECT("'Hidden Type Chart'!$C"&amp;AA4), $I$4:$I$22,0)+3)+INDIRECT("$J"&amp;MATCH(INDIRECT("'Hidden Type Chart'!$D"&amp;AA4),  $I$4:$I$22,0)+3)+INDIRECT("$J"&amp;MATCH(INDIRECT("'Hidden Type Chart'!$E"&amp;AA4), $I$4:$I$22,0)+3)+INDIRECT("$J"&amp;MATCH(INDIRECT("'Hidden Type Chart'!$F"&amp;AA4),  $I$4:$I$22,0)+3)+INDIRECT("$J"&amp;MATCH(INDIRECT("'Hidden Type Chart'!$G"&amp;AA4), $I$4:$I$22,0)+3)+INDIRECT("$J"&amp;MATCH(INDIRECT("'Hidden Type Chart'!$H"&amp;AA4), $I$4:$I$22,0)+3)+INDIRECT("$J"&amp;MATCH(INDIRECT("'Hidden Type Chart'!$I"&amp;AA4),  $I$4:$I$22,0)+3)+INDIRECT("$J"&amp;MATCH(INDIRECT("'Hidden Type Chart'!$J"&amp;AA4), $I$4:$I$22,0)+3)+INDIRECT("$J"&amp;MATCH(INDIRECT("'Hidden Type Chart'!$K"&amp;AA4),  $I$4:$I$22,0)+3)+INDIRECT("$J"&amp;MATCH(INDIRECT("'Hidden Type Chart'!$L"&amp;AA4),  $I$4:$I$22,0)+3)</f>
        <v>2</v>
      </c>
      <c r="X4" s="46">
        <f ca="1">INDIRECT("$H"&amp;MATCH(INDIRECT("'Hidden Type Chart'!$B"&amp;AC4),  $I$4:$I$22,0)+3)+INDIRECT("$H"&amp;MATCH(INDIRECT("'Hidden Type Chart'!$C"&amp;AC4), $I$4:$I$22,0)+3)+INDIRECT("$H"&amp;MATCH(INDIRECT("'Hidden Type Chart'!$D"&amp;AC4),  $I$4:$I$22,0)+3)+INDIRECT("$H"&amp;MATCH(INDIRECT("'Hidden Type Chart'!$E"&amp;AC4), $I$4:$I$22,0)+3)+INDIRECT("$H"&amp;MATCH(INDIRECT("'Hidden Type Chart'!$F"&amp;AC4),  $I$4:$I$22,0)+3)+INDIRECT("$H"&amp;MATCH(INDIRECT("'Hidden Type Chart'!$G"&amp;AC4), $I$4:$I$22,0)+3)+INDIRECT("$H"&amp;MATCH(INDIRECT("'Hidden Type Chart'!$H"&amp;AC4), $I$4:$I$22,0)+3)+INDIRECT("$H"&amp;MATCH(INDIRECT("'Hidden Type Chart'!$I"&amp;AC4),  $I$4:$I$22,0)+3)+INDIRECT("$H"&amp;MATCH(INDIRECT("'Hidden Type Chart'!$J"&amp;AC4), $I$4:$I$22,0)+3)+INDIRECT("$H"&amp;MATCH(INDIRECT("'Hidden Type Chart'!$K"&amp;AC4),  $I$4:$I$22,0)+3)+INDIRECT("$H"&amp;MATCH(INDIRECT("'Hidden Type Chart'!$L"&amp;AC4),  $I$4:$I$22,0)+3)</f>
        <v>2</v>
      </c>
      <c r="Z4">
        <v>22</v>
      </c>
      <c r="AA4">
        <v>42</v>
      </c>
      <c r="AB4">
        <v>62</v>
      </c>
      <c r="AC4">
        <v>82</v>
      </c>
    </row>
    <row r="5" spans="2:29">
      <c r="B5" s="119"/>
      <c r="C5" s="120"/>
      <c r="D5" s="120"/>
      <c r="E5" s="121"/>
      <c r="F5" s="17"/>
      <c r="G5" s="18"/>
      <c r="H5" s="44">
        <f ca="1">COUNTIF('Party Pkm'!$E:$F, Analysis!I5)</f>
        <v>0</v>
      </c>
      <c r="I5" s="19" t="str">
        <f>'Hidden Type Chart'!$A3</f>
        <v>Dark</v>
      </c>
      <c r="J5" s="46">
        <f ca="1">COUNTIFS('Party Pkm'!$P:$P, Analysis!I5, 'Party Pkm'!$Q:$Q, "&lt;&gt;Status")</f>
        <v>0</v>
      </c>
      <c r="K5" s="18"/>
      <c r="L5" s="18"/>
      <c r="M5" s="19" t="str">
        <f>'Hidden Type Chart'!$A3</f>
        <v>Dark</v>
      </c>
      <c r="N5" s="55">
        <f t="shared" ca="1" si="0"/>
        <v>0</v>
      </c>
      <c r="O5" s="44">
        <f>COUNTIF(PokedexTable[Type One], M5) + COUNTIF(PokedexTable[Type Two], M5)</f>
        <v>48</v>
      </c>
      <c r="P5" s="44">
        <f>COUNTIF(MovedexTable[Type], M5)</f>
        <v>31</v>
      </c>
      <c r="Q5" s="18"/>
      <c r="R5" s="46">
        <f ca="1">INDIRECT("$H"&amp;MATCH(INDIRECT("'Hidden Type Chart'!$B"&amp;Z5),  $I$4:$I$22,0)+3)+INDIRECT("$H"&amp;MATCH(INDIRECT("'Hidden Type Chart'!$C"&amp;Z5), $I$4:$I$22,0)+3)+INDIRECT("$H"&amp;MATCH(INDIRECT("'Hidden Type Chart'!$D"&amp;Z5),  $I$4:$I$22,0)+3)+INDIRECT("$H"&amp;MATCH(INDIRECT("'Hidden Type Chart'!$E"&amp;Z5), $I$4:$I$22,0)+3)+INDIRECT("$H"&amp;MATCH(INDIRECT("'Hidden Type Chart'!$F"&amp;Z5),  $I$4:$I$22,0)+3)+INDIRECT("$H"&amp;MATCH(INDIRECT("'Hidden Type Chart'!$G"&amp;Z5), $I$4:$I$22,0)+3)+INDIRECT("$H"&amp;MATCH(INDIRECT("'Hidden Type Chart'!$H"&amp;Z5), $I$4:$I$22,0)+3)+INDIRECT("$H"&amp;MATCH(INDIRECT("'Hidden Type Chart'!$I"&amp;Z5),  $I$4:$I$22,0)+3)+INDIRECT("$H"&amp;MATCH(INDIRECT("'Hidden Type Chart'!$J"&amp;Z5), $I$4:$I$22,0)+3)+INDIRECT("$H"&amp;MATCH(INDIRECT("'Hidden Type Chart'!$K"&amp;Z5),  $I$4:$I$22,0)+3)+INDIRECT("$H"&amp;MATCH(INDIRECT("'Hidden Type Chart'!$L"&amp;Z5),  $I$4:$I$22,0)+3)</f>
        <v>0</v>
      </c>
      <c r="S5" s="46">
        <f t="shared" ca="1" si="1"/>
        <v>0</v>
      </c>
      <c r="T5" s="46">
        <f ca="1">R5+S5</f>
        <v>0</v>
      </c>
      <c r="U5" s="19" t="str">
        <f>'Hidden Type Chart'!$A3</f>
        <v>Dark</v>
      </c>
      <c r="V5" s="46">
        <f ca="1">W5+X5</f>
        <v>0</v>
      </c>
      <c r="W5" s="46">
        <f t="shared" ref="W5:W21" ca="1" si="2">INDIRECT("$J"&amp;MATCH(INDIRECT("'Hidden Type Chart'!$B"&amp;AA5), $I$4:$I$22,0)+3)+INDIRECT("$J"&amp;MATCH(INDIRECT("'Hidden Type Chart'!$C"&amp;AA5), $I$4:$I$22,0)+3)+INDIRECT("$J"&amp;MATCH(INDIRECT("'Hidden Type Chart'!$D"&amp;AA5),  $I$4:$I$22,0)+3)+INDIRECT("$J"&amp;MATCH(INDIRECT("'Hidden Type Chart'!$E"&amp;AA5), $I$4:$I$22,0)+3)+INDIRECT("$J"&amp;MATCH(INDIRECT("'Hidden Type Chart'!$F"&amp;AA5),  $I$4:$I$22,0)+3)+INDIRECT("$J"&amp;MATCH(INDIRECT("'Hidden Type Chart'!$G"&amp;AA5), $I$4:$I$22,0)+3)+INDIRECT("$J"&amp;MATCH(INDIRECT("'Hidden Type Chart'!$H"&amp;AA5), $I$4:$I$22,0)+3)+INDIRECT("$J"&amp;MATCH(INDIRECT("'Hidden Type Chart'!$I"&amp;AA5),  $I$4:$I$22,0)+3)+INDIRECT("$J"&amp;MATCH(INDIRECT("'Hidden Type Chart'!$J"&amp;AA5), $I$4:$I$22,0)+3)+INDIRECT("$J"&amp;MATCH(INDIRECT("'Hidden Type Chart'!$K"&amp;AA5),  $I$4:$I$22,0)+3)+INDIRECT("$J"&amp;MATCH(INDIRECT("'Hidden Type Chart'!$L"&amp;AA5),  $I$4:$I$22,0)+3)</f>
        <v>0</v>
      </c>
      <c r="X5" s="46">
        <f t="shared" ref="X5:X21" ca="1" si="3">INDIRECT("$H"&amp;MATCH(INDIRECT("'Hidden Type Chart'!$B"&amp;AC5),  $I$4:$I$22,0)+3)+INDIRECT("$H"&amp;MATCH(INDIRECT("'Hidden Type Chart'!$C"&amp;AC5), $I$4:$I$22,0)+3)+INDIRECT("$H"&amp;MATCH(INDIRECT("'Hidden Type Chart'!$D"&amp;AC5),  $I$4:$I$22,0)+3)+INDIRECT("$H"&amp;MATCH(INDIRECT("'Hidden Type Chart'!$E"&amp;AC5), $I$4:$I$22,0)+3)+INDIRECT("$H"&amp;MATCH(INDIRECT("'Hidden Type Chart'!$F"&amp;AC5),  $I$4:$I$22,0)+3)+INDIRECT("$H"&amp;MATCH(INDIRECT("'Hidden Type Chart'!$G"&amp;AC5), $I$4:$I$22,0)+3)+INDIRECT("$H"&amp;MATCH(INDIRECT("'Hidden Type Chart'!$H"&amp;AC5), $I$4:$I$22,0)+3)+INDIRECT("$H"&amp;MATCH(INDIRECT("'Hidden Type Chart'!$I"&amp;AC5),  $I$4:$I$22,0)+3)+INDIRECT("$H"&amp;MATCH(INDIRECT("'Hidden Type Chart'!$J"&amp;AC5), $I$4:$I$22,0)+3)+INDIRECT("$H"&amp;MATCH(INDIRECT("'Hidden Type Chart'!$K"&amp;AC5),  $I$4:$I$22,0)+3)+INDIRECT("$H"&amp;MATCH(INDIRECT("'Hidden Type Chart'!$L"&amp;AC5),  $I$4:$I$22,0)+3)</f>
        <v>0</v>
      </c>
      <c r="Z5">
        <v>23</v>
      </c>
      <c r="AA5">
        <v>43</v>
      </c>
      <c r="AB5">
        <v>63</v>
      </c>
      <c r="AC5">
        <v>83</v>
      </c>
    </row>
    <row r="6" spans="2:29">
      <c r="B6" s="20"/>
      <c r="C6" s="20"/>
      <c r="D6" s="20"/>
      <c r="E6" s="20"/>
      <c r="F6" s="17"/>
      <c r="G6" s="18"/>
      <c r="H6" s="44">
        <f ca="1">COUNTIF('Party Pkm'!$E:$F, Analysis!I6)</f>
        <v>0</v>
      </c>
      <c r="I6" s="19" t="str">
        <f>'Hidden Type Chart'!$A4</f>
        <v>Dragon</v>
      </c>
      <c r="J6" s="46">
        <f ca="1">COUNTIFS('Party Pkm'!$P:$P, Analysis!I6, 'Party Pkm'!$Q:$Q, "&lt;&gt;Status")</f>
        <v>1</v>
      </c>
      <c r="K6" s="18"/>
      <c r="L6" s="18"/>
      <c r="M6" s="19" t="str">
        <f>'Hidden Type Chart'!$A4</f>
        <v>Dragon</v>
      </c>
      <c r="N6" s="55">
        <f t="shared" ca="1" si="0"/>
        <v>1</v>
      </c>
      <c r="O6" s="44">
        <f>COUNTIF(PokedexTable[Type One], M6) + COUNTIF(PokedexTable[Type Two], M6)</f>
        <v>44</v>
      </c>
      <c r="P6" s="44">
        <f>COUNTIF(MovedexTable[Type], M6)</f>
        <v>13</v>
      </c>
      <c r="Q6" s="18"/>
      <c r="R6" s="46">
        <f ca="1">INDIRECT("$H"&amp;MATCH(INDIRECT("'Hidden Type Chart'!$B"&amp;Z6),  $I$4:$I$22,0)+3)+INDIRECT("$H"&amp;MATCH(INDIRECT("'Hidden Type Chart'!$C"&amp;Z6), $I$4:$I$22,0)+3)+INDIRECT("$H"&amp;MATCH(INDIRECT("'Hidden Type Chart'!$D"&amp;Z6),  $I$4:$I$22,0)+3)+INDIRECT("$H"&amp;MATCH(INDIRECT("'Hidden Type Chart'!$E"&amp;Z6), $I$4:$I$22,0)+3)+INDIRECT("$H"&amp;MATCH(INDIRECT("'Hidden Type Chart'!$F"&amp;Z6),  $I$4:$I$22,0)+3)+INDIRECT("$H"&amp;MATCH(INDIRECT("'Hidden Type Chart'!$G"&amp;Z6), $I$4:$I$22,0)+3)+INDIRECT("$H"&amp;MATCH(INDIRECT("'Hidden Type Chart'!$H"&amp;Z6), $I$4:$I$22,0)+3)+INDIRECT("$H"&amp;MATCH(INDIRECT("'Hidden Type Chart'!$I"&amp;Z6),  $I$4:$I$22,0)+3)+INDIRECT("$H"&amp;MATCH(INDIRECT("'Hidden Type Chart'!$J"&amp;Z6), $I$4:$I$22,0)+3)+INDIRECT("$H"&amp;MATCH(INDIRECT("'Hidden Type Chart'!$K"&amp;Z6),  $I$4:$I$22,0)+3)+INDIRECT("$H"&amp;MATCH(INDIRECT("'Hidden Type Chart'!$L"&amp;Z6),  $I$4:$I$22,0)+3)</f>
        <v>0</v>
      </c>
      <c r="S6" s="46">
        <f t="shared" ca="1" si="1"/>
        <v>5</v>
      </c>
      <c r="T6" s="46">
        <f ca="1">R6+S6</f>
        <v>5</v>
      </c>
      <c r="U6" s="19" t="str">
        <f>'Hidden Type Chart'!$A4</f>
        <v>Dragon</v>
      </c>
      <c r="V6" s="46">
        <f ca="1">W6+X6</f>
        <v>1</v>
      </c>
      <c r="W6" s="46">
        <f t="shared" ca="1" si="2"/>
        <v>1</v>
      </c>
      <c r="X6" s="46">
        <f t="shared" ca="1" si="3"/>
        <v>0</v>
      </c>
      <c r="Z6">
        <v>24</v>
      </c>
      <c r="AA6">
        <v>44</v>
      </c>
      <c r="AB6">
        <v>64</v>
      </c>
      <c r="AC6">
        <v>84</v>
      </c>
    </row>
    <row r="7" spans="2:29">
      <c r="B7" s="113" t="s">
        <v>38</v>
      </c>
      <c r="C7" s="114"/>
      <c r="D7" s="114"/>
      <c r="E7" s="115"/>
      <c r="F7" s="17"/>
      <c r="G7" s="18"/>
      <c r="H7" s="44">
        <f ca="1">COUNTIF('Party Pkm'!$E:$F, Analysis!I7)</f>
        <v>0</v>
      </c>
      <c r="I7" s="19" t="str">
        <f>'Hidden Type Chart'!$A5</f>
        <v>Electric</v>
      </c>
      <c r="J7" s="46">
        <f ca="1">COUNTIFS('Party Pkm'!$P:$P, Analysis!I7, 'Party Pkm'!$Q:$Q, "&lt;&gt;Status")</f>
        <v>0</v>
      </c>
      <c r="K7" s="18"/>
      <c r="L7" s="18"/>
      <c r="M7" s="19" t="str">
        <f>'Hidden Type Chart'!$A5</f>
        <v>Electric</v>
      </c>
      <c r="N7" s="55">
        <f t="shared" ca="1" si="0"/>
        <v>0</v>
      </c>
      <c r="O7" s="44">
        <f>COUNTIF(PokedexTable[Type One], M7) + COUNTIF(PokedexTable[Type Two], M7)</f>
        <v>50</v>
      </c>
      <c r="P7" s="44">
        <f>COUNTIF(MovedexTable[Type], M7)</f>
        <v>28</v>
      </c>
      <c r="Q7" s="18"/>
      <c r="R7" s="46">
        <f t="shared" ref="R7:R21" ca="1" si="4">INDIRECT("$H"&amp;MATCH(INDIRECT("'Hidden Type Chart'!$B"&amp;Z7),  $I$4:$I$22,0)+3)+INDIRECT("$H"&amp;MATCH(INDIRECT("'Hidden Type Chart'!$C"&amp;Z7), $I$4:$I$22,0)+3)+INDIRECT("$H"&amp;MATCH(INDIRECT("'Hidden Type Chart'!$D"&amp;Z7),  $I$4:$I$22,0)+3)+INDIRECT("$H"&amp;MATCH(INDIRECT("'Hidden Type Chart'!$E"&amp;Z7), $I$4:$I$22,0)+3)+INDIRECT("$H"&amp;MATCH(INDIRECT("'Hidden Type Chart'!$F"&amp;Z7),  $I$4:$I$22,0)+3)+INDIRECT("$H"&amp;MATCH(INDIRECT("'Hidden Type Chart'!$G"&amp;Z7), $I$4:$I$22,0)+3)+INDIRECT("$H"&amp;MATCH(INDIRECT("'Hidden Type Chart'!$H"&amp;Z7), $I$4:$I$22,0)+3)+INDIRECT("$H"&amp;MATCH(INDIRECT("'Hidden Type Chart'!$I"&amp;Z7),  $I$4:$I$22,0)+3)+INDIRECT("$H"&amp;MATCH(INDIRECT("'Hidden Type Chart'!$J"&amp;Z7), $I$4:$I$22,0)+3)+INDIRECT("$H"&amp;MATCH(INDIRECT("'Hidden Type Chart'!$K"&amp;Z7),  $I$4:$I$22,0)+3)+INDIRECT("$H"&amp;MATCH(INDIRECT("'Hidden Type Chart'!$L"&amp;Z7),  $I$4:$I$22,0)+3)</f>
        <v>1</v>
      </c>
      <c r="S7" s="46">
        <f t="shared" ca="1" si="1"/>
        <v>0</v>
      </c>
      <c r="T7" s="46">
        <f ca="1">R7+S7</f>
        <v>1</v>
      </c>
      <c r="U7" s="19" t="str">
        <f>'Hidden Type Chart'!$A5</f>
        <v>Electric</v>
      </c>
      <c r="V7" s="46">
        <f ca="1">W7+X7</f>
        <v>1</v>
      </c>
      <c r="W7" s="46">
        <f t="shared" ca="1" si="2"/>
        <v>0</v>
      </c>
      <c r="X7" s="46">
        <f t="shared" ca="1" si="3"/>
        <v>1</v>
      </c>
      <c r="Z7">
        <v>25</v>
      </c>
      <c r="AA7">
        <v>45</v>
      </c>
      <c r="AB7">
        <v>65</v>
      </c>
      <c r="AC7">
        <v>85</v>
      </c>
    </row>
    <row r="8" spans="2:29">
      <c r="B8" s="116"/>
      <c r="C8" s="117"/>
      <c r="D8" s="117"/>
      <c r="E8" s="118"/>
      <c r="F8" s="32"/>
      <c r="G8" s="18"/>
      <c r="H8" s="44">
        <f ca="1">COUNTIF('Party Pkm'!$E:$F, Analysis!I8)</f>
        <v>0</v>
      </c>
      <c r="I8" s="3" t="s">
        <v>894</v>
      </c>
      <c r="J8" s="46">
        <f ca="1">COUNTIFS('Party Pkm'!$P:$P, Analysis!I8, 'Party Pkm'!$Q:$Q, "&lt;&gt;Status")</f>
        <v>0</v>
      </c>
      <c r="K8" s="18"/>
      <c r="L8" s="18"/>
      <c r="M8" s="3" t="s">
        <v>894</v>
      </c>
      <c r="N8" s="55">
        <f t="shared" ca="1" si="0"/>
        <v>2</v>
      </c>
      <c r="O8" s="44">
        <f>COUNTIF(PokedexTable[Type One], M8) + COUNTIF(PokedexTable[Type Two], M8)</f>
        <v>36</v>
      </c>
      <c r="P8" s="44">
        <f>COUNTIF(MovedexTable[Type], M8)</f>
        <v>16</v>
      </c>
      <c r="Q8" s="18"/>
      <c r="R8" s="46">
        <f t="shared" ca="1" si="4"/>
        <v>0</v>
      </c>
      <c r="S8" s="46">
        <f t="shared" ca="1" si="1"/>
        <v>1</v>
      </c>
      <c r="T8" s="46">
        <f ca="1">R8+S8</f>
        <v>1</v>
      </c>
      <c r="U8" s="3" t="s">
        <v>894</v>
      </c>
      <c r="V8" s="46">
        <f ca="1">W8+X8</f>
        <v>2</v>
      </c>
      <c r="W8" s="46">
        <f t="shared" ca="1" si="2"/>
        <v>0</v>
      </c>
      <c r="X8" s="46">
        <f t="shared" ca="1" si="3"/>
        <v>2</v>
      </c>
      <c r="Z8">
        <v>26</v>
      </c>
      <c r="AA8">
        <v>46</v>
      </c>
      <c r="AB8">
        <v>66</v>
      </c>
      <c r="AC8">
        <v>86</v>
      </c>
    </row>
    <row r="9" spans="2:29">
      <c r="B9" s="116"/>
      <c r="C9" s="117"/>
      <c r="D9" s="117"/>
      <c r="E9" s="118"/>
      <c r="F9" s="17"/>
      <c r="G9" s="18"/>
      <c r="H9" s="44">
        <f ca="1">COUNTIF('Party Pkm'!$E:$F, Analysis!I9)</f>
        <v>0</v>
      </c>
      <c r="I9" s="19" t="str">
        <f>'Hidden Type Chart'!$A7</f>
        <v>Fighting</v>
      </c>
      <c r="J9" s="46">
        <f ca="1">COUNTIFS('Party Pkm'!$P:$P, Analysis!I9, 'Party Pkm'!$Q:$Q, "&lt;&gt;Status")</f>
        <v>0</v>
      </c>
      <c r="K9" s="18"/>
      <c r="L9" s="18"/>
      <c r="M9" s="19" t="str">
        <f>'Hidden Type Chart'!$A7</f>
        <v>Fighting</v>
      </c>
      <c r="N9" s="55">
        <f t="shared" ca="1" si="0"/>
        <v>1</v>
      </c>
      <c r="O9" s="44">
        <f>COUNTIF(PokedexTable[Type One], M9) + COUNTIF(PokedexTable[Type Two], M9)</f>
        <v>51</v>
      </c>
      <c r="P9" s="44">
        <f>COUNTIF(MovedexTable[Type], M9)</f>
        <v>42</v>
      </c>
      <c r="Q9" s="18"/>
      <c r="R9" s="46">
        <f t="shared" ca="1" si="4"/>
        <v>0</v>
      </c>
      <c r="S9" s="46">
        <f t="shared" ca="1" si="1"/>
        <v>0</v>
      </c>
      <c r="T9" s="46">
        <f t="shared" ref="T9:T21" ca="1" si="5">R9+S9</f>
        <v>0</v>
      </c>
      <c r="U9" s="19" t="str">
        <f>'Hidden Type Chart'!$A7</f>
        <v>Fighting</v>
      </c>
      <c r="V9" s="46">
        <f t="shared" ref="V9:V21" ca="1" si="6">W9+X9</f>
        <v>1</v>
      </c>
      <c r="W9" s="46">
        <f t="shared" ca="1" si="2"/>
        <v>0</v>
      </c>
      <c r="X9" s="46">
        <f t="shared" ca="1" si="3"/>
        <v>1</v>
      </c>
      <c r="Z9">
        <v>27</v>
      </c>
      <c r="AA9">
        <v>47</v>
      </c>
      <c r="AB9">
        <v>67</v>
      </c>
      <c r="AC9">
        <v>87</v>
      </c>
    </row>
    <row r="10" spans="2:29">
      <c r="B10" s="116"/>
      <c r="C10" s="117"/>
      <c r="D10" s="117"/>
      <c r="E10" s="118"/>
      <c r="F10" s="17"/>
      <c r="G10" s="18"/>
      <c r="H10" s="44">
        <f ca="1">COUNTIF('Party Pkm'!$E:$F, Analysis!I10)</f>
        <v>1</v>
      </c>
      <c r="I10" s="19" t="str">
        <f>'Hidden Type Chart'!$A8</f>
        <v>Fire</v>
      </c>
      <c r="J10" s="46">
        <f ca="1">COUNTIFS('Party Pkm'!$P:$P, Analysis!I10, 'Party Pkm'!$Q:$Q, "&lt;&gt;Status")</f>
        <v>2</v>
      </c>
      <c r="K10" s="18"/>
      <c r="L10" s="18"/>
      <c r="M10" s="19" t="str">
        <f>'Hidden Type Chart'!$A8</f>
        <v>Fire</v>
      </c>
      <c r="N10" s="55">
        <f t="shared" ca="1" si="0"/>
        <v>2</v>
      </c>
      <c r="O10" s="44">
        <f>COUNTIF(PokedexTable[Type One], M10) + COUNTIF(PokedexTable[Type Two], M10)</f>
        <v>61</v>
      </c>
      <c r="P10" s="44">
        <f>COUNTIF(MovedexTable[Type], M10)</f>
        <v>30</v>
      </c>
      <c r="Q10" s="18"/>
      <c r="R10" s="46">
        <f t="shared" ca="1" si="4"/>
        <v>1</v>
      </c>
      <c r="S10" s="46">
        <f t="shared" ca="1" si="1"/>
        <v>4</v>
      </c>
      <c r="T10" s="46">
        <f t="shared" ca="1" si="5"/>
        <v>5</v>
      </c>
      <c r="U10" s="19" t="str">
        <f>'Hidden Type Chart'!$A8</f>
        <v>Fire</v>
      </c>
      <c r="V10" s="46">
        <f t="shared" ca="1" si="6"/>
        <v>3</v>
      </c>
      <c r="W10" s="46">
        <f t="shared" ca="1" si="2"/>
        <v>1</v>
      </c>
      <c r="X10" s="46">
        <f t="shared" ca="1" si="3"/>
        <v>2</v>
      </c>
      <c r="Z10">
        <v>28</v>
      </c>
      <c r="AA10">
        <v>48</v>
      </c>
      <c r="AB10">
        <v>68</v>
      </c>
      <c r="AC10">
        <v>88</v>
      </c>
    </row>
    <row r="11" spans="2:29">
      <c r="B11" s="116"/>
      <c r="C11" s="117"/>
      <c r="D11" s="117"/>
      <c r="E11" s="118"/>
      <c r="F11" s="17"/>
      <c r="G11" s="18"/>
      <c r="H11" s="44">
        <f ca="1">COUNTIF('Party Pkm'!$E:$F, Analysis!I11)</f>
        <v>0</v>
      </c>
      <c r="I11" s="19" t="str">
        <f>'Hidden Type Chart'!$A9</f>
        <v>Flying</v>
      </c>
      <c r="J11" s="46">
        <f ca="1">COUNTIFS('Party Pkm'!$P:$P, Analysis!I11, 'Party Pkm'!$Q:$Q, "&lt;&gt;Status")</f>
        <v>0</v>
      </c>
      <c r="K11" s="18"/>
      <c r="L11" s="18"/>
      <c r="M11" s="19" t="str">
        <f>'Hidden Type Chart'!$A9</f>
        <v>Flying</v>
      </c>
      <c r="N11" s="55">
        <f t="shared" ca="1" si="0"/>
        <v>-1</v>
      </c>
      <c r="O11" s="44">
        <f>COUNTIF(PokedexTable[Type One], M11) + COUNTIF(PokedexTable[Type Two], M11)</f>
        <v>98</v>
      </c>
      <c r="P11" s="44">
        <f>COUNTIF(MovedexTable[Type], M11)</f>
        <v>23</v>
      </c>
      <c r="Q11" s="18"/>
      <c r="R11" s="46">
        <f t="shared" ca="1" si="4"/>
        <v>1</v>
      </c>
      <c r="S11" s="46">
        <f t="shared" ca="1" si="1"/>
        <v>2</v>
      </c>
      <c r="T11" s="46">
        <f t="shared" ca="1" si="5"/>
        <v>3</v>
      </c>
      <c r="U11" s="19" t="str">
        <f>'Hidden Type Chart'!$A9</f>
        <v>Flying</v>
      </c>
      <c r="V11" s="46">
        <f t="shared" ca="1" si="6"/>
        <v>0</v>
      </c>
      <c r="W11" s="46">
        <f t="shared" ca="1" si="2"/>
        <v>0</v>
      </c>
      <c r="X11" s="46">
        <f t="shared" ca="1" si="3"/>
        <v>0</v>
      </c>
      <c r="Z11">
        <v>29</v>
      </c>
      <c r="AA11">
        <v>49</v>
      </c>
      <c r="AB11">
        <v>69</v>
      </c>
      <c r="AC11">
        <v>89</v>
      </c>
    </row>
    <row r="12" spans="2:29">
      <c r="B12" s="116"/>
      <c r="C12" s="117"/>
      <c r="D12" s="117"/>
      <c r="E12" s="118"/>
      <c r="F12" s="17"/>
      <c r="G12" s="18"/>
      <c r="H12" s="44">
        <f ca="1">COUNTIF('Party Pkm'!$E:$F, Analysis!I12)</f>
        <v>0</v>
      </c>
      <c r="I12" s="19" t="str">
        <f>'Hidden Type Chart'!$A10</f>
        <v>Ghost</v>
      </c>
      <c r="J12" s="46">
        <f ca="1">COUNTIFS('Party Pkm'!$P:$P, Analysis!I12, 'Party Pkm'!$Q:$Q, "&lt;&gt;Status")</f>
        <v>0</v>
      </c>
      <c r="K12" s="18"/>
      <c r="L12" s="18"/>
      <c r="M12" s="19" t="str">
        <f>'Hidden Type Chart'!$A10</f>
        <v>Ghost</v>
      </c>
      <c r="N12" s="55">
        <f t="shared" ca="1" si="0"/>
        <v>0</v>
      </c>
      <c r="O12" s="44">
        <f>COUNTIF(PokedexTable[Type One], M12) + COUNTIF(PokedexTable[Type Two], M12)</f>
        <v>44</v>
      </c>
      <c r="P12" s="44">
        <f>COUNTIF(MovedexTable[Type], M12)</f>
        <v>18</v>
      </c>
      <c r="Q12" s="18"/>
      <c r="R12" s="46">
        <f t="shared" ca="1" si="4"/>
        <v>0</v>
      </c>
      <c r="S12" s="46">
        <f t="shared" ca="1" si="1"/>
        <v>0</v>
      </c>
      <c r="T12" s="46">
        <f t="shared" ca="1" si="5"/>
        <v>0</v>
      </c>
      <c r="U12" s="19" t="str">
        <f>'Hidden Type Chart'!$A10</f>
        <v>Ghost</v>
      </c>
      <c r="V12" s="46">
        <f t="shared" ca="1" si="6"/>
        <v>0</v>
      </c>
      <c r="W12" s="46">
        <f t="shared" ca="1" si="2"/>
        <v>0</v>
      </c>
      <c r="X12" s="46">
        <f t="shared" ca="1" si="3"/>
        <v>0</v>
      </c>
      <c r="Z12">
        <v>30</v>
      </c>
      <c r="AA12">
        <v>50</v>
      </c>
      <c r="AB12">
        <v>70</v>
      </c>
      <c r="AC12">
        <v>90</v>
      </c>
    </row>
    <row r="13" spans="2:29">
      <c r="B13" s="116"/>
      <c r="C13" s="117"/>
      <c r="D13" s="117"/>
      <c r="E13" s="118"/>
      <c r="F13" s="17"/>
      <c r="G13" s="18"/>
      <c r="H13" s="44">
        <f ca="1">COUNTIF('Party Pkm'!$E:$F, Analysis!I13)</f>
        <v>1</v>
      </c>
      <c r="I13" s="19" t="str">
        <f>'Hidden Type Chart'!$A11</f>
        <v>Grass</v>
      </c>
      <c r="J13" s="46">
        <f ca="1">COUNTIFS('Party Pkm'!$P:$P, Analysis!I13, 'Party Pkm'!$Q:$Q, "&lt;&gt;Status")</f>
        <v>2</v>
      </c>
      <c r="K13" s="18"/>
      <c r="L13" s="18"/>
      <c r="M13" s="19" t="str">
        <f>'Hidden Type Chart'!$A11</f>
        <v>Grass</v>
      </c>
      <c r="N13" s="55">
        <f t="shared" ca="1" si="0"/>
        <v>4</v>
      </c>
      <c r="O13" s="44">
        <f>COUNTIF(PokedexTable[Type One], M13) + COUNTIF(PokedexTable[Type Two], M13)</f>
        <v>94</v>
      </c>
      <c r="P13" s="44">
        <f>COUNTIF(MovedexTable[Type], M13)</f>
        <v>37</v>
      </c>
      <c r="Q13" s="18"/>
      <c r="R13" s="46">
        <f t="shared" ca="1" si="4"/>
        <v>1</v>
      </c>
      <c r="S13" s="46">
        <f t="shared" ca="1" si="1"/>
        <v>3</v>
      </c>
      <c r="T13" s="46">
        <f t="shared" ca="1" si="5"/>
        <v>4</v>
      </c>
      <c r="U13" s="19" t="str">
        <f>'Hidden Type Chart'!$A11</f>
        <v>Grass</v>
      </c>
      <c r="V13" s="46">
        <f t="shared" ca="1" si="6"/>
        <v>5</v>
      </c>
      <c r="W13" s="46">
        <f t="shared" ca="1" si="2"/>
        <v>2</v>
      </c>
      <c r="X13" s="46">
        <f t="shared" ca="1" si="3"/>
        <v>3</v>
      </c>
      <c r="Z13">
        <v>31</v>
      </c>
      <c r="AA13">
        <v>51</v>
      </c>
      <c r="AB13">
        <v>71</v>
      </c>
      <c r="AC13">
        <v>91</v>
      </c>
    </row>
    <row r="14" spans="2:29">
      <c r="B14" s="119"/>
      <c r="C14" s="120"/>
      <c r="D14" s="120"/>
      <c r="E14" s="121"/>
      <c r="F14" s="17"/>
      <c r="G14" s="18"/>
      <c r="H14" s="44">
        <f ca="1">COUNTIF('Party Pkm'!$E:$F, Analysis!I14)</f>
        <v>0</v>
      </c>
      <c r="I14" s="19" t="str">
        <f>'Hidden Type Chart'!$A12</f>
        <v>Ground</v>
      </c>
      <c r="J14" s="46">
        <f ca="1">COUNTIFS('Party Pkm'!$P:$P, Analysis!I14, 'Party Pkm'!$Q:$Q, "&lt;&gt;Status")</f>
        <v>0</v>
      </c>
      <c r="K14" s="18"/>
      <c r="L14" s="18"/>
      <c r="M14" s="19" t="str">
        <f>'Hidden Type Chart'!$A12</f>
        <v>Ground</v>
      </c>
      <c r="N14" s="55">
        <f t="shared" ca="1" si="0"/>
        <v>2</v>
      </c>
      <c r="O14" s="44">
        <f>COUNTIF(PokedexTable[Type One], M14) + COUNTIF(PokedexTable[Type Two], M14)</f>
        <v>63</v>
      </c>
      <c r="P14" s="44">
        <f>COUNTIF(MovedexTable[Type], M14)</f>
        <v>19</v>
      </c>
      <c r="Q14" s="18"/>
      <c r="R14" s="46">
        <f t="shared" ca="1" si="4"/>
        <v>2</v>
      </c>
      <c r="S14" s="46">
        <f t="shared" ca="1" si="1"/>
        <v>0</v>
      </c>
      <c r="T14" s="46">
        <f t="shared" ca="1" si="5"/>
        <v>2</v>
      </c>
      <c r="U14" s="19" t="str">
        <f>'Hidden Type Chart'!$A12</f>
        <v>Ground</v>
      </c>
      <c r="V14" s="46">
        <f t="shared" ca="1" si="6"/>
        <v>4</v>
      </c>
      <c r="W14" s="46">
        <f t="shared" ca="1" si="2"/>
        <v>3</v>
      </c>
      <c r="X14" s="46">
        <f t="shared" ca="1" si="3"/>
        <v>1</v>
      </c>
      <c r="Z14">
        <v>32</v>
      </c>
      <c r="AA14">
        <v>52</v>
      </c>
      <c r="AB14">
        <v>72</v>
      </c>
      <c r="AC14">
        <v>92</v>
      </c>
    </row>
    <row r="15" spans="2:29">
      <c r="B15" s="18"/>
      <c r="C15" s="18"/>
      <c r="D15" s="18"/>
      <c r="E15" s="18"/>
      <c r="F15" s="17"/>
      <c r="G15" s="18"/>
      <c r="H15" s="44">
        <f ca="1">COUNTIF('Party Pkm'!$E:$F, Analysis!I15)</f>
        <v>0</v>
      </c>
      <c r="I15" s="19" t="str">
        <f>'Hidden Type Chart'!$A13</f>
        <v>Ice</v>
      </c>
      <c r="J15" s="46">
        <f ca="1">COUNTIFS('Party Pkm'!$P:$P, Analysis!I15, 'Party Pkm'!$Q:$Q, "&lt;&gt;Status")</f>
        <v>0</v>
      </c>
      <c r="K15" s="18"/>
      <c r="L15" s="18"/>
      <c r="M15" s="19" t="str">
        <f>'Hidden Type Chart'!$A13</f>
        <v>Ice</v>
      </c>
      <c r="N15" s="55">
        <f t="shared" ca="1" si="0"/>
        <v>3</v>
      </c>
      <c r="O15" s="44">
        <f>COUNTIF(PokedexTable[Type One], M15) + COUNTIF(PokedexTable[Type Two], M15)</f>
        <v>37</v>
      </c>
      <c r="P15" s="44">
        <f>COUNTIF(MovedexTable[Type], M15)</f>
        <v>21</v>
      </c>
      <c r="Q15" s="18"/>
      <c r="R15" s="46">
        <f t="shared" ca="1" si="4"/>
        <v>1</v>
      </c>
      <c r="S15" s="46">
        <f t="shared" ca="1" si="1"/>
        <v>0</v>
      </c>
      <c r="T15" s="46">
        <f t="shared" ca="1" si="5"/>
        <v>1</v>
      </c>
      <c r="U15" s="19" t="str">
        <f>'Hidden Type Chart'!$A13</f>
        <v>Ice</v>
      </c>
      <c r="V15" s="46">
        <f t="shared" ca="1" si="6"/>
        <v>4</v>
      </c>
      <c r="W15" s="46">
        <f t="shared" ca="1" si="2"/>
        <v>2</v>
      </c>
      <c r="X15" s="46">
        <f t="shared" ca="1" si="3"/>
        <v>2</v>
      </c>
      <c r="Z15">
        <v>33</v>
      </c>
      <c r="AA15">
        <v>53</v>
      </c>
      <c r="AB15">
        <v>73</v>
      </c>
      <c r="AC15">
        <v>93</v>
      </c>
    </row>
    <row r="16" spans="2:29" ht="15" customHeight="1">
      <c r="B16" s="113" t="s">
        <v>190</v>
      </c>
      <c r="C16" s="114"/>
      <c r="D16" s="114"/>
      <c r="E16" s="115"/>
      <c r="F16" s="17"/>
      <c r="G16" s="18"/>
      <c r="H16" s="44">
        <f ca="1">COUNTIF('Party Pkm'!$E:$F, Analysis!I16)</f>
        <v>0</v>
      </c>
      <c r="I16" s="19" t="str">
        <f>'Hidden Type Chart'!$A14</f>
        <v>Normal</v>
      </c>
      <c r="J16" s="46">
        <f ca="1">COUNTIFS('Party Pkm'!$P:$P, Analysis!I16, 'Party Pkm'!$Q:$Q, "&lt;&gt;Status")</f>
        <v>2</v>
      </c>
      <c r="K16" s="18"/>
      <c r="L16" s="18"/>
      <c r="M16" s="19" t="str">
        <f>'Hidden Type Chart'!$A14</f>
        <v>Normal</v>
      </c>
      <c r="N16" s="55">
        <f t="shared" ca="1" si="0"/>
        <v>0</v>
      </c>
      <c r="O16" s="44">
        <f>COUNTIF(PokedexTable[Type One], M16) + COUNTIF(PokedexTable[Type Two], M16)</f>
        <v>99</v>
      </c>
      <c r="P16" s="44">
        <f>COUNTIF(MovedexTable[Type], M16)</f>
        <v>167</v>
      </c>
      <c r="Q16" s="18"/>
      <c r="R16" s="46">
        <f t="shared" ca="1" si="4"/>
        <v>0</v>
      </c>
      <c r="S16" s="46">
        <f t="shared" ca="1" si="1"/>
        <v>0</v>
      </c>
      <c r="T16" s="46">
        <f t="shared" ca="1" si="5"/>
        <v>0</v>
      </c>
      <c r="U16" s="19" t="str">
        <f>'Hidden Type Chart'!$A14</f>
        <v>Normal</v>
      </c>
      <c r="V16" s="46">
        <f t="shared" ca="1" si="6"/>
        <v>0</v>
      </c>
      <c r="W16" s="46">
        <f t="shared" ca="1" si="2"/>
        <v>0</v>
      </c>
      <c r="X16" s="46">
        <f t="shared" ca="1" si="3"/>
        <v>0</v>
      </c>
      <c r="Z16">
        <v>34</v>
      </c>
      <c r="AA16">
        <v>54</v>
      </c>
      <c r="AB16">
        <v>74</v>
      </c>
      <c r="AC16">
        <v>94</v>
      </c>
    </row>
    <row r="17" spans="2:29">
      <c r="B17" s="116"/>
      <c r="C17" s="117"/>
      <c r="D17" s="117"/>
      <c r="E17" s="118"/>
      <c r="F17" s="17"/>
      <c r="G17" s="18"/>
      <c r="H17" s="44">
        <f ca="1">COUNTIF('Party Pkm'!$E:$F, Analysis!I17)</f>
        <v>1</v>
      </c>
      <c r="I17" s="19" t="str">
        <f>'Hidden Type Chart'!$A15</f>
        <v>Poison</v>
      </c>
      <c r="J17" s="46">
        <f ca="1">COUNTIFS('Party Pkm'!$P:$P, Analysis!I17, 'Party Pkm'!$Q:$Q, "&lt;&gt;Status")</f>
        <v>0</v>
      </c>
      <c r="K17" s="18"/>
      <c r="L17" s="18"/>
      <c r="M17" s="19" t="str">
        <f>'Hidden Type Chart'!$A15</f>
        <v>Poison</v>
      </c>
      <c r="N17" s="55">
        <f t="shared" ca="1" si="0"/>
        <v>0</v>
      </c>
      <c r="O17" s="44">
        <f>COUNTIF(PokedexTable[Type One], M17) + COUNTIF(PokedexTable[Type Two], M17)</f>
        <v>61</v>
      </c>
      <c r="P17" s="44">
        <f>COUNTIF(MovedexTable[Type], M17)</f>
        <v>23</v>
      </c>
      <c r="Q17" s="18"/>
      <c r="R17" s="46">
        <f t="shared" ca="1" si="4"/>
        <v>1</v>
      </c>
      <c r="S17" s="46">
        <f t="shared" ca="1" si="1"/>
        <v>0</v>
      </c>
      <c r="T17" s="46">
        <f t="shared" ca="1" si="5"/>
        <v>1</v>
      </c>
      <c r="U17" s="19" t="str">
        <f>'Hidden Type Chart'!$A15</f>
        <v>Poison</v>
      </c>
      <c r="V17" s="46">
        <f t="shared" ca="1" si="6"/>
        <v>1</v>
      </c>
      <c r="W17" s="46">
        <f t="shared" ca="1" si="2"/>
        <v>0</v>
      </c>
      <c r="X17" s="46">
        <f t="shared" ca="1" si="3"/>
        <v>1</v>
      </c>
      <c r="Z17">
        <v>35</v>
      </c>
      <c r="AA17">
        <v>55</v>
      </c>
      <c r="AB17">
        <v>75</v>
      </c>
      <c r="AC17">
        <v>95</v>
      </c>
    </row>
    <row r="18" spans="2:29">
      <c r="B18" s="116"/>
      <c r="C18" s="117"/>
      <c r="D18" s="117"/>
      <c r="E18" s="118"/>
      <c r="F18" s="17"/>
      <c r="G18" s="18"/>
      <c r="H18" s="44">
        <f ca="1">COUNTIF('Party Pkm'!$E:$F, Analysis!I18)</f>
        <v>0</v>
      </c>
      <c r="I18" s="19" t="str">
        <f>'Hidden Type Chart'!$A16</f>
        <v>Psychic</v>
      </c>
      <c r="J18" s="46">
        <f ca="1">COUNTIFS('Party Pkm'!$P:$P, Analysis!I18, 'Party Pkm'!$Q:$Q, "&lt;&gt;Status")</f>
        <v>0</v>
      </c>
      <c r="K18" s="18"/>
      <c r="L18" s="18"/>
      <c r="M18" s="19" t="str">
        <f>'Hidden Type Chart'!$A16</f>
        <v>Psychic</v>
      </c>
      <c r="N18" s="55">
        <f t="shared" ca="1" si="0"/>
        <v>-1</v>
      </c>
      <c r="O18" s="44">
        <f>COUNTIF(PokedexTable[Type One], M18) + COUNTIF(PokedexTable[Type Two], M18)</f>
        <v>82</v>
      </c>
      <c r="P18" s="44">
        <f>COUNTIF(MovedexTable[Type], M18)</f>
        <v>53</v>
      </c>
      <c r="Q18" s="18"/>
      <c r="R18" s="46">
        <f t="shared" ca="1" si="4"/>
        <v>1</v>
      </c>
      <c r="S18" s="46">
        <f t="shared" ca="1" si="1"/>
        <v>0</v>
      </c>
      <c r="T18" s="46">
        <f t="shared" ca="1" si="5"/>
        <v>1</v>
      </c>
      <c r="U18" s="19" t="str">
        <f>'Hidden Type Chart'!$A16</f>
        <v>Psychic</v>
      </c>
      <c r="V18" s="46">
        <f t="shared" ca="1" si="6"/>
        <v>0</v>
      </c>
      <c r="W18" s="46">
        <f t="shared" ca="1" si="2"/>
        <v>0</v>
      </c>
      <c r="X18" s="46">
        <f t="shared" ca="1" si="3"/>
        <v>0</v>
      </c>
      <c r="Z18">
        <v>36</v>
      </c>
      <c r="AA18">
        <v>56</v>
      </c>
      <c r="AB18">
        <v>76</v>
      </c>
      <c r="AC18">
        <v>96</v>
      </c>
    </row>
    <row r="19" spans="2:29">
      <c r="B19" s="116"/>
      <c r="C19" s="117"/>
      <c r="D19" s="117"/>
      <c r="E19" s="118"/>
      <c r="F19" s="17"/>
      <c r="G19" s="18"/>
      <c r="H19" s="44">
        <f ca="1">COUNTIF('Party Pkm'!$E:$F, Analysis!I19)</f>
        <v>0</v>
      </c>
      <c r="I19" s="19" t="str">
        <f>'Hidden Type Chart'!$A17</f>
        <v>Rock</v>
      </c>
      <c r="J19" s="46">
        <f ca="1">COUNTIFS('Party Pkm'!$P:$P, Analysis!I19, 'Party Pkm'!$Q:$Q, "&lt;&gt;Status")</f>
        <v>0</v>
      </c>
      <c r="K19" s="18"/>
      <c r="L19" s="18"/>
      <c r="M19" s="19" t="str">
        <f>'Hidden Type Chart'!$A17</f>
        <v>Rock</v>
      </c>
      <c r="N19" s="55">
        <f t="shared" ca="1" si="0"/>
        <v>0</v>
      </c>
      <c r="O19" s="44">
        <f>COUNTIF(PokedexTable[Type One], M19) + COUNTIF(PokedexTable[Type Two], M19)</f>
        <v>56</v>
      </c>
      <c r="P19" s="44">
        <f>COUNTIF(MovedexTable[Type], M19)</f>
        <v>15</v>
      </c>
      <c r="Q19" s="18"/>
      <c r="R19" s="46">
        <f t="shared" ca="1" si="4"/>
        <v>1</v>
      </c>
      <c r="S19" s="46">
        <f t="shared" ca="1" si="1"/>
        <v>4</v>
      </c>
      <c r="T19" s="46">
        <f t="shared" ca="1" si="5"/>
        <v>5</v>
      </c>
      <c r="U19" s="19" t="str">
        <f>'Hidden Type Chart'!$A17</f>
        <v>Rock</v>
      </c>
      <c r="V19" s="46">
        <f t="shared" ca="1" si="6"/>
        <v>1</v>
      </c>
      <c r="W19" s="46">
        <f t="shared" ca="1" si="2"/>
        <v>1</v>
      </c>
      <c r="X19" s="46">
        <f t="shared" ca="1" si="3"/>
        <v>0</v>
      </c>
      <c r="Z19">
        <v>37</v>
      </c>
      <c r="AA19">
        <v>57</v>
      </c>
      <c r="AB19">
        <v>77</v>
      </c>
      <c r="AC19">
        <v>97</v>
      </c>
    </row>
    <row r="20" spans="2:29">
      <c r="B20" s="116"/>
      <c r="C20" s="117"/>
      <c r="D20" s="117"/>
      <c r="E20" s="118"/>
      <c r="F20" s="17"/>
      <c r="G20" s="18"/>
      <c r="H20" s="44">
        <f ca="1">COUNTIF('Party Pkm'!$E:$F, Analysis!I20)</f>
        <v>0</v>
      </c>
      <c r="I20" s="19" t="str">
        <f>'Hidden Type Chart'!$A18</f>
        <v>Steel</v>
      </c>
      <c r="J20" s="46">
        <f ca="1">COUNTIFS('Party Pkm'!$P:$P, Analysis!I20, 'Party Pkm'!$Q:$Q, "&lt;&gt;Status")</f>
        <v>0</v>
      </c>
      <c r="K20" s="18"/>
      <c r="L20" s="18"/>
      <c r="M20" s="19" t="str">
        <f>'Hidden Type Chart'!$A18</f>
        <v>Steel</v>
      </c>
      <c r="N20" s="55">
        <f t="shared" ca="1" si="0"/>
        <v>4</v>
      </c>
      <c r="O20" s="44">
        <f>COUNTIF(PokedexTable[Type One], M20) + COUNTIF(PokedexTable[Type Two], M20)</f>
        <v>47</v>
      </c>
      <c r="P20" s="44">
        <f>COUNTIF(MovedexTable[Type], M20)</f>
        <v>19</v>
      </c>
      <c r="Q20" s="18"/>
      <c r="R20" s="46">
        <f t="shared" ca="1" si="4"/>
        <v>0</v>
      </c>
      <c r="S20" s="46">
        <f ca="1">INDIRECT("$J"&amp;MATCH(INDIRECT("'Hidden Type Chart'!$B"&amp;AB20),  $I$4:$I$22,0)+3)+INDIRECT("$J"&amp;MATCH(INDIRECT("'Hidden Type Chart'!$C"&amp;AB20), $I$4:$I$22,0)+3)+INDIRECT("$J"&amp;MATCH(INDIRECT("'Hidden Type Chart'!$D"&amp;AB20),  $I$4:$I$22,0)+3)+INDIRECT("$J"&amp;MATCH(INDIRECT("'Hidden Type Chart'!$E"&amp;AB20), $I$4:$I$22,0)+3)+INDIRECT("$J"&amp;MATCH(INDIRECT("'Hidden Type Chart'!$F"&amp;AB20),  $I$4:$I$22,0)+3)+INDIRECT("$J"&amp;MATCH(INDIRECT("'Hidden Type Chart'!$G"&amp;AB20), $I$4:$I$22,0)+3)+INDIRECT("$J"&amp;MATCH(INDIRECT("'Hidden Type Chart'!$H"&amp;AB20), $I$4:$I$22,0)+3)+INDIRECT("$J"&amp;MATCH(INDIRECT("'Hidden Type Chart'!$I"&amp;AB20),  $I$4:$I$22,0)+3)+INDIRECT("$J"&amp;MATCH(INDIRECT("'Hidden Type Chart'!$J"&amp;AB20), $I$4:$I$22,0)+3)+INDIRECT("$J"&amp;MATCH(INDIRECT("'Hidden Type Chart'!$K"&amp;AB20),  $I$4:$I$22,0)+3)+INDIRECT("$J"&amp;MATCH(INDIRECT("'Hidden Type Chart'!$L"&amp;AB20),  $I$4:$I$22,0)+3)</f>
        <v>3</v>
      </c>
      <c r="T20" s="46">
        <f t="shared" ca="1" si="5"/>
        <v>3</v>
      </c>
      <c r="U20" s="19" t="str">
        <f>'Hidden Type Chart'!$A18</f>
        <v>Steel</v>
      </c>
      <c r="V20" s="46">
        <f t="shared" ca="1" si="6"/>
        <v>4</v>
      </c>
      <c r="W20" s="46">
        <f t="shared" ca="1" si="2"/>
        <v>2</v>
      </c>
      <c r="X20" s="46">
        <f t="shared" ca="1" si="3"/>
        <v>2</v>
      </c>
      <c r="Z20">
        <v>38</v>
      </c>
      <c r="AA20">
        <v>58</v>
      </c>
      <c r="AB20">
        <v>78</v>
      </c>
      <c r="AC20">
        <v>98</v>
      </c>
    </row>
    <row r="21" spans="2:29">
      <c r="B21" s="119"/>
      <c r="C21" s="120"/>
      <c r="D21" s="120"/>
      <c r="E21" s="121"/>
      <c r="F21" s="17"/>
      <c r="G21" s="18"/>
      <c r="H21" s="44">
        <f ca="1">COUNTIF('Party Pkm'!$E:$F, Analysis!I21)</f>
        <v>1</v>
      </c>
      <c r="I21" s="19" t="str">
        <f>'Hidden Type Chart'!$A19</f>
        <v>Water</v>
      </c>
      <c r="J21" s="46">
        <f ca="1">COUNTIFS('Party Pkm'!$P:$P, Analysis!I21, 'Party Pkm'!$Q:$Q, "&lt;&gt;Status")</f>
        <v>1</v>
      </c>
      <c r="K21" s="18"/>
      <c r="L21" s="18"/>
      <c r="M21" s="19" t="str">
        <f>'Hidden Type Chart'!$A19</f>
        <v>Water</v>
      </c>
      <c r="N21" s="55">
        <f t="shared" ca="1" si="0"/>
        <v>3</v>
      </c>
      <c r="O21" s="44">
        <f>COUNTIF(PokedexTable[Type One], M21) + COUNTIF(PokedexTable[Type Two], M21)</f>
        <v>121</v>
      </c>
      <c r="P21" s="44">
        <f>COUNTIF(MovedexTable[Type], M21)</f>
        <v>27</v>
      </c>
      <c r="Q21" s="18"/>
      <c r="R21" s="46">
        <f t="shared" ca="1" si="4"/>
        <v>1</v>
      </c>
      <c r="S21" s="46">
        <f ca="1">INDIRECT("$J"&amp;MATCH(INDIRECT("'Hidden Type Chart'!$B"&amp;AB21),  $I$4:$I$22,0)+3)+INDIRECT("$J"&amp;MATCH(INDIRECT("'Hidden Type Chart'!$C"&amp;AB21), $I$4:$I$22,0)+3)+INDIRECT("$J"&amp;MATCH(INDIRECT("'Hidden Type Chart'!$D"&amp;AB21),  $I$4:$I$22,0)+3)+INDIRECT("$J"&amp;MATCH(INDIRECT("'Hidden Type Chart'!$E"&amp;AB21), $I$4:$I$22,0)+3)+INDIRECT("$J"&amp;MATCH(INDIRECT("'Hidden Type Chart'!$F"&amp;AB21),  $I$4:$I$22,0)+3)+INDIRECT("$J"&amp;MATCH(INDIRECT("'Hidden Type Chart'!$G"&amp;AB21), $I$4:$I$22,0)+3)+INDIRECT("$J"&amp;MATCH(INDIRECT("'Hidden Type Chart'!$H"&amp;AB21), $I$4:$I$22,0)+3)+INDIRECT("$J"&amp;MATCH(INDIRECT("'Hidden Type Chart'!$I"&amp;AB21),  $I$4:$I$22,0)+3)+INDIRECT("$J"&amp;MATCH(INDIRECT("'Hidden Type Chart'!$J"&amp;AB21), $I$4:$I$22,0)+3)+INDIRECT("$J"&amp;MATCH(INDIRECT("'Hidden Type Chart'!$K"&amp;AB21),  $I$4:$I$22,0)+3)+INDIRECT("$J"&amp;MATCH(INDIRECT("'Hidden Type Chart'!$L"&amp;AB21),  $I$4:$I$22,0)+3)</f>
        <v>3</v>
      </c>
      <c r="T21" s="46">
        <f t="shared" ca="1" si="5"/>
        <v>4</v>
      </c>
      <c r="U21" s="19" t="str">
        <f>'Hidden Type Chart'!$A19</f>
        <v>Water</v>
      </c>
      <c r="V21" s="46">
        <f t="shared" ca="1" si="6"/>
        <v>4</v>
      </c>
      <c r="W21" s="46">
        <f t="shared" ca="1" si="2"/>
        <v>2</v>
      </c>
      <c r="X21" s="46">
        <f t="shared" ca="1" si="3"/>
        <v>2</v>
      </c>
      <c r="Z21">
        <v>39</v>
      </c>
      <c r="AA21">
        <v>59</v>
      </c>
      <c r="AB21">
        <v>79</v>
      </c>
      <c r="AC21">
        <v>99</v>
      </c>
    </row>
    <row r="22" spans="2:29">
      <c r="F22" s="17"/>
      <c r="G22" s="18"/>
      <c r="H22" s="44">
        <v>0</v>
      </c>
      <c r="I22" s="19" t="s">
        <v>161</v>
      </c>
      <c r="J22" s="46">
        <f ca="1">COUNTIFS('Party Pkm'!$P:$P, Analysis!I22, 'Party Pkm'!$Q:$Q, "&lt;&gt;Status")</f>
        <v>0</v>
      </c>
      <c r="K22" s="18"/>
      <c r="L22" s="18"/>
      <c r="M22" s="52" t="s">
        <v>164</v>
      </c>
      <c r="N22" s="55">
        <f ca="1">SUM(N4:N21)</f>
        <v>23</v>
      </c>
      <c r="O22" s="51"/>
      <c r="P22" s="51"/>
      <c r="Q22" s="18"/>
      <c r="R22" s="18"/>
      <c r="U22" s="19" t="str">
        <f>'Hidden Type Chart'!$A20</f>
        <v>--</v>
      </c>
      <c r="V22" s="18"/>
      <c r="W22" s="18"/>
    </row>
    <row r="23" spans="2:29">
      <c r="F23" s="17"/>
      <c r="G23" s="18"/>
      <c r="I23" s="18"/>
      <c r="J23" s="18"/>
      <c r="K23" s="18"/>
      <c r="L23" s="18"/>
      <c r="M23" s="18"/>
      <c r="N23" s="18"/>
      <c r="O23" s="18"/>
      <c r="P23" s="18"/>
      <c r="Q23" s="18"/>
      <c r="R23" s="18"/>
      <c r="S23" s="18"/>
      <c r="T23" s="18"/>
      <c r="U23" s="18"/>
      <c r="V23" s="18"/>
    </row>
  </sheetData>
  <sheetProtection sheet="1" objects="1" scenarios="1"/>
  <sortState ref="M4:N20">
    <sortCondition ref="M4"/>
  </sortState>
  <mergeCells count="8">
    <mergeCell ref="R2:X2"/>
    <mergeCell ref="B2:E5"/>
    <mergeCell ref="B7:E14"/>
    <mergeCell ref="B16:E21"/>
    <mergeCell ref="G2:K2"/>
    <mergeCell ref="J3:K3"/>
    <mergeCell ref="G3:H3"/>
    <mergeCell ref="M2:P2"/>
  </mergeCells>
  <conditionalFormatting sqref="J3 G3 I4:I7 I9:I22">
    <cfRule type="containsText" dxfId="1367" priority="168" operator="containsText" text="Water">
      <formula>NOT(ISERROR(SEARCH("Water",G3)))</formula>
    </cfRule>
    <cfRule type="containsText" dxfId="1366" priority="169" operator="containsText" text="Steel">
      <formula>NOT(ISERROR(SEARCH("Steel",G3)))</formula>
    </cfRule>
    <cfRule type="containsText" dxfId="1365" priority="170" operator="containsText" text="Rock">
      <formula>NOT(ISERROR(SEARCH("Rock",G3)))</formula>
    </cfRule>
    <cfRule type="containsText" dxfId="1364" priority="171" operator="containsText" text="Ice">
      <formula>NOT(ISERROR(SEARCH("Ice",G3)))</formula>
    </cfRule>
    <cfRule type="containsText" dxfId="1363" priority="172" operator="containsText" text="Ground">
      <formula>NOT(ISERROR(SEARCH("Ground",G3)))</formula>
    </cfRule>
    <cfRule type="containsText" dxfId="1362" priority="173" operator="containsText" text="Grass">
      <formula>NOT(ISERROR(SEARCH("Grass",G3)))</formula>
    </cfRule>
    <cfRule type="containsText" dxfId="1361" priority="174" operator="containsText" text="Poison">
      <formula>NOT(ISERROR(SEARCH("Poison",G3)))</formula>
    </cfRule>
    <cfRule type="containsText" dxfId="1360" priority="175" operator="containsText" text="Flying">
      <formula>NOT(ISERROR(SEARCH("Flying",G3)))</formula>
    </cfRule>
    <cfRule type="containsText" dxfId="1359" priority="176" operator="containsText" text="Fighting">
      <formula>NOT(ISERROR(SEARCH("Fighting",G3)))</formula>
    </cfRule>
    <cfRule type="containsText" dxfId="1358" priority="177" operator="containsText" text="Electric">
      <formula>NOT(ISERROR(SEARCH("Electric",G3)))</formula>
    </cfRule>
    <cfRule type="containsText" dxfId="1357" priority="178" operator="containsText" text="Dragon">
      <formula>NOT(ISERROR(SEARCH("Dragon",G3)))</formula>
    </cfRule>
    <cfRule type="containsText" dxfId="1356" priority="179" operator="containsText" text="Dark">
      <formula>NOT(ISERROR(SEARCH("Dark",G3)))</formula>
    </cfRule>
    <cfRule type="containsText" dxfId="1355" priority="180" operator="containsText" text="Bug">
      <formula>NOT(ISERROR(SEARCH("Bug",G3)))</formula>
    </cfRule>
    <cfRule type="containsText" dxfId="1354" priority="181" operator="containsText" text="Fire">
      <formula>NOT(ISERROR(SEARCH("Fire",G3)))</formula>
    </cfRule>
    <cfRule type="containsText" dxfId="1353" priority="182" operator="containsText" text="Normal">
      <formula>NOT(ISERROR(SEARCH("Normal",G3)))</formula>
    </cfRule>
    <cfRule type="containsText" dxfId="1352" priority="183" operator="containsText" text="Psychic">
      <formula>NOT(ISERROR(SEARCH("Psychic",G3)))</formula>
    </cfRule>
    <cfRule type="containsText" dxfId="1351" priority="184" operator="containsText" text="Ghost">
      <formula>NOT(ISERROR(SEARCH("Ghost",G3)))</formula>
    </cfRule>
  </conditionalFormatting>
  <conditionalFormatting sqref="J4:J22">
    <cfRule type="colorScale" priority="167">
      <colorScale>
        <cfvo type="min"/>
        <cfvo type="max"/>
        <color rgb="FFFCFCFF"/>
        <color rgb="FF63BE7B"/>
      </colorScale>
    </cfRule>
  </conditionalFormatting>
  <conditionalFormatting sqref="V3 R3 U4:U7 U9:U22">
    <cfRule type="containsText" dxfId="1350" priority="150" operator="containsText" text="Water">
      <formula>NOT(ISERROR(SEARCH("Water",R3)))</formula>
    </cfRule>
    <cfRule type="containsText" dxfId="1349" priority="151" operator="containsText" text="Steel">
      <formula>NOT(ISERROR(SEARCH("Steel",R3)))</formula>
    </cfRule>
    <cfRule type="containsText" dxfId="1348" priority="152" operator="containsText" text="Rock">
      <formula>NOT(ISERROR(SEARCH("Rock",R3)))</formula>
    </cfRule>
    <cfRule type="containsText" dxfId="1347" priority="153" operator="containsText" text="Ice">
      <formula>NOT(ISERROR(SEARCH("Ice",R3)))</formula>
    </cfRule>
    <cfRule type="containsText" dxfId="1346" priority="154" operator="containsText" text="Ground">
      <formula>NOT(ISERROR(SEARCH("Ground",R3)))</formula>
    </cfRule>
    <cfRule type="containsText" dxfId="1345" priority="155" operator="containsText" text="Grass">
      <formula>NOT(ISERROR(SEARCH("Grass",R3)))</formula>
    </cfRule>
    <cfRule type="containsText" dxfId="1344" priority="156" operator="containsText" text="Poison">
      <formula>NOT(ISERROR(SEARCH("Poison",R3)))</formula>
    </cfRule>
    <cfRule type="containsText" dxfId="1343" priority="157" operator="containsText" text="Flying">
      <formula>NOT(ISERROR(SEARCH("Flying",R3)))</formula>
    </cfRule>
    <cfRule type="containsText" dxfId="1342" priority="158" operator="containsText" text="Fighting">
      <formula>NOT(ISERROR(SEARCH("Fighting",R3)))</formula>
    </cfRule>
    <cfRule type="containsText" dxfId="1341" priority="159" operator="containsText" text="Electric">
      <formula>NOT(ISERROR(SEARCH("Electric",R3)))</formula>
    </cfRule>
    <cfRule type="containsText" dxfId="1340" priority="160" operator="containsText" text="Dragon">
      <formula>NOT(ISERROR(SEARCH("Dragon",R3)))</formula>
    </cfRule>
    <cfRule type="containsText" dxfId="1339" priority="161" operator="containsText" text="Dark">
      <formula>NOT(ISERROR(SEARCH("Dark",R3)))</formula>
    </cfRule>
    <cfRule type="containsText" dxfId="1338" priority="162" operator="containsText" text="Bug">
      <formula>NOT(ISERROR(SEARCH("Bug",R3)))</formula>
    </cfRule>
    <cfRule type="containsText" dxfId="1337" priority="163" operator="containsText" text="Fire">
      <formula>NOT(ISERROR(SEARCH("Fire",R3)))</formula>
    </cfRule>
    <cfRule type="containsText" dxfId="1336" priority="164" operator="containsText" text="Normal">
      <formula>NOT(ISERROR(SEARCH("Normal",R3)))</formula>
    </cfRule>
    <cfRule type="containsText" dxfId="1335" priority="165" operator="containsText" text="Psychic">
      <formula>NOT(ISERROR(SEARCH("Psychic",R3)))</formula>
    </cfRule>
    <cfRule type="containsText" dxfId="1334" priority="166" operator="containsText" text="Ghost">
      <formula>NOT(ISERROR(SEARCH("Ghost",R3)))</formula>
    </cfRule>
  </conditionalFormatting>
  <conditionalFormatting sqref="H4:H21">
    <cfRule type="colorScale" priority="148">
      <colorScale>
        <cfvo type="min"/>
        <cfvo type="max"/>
        <color rgb="FFFCFCFF"/>
        <color rgb="FF63BE7B"/>
      </colorScale>
    </cfRule>
  </conditionalFormatting>
  <conditionalFormatting sqref="V4:V21 R4:R21">
    <cfRule type="colorScale" priority="6834">
      <colorScale>
        <cfvo type="min"/>
        <cfvo type="max"/>
        <color rgb="FFFCFCFF"/>
        <color rgb="FF63BE7B"/>
      </colorScale>
    </cfRule>
  </conditionalFormatting>
  <conditionalFormatting sqref="S4:S21">
    <cfRule type="colorScale" priority="145">
      <colorScale>
        <cfvo type="min"/>
        <cfvo type="max"/>
        <color rgb="FFFCFCFF"/>
        <color rgb="FF63BE7B"/>
      </colorScale>
    </cfRule>
  </conditionalFormatting>
  <conditionalFormatting sqref="W4:W21">
    <cfRule type="colorScale" priority="143">
      <colorScale>
        <cfvo type="min"/>
        <cfvo type="max"/>
        <color rgb="FFFCFCFF"/>
        <color rgb="FF63BE7B"/>
      </colorScale>
    </cfRule>
  </conditionalFormatting>
  <conditionalFormatting sqref="T4:T21">
    <cfRule type="colorScale" priority="142">
      <colorScale>
        <cfvo type="min"/>
        <cfvo type="max"/>
        <color rgb="FFFCFCFF"/>
        <color rgb="FF63BE7B"/>
      </colorScale>
    </cfRule>
  </conditionalFormatting>
  <conditionalFormatting sqref="R4:T21">
    <cfRule type="colorScale" priority="141">
      <colorScale>
        <cfvo type="min"/>
        <cfvo type="max"/>
        <color rgb="FFFCFCFF"/>
        <color rgb="FF63BE7B"/>
      </colorScale>
    </cfRule>
  </conditionalFormatting>
  <conditionalFormatting sqref="X4:X21">
    <cfRule type="colorScale" priority="140">
      <colorScale>
        <cfvo type="min"/>
        <cfvo type="max"/>
        <color rgb="FFFCFCFF"/>
        <color rgb="FF63BE7B"/>
      </colorScale>
    </cfRule>
  </conditionalFormatting>
  <conditionalFormatting sqref="V4:X21">
    <cfRule type="colorScale" priority="139">
      <colorScale>
        <cfvo type="min"/>
        <cfvo type="max"/>
        <color rgb="FFFCFCFF"/>
        <color rgb="FF63BE7B"/>
      </colorScale>
    </cfRule>
  </conditionalFormatting>
  <conditionalFormatting sqref="M4:M7 M9:M21">
    <cfRule type="containsText" dxfId="1333" priority="122" operator="containsText" text="Water">
      <formula>NOT(ISERROR(SEARCH("Water",M4)))</formula>
    </cfRule>
    <cfRule type="containsText" dxfId="1332" priority="123" operator="containsText" text="Steel">
      <formula>NOT(ISERROR(SEARCH("Steel",M4)))</formula>
    </cfRule>
    <cfRule type="containsText" dxfId="1331" priority="124" operator="containsText" text="Rock">
      <formula>NOT(ISERROR(SEARCH("Rock",M4)))</formula>
    </cfRule>
    <cfRule type="containsText" dxfId="1330" priority="125" operator="containsText" text="Ice">
      <formula>NOT(ISERROR(SEARCH("Ice",M4)))</formula>
    </cfRule>
    <cfRule type="containsText" dxfId="1329" priority="126" operator="containsText" text="Ground">
      <formula>NOT(ISERROR(SEARCH("Ground",M4)))</formula>
    </cfRule>
    <cfRule type="containsText" dxfId="1328" priority="127" operator="containsText" text="Grass">
      <formula>NOT(ISERROR(SEARCH("Grass",M4)))</formula>
    </cfRule>
    <cfRule type="containsText" dxfId="1327" priority="128" operator="containsText" text="Poison">
      <formula>NOT(ISERROR(SEARCH("Poison",M4)))</formula>
    </cfRule>
    <cfRule type="containsText" dxfId="1326" priority="129" operator="containsText" text="Flying">
      <formula>NOT(ISERROR(SEARCH("Flying",M4)))</formula>
    </cfRule>
    <cfRule type="containsText" dxfId="1325" priority="130" operator="containsText" text="Fighting">
      <formula>NOT(ISERROR(SEARCH("Fighting",M4)))</formula>
    </cfRule>
    <cfRule type="containsText" dxfId="1324" priority="131" operator="containsText" text="Electric">
      <formula>NOT(ISERROR(SEARCH("Electric",M4)))</formula>
    </cfRule>
    <cfRule type="containsText" dxfId="1323" priority="132" operator="containsText" text="Dragon">
      <formula>NOT(ISERROR(SEARCH("Dragon",M4)))</formula>
    </cfRule>
    <cfRule type="containsText" dxfId="1322" priority="133" operator="containsText" text="Dark">
      <formula>NOT(ISERROR(SEARCH("Dark",M4)))</formula>
    </cfRule>
    <cfRule type="containsText" dxfId="1321" priority="134" operator="containsText" text="Bug">
      <formula>NOT(ISERROR(SEARCH("Bug",M4)))</formula>
    </cfRule>
    <cfRule type="containsText" dxfId="1320" priority="135" operator="containsText" text="Fire">
      <formula>NOT(ISERROR(SEARCH("Fire",M4)))</formula>
    </cfRule>
    <cfRule type="containsText" dxfId="1319" priority="136" operator="containsText" text="Normal">
      <formula>NOT(ISERROR(SEARCH("Normal",M4)))</formula>
    </cfRule>
    <cfRule type="containsText" dxfId="1318" priority="137" operator="containsText" text="Psychic">
      <formula>NOT(ISERROR(SEARCH("Psychic",M4)))</formula>
    </cfRule>
    <cfRule type="containsText" dxfId="1317" priority="138" operator="containsText" text="Ghost">
      <formula>NOT(ISERROR(SEARCH("Ghost",M4)))</formula>
    </cfRule>
  </conditionalFormatting>
  <conditionalFormatting sqref="J4:J22">
    <cfRule type="colorScale" priority="113">
      <colorScale>
        <cfvo type="num" val="0"/>
        <cfvo type="max"/>
        <color theme="0"/>
        <color rgb="FF17A517"/>
      </colorScale>
    </cfRule>
  </conditionalFormatting>
  <conditionalFormatting sqref="H4:H22">
    <cfRule type="colorScale" priority="112">
      <colorScale>
        <cfvo type="num" val="0"/>
        <cfvo type="max"/>
        <color theme="0"/>
        <color rgb="FF17A517"/>
      </colorScale>
    </cfRule>
  </conditionalFormatting>
  <conditionalFormatting sqref="M22">
    <cfRule type="containsText" dxfId="1316" priority="95" operator="containsText" text="Water">
      <formula>NOT(ISERROR(SEARCH("Water",M22)))</formula>
    </cfRule>
    <cfRule type="containsText" dxfId="1315" priority="96" operator="containsText" text="Steel">
      <formula>NOT(ISERROR(SEARCH("Steel",M22)))</formula>
    </cfRule>
    <cfRule type="containsText" dxfId="1314" priority="97" operator="containsText" text="Rock">
      <formula>NOT(ISERROR(SEARCH("Rock",M22)))</formula>
    </cfRule>
    <cfRule type="containsText" dxfId="1313" priority="98" operator="containsText" text="Ice">
      <formula>NOT(ISERROR(SEARCH("Ice",M22)))</formula>
    </cfRule>
    <cfRule type="containsText" dxfId="1312" priority="99" operator="containsText" text="Ground">
      <formula>NOT(ISERROR(SEARCH("Ground",M22)))</formula>
    </cfRule>
    <cfRule type="containsText" dxfId="1311" priority="100" operator="containsText" text="Grass">
      <formula>NOT(ISERROR(SEARCH("Grass",M22)))</formula>
    </cfRule>
    <cfRule type="containsText" dxfId="1310" priority="101" operator="containsText" text="Poison">
      <formula>NOT(ISERROR(SEARCH("Poison",M22)))</formula>
    </cfRule>
    <cfRule type="containsText" dxfId="1309" priority="102" operator="containsText" text="Flying">
      <formula>NOT(ISERROR(SEARCH("Flying",M22)))</formula>
    </cfRule>
    <cfRule type="containsText" dxfId="1308" priority="103" operator="containsText" text="Fighting">
      <formula>NOT(ISERROR(SEARCH("Fighting",M22)))</formula>
    </cfRule>
    <cfRule type="containsText" dxfId="1307" priority="104" operator="containsText" text="Electric">
      <formula>NOT(ISERROR(SEARCH("Electric",M22)))</formula>
    </cfRule>
    <cfRule type="containsText" dxfId="1306" priority="105" operator="containsText" text="Dragon">
      <formula>NOT(ISERROR(SEARCH("Dragon",M22)))</formula>
    </cfRule>
    <cfRule type="containsText" dxfId="1305" priority="106" operator="containsText" text="Dark">
      <formula>NOT(ISERROR(SEARCH("Dark",M22)))</formula>
    </cfRule>
    <cfRule type="containsText" dxfId="1304" priority="107" operator="containsText" text="Bug">
      <formula>NOT(ISERROR(SEARCH("Bug",M22)))</formula>
    </cfRule>
    <cfRule type="containsText" dxfId="1303" priority="108" operator="containsText" text="Fire">
      <formula>NOT(ISERROR(SEARCH("Fire",M22)))</formula>
    </cfRule>
    <cfRule type="containsText" dxfId="1302" priority="109" operator="containsText" text="Normal">
      <formula>NOT(ISERROR(SEARCH("Normal",M22)))</formula>
    </cfRule>
    <cfRule type="containsText" dxfId="1301" priority="110" operator="containsText" text="Psychic">
      <formula>NOT(ISERROR(SEARCH("Psychic",M22)))</formula>
    </cfRule>
    <cfRule type="containsText" dxfId="1300" priority="111" operator="containsText" text="Ghost">
      <formula>NOT(ISERROR(SEARCH("Ghost",M22)))</formula>
    </cfRule>
  </conditionalFormatting>
  <conditionalFormatting sqref="O3:P3">
    <cfRule type="containsText" dxfId="1299" priority="77" operator="containsText" text="Water">
      <formula>NOT(ISERROR(SEARCH("Water",O3)))</formula>
    </cfRule>
    <cfRule type="containsText" dxfId="1298" priority="78" operator="containsText" text="Steel">
      <formula>NOT(ISERROR(SEARCH("Steel",O3)))</formula>
    </cfRule>
    <cfRule type="containsText" dxfId="1297" priority="79" operator="containsText" text="Rock">
      <formula>NOT(ISERROR(SEARCH("Rock",O3)))</formula>
    </cfRule>
    <cfRule type="containsText" dxfId="1296" priority="80" operator="containsText" text="Ice">
      <formula>NOT(ISERROR(SEARCH("Ice",O3)))</formula>
    </cfRule>
    <cfRule type="containsText" dxfId="1295" priority="81" operator="containsText" text="Ground">
      <formula>NOT(ISERROR(SEARCH("Ground",O3)))</formula>
    </cfRule>
    <cfRule type="containsText" dxfId="1294" priority="82" operator="containsText" text="Grass">
      <formula>NOT(ISERROR(SEARCH("Grass",O3)))</formula>
    </cfRule>
    <cfRule type="containsText" dxfId="1293" priority="83" operator="containsText" text="Poison">
      <formula>NOT(ISERROR(SEARCH("Poison",O3)))</formula>
    </cfRule>
    <cfRule type="containsText" dxfId="1292" priority="84" operator="containsText" text="Flying">
      <formula>NOT(ISERROR(SEARCH("Flying",O3)))</formula>
    </cfRule>
    <cfRule type="containsText" dxfId="1291" priority="85" operator="containsText" text="Fighting">
      <formula>NOT(ISERROR(SEARCH("Fighting",O3)))</formula>
    </cfRule>
    <cfRule type="containsText" dxfId="1290" priority="86" operator="containsText" text="Electric">
      <formula>NOT(ISERROR(SEARCH("Electric",O3)))</formula>
    </cfRule>
    <cfRule type="containsText" dxfId="1289" priority="87" operator="containsText" text="Dragon">
      <formula>NOT(ISERROR(SEARCH("Dragon",O3)))</formula>
    </cfRule>
    <cfRule type="containsText" dxfId="1288" priority="88" operator="containsText" text="Dark">
      <formula>NOT(ISERROR(SEARCH("Dark",O3)))</formula>
    </cfRule>
    <cfRule type="containsText" dxfId="1287" priority="89" operator="containsText" text="Bug">
      <formula>NOT(ISERROR(SEARCH("Bug",O3)))</formula>
    </cfRule>
    <cfRule type="containsText" dxfId="1286" priority="90" operator="containsText" text="Fire">
      <formula>NOT(ISERROR(SEARCH("Fire",O3)))</formula>
    </cfRule>
    <cfRule type="containsText" dxfId="1285" priority="91" operator="containsText" text="Normal">
      <formula>NOT(ISERROR(SEARCH("Normal",O3)))</formula>
    </cfRule>
    <cfRule type="containsText" dxfId="1284" priority="92" operator="containsText" text="Psychic">
      <formula>NOT(ISERROR(SEARCH("Psychic",O3)))</formula>
    </cfRule>
    <cfRule type="containsText" dxfId="1283" priority="93" operator="containsText" text="Ghost">
      <formula>NOT(ISERROR(SEARCH("Ghost",O3)))</formula>
    </cfRule>
  </conditionalFormatting>
  <conditionalFormatting sqref="O4:O21">
    <cfRule type="colorScale" priority="76">
      <colorScale>
        <cfvo type="min"/>
        <cfvo type="max"/>
        <color rgb="FFFCFCFF"/>
        <color rgb="FF63BE7B"/>
      </colorScale>
    </cfRule>
  </conditionalFormatting>
  <conditionalFormatting sqref="N4:N21">
    <cfRule type="colorScale" priority="74">
      <colorScale>
        <cfvo type="min"/>
        <cfvo type="num" val="0"/>
        <cfvo type="max"/>
        <color rgb="FFF8696B"/>
        <color theme="0"/>
        <color rgb="FF63BE7B"/>
      </colorScale>
    </cfRule>
  </conditionalFormatting>
  <conditionalFormatting sqref="N3">
    <cfRule type="containsText" dxfId="1282" priority="56" operator="containsText" text="Water">
      <formula>NOT(ISERROR(SEARCH("Water",N3)))</formula>
    </cfRule>
    <cfRule type="containsText" dxfId="1281" priority="57" operator="containsText" text="Steel">
      <formula>NOT(ISERROR(SEARCH("Steel",N3)))</formula>
    </cfRule>
    <cfRule type="containsText" dxfId="1280" priority="58" operator="containsText" text="Rock">
      <formula>NOT(ISERROR(SEARCH("Rock",N3)))</formula>
    </cfRule>
    <cfRule type="containsText" dxfId="1279" priority="59" operator="containsText" text="Ice">
      <formula>NOT(ISERROR(SEARCH("Ice",N3)))</formula>
    </cfRule>
    <cfRule type="containsText" dxfId="1278" priority="60" operator="containsText" text="Ground">
      <formula>NOT(ISERROR(SEARCH("Ground",N3)))</formula>
    </cfRule>
    <cfRule type="containsText" dxfId="1277" priority="61" operator="containsText" text="Grass">
      <formula>NOT(ISERROR(SEARCH("Grass",N3)))</formula>
    </cfRule>
    <cfRule type="containsText" dxfId="1276" priority="62" operator="containsText" text="Poison">
      <formula>NOT(ISERROR(SEARCH("Poison",N3)))</formula>
    </cfRule>
    <cfRule type="containsText" dxfId="1275" priority="63" operator="containsText" text="Flying">
      <formula>NOT(ISERROR(SEARCH("Flying",N3)))</formula>
    </cfRule>
    <cfRule type="containsText" dxfId="1274" priority="64" operator="containsText" text="Fighting">
      <formula>NOT(ISERROR(SEARCH("Fighting",N3)))</formula>
    </cfRule>
    <cfRule type="containsText" dxfId="1273" priority="65" operator="containsText" text="Electric">
      <formula>NOT(ISERROR(SEARCH("Electric",N3)))</formula>
    </cfRule>
    <cfRule type="containsText" dxfId="1272" priority="66" operator="containsText" text="Dragon">
      <formula>NOT(ISERROR(SEARCH("Dragon",N3)))</formula>
    </cfRule>
    <cfRule type="containsText" dxfId="1271" priority="67" operator="containsText" text="Dark">
      <formula>NOT(ISERROR(SEARCH("Dark",N3)))</formula>
    </cfRule>
    <cfRule type="containsText" dxfId="1270" priority="68" operator="containsText" text="Bug">
      <formula>NOT(ISERROR(SEARCH("Bug",N3)))</formula>
    </cfRule>
    <cfRule type="containsText" dxfId="1269" priority="69" operator="containsText" text="Fire">
      <formula>NOT(ISERROR(SEARCH("Fire",N3)))</formula>
    </cfRule>
    <cfRule type="containsText" dxfId="1268" priority="70" operator="containsText" text="Normal">
      <formula>NOT(ISERROR(SEARCH("Normal",N3)))</formula>
    </cfRule>
    <cfRule type="containsText" dxfId="1267" priority="71" operator="containsText" text="Psychic">
      <formula>NOT(ISERROR(SEARCH("Psychic",N3)))</formula>
    </cfRule>
    <cfRule type="containsText" dxfId="1266" priority="72" operator="containsText" text="Ghost">
      <formula>NOT(ISERROR(SEARCH("Ghost",N3)))</formula>
    </cfRule>
  </conditionalFormatting>
  <conditionalFormatting sqref="P4:P21">
    <cfRule type="colorScale" priority="55">
      <colorScale>
        <cfvo type="min"/>
        <cfvo type="max"/>
        <color theme="0"/>
        <color rgb="FF63BE7B"/>
      </colorScale>
    </cfRule>
  </conditionalFormatting>
  <conditionalFormatting sqref="I8">
    <cfRule type="containsText" dxfId="1265" priority="38" operator="containsText" text="Water">
      <formula>NOT(ISERROR(SEARCH("Water",I8)))</formula>
    </cfRule>
    <cfRule type="containsText" dxfId="1264" priority="39" operator="containsText" text="Steel">
      <formula>NOT(ISERROR(SEARCH("Steel",I8)))</formula>
    </cfRule>
    <cfRule type="containsText" dxfId="1263" priority="40" operator="containsText" text="Rock">
      <formula>NOT(ISERROR(SEARCH("Rock",I8)))</formula>
    </cfRule>
    <cfRule type="containsText" dxfId="1262" priority="41" operator="containsText" text="Poison">
      <formula>NOT(ISERROR(SEARCH("Poison",I8)))</formula>
    </cfRule>
    <cfRule type="containsText" dxfId="1261" priority="42" operator="containsText" text="Ice">
      <formula>NOT(ISERROR(SEARCH("Ice",I8)))</formula>
    </cfRule>
    <cfRule type="containsText" dxfId="1260" priority="43" operator="containsText" text="Ground">
      <formula>NOT(ISERROR(SEARCH("Ground",I8)))</formula>
    </cfRule>
    <cfRule type="containsText" dxfId="1259" priority="44" operator="containsText" text="Grass">
      <formula>NOT(ISERROR(SEARCH("Grass",I8)))</formula>
    </cfRule>
    <cfRule type="containsText" dxfId="1258" priority="45" operator="containsText" text="Flying">
      <formula>NOT(ISERROR(SEARCH("Flying",I8)))</formula>
    </cfRule>
    <cfRule type="containsText" dxfId="1257" priority="46" operator="containsText" text="Fighting">
      <formula>NOT(ISERROR(SEARCH("Fighting",I8)))</formula>
    </cfRule>
    <cfRule type="containsText" dxfId="1256" priority="47" operator="containsText" text="Electric">
      <formula>NOT(ISERROR(SEARCH("Electric",I8)))</formula>
    </cfRule>
    <cfRule type="containsText" dxfId="1255" priority="48" operator="containsText" text="Dragon">
      <formula>NOT(ISERROR(SEARCH("Dragon",I8)))</formula>
    </cfRule>
    <cfRule type="containsText" dxfId="1254" priority="49" operator="containsText" text="Dark">
      <formula>NOT(ISERROR(SEARCH("Dark",I8)))</formula>
    </cfRule>
    <cfRule type="containsText" dxfId="1253" priority="50" operator="containsText" text="Bug">
      <formula>NOT(ISERROR(SEARCH("Bug",I8)))</formula>
    </cfRule>
    <cfRule type="containsText" dxfId="1252" priority="51" operator="containsText" text="Fire">
      <formula>NOT(ISERROR(SEARCH("Fire",I8)))</formula>
    </cfRule>
    <cfRule type="containsText" dxfId="1251" priority="52" operator="containsText" text="Normal">
      <formula>NOT(ISERROR(SEARCH("Normal",I8)))</formula>
    </cfRule>
    <cfRule type="containsText" dxfId="1250" priority="53" operator="containsText" text="Psychic">
      <formula>NOT(ISERROR(SEARCH("Psychic",I8)))</formula>
    </cfRule>
    <cfRule type="containsText" dxfId="1249" priority="54" operator="containsText" text="Ghost">
      <formula>NOT(ISERROR(SEARCH("Ghost",I8)))</formula>
    </cfRule>
  </conditionalFormatting>
  <conditionalFormatting sqref="I8">
    <cfRule type="containsText" dxfId="1248" priority="37" operator="containsText" text="Fairy">
      <formula>NOT(ISERROR(SEARCH("Fairy",I8)))</formula>
    </cfRule>
  </conditionalFormatting>
  <conditionalFormatting sqref="M8">
    <cfRule type="containsText" dxfId="1247" priority="20" operator="containsText" text="Water">
      <formula>NOT(ISERROR(SEARCH("Water",M8)))</formula>
    </cfRule>
    <cfRule type="containsText" dxfId="1246" priority="21" operator="containsText" text="Steel">
      <formula>NOT(ISERROR(SEARCH("Steel",M8)))</formula>
    </cfRule>
    <cfRule type="containsText" dxfId="1245" priority="22" operator="containsText" text="Rock">
      <formula>NOT(ISERROR(SEARCH("Rock",M8)))</formula>
    </cfRule>
    <cfRule type="containsText" dxfId="1244" priority="23" operator="containsText" text="Poison">
      <formula>NOT(ISERROR(SEARCH("Poison",M8)))</formula>
    </cfRule>
    <cfRule type="containsText" dxfId="1243" priority="24" operator="containsText" text="Ice">
      <formula>NOT(ISERROR(SEARCH("Ice",M8)))</formula>
    </cfRule>
    <cfRule type="containsText" dxfId="1242" priority="25" operator="containsText" text="Ground">
      <formula>NOT(ISERROR(SEARCH("Ground",M8)))</formula>
    </cfRule>
    <cfRule type="containsText" dxfId="1241" priority="26" operator="containsText" text="Grass">
      <formula>NOT(ISERROR(SEARCH("Grass",M8)))</formula>
    </cfRule>
    <cfRule type="containsText" dxfId="1240" priority="27" operator="containsText" text="Flying">
      <formula>NOT(ISERROR(SEARCH("Flying",M8)))</formula>
    </cfRule>
    <cfRule type="containsText" dxfId="1239" priority="28" operator="containsText" text="Fighting">
      <formula>NOT(ISERROR(SEARCH("Fighting",M8)))</formula>
    </cfRule>
    <cfRule type="containsText" dxfId="1238" priority="29" operator="containsText" text="Electric">
      <formula>NOT(ISERROR(SEARCH("Electric",M8)))</formula>
    </cfRule>
    <cfRule type="containsText" dxfId="1237" priority="30" operator="containsText" text="Dragon">
      <formula>NOT(ISERROR(SEARCH("Dragon",M8)))</formula>
    </cfRule>
    <cfRule type="containsText" dxfId="1236" priority="31" operator="containsText" text="Dark">
      <formula>NOT(ISERROR(SEARCH("Dark",M8)))</formula>
    </cfRule>
    <cfRule type="containsText" dxfId="1235" priority="32" operator="containsText" text="Bug">
      <formula>NOT(ISERROR(SEARCH("Bug",M8)))</formula>
    </cfRule>
    <cfRule type="containsText" dxfId="1234" priority="33" operator="containsText" text="Fire">
      <formula>NOT(ISERROR(SEARCH("Fire",M8)))</formula>
    </cfRule>
    <cfRule type="containsText" dxfId="1233" priority="34" operator="containsText" text="Normal">
      <formula>NOT(ISERROR(SEARCH("Normal",M8)))</formula>
    </cfRule>
    <cfRule type="containsText" dxfId="1232" priority="35" operator="containsText" text="Psychic">
      <formula>NOT(ISERROR(SEARCH("Psychic",M8)))</formula>
    </cfRule>
    <cfRule type="containsText" dxfId="1231" priority="36" operator="containsText" text="Ghost">
      <formula>NOT(ISERROR(SEARCH("Ghost",M8)))</formula>
    </cfRule>
  </conditionalFormatting>
  <conditionalFormatting sqref="M8">
    <cfRule type="containsText" dxfId="1230" priority="19" operator="containsText" text="Fairy">
      <formula>NOT(ISERROR(SEARCH("Fairy",M8)))</formula>
    </cfRule>
  </conditionalFormatting>
  <conditionalFormatting sqref="U8">
    <cfRule type="containsText" dxfId="1229" priority="2" operator="containsText" text="Water">
      <formula>NOT(ISERROR(SEARCH("Water",U8)))</formula>
    </cfRule>
    <cfRule type="containsText" dxfId="1228" priority="3" operator="containsText" text="Steel">
      <formula>NOT(ISERROR(SEARCH("Steel",U8)))</formula>
    </cfRule>
    <cfRule type="containsText" dxfId="1227" priority="4" operator="containsText" text="Rock">
      <formula>NOT(ISERROR(SEARCH("Rock",U8)))</formula>
    </cfRule>
    <cfRule type="containsText" dxfId="1226" priority="5" operator="containsText" text="Poison">
      <formula>NOT(ISERROR(SEARCH("Poison",U8)))</formula>
    </cfRule>
    <cfRule type="containsText" dxfId="1225" priority="6" operator="containsText" text="Ice">
      <formula>NOT(ISERROR(SEARCH("Ice",U8)))</formula>
    </cfRule>
    <cfRule type="containsText" dxfId="1224" priority="7" operator="containsText" text="Ground">
      <formula>NOT(ISERROR(SEARCH("Ground",U8)))</formula>
    </cfRule>
    <cfRule type="containsText" dxfId="1223" priority="8" operator="containsText" text="Grass">
      <formula>NOT(ISERROR(SEARCH("Grass",U8)))</formula>
    </cfRule>
    <cfRule type="containsText" dxfId="1222" priority="9" operator="containsText" text="Flying">
      <formula>NOT(ISERROR(SEARCH("Flying",U8)))</formula>
    </cfRule>
    <cfRule type="containsText" dxfId="1221" priority="10" operator="containsText" text="Fighting">
      <formula>NOT(ISERROR(SEARCH("Fighting",U8)))</formula>
    </cfRule>
    <cfRule type="containsText" dxfId="1220" priority="11" operator="containsText" text="Electric">
      <formula>NOT(ISERROR(SEARCH("Electric",U8)))</formula>
    </cfRule>
    <cfRule type="containsText" dxfId="1219" priority="12" operator="containsText" text="Dragon">
      <formula>NOT(ISERROR(SEARCH("Dragon",U8)))</formula>
    </cfRule>
    <cfRule type="containsText" dxfId="1218" priority="13" operator="containsText" text="Dark">
      <formula>NOT(ISERROR(SEARCH("Dark",U8)))</formula>
    </cfRule>
    <cfRule type="containsText" dxfId="1217" priority="14" operator="containsText" text="Bug">
      <formula>NOT(ISERROR(SEARCH("Bug",U8)))</formula>
    </cfRule>
    <cfRule type="containsText" dxfId="1216" priority="15" operator="containsText" text="Fire">
      <formula>NOT(ISERROR(SEARCH("Fire",U8)))</formula>
    </cfRule>
    <cfRule type="containsText" dxfId="1215" priority="16" operator="containsText" text="Normal">
      <formula>NOT(ISERROR(SEARCH("Normal",U8)))</formula>
    </cfRule>
    <cfRule type="containsText" dxfId="1214" priority="17" operator="containsText" text="Psychic">
      <formula>NOT(ISERROR(SEARCH("Psychic",U8)))</formula>
    </cfRule>
    <cfRule type="containsText" dxfId="1213" priority="18" operator="containsText" text="Ghost">
      <formula>NOT(ISERROR(SEARCH("Ghost",U8)))</formula>
    </cfRule>
  </conditionalFormatting>
  <conditionalFormatting sqref="U8">
    <cfRule type="containsText" dxfId="1212" priority="1" operator="containsText" text="Fairy">
      <formula>NOT(ISERROR(SEARCH("Fairy",U8)))</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okemonSheet"/>
  <dimension ref="A1:GM775"/>
  <sheetViews>
    <sheetView workbookViewId="0">
      <pane ySplit="1" topLeftCell="A2" activePane="bottomLeft" state="frozen"/>
      <selection pane="bottomLeft" activeCell="A2" sqref="A2"/>
    </sheetView>
  </sheetViews>
  <sheetFormatPr defaultRowHeight="15"/>
  <cols>
    <col min="1" max="1" width="13.42578125" customWidth="1"/>
    <col min="2" max="2" width="76" bestFit="1" customWidth="1"/>
    <col min="3" max="3" width="20.42578125" bestFit="1" customWidth="1"/>
    <col min="4" max="5" width="14" customWidth="1"/>
    <col min="6" max="6" width="8" customWidth="1"/>
    <col min="7" max="7" width="11.140625" bestFit="1" customWidth="1"/>
    <col min="8" max="8" width="8.7109375" customWidth="1"/>
    <col min="9" max="9" width="10.140625" bestFit="1" customWidth="1"/>
    <col min="10" max="10" width="10.7109375" bestFit="1" customWidth="1"/>
    <col min="11" max="11" width="11.140625" bestFit="1" customWidth="1"/>
    <col min="12" max="12" width="10" bestFit="1" customWidth="1"/>
    <col min="13" max="14" width="13.42578125" customWidth="1"/>
    <col min="15" max="22" width="11" customWidth="1"/>
    <col min="23" max="87" width="12" customWidth="1"/>
  </cols>
  <sheetData>
    <row r="1" spans="1:132">
      <c r="A1" s="40" t="s">
        <v>845</v>
      </c>
      <c r="B1" s="40" t="s">
        <v>846</v>
      </c>
      <c r="C1" s="2" t="s">
        <v>847</v>
      </c>
      <c r="D1" s="2" t="s">
        <v>848</v>
      </c>
      <c r="E1" s="2" t="s">
        <v>849</v>
      </c>
      <c r="F1" s="2" t="s">
        <v>150</v>
      </c>
      <c r="G1" s="2" t="s">
        <v>850</v>
      </c>
      <c r="H1" s="2" t="s">
        <v>851</v>
      </c>
      <c r="I1" s="2" t="s">
        <v>852</v>
      </c>
      <c r="J1" s="2" t="s">
        <v>853</v>
      </c>
      <c r="K1" s="2" t="s">
        <v>854</v>
      </c>
      <c r="L1" s="2" t="s">
        <v>855</v>
      </c>
      <c r="M1" s="2" t="s">
        <v>856</v>
      </c>
      <c r="N1" s="2" t="s">
        <v>807</v>
      </c>
      <c r="O1" t="s">
        <v>857</v>
      </c>
      <c r="P1" t="s">
        <v>858</v>
      </c>
      <c r="Q1" t="s">
        <v>859</v>
      </c>
      <c r="R1" t="s">
        <v>860</v>
      </c>
      <c r="S1" t="s">
        <v>808</v>
      </c>
      <c r="T1" t="s">
        <v>809</v>
      </c>
      <c r="U1" t="s">
        <v>810</v>
      </c>
      <c r="V1" t="s">
        <v>811</v>
      </c>
      <c r="W1" t="s">
        <v>812</v>
      </c>
      <c r="X1" t="s">
        <v>813</v>
      </c>
      <c r="Y1" t="s">
        <v>814</v>
      </c>
      <c r="Z1" t="s">
        <v>815</v>
      </c>
      <c r="AA1" t="s">
        <v>816</v>
      </c>
      <c r="AB1" t="s">
        <v>817</v>
      </c>
      <c r="AC1" t="s">
        <v>818</v>
      </c>
      <c r="AD1" t="s">
        <v>819</v>
      </c>
      <c r="AE1" t="s">
        <v>820</v>
      </c>
      <c r="AF1" t="s">
        <v>821</v>
      </c>
      <c r="AG1" t="s">
        <v>822</v>
      </c>
      <c r="AH1" t="s">
        <v>823</v>
      </c>
      <c r="AI1" t="s">
        <v>824</v>
      </c>
      <c r="AJ1" t="s">
        <v>825</v>
      </c>
      <c r="AK1" t="s">
        <v>826</v>
      </c>
      <c r="AL1" t="s">
        <v>827</v>
      </c>
      <c r="AM1" t="s">
        <v>828</v>
      </c>
      <c r="AN1" t="s">
        <v>829</v>
      </c>
      <c r="AO1" t="s">
        <v>830</v>
      </c>
      <c r="AP1" t="s">
        <v>831</v>
      </c>
      <c r="AQ1" t="s">
        <v>832</v>
      </c>
      <c r="AR1" t="s">
        <v>833</v>
      </c>
      <c r="AS1" t="s">
        <v>834</v>
      </c>
      <c r="AT1" t="s">
        <v>835</v>
      </c>
      <c r="AU1" t="s">
        <v>836</v>
      </c>
      <c r="AV1" t="s">
        <v>837</v>
      </c>
      <c r="AW1" t="s">
        <v>838</v>
      </c>
      <c r="AX1" t="s">
        <v>839</v>
      </c>
      <c r="AY1" t="s">
        <v>840</v>
      </c>
      <c r="AZ1" t="s">
        <v>841</v>
      </c>
      <c r="BA1" t="s">
        <v>842</v>
      </c>
      <c r="BB1" t="s">
        <v>843</v>
      </c>
      <c r="BC1" t="s">
        <v>844</v>
      </c>
      <c r="BD1" t="s">
        <v>861</v>
      </c>
      <c r="BE1" t="s">
        <v>862</v>
      </c>
      <c r="BF1" t="s">
        <v>863</v>
      </c>
      <c r="BG1" t="s">
        <v>864</v>
      </c>
      <c r="BH1" t="s">
        <v>865</v>
      </c>
      <c r="BI1" t="s">
        <v>866</v>
      </c>
      <c r="BJ1" t="s">
        <v>867</v>
      </c>
      <c r="BK1" t="s">
        <v>868</v>
      </c>
      <c r="BL1" t="s">
        <v>869</v>
      </c>
      <c r="BM1" t="s">
        <v>870</v>
      </c>
      <c r="BN1" t="s">
        <v>871</v>
      </c>
      <c r="BO1" t="s">
        <v>872</v>
      </c>
      <c r="BP1" t="s">
        <v>873</v>
      </c>
      <c r="BQ1" t="s">
        <v>874</v>
      </c>
      <c r="BR1" t="s">
        <v>875</v>
      </c>
      <c r="BS1" t="s">
        <v>876</v>
      </c>
      <c r="BT1" t="s">
        <v>877</v>
      </c>
      <c r="BU1" t="s">
        <v>878</v>
      </c>
      <c r="BV1" t="s">
        <v>879</v>
      </c>
      <c r="BW1" t="s">
        <v>880</v>
      </c>
      <c r="BX1" t="s">
        <v>881</v>
      </c>
      <c r="BY1" t="s">
        <v>882</v>
      </c>
      <c r="BZ1" t="s">
        <v>883</v>
      </c>
      <c r="CA1" t="s">
        <v>884</v>
      </c>
      <c r="CB1" t="s">
        <v>885</v>
      </c>
      <c r="CC1" t="s">
        <v>886</v>
      </c>
      <c r="CD1" t="s">
        <v>887</v>
      </c>
      <c r="CE1" t="s">
        <v>889</v>
      </c>
      <c r="CF1" t="s">
        <v>890</v>
      </c>
      <c r="CG1" t="s">
        <v>891</v>
      </c>
      <c r="CH1" t="s">
        <v>1050</v>
      </c>
      <c r="CI1" t="s">
        <v>1051</v>
      </c>
      <c r="CJ1" t="s">
        <v>2884</v>
      </c>
      <c r="CK1" t="s">
        <v>2885</v>
      </c>
      <c r="CL1" t="s">
        <v>2886</v>
      </c>
      <c r="CM1" t="s">
        <v>2887</v>
      </c>
      <c r="CN1" t="s">
        <v>2888</v>
      </c>
      <c r="CO1" t="s">
        <v>2889</v>
      </c>
      <c r="CP1" t="s">
        <v>2890</v>
      </c>
      <c r="CQ1" t="s">
        <v>2891</v>
      </c>
      <c r="CR1" t="s">
        <v>2892</v>
      </c>
      <c r="CS1" t="s">
        <v>2893</v>
      </c>
      <c r="CT1" t="s">
        <v>2894</v>
      </c>
      <c r="CU1" t="s">
        <v>2895</v>
      </c>
      <c r="CV1" t="s">
        <v>2896</v>
      </c>
      <c r="CW1" t="s">
        <v>2897</v>
      </c>
      <c r="CX1" t="s">
        <v>2898</v>
      </c>
      <c r="CY1" t="s">
        <v>2899</v>
      </c>
      <c r="CZ1" t="s">
        <v>2900</v>
      </c>
      <c r="DA1" t="s">
        <v>2901</v>
      </c>
      <c r="DB1" t="s">
        <v>2902</v>
      </c>
      <c r="DC1" t="s">
        <v>2903</v>
      </c>
      <c r="DD1" t="s">
        <v>2904</v>
      </c>
      <c r="DE1" t="s">
        <v>2905</v>
      </c>
      <c r="DF1" t="s">
        <v>2906</v>
      </c>
      <c r="DG1" t="s">
        <v>2907</v>
      </c>
      <c r="DH1" t="s">
        <v>2908</v>
      </c>
      <c r="DI1" t="s">
        <v>2909</v>
      </c>
      <c r="DJ1" t="s">
        <v>2910</v>
      </c>
      <c r="DK1" t="s">
        <v>2911</v>
      </c>
      <c r="DL1" t="s">
        <v>2912</v>
      </c>
      <c r="DM1" t="s">
        <v>2913</v>
      </c>
      <c r="DN1" t="s">
        <v>2914</v>
      </c>
      <c r="DO1" t="s">
        <v>2915</v>
      </c>
      <c r="DP1" t="s">
        <v>2916</v>
      </c>
      <c r="DQ1" t="s">
        <v>2917</v>
      </c>
      <c r="DR1" t="s">
        <v>2918</v>
      </c>
      <c r="DS1" t="s">
        <v>2919</v>
      </c>
      <c r="DT1" t="s">
        <v>2920</v>
      </c>
      <c r="DU1" t="s">
        <v>2921</v>
      </c>
      <c r="DV1" t="s">
        <v>2922</v>
      </c>
      <c r="DW1" t="s">
        <v>2923</v>
      </c>
      <c r="DX1" t="s">
        <v>2924</v>
      </c>
      <c r="DY1" t="s">
        <v>2925</v>
      </c>
      <c r="DZ1" t="s">
        <v>2926</v>
      </c>
      <c r="EA1" t="s">
        <v>2927</v>
      </c>
      <c r="EB1" t="s">
        <v>2928</v>
      </c>
    </row>
    <row r="2" spans="1:132">
      <c r="A2" s="40">
        <v>1</v>
      </c>
      <c r="B2" s="40" t="s">
        <v>218</v>
      </c>
      <c r="C2" s="2" t="s">
        <v>130</v>
      </c>
      <c r="D2" s="2" t="s">
        <v>21</v>
      </c>
      <c r="E2" s="2" t="s">
        <v>11</v>
      </c>
      <c r="F2" s="2">
        <v>45</v>
      </c>
      <c r="G2" s="2">
        <v>49</v>
      </c>
      <c r="H2" s="2">
        <v>49</v>
      </c>
      <c r="I2" s="2">
        <v>65</v>
      </c>
      <c r="J2" s="2">
        <v>65</v>
      </c>
      <c r="K2" s="2">
        <v>45</v>
      </c>
      <c r="L2" s="2">
        <v>318</v>
      </c>
      <c r="M2" s="2" t="s">
        <v>1089</v>
      </c>
      <c r="N2" s="2" t="s">
        <v>1061</v>
      </c>
      <c r="O2" t="s">
        <v>219</v>
      </c>
      <c r="P2" t="s">
        <v>220</v>
      </c>
      <c r="Q2" t="s">
        <v>142</v>
      </c>
      <c r="R2" t="s">
        <v>149</v>
      </c>
      <c r="S2" t="s">
        <v>221</v>
      </c>
      <c r="T2" t="s">
        <v>222</v>
      </c>
      <c r="U2" t="s">
        <v>223</v>
      </c>
      <c r="V2" t="s">
        <v>224</v>
      </c>
      <c r="W2" t="s">
        <v>1076</v>
      </c>
      <c r="X2" t="s">
        <v>215</v>
      </c>
      <c r="Y2" t="s">
        <v>225</v>
      </c>
      <c r="Z2" t="s">
        <v>1017</v>
      </c>
      <c r="AA2" t="s">
        <v>750</v>
      </c>
      <c r="AB2" t="s">
        <v>1004</v>
      </c>
      <c r="AC2" t="s">
        <v>1062</v>
      </c>
      <c r="AD2" t="s">
        <v>226</v>
      </c>
      <c r="AE2" t="s">
        <v>227</v>
      </c>
      <c r="AF2" t="s">
        <v>1063</v>
      </c>
      <c r="AG2" t="s">
        <v>148</v>
      </c>
      <c r="AH2" t="s">
        <v>1077</v>
      </c>
      <c r="AI2" t="s">
        <v>172</v>
      </c>
      <c r="AJ2" t="s">
        <v>752</v>
      </c>
      <c r="AK2" t="s">
        <v>228</v>
      </c>
      <c r="AL2" t="s">
        <v>1078</v>
      </c>
      <c r="AM2" t="s">
        <v>759</v>
      </c>
      <c r="AN2" t="s">
        <v>1079</v>
      </c>
      <c r="AO2" t="s">
        <v>229</v>
      </c>
      <c r="AP2" t="s">
        <v>1080</v>
      </c>
      <c r="AQ2" t="s">
        <v>230</v>
      </c>
      <c r="AR2" t="s">
        <v>1081</v>
      </c>
      <c r="AS2" t="s">
        <v>917</v>
      </c>
      <c r="AT2" t="s">
        <v>231</v>
      </c>
      <c r="AU2" t="s">
        <v>1082</v>
      </c>
      <c r="AV2" t="s">
        <v>1037</v>
      </c>
      <c r="AW2" t="s">
        <v>1083</v>
      </c>
      <c r="AX2" t="s">
        <v>970</v>
      </c>
      <c r="AY2" t="s">
        <v>232</v>
      </c>
      <c r="AZ2" t="s">
        <v>145</v>
      </c>
      <c r="BA2" t="s">
        <v>977</v>
      </c>
      <c r="BB2" t="s">
        <v>756</v>
      </c>
      <c r="BC2" t="s">
        <v>757</v>
      </c>
      <c r="BD2" t="s">
        <v>233</v>
      </c>
      <c r="BE2" t="s">
        <v>760</v>
      </c>
      <c r="BF2" t="s">
        <v>1087</v>
      </c>
      <c r="BG2" t="s">
        <v>2339</v>
      </c>
      <c r="BH2" t="s">
        <v>234</v>
      </c>
      <c r="BI2" t="s">
        <v>236</v>
      </c>
      <c r="BJ2" t="s">
        <v>238</v>
      </c>
      <c r="BK2" t="s">
        <v>237</v>
      </c>
      <c r="BL2" t="s">
        <v>235</v>
      </c>
      <c r="BM2" t="s">
        <v>751</v>
      </c>
      <c r="BN2" t="s">
        <v>171</v>
      </c>
      <c r="BO2" t="s">
        <v>754</v>
      </c>
      <c r="BP2" t="s">
        <v>781</v>
      </c>
      <c r="BQ2" t="s">
        <v>1087</v>
      </c>
      <c r="BR2" t="s">
        <v>1085</v>
      </c>
      <c r="BS2" t="s">
        <v>1084</v>
      </c>
      <c r="BT2" t="s">
        <v>930</v>
      </c>
      <c r="BU2" t="s">
        <v>1086</v>
      </c>
      <c r="BV2" t="s">
        <v>1088</v>
      </c>
      <c r="BW2" t="s">
        <v>2367</v>
      </c>
      <c r="BX2" t="s">
        <v>239</v>
      </c>
      <c r="BY2" t="s">
        <v>241</v>
      </c>
      <c r="BZ2" t="s">
        <v>805</v>
      </c>
      <c r="CA2" t="s">
        <v>806</v>
      </c>
    </row>
    <row r="3" spans="1:132">
      <c r="A3" s="40">
        <v>2</v>
      </c>
      <c r="B3" s="40" t="s">
        <v>242</v>
      </c>
      <c r="C3" s="2" t="s">
        <v>243</v>
      </c>
      <c r="D3" s="2" t="s">
        <v>21</v>
      </c>
      <c r="E3" s="2" t="s">
        <v>11</v>
      </c>
      <c r="F3" s="2">
        <v>60</v>
      </c>
      <c r="G3" s="2">
        <v>62</v>
      </c>
      <c r="H3" s="2">
        <v>63</v>
      </c>
      <c r="I3" s="2">
        <v>80</v>
      </c>
      <c r="J3" s="2">
        <v>80</v>
      </c>
      <c r="K3" s="2">
        <v>60</v>
      </c>
      <c r="L3" s="2">
        <v>405</v>
      </c>
      <c r="M3" s="2" t="s">
        <v>1177</v>
      </c>
      <c r="N3" s="2" t="s">
        <v>1061</v>
      </c>
      <c r="O3" t="s">
        <v>219</v>
      </c>
      <c r="P3" t="s">
        <v>220</v>
      </c>
      <c r="Q3" t="s">
        <v>142</v>
      </c>
      <c r="R3" t="s">
        <v>220</v>
      </c>
      <c r="S3" t="s">
        <v>142</v>
      </c>
      <c r="T3" t="s">
        <v>149</v>
      </c>
      <c r="U3" t="s">
        <v>221</v>
      </c>
      <c r="V3" t="s">
        <v>222</v>
      </c>
      <c r="W3" t="s">
        <v>223</v>
      </c>
      <c r="X3" t="s">
        <v>224</v>
      </c>
      <c r="Y3" t="s">
        <v>1076</v>
      </c>
      <c r="Z3" t="s">
        <v>215</v>
      </c>
      <c r="AA3" t="s">
        <v>225</v>
      </c>
      <c r="AB3" t="s">
        <v>1017</v>
      </c>
      <c r="AC3" t="s">
        <v>750</v>
      </c>
      <c r="AD3" t="s">
        <v>229</v>
      </c>
      <c r="AE3" t="s">
        <v>1062</v>
      </c>
      <c r="AF3" t="s">
        <v>226</v>
      </c>
      <c r="AG3" t="s">
        <v>227</v>
      </c>
      <c r="AH3" t="s">
        <v>1063</v>
      </c>
      <c r="AI3" t="s">
        <v>148</v>
      </c>
      <c r="AJ3" t="s">
        <v>1077</v>
      </c>
      <c r="AK3" t="s">
        <v>172</v>
      </c>
      <c r="AL3" t="s">
        <v>752</v>
      </c>
      <c r="AM3" t="s">
        <v>228</v>
      </c>
      <c r="AN3" t="s">
        <v>1078</v>
      </c>
      <c r="AO3" t="s">
        <v>759</v>
      </c>
      <c r="AP3" t="s">
        <v>1079</v>
      </c>
      <c r="AQ3" t="s">
        <v>229</v>
      </c>
      <c r="AR3" t="s">
        <v>1080</v>
      </c>
      <c r="AS3" t="s">
        <v>230</v>
      </c>
      <c r="AT3" t="s">
        <v>1081</v>
      </c>
      <c r="AU3" t="s">
        <v>917</v>
      </c>
      <c r="AV3" t="s">
        <v>231</v>
      </c>
      <c r="AW3" t="s">
        <v>1082</v>
      </c>
      <c r="AX3" t="s">
        <v>1037</v>
      </c>
      <c r="AY3" t="s">
        <v>1083</v>
      </c>
      <c r="AZ3" t="s">
        <v>970</v>
      </c>
      <c r="BA3" t="s">
        <v>232</v>
      </c>
      <c r="BB3" t="s">
        <v>145</v>
      </c>
      <c r="BC3" t="s">
        <v>977</v>
      </c>
      <c r="BD3" t="s">
        <v>756</v>
      </c>
      <c r="BE3" t="s">
        <v>757</v>
      </c>
      <c r="BF3" t="s">
        <v>233</v>
      </c>
      <c r="BG3" t="s">
        <v>760</v>
      </c>
      <c r="BH3" t="s">
        <v>1087</v>
      </c>
      <c r="BI3" t="s">
        <v>2339</v>
      </c>
      <c r="BJ3" t="s">
        <v>234</v>
      </c>
      <c r="BK3" t="s">
        <v>236</v>
      </c>
      <c r="BL3" t="s">
        <v>238</v>
      </c>
      <c r="BM3" t="s">
        <v>237</v>
      </c>
      <c r="BN3" t="s">
        <v>235</v>
      </c>
      <c r="BO3" t="s">
        <v>751</v>
      </c>
      <c r="BP3" t="s">
        <v>171</v>
      </c>
      <c r="BQ3" t="s">
        <v>754</v>
      </c>
      <c r="BR3" t="s">
        <v>781</v>
      </c>
      <c r="BS3" t="s">
        <v>1087</v>
      </c>
      <c r="BT3" t="s">
        <v>1085</v>
      </c>
      <c r="BU3" t="s">
        <v>1084</v>
      </c>
      <c r="BV3" t="s">
        <v>930</v>
      </c>
      <c r="BW3" t="s">
        <v>1086</v>
      </c>
      <c r="BX3" t="s">
        <v>1088</v>
      </c>
      <c r="BY3" t="s">
        <v>2367</v>
      </c>
      <c r="BZ3" t="s">
        <v>239</v>
      </c>
      <c r="CA3" t="s">
        <v>241</v>
      </c>
      <c r="CB3" t="s">
        <v>1004</v>
      </c>
      <c r="CC3" t="s">
        <v>805</v>
      </c>
      <c r="CD3" t="s">
        <v>806</v>
      </c>
    </row>
    <row r="4" spans="1:132">
      <c r="A4" s="40">
        <v>3</v>
      </c>
      <c r="B4" s="40" t="s">
        <v>244</v>
      </c>
      <c r="C4" s="2" t="s">
        <v>245</v>
      </c>
      <c r="D4" s="2" t="s">
        <v>21</v>
      </c>
      <c r="E4" s="2" t="s">
        <v>11</v>
      </c>
      <c r="F4" s="2">
        <v>80</v>
      </c>
      <c r="G4" s="2">
        <v>82</v>
      </c>
      <c r="H4" s="2">
        <v>83</v>
      </c>
      <c r="I4" s="2">
        <v>100</v>
      </c>
      <c r="J4" s="2">
        <v>100</v>
      </c>
      <c r="K4" s="2">
        <v>80</v>
      </c>
      <c r="L4" s="2">
        <v>525</v>
      </c>
      <c r="M4" s="2" t="s">
        <v>1168</v>
      </c>
      <c r="N4" s="2" t="s">
        <v>1061</v>
      </c>
      <c r="O4" t="s">
        <v>149</v>
      </c>
      <c r="P4" t="s">
        <v>219</v>
      </c>
      <c r="Q4" t="s">
        <v>220</v>
      </c>
      <c r="R4" t="s">
        <v>142</v>
      </c>
      <c r="S4" t="s">
        <v>220</v>
      </c>
      <c r="T4" t="s">
        <v>142</v>
      </c>
      <c r="U4" t="s">
        <v>149</v>
      </c>
      <c r="V4" t="s">
        <v>221</v>
      </c>
      <c r="W4" t="s">
        <v>222</v>
      </c>
      <c r="X4" t="s">
        <v>223</v>
      </c>
      <c r="Y4" t="s">
        <v>224</v>
      </c>
      <c r="Z4" t="s">
        <v>1076</v>
      </c>
      <c r="AA4" t="s">
        <v>215</v>
      </c>
      <c r="AB4" t="s">
        <v>225</v>
      </c>
      <c r="AC4" t="s">
        <v>236</v>
      </c>
      <c r="AD4" t="s">
        <v>1017</v>
      </c>
      <c r="AE4" t="s">
        <v>750</v>
      </c>
      <c r="AF4" t="s">
        <v>2391</v>
      </c>
      <c r="AG4" t="s">
        <v>229</v>
      </c>
      <c r="AH4" t="s">
        <v>1062</v>
      </c>
      <c r="AI4" t="s">
        <v>226</v>
      </c>
      <c r="AJ4" t="s">
        <v>227</v>
      </c>
      <c r="AK4" t="s">
        <v>1063</v>
      </c>
      <c r="AL4" t="s">
        <v>246</v>
      </c>
      <c r="AM4" t="s">
        <v>148</v>
      </c>
      <c r="AN4" t="s">
        <v>1077</v>
      </c>
      <c r="AO4" t="s">
        <v>172</v>
      </c>
      <c r="AP4" t="s">
        <v>752</v>
      </c>
      <c r="AQ4" t="s">
        <v>247</v>
      </c>
      <c r="AR4" t="s">
        <v>228</v>
      </c>
      <c r="AS4" t="s">
        <v>1078</v>
      </c>
      <c r="AT4" t="s">
        <v>759</v>
      </c>
      <c r="AU4" t="s">
        <v>1079</v>
      </c>
      <c r="AV4" t="s">
        <v>229</v>
      </c>
      <c r="AW4" t="s">
        <v>136</v>
      </c>
      <c r="AX4" t="s">
        <v>1080</v>
      </c>
      <c r="AY4" t="s">
        <v>230</v>
      </c>
      <c r="AZ4" t="s">
        <v>1081</v>
      </c>
      <c r="BA4" t="s">
        <v>917</v>
      </c>
      <c r="BB4" t="s">
        <v>231</v>
      </c>
      <c r="BC4" t="s">
        <v>1082</v>
      </c>
      <c r="BD4" t="s">
        <v>1037</v>
      </c>
      <c r="BE4" t="s">
        <v>1083</v>
      </c>
      <c r="BF4" t="s">
        <v>970</v>
      </c>
      <c r="BG4" t="s">
        <v>976</v>
      </c>
      <c r="BH4" t="s">
        <v>232</v>
      </c>
      <c r="BI4" t="s">
        <v>145</v>
      </c>
      <c r="BJ4" t="s">
        <v>1021</v>
      </c>
      <c r="BK4" t="s">
        <v>977</v>
      </c>
      <c r="BL4" t="s">
        <v>756</v>
      </c>
      <c r="BM4" t="s">
        <v>757</v>
      </c>
      <c r="BN4" t="s">
        <v>233</v>
      </c>
      <c r="BO4" t="s">
        <v>760</v>
      </c>
      <c r="BP4" t="s">
        <v>1087</v>
      </c>
      <c r="BQ4" t="s">
        <v>2339</v>
      </c>
      <c r="BR4" t="s">
        <v>234</v>
      </c>
      <c r="BS4" t="s">
        <v>236</v>
      </c>
      <c r="BT4" t="s">
        <v>238</v>
      </c>
      <c r="BU4" t="s">
        <v>237</v>
      </c>
      <c r="BV4" t="s">
        <v>235</v>
      </c>
      <c r="BW4" t="s">
        <v>751</v>
      </c>
      <c r="BX4" t="s">
        <v>171</v>
      </c>
      <c r="BY4" t="s">
        <v>754</v>
      </c>
      <c r="BZ4" t="s">
        <v>781</v>
      </c>
      <c r="CA4" t="s">
        <v>1087</v>
      </c>
      <c r="CB4" t="s">
        <v>1085</v>
      </c>
      <c r="CC4" t="s">
        <v>1084</v>
      </c>
      <c r="CD4" t="s">
        <v>930</v>
      </c>
      <c r="CE4" t="s">
        <v>1086</v>
      </c>
      <c r="CF4" t="s">
        <v>1088</v>
      </c>
      <c r="CG4" t="s">
        <v>2367</v>
      </c>
      <c r="CH4" t="s">
        <v>239</v>
      </c>
      <c r="CI4" t="s">
        <v>241</v>
      </c>
      <c r="CJ4" t="s">
        <v>1004</v>
      </c>
      <c r="CK4" t="s">
        <v>805</v>
      </c>
      <c r="CL4" t="s">
        <v>806</v>
      </c>
    </row>
    <row r="5" spans="1:132">
      <c r="A5" s="40">
        <v>3.1</v>
      </c>
      <c r="B5" s="40" t="s">
        <v>2281</v>
      </c>
      <c r="C5" s="2" t="s">
        <v>2282</v>
      </c>
      <c r="D5" s="2" t="s">
        <v>21</v>
      </c>
      <c r="E5" s="2" t="s">
        <v>11</v>
      </c>
      <c r="F5" s="2">
        <v>80</v>
      </c>
      <c r="G5" s="2">
        <v>100</v>
      </c>
      <c r="H5" s="2">
        <v>123</v>
      </c>
      <c r="I5" s="2">
        <v>122</v>
      </c>
      <c r="J5" s="2">
        <v>120</v>
      </c>
      <c r="K5" s="2">
        <v>80</v>
      </c>
      <c r="L5" s="2">
        <v>625</v>
      </c>
      <c r="M5" s="2" t="s">
        <v>1064</v>
      </c>
      <c r="N5" s="2" t="s">
        <v>1061</v>
      </c>
      <c r="O5" t="s">
        <v>1062</v>
      </c>
      <c r="P5" t="s">
        <v>1063</v>
      </c>
      <c r="Q5" t="s">
        <v>757</v>
      </c>
      <c r="R5" t="s">
        <v>1087</v>
      </c>
      <c r="S5" t="s">
        <v>2339</v>
      </c>
      <c r="T5" t="s">
        <v>234</v>
      </c>
      <c r="U5" t="s">
        <v>239</v>
      </c>
      <c r="V5" t="s">
        <v>241</v>
      </c>
      <c r="W5" t="s">
        <v>805</v>
      </c>
      <c r="X5" t="s">
        <v>806</v>
      </c>
    </row>
    <row r="6" spans="1:132">
      <c r="A6" s="40">
        <v>4</v>
      </c>
      <c r="B6" s="40" t="s">
        <v>248</v>
      </c>
      <c r="C6" s="2" t="s">
        <v>131</v>
      </c>
      <c r="D6" s="2" t="s">
        <v>19</v>
      </c>
      <c r="E6" s="2"/>
      <c r="F6" s="2">
        <v>39</v>
      </c>
      <c r="G6" s="2">
        <v>52</v>
      </c>
      <c r="H6" s="2">
        <v>43</v>
      </c>
      <c r="I6" s="2">
        <v>60</v>
      </c>
      <c r="J6" s="2">
        <v>50</v>
      </c>
      <c r="K6" s="2">
        <v>65</v>
      </c>
      <c r="L6" s="2">
        <v>309</v>
      </c>
      <c r="M6" s="2" t="s">
        <v>1177</v>
      </c>
      <c r="N6" s="2" t="s">
        <v>1061</v>
      </c>
      <c r="O6" t="s">
        <v>249</v>
      </c>
      <c r="P6" t="s">
        <v>220</v>
      </c>
      <c r="Q6" t="s">
        <v>250</v>
      </c>
      <c r="R6" t="s">
        <v>251</v>
      </c>
      <c r="S6" t="s">
        <v>252</v>
      </c>
      <c r="T6" t="s">
        <v>1092</v>
      </c>
      <c r="U6" t="s">
        <v>182</v>
      </c>
      <c r="V6" t="s">
        <v>1026</v>
      </c>
      <c r="W6" t="s">
        <v>253</v>
      </c>
      <c r="X6" t="s">
        <v>254</v>
      </c>
      <c r="Y6" t="s">
        <v>255</v>
      </c>
      <c r="Z6" t="s">
        <v>185</v>
      </c>
      <c r="AA6" t="s">
        <v>1062</v>
      </c>
      <c r="AB6" t="s">
        <v>226</v>
      </c>
      <c r="AC6" t="s">
        <v>227</v>
      </c>
      <c r="AD6" t="s">
        <v>1063</v>
      </c>
      <c r="AE6" t="s">
        <v>1030</v>
      </c>
      <c r="AF6" t="s">
        <v>1093</v>
      </c>
      <c r="AG6" t="s">
        <v>148</v>
      </c>
      <c r="AH6" t="s">
        <v>172</v>
      </c>
      <c r="AI6" t="s">
        <v>752</v>
      </c>
      <c r="AJ6" t="s">
        <v>1078</v>
      </c>
      <c r="AK6" t="s">
        <v>1079</v>
      </c>
      <c r="AL6" t="s">
        <v>1080</v>
      </c>
      <c r="AM6" t="s">
        <v>256</v>
      </c>
      <c r="AN6" t="s">
        <v>1094</v>
      </c>
      <c r="AO6" t="s">
        <v>230</v>
      </c>
      <c r="AP6" t="s">
        <v>254</v>
      </c>
      <c r="AQ6" t="s">
        <v>257</v>
      </c>
      <c r="AR6" t="s">
        <v>1095</v>
      </c>
      <c r="AS6" t="s">
        <v>1096</v>
      </c>
      <c r="AT6" t="s">
        <v>917</v>
      </c>
      <c r="AU6" t="s">
        <v>1097</v>
      </c>
      <c r="AV6" t="s">
        <v>231</v>
      </c>
      <c r="AW6" t="s">
        <v>1082</v>
      </c>
      <c r="AX6" t="s">
        <v>1037</v>
      </c>
      <c r="AY6" t="s">
        <v>1083</v>
      </c>
      <c r="AZ6" t="s">
        <v>1098</v>
      </c>
      <c r="BA6" t="s">
        <v>974</v>
      </c>
      <c r="BB6" t="s">
        <v>1031</v>
      </c>
      <c r="BC6" t="s">
        <v>956</v>
      </c>
      <c r="BD6" t="s">
        <v>1005</v>
      </c>
      <c r="BE6" t="s">
        <v>145</v>
      </c>
      <c r="BF6" t="s">
        <v>143</v>
      </c>
      <c r="BG6" t="s">
        <v>756</v>
      </c>
      <c r="BH6" t="s">
        <v>757</v>
      </c>
      <c r="BI6" t="s">
        <v>233</v>
      </c>
      <c r="BJ6" t="s">
        <v>760</v>
      </c>
      <c r="BK6" t="s">
        <v>2398</v>
      </c>
      <c r="BL6" t="s">
        <v>2339</v>
      </c>
      <c r="BM6" t="s">
        <v>234</v>
      </c>
      <c r="BN6" t="s">
        <v>258</v>
      </c>
      <c r="BO6" t="s">
        <v>259</v>
      </c>
      <c r="BP6" t="s">
        <v>1099</v>
      </c>
      <c r="BQ6" t="s">
        <v>764</v>
      </c>
      <c r="BR6" t="s">
        <v>783</v>
      </c>
      <c r="BS6" t="s">
        <v>777</v>
      </c>
      <c r="BT6" t="s">
        <v>170</v>
      </c>
      <c r="BU6" t="s">
        <v>763</v>
      </c>
      <c r="BV6" t="s">
        <v>920</v>
      </c>
      <c r="BW6" t="s">
        <v>915</v>
      </c>
      <c r="BX6" t="s">
        <v>972</v>
      </c>
      <c r="BY6" t="s">
        <v>967</v>
      </c>
      <c r="BZ6" t="s">
        <v>180</v>
      </c>
      <c r="CA6" t="s">
        <v>239</v>
      </c>
      <c r="CB6" t="s">
        <v>241</v>
      </c>
      <c r="CC6" t="s">
        <v>805</v>
      </c>
      <c r="CD6" t="s">
        <v>806</v>
      </c>
    </row>
    <row r="7" spans="1:132">
      <c r="A7" s="40">
        <v>5</v>
      </c>
      <c r="B7" s="40" t="s">
        <v>260</v>
      </c>
      <c r="C7" s="2" t="s">
        <v>261</v>
      </c>
      <c r="D7" s="2" t="s">
        <v>19</v>
      </c>
      <c r="E7" s="2"/>
      <c r="F7" s="2">
        <v>58</v>
      </c>
      <c r="G7" s="2">
        <v>64</v>
      </c>
      <c r="H7" s="2">
        <v>58</v>
      </c>
      <c r="I7" s="2">
        <v>80</v>
      </c>
      <c r="J7" s="2">
        <v>65</v>
      </c>
      <c r="K7" s="2">
        <v>80</v>
      </c>
      <c r="L7" s="2">
        <v>405</v>
      </c>
      <c r="M7" s="2" t="s">
        <v>1158</v>
      </c>
      <c r="N7" s="2" t="s">
        <v>1061</v>
      </c>
      <c r="O7" t="s">
        <v>249</v>
      </c>
      <c r="P7" t="s">
        <v>220</v>
      </c>
      <c r="Q7" t="s">
        <v>250</v>
      </c>
      <c r="R7" t="s">
        <v>250</v>
      </c>
      <c r="S7" t="s">
        <v>251</v>
      </c>
      <c r="T7" t="s">
        <v>252</v>
      </c>
      <c r="U7" t="s">
        <v>1092</v>
      </c>
      <c r="V7" t="s">
        <v>182</v>
      </c>
      <c r="W7" t="s">
        <v>1026</v>
      </c>
      <c r="X7" t="s">
        <v>253</v>
      </c>
      <c r="Y7" t="s">
        <v>254</v>
      </c>
      <c r="Z7" t="s">
        <v>255</v>
      </c>
      <c r="AA7" t="s">
        <v>185</v>
      </c>
      <c r="AB7" t="s">
        <v>1062</v>
      </c>
      <c r="AC7" t="s">
        <v>226</v>
      </c>
      <c r="AD7" t="s">
        <v>227</v>
      </c>
      <c r="AE7" t="s">
        <v>1063</v>
      </c>
      <c r="AF7" t="s">
        <v>1030</v>
      </c>
      <c r="AG7" t="s">
        <v>1093</v>
      </c>
      <c r="AH7" t="s">
        <v>148</v>
      </c>
      <c r="AI7" t="s">
        <v>172</v>
      </c>
      <c r="AJ7" t="s">
        <v>752</v>
      </c>
      <c r="AK7" t="s">
        <v>1078</v>
      </c>
      <c r="AL7" t="s">
        <v>1079</v>
      </c>
      <c r="AM7" t="s">
        <v>1080</v>
      </c>
      <c r="AN7" t="s">
        <v>256</v>
      </c>
      <c r="AO7" t="s">
        <v>1094</v>
      </c>
      <c r="AP7" t="s">
        <v>230</v>
      </c>
      <c r="AQ7" t="s">
        <v>254</v>
      </c>
      <c r="AR7" t="s">
        <v>257</v>
      </c>
      <c r="AS7" t="s">
        <v>1095</v>
      </c>
      <c r="AT7" t="s">
        <v>1096</v>
      </c>
      <c r="AU7" t="s">
        <v>917</v>
      </c>
      <c r="AV7" t="s">
        <v>1097</v>
      </c>
      <c r="AW7" t="s">
        <v>231</v>
      </c>
      <c r="AX7" t="s">
        <v>1082</v>
      </c>
      <c r="AY7" t="s">
        <v>1037</v>
      </c>
      <c r="AZ7" t="s">
        <v>1083</v>
      </c>
      <c r="BA7" t="s">
        <v>1098</v>
      </c>
      <c r="BB7" t="s">
        <v>974</v>
      </c>
      <c r="BC7" t="s">
        <v>1031</v>
      </c>
      <c r="BD7" t="s">
        <v>956</v>
      </c>
      <c r="BE7" t="s">
        <v>1005</v>
      </c>
      <c r="BF7" t="s">
        <v>145</v>
      </c>
      <c r="BG7" t="s">
        <v>143</v>
      </c>
      <c r="BH7" t="s">
        <v>756</v>
      </c>
      <c r="BI7" t="s">
        <v>757</v>
      </c>
      <c r="BJ7" t="s">
        <v>233</v>
      </c>
      <c r="BK7" t="s">
        <v>760</v>
      </c>
      <c r="BL7" t="s">
        <v>2398</v>
      </c>
      <c r="BM7" t="s">
        <v>2339</v>
      </c>
      <c r="BN7" t="s">
        <v>234</v>
      </c>
      <c r="BO7" t="s">
        <v>258</v>
      </c>
      <c r="BP7" t="s">
        <v>259</v>
      </c>
      <c r="BQ7" t="s">
        <v>1099</v>
      </c>
      <c r="BR7" t="s">
        <v>764</v>
      </c>
      <c r="BS7" t="s">
        <v>783</v>
      </c>
      <c r="BT7" t="s">
        <v>777</v>
      </c>
      <c r="BU7" t="s">
        <v>170</v>
      </c>
      <c r="BV7" t="s">
        <v>763</v>
      </c>
      <c r="BW7" t="s">
        <v>920</v>
      </c>
      <c r="BX7" t="s">
        <v>915</v>
      </c>
      <c r="BY7" t="s">
        <v>972</v>
      </c>
      <c r="BZ7" t="s">
        <v>967</v>
      </c>
      <c r="CA7" t="s">
        <v>180</v>
      </c>
      <c r="CB7" t="s">
        <v>239</v>
      </c>
      <c r="CC7" t="s">
        <v>241</v>
      </c>
      <c r="CD7" t="s">
        <v>805</v>
      </c>
      <c r="CE7" t="s">
        <v>806</v>
      </c>
    </row>
    <row r="8" spans="1:132">
      <c r="A8" s="40">
        <v>6</v>
      </c>
      <c r="B8" s="40" t="s">
        <v>262</v>
      </c>
      <c r="C8" s="2" t="s">
        <v>263</v>
      </c>
      <c r="D8" s="2" t="s">
        <v>19</v>
      </c>
      <c r="E8" s="2" t="s">
        <v>20</v>
      </c>
      <c r="F8" s="2">
        <v>78</v>
      </c>
      <c r="G8" s="2">
        <v>84</v>
      </c>
      <c r="H8" s="2">
        <v>78</v>
      </c>
      <c r="I8" s="2">
        <v>109</v>
      </c>
      <c r="J8" s="2">
        <v>85</v>
      </c>
      <c r="K8" s="2">
        <v>100</v>
      </c>
      <c r="L8" s="2">
        <v>534</v>
      </c>
      <c r="M8" s="2" t="s">
        <v>1430</v>
      </c>
      <c r="N8" s="2" t="s">
        <v>1061</v>
      </c>
      <c r="O8" t="s">
        <v>249</v>
      </c>
      <c r="P8" t="s">
        <v>220</v>
      </c>
      <c r="Q8" t="s">
        <v>250</v>
      </c>
      <c r="R8" t="s">
        <v>251</v>
      </c>
      <c r="S8" t="s">
        <v>1093</v>
      </c>
      <c r="T8" t="s">
        <v>1101</v>
      </c>
      <c r="U8" t="s">
        <v>1005</v>
      </c>
      <c r="V8" t="s">
        <v>250</v>
      </c>
      <c r="W8" t="s">
        <v>251</v>
      </c>
      <c r="X8" t="s">
        <v>252</v>
      </c>
      <c r="Y8" t="s">
        <v>1092</v>
      </c>
      <c r="Z8" t="s">
        <v>182</v>
      </c>
      <c r="AA8" t="s">
        <v>1026</v>
      </c>
      <c r="AB8" t="s">
        <v>264</v>
      </c>
      <c r="AC8" t="s">
        <v>253</v>
      </c>
      <c r="AD8" t="s">
        <v>254</v>
      </c>
      <c r="AE8" t="s">
        <v>255</v>
      </c>
      <c r="AF8" t="s">
        <v>185</v>
      </c>
      <c r="AG8" t="s">
        <v>924</v>
      </c>
      <c r="AH8" t="s">
        <v>972</v>
      </c>
      <c r="AI8" t="s">
        <v>1062</v>
      </c>
      <c r="AJ8" t="s">
        <v>226</v>
      </c>
      <c r="AK8" t="s">
        <v>138</v>
      </c>
      <c r="AL8" t="s">
        <v>227</v>
      </c>
      <c r="AM8" t="s">
        <v>1063</v>
      </c>
      <c r="AN8" t="s">
        <v>1030</v>
      </c>
      <c r="AO8" t="s">
        <v>1093</v>
      </c>
      <c r="AP8" t="s">
        <v>246</v>
      </c>
      <c r="AQ8" t="s">
        <v>148</v>
      </c>
      <c r="AR8" t="s">
        <v>172</v>
      </c>
      <c r="AS8" t="s">
        <v>752</v>
      </c>
      <c r="AT8" t="s">
        <v>247</v>
      </c>
      <c r="AU8" t="s">
        <v>1078</v>
      </c>
      <c r="AV8" t="s">
        <v>1119</v>
      </c>
      <c r="AW8" t="s">
        <v>1079</v>
      </c>
      <c r="AX8" t="s">
        <v>229</v>
      </c>
      <c r="AY8" t="s">
        <v>136</v>
      </c>
      <c r="AZ8" t="s">
        <v>1080</v>
      </c>
      <c r="BA8" t="s">
        <v>256</v>
      </c>
      <c r="BB8" t="s">
        <v>1094</v>
      </c>
      <c r="BC8" t="s">
        <v>230</v>
      </c>
      <c r="BD8" t="s">
        <v>254</v>
      </c>
      <c r="BE8" t="s">
        <v>257</v>
      </c>
      <c r="BF8" t="s">
        <v>1095</v>
      </c>
      <c r="BG8" t="s">
        <v>1096</v>
      </c>
      <c r="BH8" t="s">
        <v>917</v>
      </c>
      <c r="BI8" t="s">
        <v>1097</v>
      </c>
      <c r="BJ8" t="s">
        <v>231</v>
      </c>
      <c r="BK8" t="s">
        <v>1082</v>
      </c>
      <c r="BL8" t="s">
        <v>1037</v>
      </c>
      <c r="BM8" t="s">
        <v>1083</v>
      </c>
      <c r="BN8" t="s">
        <v>1098</v>
      </c>
      <c r="BO8" t="s">
        <v>1125</v>
      </c>
      <c r="BP8" t="s">
        <v>1102</v>
      </c>
      <c r="BQ8" t="s">
        <v>974</v>
      </c>
      <c r="BR8" t="s">
        <v>1039</v>
      </c>
      <c r="BS8" t="s">
        <v>1031</v>
      </c>
      <c r="BT8" t="s">
        <v>956</v>
      </c>
      <c r="BU8" t="s">
        <v>1005</v>
      </c>
      <c r="BV8" t="s">
        <v>976</v>
      </c>
      <c r="BW8" t="s">
        <v>145</v>
      </c>
      <c r="BX8" t="s">
        <v>1021</v>
      </c>
      <c r="BY8" t="s">
        <v>143</v>
      </c>
      <c r="BZ8" t="s">
        <v>1022</v>
      </c>
      <c r="CA8" t="s">
        <v>756</v>
      </c>
      <c r="CB8" t="s">
        <v>757</v>
      </c>
      <c r="CC8" t="s">
        <v>233</v>
      </c>
      <c r="CD8" t="s">
        <v>760</v>
      </c>
      <c r="CE8" t="s">
        <v>2398</v>
      </c>
      <c r="CF8" t="s">
        <v>2339</v>
      </c>
      <c r="CG8" t="s">
        <v>234</v>
      </c>
      <c r="CH8" t="s">
        <v>258</v>
      </c>
      <c r="CI8" t="s">
        <v>259</v>
      </c>
      <c r="CJ8" t="s">
        <v>1099</v>
      </c>
      <c r="CK8" t="s">
        <v>764</v>
      </c>
      <c r="CL8" t="s">
        <v>783</v>
      </c>
      <c r="CM8" t="s">
        <v>777</v>
      </c>
      <c r="CN8" t="s">
        <v>170</v>
      </c>
      <c r="CO8" t="s">
        <v>763</v>
      </c>
      <c r="CP8" t="s">
        <v>920</v>
      </c>
      <c r="CQ8" t="s">
        <v>915</v>
      </c>
      <c r="CR8" t="s">
        <v>972</v>
      </c>
      <c r="CS8" t="s">
        <v>967</v>
      </c>
      <c r="CT8" t="s">
        <v>180</v>
      </c>
      <c r="CU8" t="s">
        <v>239</v>
      </c>
      <c r="CV8" t="s">
        <v>241</v>
      </c>
      <c r="CW8" t="s">
        <v>805</v>
      </c>
      <c r="CX8" t="s">
        <v>806</v>
      </c>
    </row>
    <row r="9" spans="1:132">
      <c r="A9" s="40">
        <v>6.1</v>
      </c>
      <c r="B9" s="40" t="s">
        <v>2427</v>
      </c>
      <c r="C9" s="2" t="s">
        <v>2428</v>
      </c>
      <c r="D9" s="2" t="s">
        <v>19</v>
      </c>
      <c r="E9" s="2" t="s">
        <v>16</v>
      </c>
      <c r="F9" s="2">
        <v>78</v>
      </c>
      <c r="G9" s="2">
        <v>130</v>
      </c>
      <c r="H9" s="2">
        <v>111</v>
      </c>
      <c r="I9" s="2">
        <v>130</v>
      </c>
      <c r="J9" s="2">
        <v>85</v>
      </c>
      <c r="K9" s="2">
        <v>100</v>
      </c>
      <c r="L9" s="2">
        <v>634</v>
      </c>
      <c r="M9" s="2" t="s">
        <v>1111</v>
      </c>
      <c r="N9" s="2" t="s">
        <v>1061</v>
      </c>
      <c r="O9" t="s">
        <v>1062</v>
      </c>
      <c r="P9" t="s">
        <v>1063</v>
      </c>
      <c r="Q9" t="s">
        <v>1119</v>
      </c>
      <c r="R9" t="s">
        <v>1125</v>
      </c>
      <c r="S9" t="s">
        <v>757</v>
      </c>
      <c r="T9" t="s">
        <v>2398</v>
      </c>
      <c r="U9" t="s">
        <v>2339</v>
      </c>
      <c r="V9" t="s">
        <v>234</v>
      </c>
      <c r="W9" t="s">
        <v>239</v>
      </c>
      <c r="X9" t="s">
        <v>241</v>
      </c>
      <c r="Y9" t="s">
        <v>805</v>
      </c>
      <c r="Z9" t="s">
        <v>806</v>
      </c>
    </row>
    <row r="10" spans="1:132">
      <c r="A10" s="40">
        <v>6.2</v>
      </c>
      <c r="B10" s="40" t="s">
        <v>2429</v>
      </c>
      <c r="C10" s="2" t="s">
        <v>2430</v>
      </c>
      <c r="D10" s="2" t="s">
        <v>19</v>
      </c>
      <c r="E10" s="2" t="s">
        <v>20</v>
      </c>
      <c r="F10" s="2">
        <v>78</v>
      </c>
      <c r="G10" s="2">
        <v>104</v>
      </c>
      <c r="H10" s="2">
        <v>78</v>
      </c>
      <c r="I10" s="2">
        <v>159</v>
      </c>
      <c r="J10" s="2">
        <v>115</v>
      </c>
      <c r="K10" s="2">
        <v>100</v>
      </c>
      <c r="L10" s="2">
        <v>634</v>
      </c>
      <c r="M10" s="2" t="s">
        <v>1111</v>
      </c>
      <c r="N10" s="2" t="s">
        <v>1061</v>
      </c>
      <c r="O10" t="s">
        <v>1062</v>
      </c>
      <c r="P10" t="s">
        <v>1063</v>
      </c>
      <c r="Q10" t="s">
        <v>1119</v>
      </c>
      <c r="R10" t="s">
        <v>1125</v>
      </c>
      <c r="S10" t="s">
        <v>757</v>
      </c>
      <c r="T10" t="s">
        <v>2398</v>
      </c>
      <c r="U10" t="s">
        <v>2339</v>
      </c>
      <c r="V10" t="s">
        <v>234</v>
      </c>
      <c r="W10" t="s">
        <v>239</v>
      </c>
      <c r="X10" t="s">
        <v>241</v>
      </c>
      <c r="Y10" t="s">
        <v>805</v>
      </c>
      <c r="Z10" t="s">
        <v>806</v>
      </c>
    </row>
    <row r="11" spans="1:132">
      <c r="A11" s="40">
        <v>7</v>
      </c>
      <c r="B11" s="40" t="s">
        <v>265</v>
      </c>
      <c r="C11" s="2" t="s">
        <v>132</v>
      </c>
      <c r="D11" s="2" t="s">
        <v>27</v>
      </c>
      <c r="E11" s="2"/>
      <c r="F11" s="2">
        <v>44</v>
      </c>
      <c r="G11" s="2">
        <v>48</v>
      </c>
      <c r="H11" s="2">
        <v>65</v>
      </c>
      <c r="I11" s="2">
        <v>50</v>
      </c>
      <c r="J11" s="2">
        <v>64</v>
      </c>
      <c r="K11" s="2">
        <v>43</v>
      </c>
      <c r="L11" s="2">
        <v>314</v>
      </c>
      <c r="M11" s="2" t="s">
        <v>1177</v>
      </c>
      <c r="N11" s="2" t="s">
        <v>1061</v>
      </c>
      <c r="O11" t="s">
        <v>219</v>
      </c>
      <c r="P11" t="s">
        <v>266</v>
      </c>
      <c r="Q11" t="s">
        <v>267</v>
      </c>
      <c r="R11" t="s">
        <v>268</v>
      </c>
      <c r="S11" t="s">
        <v>269</v>
      </c>
      <c r="T11" t="s">
        <v>258</v>
      </c>
      <c r="U11" t="s">
        <v>173</v>
      </c>
      <c r="V11" t="s">
        <v>1078</v>
      </c>
      <c r="W11" t="s">
        <v>954</v>
      </c>
      <c r="X11" t="s">
        <v>179</v>
      </c>
      <c r="Y11" t="s">
        <v>237</v>
      </c>
      <c r="Z11" t="s">
        <v>177</v>
      </c>
      <c r="AA11" t="s">
        <v>766</v>
      </c>
      <c r="AB11" t="s">
        <v>140</v>
      </c>
      <c r="AC11" t="s">
        <v>1062</v>
      </c>
      <c r="AD11" t="s">
        <v>144</v>
      </c>
      <c r="AE11" t="s">
        <v>227</v>
      </c>
      <c r="AF11" t="s">
        <v>270</v>
      </c>
      <c r="AG11" t="s">
        <v>914</v>
      </c>
      <c r="AH11" t="s">
        <v>1063</v>
      </c>
      <c r="AI11" t="s">
        <v>148</v>
      </c>
      <c r="AJ11" t="s">
        <v>1104</v>
      </c>
      <c r="AK11" t="s">
        <v>172</v>
      </c>
      <c r="AL11" t="s">
        <v>141</v>
      </c>
      <c r="AM11" t="s">
        <v>271</v>
      </c>
      <c r="AN11" t="s">
        <v>1078</v>
      </c>
      <c r="AO11" t="s">
        <v>766</v>
      </c>
      <c r="AP11" t="s">
        <v>1079</v>
      </c>
      <c r="AQ11" t="s">
        <v>1080</v>
      </c>
      <c r="AR11" t="s">
        <v>256</v>
      </c>
      <c r="AS11" t="s">
        <v>1094</v>
      </c>
      <c r="AT11" t="s">
        <v>230</v>
      </c>
      <c r="AU11" t="s">
        <v>1095</v>
      </c>
      <c r="AV11" t="s">
        <v>917</v>
      </c>
      <c r="AW11" t="s">
        <v>231</v>
      </c>
      <c r="AX11" t="s">
        <v>1082</v>
      </c>
      <c r="AY11" t="s">
        <v>1037</v>
      </c>
      <c r="AZ11" t="s">
        <v>1038</v>
      </c>
      <c r="BA11" t="s">
        <v>974</v>
      </c>
      <c r="BB11" t="s">
        <v>980</v>
      </c>
      <c r="BC11" t="s">
        <v>756</v>
      </c>
      <c r="BD11" t="s">
        <v>757</v>
      </c>
      <c r="BE11" t="s">
        <v>233</v>
      </c>
      <c r="BF11" t="s">
        <v>760</v>
      </c>
      <c r="BG11" t="s">
        <v>2398</v>
      </c>
      <c r="BH11" t="s">
        <v>2339</v>
      </c>
      <c r="BI11" t="s">
        <v>234</v>
      </c>
      <c r="BJ11" t="s">
        <v>273</v>
      </c>
      <c r="BK11" t="s">
        <v>272</v>
      </c>
      <c r="BL11" t="s">
        <v>770</v>
      </c>
      <c r="BM11" t="s">
        <v>771</v>
      </c>
      <c r="BN11" t="s">
        <v>772</v>
      </c>
      <c r="BO11" t="s">
        <v>176</v>
      </c>
      <c r="BP11" t="s">
        <v>958</v>
      </c>
      <c r="BQ11" t="s">
        <v>1106</v>
      </c>
      <c r="BR11" t="s">
        <v>933</v>
      </c>
      <c r="BS11" t="s">
        <v>1107</v>
      </c>
      <c r="BT11" t="s">
        <v>1105</v>
      </c>
      <c r="BU11" t="s">
        <v>961</v>
      </c>
      <c r="BV11" t="s">
        <v>178</v>
      </c>
      <c r="BW11" t="s">
        <v>1234</v>
      </c>
      <c r="BX11" t="s">
        <v>967</v>
      </c>
      <c r="BY11" t="s">
        <v>973</v>
      </c>
      <c r="BZ11" t="s">
        <v>959</v>
      </c>
      <c r="CA11" t="s">
        <v>239</v>
      </c>
      <c r="CB11" t="s">
        <v>241</v>
      </c>
      <c r="CC11" t="s">
        <v>805</v>
      </c>
      <c r="CD11" t="s">
        <v>806</v>
      </c>
    </row>
    <row r="12" spans="1:132">
      <c r="A12" s="40">
        <v>8</v>
      </c>
      <c r="B12" s="40" t="s">
        <v>275</v>
      </c>
      <c r="C12" s="2" t="s">
        <v>276</v>
      </c>
      <c r="D12" s="2" t="s">
        <v>27</v>
      </c>
      <c r="E12" s="2"/>
      <c r="F12" s="2">
        <v>59</v>
      </c>
      <c r="G12" s="2">
        <v>63</v>
      </c>
      <c r="H12" s="2">
        <v>80</v>
      </c>
      <c r="I12" s="2">
        <v>65</v>
      </c>
      <c r="J12" s="2">
        <v>80</v>
      </c>
      <c r="K12" s="2">
        <v>58</v>
      </c>
      <c r="L12" s="2">
        <v>405</v>
      </c>
      <c r="M12" s="2" t="s">
        <v>1141</v>
      </c>
      <c r="N12" s="2" t="s">
        <v>1061</v>
      </c>
      <c r="O12" t="s">
        <v>219</v>
      </c>
      <c r="P12" t="s">
        <v>266</v>
      </c>
      <c r="Q12" t="s">
        <v>267</v>
      </c>
      <c r="R12" t="s">
        <v>266</v>
      </c>
      <c r="S12" t="s">
        <v>267</v>
      </c>
      <c r="T12" t="s">
        <v>268</v>
      </c>
      <c r="U12" t="s">
        <v>269</v>
      </c>
      <c r="V12" t="s">
        <v>258</v>
      </c>
      <c r="W12" t="s">
        <v>173</v>
      </c>
      <c r="X12" t="s">
        <v>1078</v>
      </c>
      <c r="Y12" t="s">
        <v>954</v>
      </c>
      <c r="Z12" t="s">
        <v>179</v>
      </c>
      <c r="AA12" t="s">
        <v>237</v>
      </c>
      <c r="AB12" t="s">
        <v>177</v>
      </c>
      <c r="AC12" t="s">
        <v>766</v>
      </c>
      <c r="AD12" t="s">
        <v>140</v>
      </c>
      <c r="AE12" t="s">
        <v>1062</v>
      </c>
      <c r="AF12" t="s">
        <v>144</v>
      </c>
      <c r="AG12" t="s">
        <v>227</v>
      </c>
      <c r="AH12" t="s">
        <v>270</v>
      </c>
      <c r="AI12" t="s">
        <v>914</v>
      </c>
      <c r="AJ12" t="s">
        <v>1063</v>
      </c>
      <c r="AK12" t="s">
        <v>148</v>
      </c>
      <c r="AL12" t="s">
        <v>1104</v>
      </c>
      <c r="AM12" t="s">
        <v>172</v>
      </c>
      <c r="AN12" t="s">
        <v>141</v>
      </c>
      <c r="AO12" t="s">
        <v>271</v>
      </c>
      <c r="AP12" t="s">
        <v>1078</v>
      </c>
      <c r="AQ12" t="s">
        <v>766</v>
      </c>
      <c r="AR12" t="s">
        <v>1079</v>
      </c>
      <c r="AS12" t="s">
        <v>1080</v>
      </c>
      <c r="AT12" t="s">
        <v>256</v>
      </c>
      <c r="AU12" t="s">
        <v>1094</v>
      </c>
      <c r="AV12" t="s">
        <v>230</v>
      </c>
      <c r="AW12" t="s">
        <v>1095</v>
      </c>
      <c r="AX12" t="s">
        <v>917</v>
      </c>
      <c r="AY12" t="s">
        <v>231</v>
      </c>
      <c r="AZ12" t="s">
        <v>1082</v>
      </c>
      <c r="BA12" t="s">
        <v>1037</v>
      </c>
      <c r="BB12" t="s">
        <v>1038</v>
      </c>
      <c r="BC12" t="s">
        <v>974</v>
      </c>
      <c r="BD12" t="s">
        <v>980</v>
      </c>
      <c r="BE12" t="s">
        <v>756</v>
      </c>
      <c r="BF12" t="s">
        <v>757</v>
      </c>
      <c r="BG12" t="s">
        <v>233</v>
      </c>
      <c r="BH12" t="s">
        <v>760</v>
      </c>
      <c r="BI12" t="s">
        <v>2398</v>
      </c>
      <c r="BJ12" t="s">
        <v>2339</v>
      </c>
      <c r="BK12" t="s">
        <v>234</v>
      </c>
      <c r="BL12" t="s">
        <v>273</v>
      </c>
      <c r="BM12" t="s">
        <v>272</v>
      </c>
      <c r="BN12" t="s">
        <v>770</v>
      </c>
      <c r="BO12" t="s">
        <v>771</v>
      </c>
      <c r="BP12" t="s">
        <v>772</v>
      </c>
      <c r="BQ12" t="s">
        <v>176</v>
      </c>
      <c r="BR12" t="s">
        <v>958</v>
      </c>
      <c r="BS12" t="s">
        <v>1106</v>
      </c>
      <c r="BT12" t="s">
        <v>933</v>
      </c>
      <c r="BU12" t="s">
        <v>1107</v>
      </c>
      <c r="BV12" t="s">
        <v>1105</v>
      </c>
      <c r="BW12" t="s">
        <v>961</v>
      </c>
      <c r="BX12" t="s">
        <v>178</v>
      </c>
      <c r="BY12" t="s">
        <v>1234</v>
      </c>
      <c r="BZ12" t="s">
        <v>967</v>
      </c>
      <c r="CA12" t="s">
        <v>973</v>
      </c>
      <c r="CB12" t="s">
        <v>959</v>
      </c>
      <c r="CC12" t="s">
        <v>239</v>
      </c>
      <c r="CD12" t="s">
        <v>241</v>
      </c>
      <c r="CE12" t="s">
        <v>805</v>
      </c>
      <c r="CF12" t="s">
        <v>806</v>
      </c>
    </row>
    <row r="13" spans="1:132">
      <c r="A13" s="40">
        <v>9</v>
      </c>
      <c r="B13" s="40" t="s">
        <v>277</v>
      </c>
      <c r="C13" s="2" t="s">
        <v>278</v>
      </c>
      <c r="D13" s="2" t="s">
        <v>27</v>
      </c>
      <c r="E13" s="2"/>
      <c r="F13" s="2">
        <v>79</v>
      </c>
      <c r="G13" s="2">
        <v>83</v>
      </c>
      <c r="H13" s="2">
        <v>100</v>
      </c>
      <c r="I13" s="2">
        <v>85</v>
      </c>
      <c r="J13" s="2">
        <v>105</v>
      </c>
      <c r="K13" s="2">
        <v>78</v>
      </c>
      <c r="L13" s="2">
        <v>530</v>
      </c>
      <c r="M13" s="2" t="s">
        <v>1201</v>
      </c>
      <c r="N13" s="2" t="s">
        <v>1061</v>
      </c>
      <c r="O13" t="s">
        <v>219</v>
      </c>
      <c r="P13" t="s">
        <v>266</v>
      </c>
      <c r="Q13" t="s">
        <v>268</v>
      </c>
      <c r="R13" t="s">
        <v>267</v>
      </c>
      <c r="S13" t="s">
        <v>973</v>
      </c>
      <c r="T13" t="s">
        <v>266</v>
      </c>
      <c r="U13" t="s">
        <v>267</v>
      </c>
      <c r="V13" t="s">
        <v>268</v>
      </c>
      <c r="W13" t="s">
        <v>269</v>
      </c>
      <c r="X13" t="s">
        <v>258</v>
      </c>
      <c r="Y13" t="s">
        <v>173</v>
      </c>
      <c r="Z13" t="s">
        <v>1078</v>
      </c>
      <c r="AA13" t="s">
        <v>954</v>
      </c>
      <c r="AB13" t="s">
        <v>179</v>
      </c>
      <c r="AC13" t="s">
        <v>237</v>
      </c>
      <c r="AD13" t="s">
        <v>177</v>
      </c>
      <c r="AE13" t="s">
        <v>766</v>
      </c>
      <c r="AF13" t="s">
        <v>140</v>
      </c>
      <c r="AG13" t="s">
        <v>1062</v>
      </c>
      <c r="AH13" t="s">
        <v>144</v>
      </c>
      <c r="AI13" t="s">
        <v>227</v>
      </c>
      <c r="AJ13" t="s">
        <v>270</v>
      </c>
      <c r="AK13" t="s">
        <v>914</v>
      </c>
      <c r="AL13" t="s">
        <v>1063</v>
      </c>
      <c r="AM13" t="s">
        <v>246</v>
      </c>
      <c r="AN13" t="s">
        <v>148</v>
      </c>
      <c r="AO13" t="s">
        <v>1104</v>
      </c>
      <c r="AP13" t="s">
        <v>172</v>
      </c>
      <c r="AQ13" t="s">
        <v>141</v>
      </c>
      <c r="AR13" t="s">
        <v>271</v>
      </c>
      <c r="AS13" t="s">
        <v>247</v>
      </c>
      <c r="AT13" t="s">
        <v>1078</v>
      </c>
      <c r="AU13" t="s">
        <v>766</v>
      </c>
      <c r="AV13" t="s">
        <v>1079</v>
      </c>
      <c r="AW13" t="s">
        <v>1109</v>
      </c>
      <c r="AX13" t="s">
        <v>136</v>
      </c>
      <c r="AY13" t="s">
        <v>1080</v>
      </c>
      <c r="AZ13" t="s">
        <v>256</v>
      </c>
      <c r="BA13" t="s">
        <v>1094</v>
      </c>
      <c r="BB13" t="s">
        <v>230</v>
      </c>
      <c r="BC13" t="s">
        <v>1095</v>
      </c>
      <c r="BD13" t="s">
        <v>917</v>
      </c>
      <c r="BE13" t="s">
        <v>231</v>
      </c>
      <c r="BF13" t="s">
        <v>1082</v>
      </c>
      <c r="BG13" t="s">
        <v>1037</v>
      </c>
      <c r="BH13" t="s">
        <v>1102</v>
      </c>
      <c r="BI13" t="s">
        <v>1038</v>
      </c>
      <c r="BJ13" t="s">
        <v>974</v>
      </c>
      <c r="BK13" t="s">
        <v>976</v>
      </c>
      <c r="BL13" t="s">
        <v>980</v>
      </c>
      <c r="BM13" t="s">
        <v>1021</v>
      </c>
      <c r="BN13" t="s">
        <v>143</v>
      </c>
      <c r="BO13" t="s">
        <v>1022</v>
      </c>
      <c r="BP13" t="s">
        <v>756</v>
      </c>
      <c r="BQ13" t="s">
        <v>757</v>
      </c>
      <c r="BR13" t="s">
        <v>233</v>
      </c>
      <c r="BS13" t="s">
        <v>973</v>
      </c>
      <c r="BT13" t="s">
        <v>760</v>
      </c>
      <c r="BU13" t="s">
        <v>1157</v>
      </c>
      <c r="BV13" t="s">
        <v>2398</v>
      </c>
      <c r="BW13" t="s">
        <v>2339</v>
      </c>
      <c r="BX13" t="s">
        <v>234</v>
      </c>
      <c r="BY13" t="s">
        <v>273</v>
      </c>
      <c r="BZ13" t="s">
        <v>272</v>
      </c>
      <c r="CA13" t="s">
        <v>770</v>
      </c>
      <c r="CB13" t="s">
        <v>771</v>
      </c>
      <c r="CC13" t="s">
        <v>772</v>
      </c>
      <c r="CD13" t="s">
        <v>176</v>
      </c>
      <c r="CE13" t="s">
        <v>958</v>
      </c>
      <c r="CF13" t="s">
        <v>1106</v>
      </c>
      <c r="CG13" t="s">
        <v>933</v>
      </c>
      <c r="CH13" t="s">
        <v>1107</v>
      </c>
      <c r="CI13" t="s">
        <v>1105</v>
      </c>
      <c r="CJ13" t="s">
        <v>961</v>
      </c>
      <c r="CK13" t="s">
        <v>178</v>
      </c>
      <c r="CL13" t="s">
        <v>1234</v>
      </c>
      <c r="CM13" t="s">
        <v>967</v>
      </c>
      <c r="CN13" t="s">
        <v>973</v>
      </c>
      <c r="CO13" t="s">
        <v>959</v>
      </c>
      <c r="CP13" t="s">
        <v>239</v>
      </c>
      <c r="CQ13" t="s">
        <v>241</v>
      </c>
      <c r="CR13" t="s">
        <v>805</v>
      </c>
      <c r="CS13" t="s">
        <v>806</v>
      </c>
    </row>
    <row r="14" spans="1:132">
      <c r="A14" s="40">
        <v>9.1</v>
      </c>
      <c r="B14" s="40" t="s">
        <v>2283</v>
      </c>
      <c r="C14" s="2" t="s">
        <v>2284</v>
      </c>
      <c r="D14" s="2" t="s">
        <v>27</v>
      </c>
      <c r="E14" s="2"/>
      <c r="F14" s="2">
        <v>79</v>
      </c>
      <c r="G14" s="2">
        <v>103</v>
      </c>
      <c r="H14" s="2">
        <v>120</v>
      </c>
      <c r="I14" s="2">
        <v>135</v>
      </c>
      <c r="J14" s="2">
        <v>115</v>
      </c>
      <c r="K14" s="2">
        <v>78</v>
      </c>
      <c r="L14" s="2">
        <v>630</v>
      </c>
      <c r="M14" s="2" t="s">
        <v>1232</v>
      </c>
      <c r="N14" s="2" t="s">
        <v>1061</v>
      </c>
      <c r="O14" t="s">
        <v>1062</v>
      </c>
      <c r="P14" t="s">
        <v>1063</v>
      </c>
      <c r="Q14" t="s">
        <v>757</v>
      </c>
      <c r="R14" t="s">
        <v>1157</v>
      </c>
      <c r="S14" t="s">
        <v>2398</v>
      </c>
      <c r="T14" t="s">
        <v>2339</v>
      </c>
      <c r="U14" t="s">
        <v>234</v>
      </c>
      <c r="V14" t="s">
        <v>239</v>
      </c>
      <c r="W14" t="s">
        <v>241</v>
      </c>
      <c r="X14" t="s">
        <v>805</v>
      </c>
      <c r="Y14" t="s">
        <v>806</v>
      </c>
    </row>
    <row r="15" spans="1:132">
      <c r="A15" s="40">
        <v>10</v>
      </c>
      <c r="B15" s="40" t="s">
        <v>279</v>
      </c>
      <c r="C15" s="2" t="s">
        <v>280</v>
      </c>
      <c r="D15" s="2" t="s">
        <v>14</v>
      </c>
      <c r="E15" s="2"/>
      <c r="F15" s="2">
        <v>45</v>
      </c>
      <c r="G15" s="2">
        <v>30</v>
      </c>
      <c r="H15" s="2">
        <v>35</v>
      </c>
      <c r="I15" s="2">
        <v>20</v>
      </c>
      <c r="J15" s="2">
        <v>20</v>
      </c>
      <c r="K15" s="2">
        <v>45</v>
      </c>
      <c r="L15" s="2">
        <v>195</v>
      </c>
      <c r="M15" s="2" t="s">
        <v>1064</v>
      </c>
      <c r="N15" s="2" t="s">
        <v>1061</v>
      </c>
      <c r="O15" t="s">
        <v>219</v>
      </c>
      <c r="P15" t="s">
        <v>281</v>
      </c>
      <c r="Q15" t="s">
        <v>1110</v>
      </c>
      <c r="R15" t="s">
        <v>1062</v>
      </c>
      <c r="S15" t="s">
        <v>1063</v>
      </c>
      <c r="T15" t="s">
        <v>234</v>
      </c>
      <c r="U15" t="s">
        <v>239</v>
      </c>
      <c r="V15" t="s">
        <v>241</v>
      </c>
      <c r="W15" t="s">
        <v>805</v>
      </c>
      <c r="X15" t="s">
        <v>806</v>
      </c>
    </row>
    <row r="16" spans="1:132">
      <c r="A16" s="40">
        <v>11</v>
      </c>
      <c r="B16" s="40" t="s">
        <v>282</v>
      </c>
      <c r="C16" s="2" t="s">
        <v>283</v>
      </c>
      <c r="D16" s="2" t="s">
        <v>14</v>
      </c>
      <c r="E16" s="2"/>
      <c r="F16" s="2">
        <v>50</v>
      </c>
      <c r="G16" s="2">
        <v>20</v>
      </c>
      <c r="H16" s="2">
        <v>55</v>
      </c>
      <c r="I16" s="2">
        <v>25</v>
      </c>
      <c r="J16" s="2">
        <v>25</v>
      </c>
      <c r="K16" s="2">
        <v>30</v>
      </c>
      <c r="L16" s="2">
        <v>205</v>
      </c>
      <c r="M16" s="2" t="s">
        <v>1111</v>
      </c>
      <c r="N16" s="2" t="s">
        <v>1061</v>
      </c>
      <c r="O16" t="s">
        <v>284</v>
      </c>
      <c r="P16" t="s">
        <v>284</v>
      </c>
      <c r="Q16" t="s">
        <v>1062</v>
      </c>
      <c r="R16" t="s">
        <v>1063</v>
      </c>
      <c r="S16" t="s">
        <v>234</v>
      </c>
      <c r="T16" t="s">
        <v>239</v>
      </c>
      <c r="U16" t="s">
        <v>241</v>
      </c>
      <c r="V16" t="s">
        <v>219</v>
      </c>
      <c r="W16" t="s">
        <v>281</v>
      </c>
      <c r="X16" t="s">
        <v>1110</v>
      </c>
      <c r="Y16" t="s">
        <v>805</v>
      </c>
      <c r="Z16" t="s">
        <v>806</v>
      </c>
    </row>
    <row r="17" spans="1:90">
      <c r="A17" s="40">
        <v>12</v>
      </c>
      <c r="B17" s="40" t="s">
        <v>285</v>
      </c>
      <c r="C17" s="2" t="s">
        <v>286</v>
      </c>
      <c r="D17" s="2" t="s">
        <v>14</v>
      </c>
      <c r="E17" s="2" t="s">
        <v>20</v>
      </c>
      <c r="F17" s="2">
        <v>60</v>
      </c>
      <c r="G17" s="2">
        <v>45</v>
      </c>
      <c r="H17" s="2">
        <v>50</v>
      </c>
      <c r="I17" s="2">
        <v>80</v>
      </c>
      <c r="J17" s="2">
        <v>80</v>
      </c>
      <c r="K17" s="2">
        <v>70</v>
      </c>
      <c r="L17" s="2">
        <v>385</v>
      </c>
      <c r="M17" s="2" t="s">
        <v>1165</v>
      </c>
      <c r="N17" s="2" t="s">
        <v>1061</v>
      </c>
      <c r="O17" t="s">
        <v>287</v>
      </c>
      <c r="P17" t="s">
        <v>287</v>
      </c>
      <c r="Q17" t="s">
        <v>221</v>
      </c>
      <c r="R17" t="s">
        <v>288</v>
      </c>
      <c r="S17" t="s">
        <v>222</v>
      </c>
      <c r="T17" t="s">
        <v>289</v>
      </c>
      <c r="U17" t="s">
        <v>290</v>
      </c>
      <c r="V17" t="s">
        <v>291</v>
      </c>
      <c r="W17" t="s">
        <v>292</v>
      </c>
      <c r="X17" t="s">
        <v>1113</v>
      </c>
      <c r="Y17" t="s">
        <v>1009</v>
      </c>
      <c r="Z17" t="s">
        <v>1114</v>
      </c>
      <c r="AA17" t="s">
        <v>759</v>
      </c>
      <c r="AB17" t="s">
        <v>962</v>
      </c>
      <c r="AC17" t="s">
        <v>1115</v>
      </c>
      <c r="AD17" t="s">
        <v>1116</v>
      </c>
      <c r="AE17" t="s">
        <v>1062</v>
      </c>
      <c r="AF17" t="s">
        <v>1063</v>
      </c>
      <c r="AG17" t="s">
        <v>148</v>
      </c>
      <c r="AH17" t="s">
        <v>1077</v>
      </c>
      <c r="AI17" t="s">
        <v>172</v>
      </c>
      <c r="AJ17" t="s">
        <v>752</v>
      </c>
      <c r="AK17" t="s">
        <v>247</v>
      </c>
      <c r="AL17" t="s">
        <v>1078</v>
      </c>
      <c r="AM17" t="s">
        <v>766</v>
      </c>
      <c r="AN17" t="s">
        <v>1119</v>
      </c>
      <c r="AO17" t="s">
        <v>759</v>
      </c>
      <c r="AP17" t="s">
        <v>1079</v>
      </c>
      <c r="AQ17" t="s">
        <v>229</v>
      </c>
      <c r="AR17" t="s">
        <v>1080</v>
      </c>
      <c r="AS17" t="s">
        <v>9</v>
      </c>
      <c r="AT17" t="s">
        <v>174</v>
      </c>
      <c r="AU17" t="s">
        <v>230</v>
      </c>
      <c r="AV17" t="s">
        <v>1096</v>
      </c>
      <c r="AW17" t="s">
        <v>917</v>
      </c>
      <c r="AX17" t="s">
        <v>231</v>
      </c>
      <c r="AY17" t="s">
        <v>1082</v>
      </c>
      <c r="AZ17" t="s">
        <v>1117</v>
      </c>
      <c r="BA17" t="s">
        <v>1037</v>
      </c>
      <c r="BB17" t="s">
        <v>970</v>
      </c>
      <c r="BC17" t="s">
        <v>1020</v>
      </c>
      <c r="BD17" t="s">
        <v>976</v>
      </c>
      <c r="BE17" t="s">
        <v>232</v>
      </c>
      <c r="BF17" t="s">
        <v>1042</v>
      </c>
      <c r="BG17" t="s">
        <v>785</v>
      </c>
      <c r="BH17" t="s">
        <v>2369</v>
      </c>
      <c r="BI17" t="s">
        <v>293</v>
      </c>
      <c r="BJ17" t="s">
        <v>756</v>
      </c>
      <c r="BK17" t="s">
        <v>757</v>
      </c>
      <c r="BL17" t="s">
        <v>1014</v>
      </c>
      <c r="BM17" t="s">
        <v>233</v>
      </c>
      <c r="BN17" t="s">
        <v>2339</v>
      </c>
      <c r="BO17" t="s">
        <v>234</v>
      </c>
      <c r="BP17" t="s">
        <v>239</v>
      </c>
      <c r="BQ17" t="s">
        <v>241</v>
      </c>
      <c r="BR17" t="s">
        <v>219</v>
      </c>
      <c r="BS17" t="s">
        <v>281</v>
      </c>
      <c r="BT17" t="s">
        <v>284</v>
      </c>
      <c r="BU17" t="s">
        <v>1110</v>
      </c>
      <c r="BV17" t="s">
        <v>805</v>
      </c>
      <c r="BW17" t="s">
        <v>806</v>
      </c>
    </row>
    <row r="18" spans="1:90">
      <c r="A18" s="40">
        <v>13</v>
      </c>
      <c r="B18" s="40" t="s">
        <v>294</v>
      </c>
      <c r="C18" s="2" t="s">
        <v>295</v>
      </c>
      <c r="D18" s="2" t="s">
        <v>14</v>
      </c>
      <c r="E18" s="2" t="s">
        <v>11</v>
      </c>
      <c r="F18" s="2">
        <v>40</v>
      </c>
      <c r="G18" s="2">
        <v>35</v>
      </c>
      <c r="H18" s="2">
        <v>30</v>
      </c>
      <c r="I18" s="2">
        <v>20</v>
      </c>
      <c r="J18" s="2">
        <v>20</v>
      </c>
      <c r="K18" s="2">
        <v>50</v>
      </c>
      <c r="L18" s="2">
        <v>195</v>
      </c>
      <c r="M18" s="2" t="s">
        <v>1064</v>
      </c>
      <c r="N18" s="2" t="s">
        <v>1061</v>
      </c>
      <c r="O18" t="s">
        <v>296</v>
      </c>
      <c r="P18" t="s">
        <v>281</v>
      </c>
      <c r="Q18" t="s">
        <v>1110</v>
      </c>
      <c r="R18" t="s">
        <v>1062</v>
      </c>
      <c r="S18" t="s">
        <v>1063</v>
      </c>
      <c r="T18" t="s">
        <v>234</v>
      </c>
      <c r="U18" t="s">
        <v>239</v>
      </c>
      <c r="V18" t="s">
        <v>241</v>
      </c>
      <c r="W18" t="s">
        <v>805</v>
      </c>
      <c r="X18" t="s">
        <v>806</v>
      </c>
    </row>
    <row r="19" spans="1:90">
      <c r="A19" s="40">
        <v>14</v>
      </c>
      <c r="B19" s="40" t="s">
        <v>297</v>
      </c>
      <c r="C19" s="2" t="s">
        <v>298</v>
      </c>
      <c r="D19" s="2" t="s">
        <v>14</v>
      </c>
      <c r="E19" s="2" t="s">
        <v>11</v>
      </c>
      <c r="F19" s="2">
        <v>45</v>
      </c>
      <c r="G19" s="2">
        <v>25</v>
      </c>
      <c r="H19" s="2">
        <v>50</v>
      </c>
      <c r="I19" s="2">
        <v>25</v>
      </c>
      <c r="J19" s="2">
        <v>25</v>
      </c>
      <c r="K19" s="2">
        <v>35</v>
      </c>
      <c r="L19" s="2">
        <v>205</v>
      </c>
      <c r="M19" s="2" t="s">
        <v>1111</v>
      </c>
      <c r="N19" s="2" t="s">
        <v>1061</v>
      </c>
      <c r="O19" t="s">
        <v>284</v>
      </c>
      <c r="P19" t="s">
        <v>284</v>
      </c>
      <c r="Q19" t="s">
        <v>1062</v>
      </c>
      <c r="R19" t="s">
        <v>1063</v>
      </c>
      <c r="S19" t="s">
        <v>234</v>
      </c>
      <c r="T19" t="s">
        <v>239</v>
      </c>
      <c r="U19" t="s">
        <v>241</v>
      </c>
      <c r="V19" t="s">
        <v>296</v>
      </c>
      <c r="W19" t="s">
        <v>281</v>
      </c>
      <c r="X19" t="s">
        <v>1110</v>
      </c>
      <c r="Y19" t="s">
        <v>805</v>
      </c>
      <c r="Z19" t="s">
        <v>806</v>
      </c>
    </row>
    <row r="20" spans="1:90">
      <c r="A20" s="40">
        <v>15</v>
      </c>
      <c r="B20" s="40" t="s">
        <v>299</v>
      </c>
      <c r="C20" s="2" t="s">
        <v>300</v>
      </c>
      <c r="D20" s="2" t="s">
        <v>14</v>
      </c>
      <c r="E20" s="2" t="s">
        <v>11</v>
      </c>
      <c r="F20" s="2">
        <v>65</v>
      </c>
      <c r="G20" s="2">
        <v>80</v>
      </c>
      <c r="H20" s="2">
        <v>40</v>
      </c>
      <c r="I20" s="2">
        <v>45</v>
      </c>
      <c r="J20" s="2">
        <v>80</v>
      </c>
      <c r="K20" s="2">
        <v>75</v>
      </c>
      <c r="L20" s="2">
        <v>385</v>
      </c>
      <c r="M20" s="2" t="s">
        <v>1162</v>
      </c>
      <c r="N20" s="2" t="s">
        <v>1061</v>
      </c>
      <c r="O20" t="s">
        <v>301</v>
      </c>
      <c r="P20" t="s">
        <v>301</v>
      </c>
      <c r="Q20" t="s">
        <v>302</v>
      </c>
      <c r="R20" t="s">
        <v>303</v>
      </c>
      <c r="S20" t="s">
        <v>304</v>
      </c>
      <c r="T20" t="s">
        <v>773</v>
      </c>
      <c r="U20" t="s">
        <v>1011</v>
      </c>
      <c r="V20" t="s">
        <v>305</v>
      </c>
      <c r="W20" t="s">
        <v>306</v>
      </c>
      <c r="X20" t="s">
        <v>960</v>
      </c>
      <c r="Y20" t="s">
        <v>997</v>
      </c>
      <c r="Z20" t="s">
        <v>916</v>
      </c>
      <c r="AA20" t="s">
        <v>2355</v>
      </c>
      <c r="AB20" t="s">
        <v>1062</v>
      </c>
      <c r="AC20" t="s">
        <v>226</v>
      </c>
      <c r="AD20" t="s">
        <v>1063</v>
      </c>
      <c r="AE20" t="s">
        <v>148</v>
      </c>
      <c r="AF20" t="s">
        <v>1077</v>
      </c>
      <c r="AG20" t="s">
        <v>172</v>
      </c>
      <c r="AH20" t="s">
        <v>752</v>
      </c>
      <c r="AI20" t="s">
        <v>247</v>
      </c>
      <c r="AJ20" t="s">
        <v>1078</v>
      </c>
      <c r="AK20" t="s">
        <v>1119</v>
      </c>
      <c r="AL20" t="s">
        <v>1079</v>
      </c>
      <c r="AM20" t="s">
        <v>229</v>
      </c>
      <c r="AN20" t="s">
        <v>1080</v>
      </c>
      <c r="AO20" t="s">
        <v>1094</v>
      </c>
      <c r="AP20" t="s">
        <v>230</v>
      </c>
      <c r="AQ20" t="s">
        <v>1081</v>
      </c>
      <c r="AR20" t="s">
        <v>1096</v>
      </c>
      <c r="AS20" t="s">
        <v>917</v>
      </c>
      <c r="AT20" t="s">
        <v>231</v>
      </c>
      <c r="AU20" t="s">
        <v>1082</v>
      </c>
      <c r="AV20" t="s">
        <v>1117</v>
      </c>
      <c r="AW20" t="s">
        <v>1037</v>
      </c>
      <c r="AX20" t="s">
        <v>776</v>
      </c>
      <c r="AY20" t="s">
        <v>1020</v>
      </c>
      <c r="AZ20" t="s">
        <v>995</v>
      </c>
      <c r="BA20" t="s">
        <v>976</v>
      </c>
      <c r="BB20" t="s">
        <v>232</v>
      </c>
      <c r="BC20" t="s">
        <v>145</v>
      </c>
      <c r="BD20" t="s">
        <v>1042</v>
      </c>
      <c r="BE20" t="s">
        <v>1018</v>
      </c>
      <c r="BF20" t="s">
        <v>2369</v>
      </c>
      <c r="BG20" t="s">
        <v>997</v>
      </c>
      <c r="BH20" t="s">
        <v>756</v>
      </c>
      <c r="BI20" t="s">
        <v>757</v>
      </c>
      <c r="BJ20" t="s">
        <v>1014</v>
      </c>
      <c r="BK20" t="s">
        <v>233</v>
      </c>
      <c r="BL20" t="s">
        <v>760</v>
      </c>
      <c r="BM20" t="s">
        <v>2339</v>
      </c>
      <c r="BN20" t="s">
        <v>234</v>
      </c>
      <c r="BO20" t="s">
        <v>239</v>
      </c>
      <c r="BP20" t="s">
        <v>241</v>
      </c>
      <c r="BQ20" t="s">
        <v>296</v>
      </c>
      <c r="BR20" t="s">
        <v>281</v>
      </c>
      <c r="BS20" t="s">
        <v>284</v>
      </c>
      <c r="BT20" t="s">
        <v>1110</v>
      </c>
      <c r="BU20" t="s">
        <v>805</v>
      </c>
      <c r="BV20" t="s">
        <v>806</v>
      </c>
    </row>
    <row r="21" spans="1:90">
      <c r="A21" s="40">
        <v>16</v>
      </c>
      <c r="B21" s="40" t="s">
        <v>307</v>
      </c>
      <c r="C21" s="2" t="s">
        <v>308</v>
      </c>
      <c r="D21" s="2" t="s">
        <v>24</v>
      </c>
      <c r="E21" s="2" t="s">
        <v>20</v>
      </c>
      <c r="F21" s="2">
        <v>40</v>
      </c>
      <c r="G21" s="2">
        <v>45</v>
      </c>
      <c r="H21" s="2">
        <v>40</v>
      </c>
      <c r="I21" s="2">
        <v>35</v>
      </c>
      <c r="J21" s="2">
        <v>35</v>
      </c>
      <c r="K21" s="2">
        <v>56</v>
      </c>
      <c r="L21" s="2">
        <v>251</v>
      </c>
      <c r="M21" s="2" t="s">
        <v>1073</v>
      </c>
      <c r="N21" s="2" t="s">
        <v>1061</v>
      </c>
      <c r="O21" t="s">
        <v>219</v>
      </c>
      <c r="P21" t="s">
        <v>309</v>
      </c>
      <c r="Q21" t="s">
        <v>289</v>
      </c>
      <c r="R21" t="s">
        <v>310</v>
      </c>
      <c r="S21" t="s">
        <v>291</v>
      </c>
      <c r="T21" t="s">
        <v>796</v>
      </c>
      <c r="U21" t="s">
        <v>1121</v>
      </c>
      <c r="V21" t="s">
        <v>306</v>
      </c>
      <c r="W21" t="s">
        <v>264</v>
      </c>
      <c r="X21" t="s">
        <v>1119</v>
      </c>
      <c r="Y21" t="s">
        <v>1009</v>
      </c>
      <c r="Z21" t="s">
        <v>311</v>
      </c>
      <c r="AA21" t="s">
        <v>1101</v>
      </c>
      <c r="AB21" t="s">
        <v>1122</v>
      </c>
      <c r="AC21" t="s">
        <v>1062</v>
      </c>
      <c r="AD21" t="s">
        <v>138</v>
      </c>
      <c r="AE21" t="s">
        <v>1063</v>
      </c>
      <c r="AF21" t="s">
        <v>148</v>
      </c>
      <c r="AG21" t="s">
        <v>172</v>
      </c>
      <c r="AH21" t="s">
        <v>752</v>
      </c>
      <c r="AI21" t="s">
        <v>1078</v>
      </c>
      <c r="AJ21" t="s">
        <v>766</v>
      </c>
      <c r="AK21" t="s">
        <v>1119</v>
      </c>
      <c r="AL21" t="s">
        <v>1079</v>
      </c>
      <c r="AM21" t="s">
        <v>1080</v>
      </c>
      <c r="AN21" t="s">
        <v>230</v>
      </c>
      <c r="AO21" t="s">
        <v>1096</v>
      </c>
      <c r="AP21" t="s">
        <v>917</v>
      </c>
      <c r="AQ21" t="s">
        <v>231</v>
      </c>
      <c r="AR21" t="s">
        <v>1082</v>
      </c>
      <c r="AS21" t="s">
        <v>1117</v>
      </c>
      <c r="AT21" t="s">
        <v>1037</v>
      </c>
      <c r="AU21" t="s">
        <v>1125</v>
      </c>
      <c r="AV21" t="s">
        <v>756</v>
      </c>
      <c r="AW21" t="s">
        <v>757</v>
      </c>
      <c r="AX21" t="s">
        <v>1014</v>
      </c>
      <c r="AY21" t="s">
        <v>233</v>
      </c>
      <c r="AZ21" t="s">
        <v>2339</v>
      </c>
      <c r="BA21" t="s">
        <v>234</v>
      </c>
      <c r="BB21" t="s">
        <v>774</v>
      </c>
      <c r="BC21" t="s">
        <v>771</v>
      </c>
      <c r="BD21" t="s">
        <v>1125</v>
      </c>
      <c r="BE21" t="s">
        <v>773</v>
      </c>
      <c r="BF21" t="s">
        <v>953</v>
      </c>
      <c r="BG21" t="s">
        <v>1118</v>
      </c>
      <c r="BH21" t="s">
        <v>1101</v>
      </c>
      <c r="BI21" t="s">
        <v>1123</v>
      </c>
      <c r="BJ21" t="s">
        <v>1124</v>
      </c>
      <c r="BK21" t="s">
        <v>239</v>
      </c>
      <c r="BL21" t="s">
        <v>241</v>
      </c>
      <c r="BM21" t="s">
        <v>805</v>
      </c>
      <c r="BN21" t="s">
        <v>806</v>
      </c>
    </row>
    <row r="22" spans="1:90">
      <c r="A22" s="40">
        <v>17</v>
      </c>
      <c r="B22" s="40" t="s">
        <v>312</v>
      </c>
      <c r="C22" s="2" t="s">
        <v>313</v>
      </c>
      <c r="D22" s="2" t="s">
        <v>24</v>
      </c>
      <c r="E22" s="2" t="s">
        <v>20</v>
      </c>
      <c r="F22" s="2">
        <v>63</v>
      </c>
      <c r="G22" s="2">
        <v>60</v>
      </c>
      <c r="H22" s="2">
        <v>55</v>
      </c>
      <c r="I22" s="2">
        <v>50</v>
      </c>
      <c r="J22" s="2">
        <v>50</v>
      </c>
      <c r="K22" s="2">
        <v>71</v>
      </c>
      <c r="L22" s="2">
        <v>349</v>
      </c>
      <c r="M22" s="2" t="s">
        <v>1208</v>
      </c>
      <c r="N22" s="2" t="s">
        <v>1061</v>
      </c>
      <c r="O22" t="s">
        <v>289</v>
      </c>
      <c r="P22" t="s">
        <v>309</v>
      </c>
      <c r="Q22" t="s">
        <v>219</v>
      </c>
      <c r="R22" t="s">
        <v>309</v>
      </c>
      <c r="S22" t="s">
        <v>289</v>
      </c>
      <c r="T22" t="s">
        <v>310</v>
      </c>
      <c r="U22" t="s">
        <v>291</v>
      </c>
      <c r="V22" t="s">
        <v>796</v>
      </c>
      <c r="W22" t="s">
        <v>1121</v>
      </c>
      <c r="X22" t="s">
        <v>306</v>
      </c>
      <c r="Y22" t="s">
        <v>264</v>
      </c>
      <c r="Z22" t="s">
        <v>1119</v>
      </c>
      <c r="AA22" t="s">
        <v>1009</v>
      </c>
      <c r="AB22" t="s">
        <v>311</v>
      </c>
      <c r="AC22" t="s">
        <v>1101</v>
      </c>
      <c r="AD22" t="s">
        <v>1122</v>
      </c>
      <c r="AE22" t="s">
        <v>1062</v>
      </c>
      <c r="AF22" t="s">
        <v>138</v>
      </c>
      <c r="AG22" t="s">
        <v>1063</v>
      </c>
      <c r="AH22" t="s">
        <v>148</v>
      </c>
      <c r="AI22" t="s">
        <v>172</v>
      </c>
      <c r="AJ22" t="s">
        <v>752</v>
      </c>
      <c r="AK22" t="s">
        <v>1078</v>
      </c>
      <c r="AL22" t="s">
        <v>766</v>
      </c>
      <c r="AM22" t="s">
        <v>1119</v>
      </c>
      <c r="AN22" t="s">
        <v>1079</v>
      </c>
      <c r="AO22" t="s">
        <v>1080</v>
      </c>
      <c r="AP22" t="s">
        <v>230</v>
      </c>
      <c r="AQ22" t="s">
        <v>1096</v>
      </c>
      <c r="AR22" t="s">
        <v>917</v>
      </c>
      <c r="AS22" t="s">
        <v>231</v>
      </c>
      <c r="AT22" t="s">
        <v>1082</v>
      </c>
      <c r="AU22" t="s">
        <v>1117</v>
      </c>
      <c r="AV22" t="s">
        <v>1037</v>
      </c>
      <c r="AW22" t="s">
        <v>1125</v>
      </c>
      <c r="AX22" t="s">
        <v>756</v>
      </c>
      <c r="AY22" t="s">
        <v>757</v>
      </c>
      <c r="AZ22" t="s">
        <v>1014</v>
      </c>
      <c r="BA22" t="s">
        <v>233</v>
      </c>
      <c r="BB22" t="s">
        <v>2339</v>
      </c>
      <c r="BC22" t="s">
        <v>234</v>
      </c>
      <c r="BD22" t="s">
        <v>774</v>
      </c>
      <c r="BE22" t="s">
        <v>771</v>
      </c>
      <c r="BF22" t="s">
        <v>1125</v>
      </c>
      <c r="BG22" t="s">
        <v>773</v>
      </c>
      <c r="BH22" t="s">
        <v>953</v>
      </c>
      <c r="BI22" t="s">
        <v>1118</v>
      </c>
      <c r="BJ22" t="s">
        <v>1101</v>
      </c>
      <c r="BK22" t="s">
        <v>1123</v>
      </c>
      <c r="BL22" t="s">
        <v>1124</v>
      </c>
      <c r="BM22" t="s">
        <v>239</v>
      </c>
      <c r="BN22" t="s">
        <v>241</v>
      </c>
      <c r="BO22" t="s">
        <v>805</v>
      </c>
      <c r="BP22" t="s">
        <v>806</v>
      </c>
    </row>
    <row r="23" spans="1:90">
      <c r="A23" s="40">
        <v>18</v>
      </c>
      <c r="B23" s="40" t="s">
        <v>314</v>
      </c>
      <c r="C23" s="2" t="s">
        <v>315</v>
      </c>
      <c r="D23" s="2" t="s">
        <v>24</v>
      </c>
      <c r="E23" s="2" t="s">
        <v>20</v>
      </c>
      <c r="F23" s="2">
        <v>83</v>
      </c>
      <c r="G23" s="2">
        <v>80</v>
      </c>
      <c r="H23" s="2">
        <v>75</v>
      </c>
      <c r="I23" s="2">
        <v>70</v>
      </c>
      <c r="J23" s="2">
        <v>70</v>
      </c>
      <c r="K23" s="2">
        <v>91</v>
      </c>
      <c r="L23" s="2">
        <v>469</v>
      </c>
      <c r="M23" s="2" t="s">
        <v>1131</v>
      </c>
      <c r="N23" s="2" t="s">
        <v>1061</v>
      </c>
      <c r="O23" t="s">
        <v>289</v>
      </c>
      <c r="P23" t="s">
        <v>309</v>
      </c>
      <c r="Q23" t="s">
        <v>219</v>
      </c>
      <c r="R23" t="s">
        <v>310</v>
      </c>
      <c r="S23" t="s">
        <v>309</v>
      </c>
      <c r="T23" t="s">
        <v>289</v>
      </c>
      <c r="U23" t="s">
        <v>310</v>
      </c>
      <c r="V23" t="s">
        <v>291</v>
      </c>
      <c r="W23" t="s">
        <v>796</v>
      </c>
      <c r="X23" t="s">
        <v>1121</v>
      </c>
      <c r="Y23" t="s">
        <v>306</v>
      </c>
      <c r="Z23" t="s">
        <v>264</v>
      </c>
      <c r="AA23" t="s">
        <v>1119</v>
      </c>
      <c r="AB23" t="s">
        <v>1009</v>
      </c>
      <c r="AC23" t="s">
        <v>311</v>
      </c>
      <c r="AD23" t="s">
        <v>1101</v>
      </c>
      <c r="AE23" t="s">
        <v>1122</v>
      </c>
      <c r="AF23" t="s">
        <v>1062</v>
      </c>
      <c r="AG23" t="s">
        <v>138</v>
      </c>
      <c r="AH23" t="s">
        <v>1063</v>
      </c>
      <c r="AI23" t="s">
        <v>148</v>
      </c>
      <c r="AJ23" t="s">
        <v>172</v>
      </c>
      <c r="AK23" t="s">
        <v>752</v>
      </c>
      <c r="AL23" t="s">
        <v>247</v>
      </c>
      <c r="AM23" t="s">
        <v>1078</v>
      </c>
      <c r="AN23" t="s">
        <v>766</v>
      </c>
      <c r="AO23" t="s">
        <v>1119</v>
      </c>
      <c r="AP23" t="s">
        <v>1079</v>
      </c>
      <c r="AQ23" t="s">
        <v>1080</v>
      </c>
      <c r="AR23" t="s">
        <v>230</v>
      </c>
      <c r="AS23" t="s">
        <v>1096</v>
      </c>
      <c r="AT23" t="s">
        <v>917</v>
      </c>
      <c r="AU23" t="s">
        <v>231</v>
      </c>
      <c r="AV23" t="s">
        <v>1082</v>
      </c>
      <c r="AW23" t="s">
        <v>1117</v>
      </c>
      <c r="AX23" t="s">
        <v>1037</v>
      </c>
      <c r="AY23" t="s">
        <v>1125</v>
      </c>
      <c r="AZ23" t="s">
        <v>976</v>
      </c>
      <c r="BA23" t="s">
        <v>756</v>
      </c>
      <c r="BB23" t="s">
        <v>757</v>
      </c>
      <c r="BC23" t="s">
        <v>1014</v>
      </c>
      <c r="BD23" t="s">
        <v>233</v>
      </c>
      <c r="BE23" t="s">
        <v>2339</v>
      </c>
      <c r="BF23" t="s">
        <v>234</v>
      </c>
      <c r="BG23" t="s">
        <v>774</v>
      </c>
      <c r="BH23" t="s">
        <v>771</v>
      </c>
      <c r="BI23" t="s">
        <v>1125</v>
      </c>
      <c r="BJ23" t="s">
        <v>773</v>
      </c>
      <c r="BK23" t="s">
        <v>953</v>
      </c>
      <c r="BL23" t="s">
        <v>1118</v>
      </c>
      <c r="BM23" t="s">
        <v>1101</v>
      </c>
      <c r="BN23" t="s">
        <v>1123</v>
      </c>
      <c r="BO23" t="s">
        <v>1124</v>
      </c>
      <c r="BP23" t="s">
        <v>239</v>
      </c>
      <c r="BQ23" t="s">
        <v>241</v>
      </c>
      <c r="BR23" t="s">
        <v>805</v>
      </c>
      <c r="BS23" t="s">
        <v>806</v>
      </c>
    </row>
    <row r="24" spans="1:90">
      <c r="A24" s="40">
        <v>19</v>
      </c>
      <c r="B24" s="40" t="s">
        <v>317</v>
      </c>
      <c r="C24" s="2" t="s">
        <v>318</v>
      </c>
      <c r="D24" s="2" t="s">
        <v>24</v>
      </c>
      <c r="E24" s="2"/>
      <c r="F24" s="2">
        <v>30</v>
      </c>
      <c r="G24" s="2">
        <v>56</v>
      </c>
      <c r="H24" s="2">
        <v>35</v>
      </c>
      <c r="I24" s="2">
        <v>25</v>
      </c>
      <c r="J24" s="2">
        <v>35</v>
      </c>
      <c r="K24" s="2">
        <v>72</v>
      </c>
      <c r="L24" s="2">
        <v>253</v>
      </c>
      <c r="M24" s="2" t="s">
        <v>1165</v>
      </c>
      <c r="N24" s="2" t="s">
        <v>1061</v>
      </c>
      <c r="O24" t="s">
        <v>219</v>
      </c>
      <c r="P24" t="s">
        <v>266</v>
      </c>
      <c r="Q24" t="s">
        <v>310</v>
      </c>
      <c r="R24" t="s">
        <v>302</v>
      </c>
      <c r="S24" t="s">
        <v>258</v>
      </c>
      <c r="T24" t="s">
        <v>773</v>
      </c>
      <c r="U24" t="s">
        <v>319</v>
      </c>
      <c r="V24" t="s">
        <v>1008</v>
      </c>
      <c r="W24" t="s">
        <v>777</v>
      </c>
      <c r="X24" t="s">
        <v>960</v>
      </c>
      <c r="Y24" t="s">
        <v>320</v>
      </c>
      <c r="Z24" t="s">
        <v>225</v>
      </c>
      <c r="AA24" t="s">
        <v>916</v>
      </c>
      <c r="AB24" t="s">
        <v>1062</v>
      </c>
      <c r="AC24" t="s">
        <v>226</v>
      </c>
      <c r="AD24" t="s">
        <v>1063</v>
      </c>
      <c r="AE24" t="s">
        <v>148</v>
      </c>
      <c r="AF24" t="s">
        <v>172</v>
      </c>
      <c r="AG24" t="s">
        <v>752</v>
      </c>
      <c r="AH24" t="s">
        <v>1126</v>
      </c>
      <c r="AI24" t="s">
        <v>141</v>
      </c>
      <c r="AJ24" t="s">
        <v>271</v>
      </c>
      <c r="AK24" t="s">
        <v>1078</v>
      </c>
      <c r="AL24" t="s">
        <v>766</v>
      </c>
      <c r="AM24" t="s">
        <v>1079</v>
      </c>
      <c r="AN24" t="s">
        <v>146</v>
      </c>
      <c r="AO24" t="s">
        <v>321</v>
      </c>
      <c r="AP24" t="s">
        <v>1080</v>
      </c>
      <c r="AQ24" t="s">
        <v>256</v>
      </c>
      <c r="AR24" t="s">
        <v>174</v>
      </c>
      <c r="AS24" t="s">
        <v>230</v>
      </c>
      <c r="AT24" t="s">
        <v>917</v>
      </c>
      <c r="AU24" t="s">
        <v>231</v>
      </c>
      <c r="AV24" t="s">
        <v>1082</v>
      </c>
      <c r="AW24" t="s">
        <v>1117</v>
      </c>
      <c r="AX24" t="s">
        <v>1037</v>
      </c>
      <c r="AY24" t="s">
        <v>963</v>
      </c>
      <c r="AZ24" t="s">
        <v>1036</v>
      </c>
      <c r="BA24" t="s">
        <v>322</v>
      </c>
      <c r="BB24" t="s">
        <v>977</v>
      </c>
      <c r="BC24" t="s">
        <v>756</v>
      </c>
      <c r="BD24" t="s">
        <v>1014</v>
      </c>
      <c r="BE24" t="s">
        <v>233</v>
      </c>
      <c r="BF24" t="s">
        <v>1047</v>
      </c>
      <c r="BG24" t="s">
        <v>760</v>
      </c>
      <c r="BH24" t="s">
        <v>234</v>
      </c>
      <c r="BI24" t="s">
        <v>258</v>
      </c>
      <c r="BJ24" t="s">
        <v>259</v>
      </c>
      <c r="BK24" t="s">
        <v>324</v>
      </c>
      <c r="BL24" t="s">
        <v>323</v>
      </c>
      <c r="BM24" t="s">
        <v>1127</v>
      </c>
      <c r="BN24" t="s">
        <v>775</v>
      </c>
      <c r="BO24" t="s">
        <v>953</v>
      </c>
      <c r="BP24" t="s">
        <v>1128</v>
      </c>
      <c r="BQ24" t="s">
        <v>989</v>
      </c>
      <c r="BR24" t="s">
        <v>986</v>
      </c>
      <c r="BS24" t="s">
        <v>1024</v>
      </c>
      <c r="BT24" t="s">
        <v>239</v>
      </c>
      <c r="BU24" t="s">
        <v>241</v>
      </c>
      <c r="BV24" t="s">
        <v>805</v>
      </c>
      <c r="BW24" t="s">
        <v>806</v>
      </c>
    </row>
    <row r="25" spans="1:90">
      <c r="A25" s="40">
        <v>20</v>
      </c>
      <c r="B25" s="40" t="s">
        <v>325</v>
      </c>
      <c r="C25" s="2" t="s">
        <v>326</v>
      </c>
      <c r="D25" s="2" t="s">
        <v>24</v>
      </c>
      <c r="E25" s="2"/>
      <c r="F25" s="2">
        <v>55</v>
      </c>
      <c r="G25" s="2">
        <v>81</v>
      </c>
      <c r="H25" s="2">
        <v>60</v>
      </c>
      <c r="I25" s="2">
        <v>50</v>
      </c>
      <c r="J25" s="2">
        <v>70</v>
      </c>
      <c r="K25" s="2">
        <v>97</v>
      </c>
      <c r="L25" s="2">
        <v>413</v>
      </c>
      <c r="M25" s="2" t="s">
        <v>1141</v>
      </c>
      <c r="N25" s="2" t="s">
        <v>1061</v>
      </c>
      <c r="O25" t="s">
        <v>145</v>
      </c>
      <c r="P25" t="s">
        <v>219</v>
      </c>
      <c r="Q25" t="s">
        <v>266</v>
      </c>
      <c r="R25" t="s">
        <v>310</v>
      </c>
      <c r="S25" t="s">
        <v>302</v>
      </c>
      <c r="T25" t="s">
        <v>310</v>
      </c>
      <c r="U25" t="s">
        <v>302</v>
      </c>
      <c r="V25" t="s">
        <v>258</v>
      </c>
      <c r="W25" t="s">
        <v>773</v>
      </c>
      <c r="X25" t="s">
        <v>319</v>
      </c>
      <c r="Y25" t="s">
        <v>1008</v>
      </c>
      <c r="Z25" t="s">
        <v>1092</v>
      </c>
      <c r="AA25" t="s">
        <v>777</v>
      </c>
      <c r="AB25" t="s">
        <v>960</v>
      </c>
      <c r="AC25" t="s">
        <v>320</v>
      </c>
      <c r="AD25" t="s">
        <v>225</v>
      </c>
      <c r="AE25" t="s">
        <v>916</v>
      </c>
      <c r="AF25" t="s">
        <v>1062</v>
      </c>
      <c r="AG25" t="s">
        <v>226</v>
      </c>
      <c r="AH25" t="s">
        <v>227</v>
      </c>
      <c r="AI25" t="s">
        <v>1063</v>
      </c>
      <c r="AJ25" t="s">
        <v>246</v>
      </c>
      <c r="AK25" t="s">
        <v>148</v>
      </c>
      <c r="AL25" t="s">
        <v>172</v>
      </c>
      <c r="AM25" t="s">
        <v>752</v>
      </c>
      <c r="AN25" t="s">
        <v>1126</v>
      </c>
      <c r="AO25" t="s">
        <v>141</v>
      </c>
      <c r="AP25" t="s">
        <v>271</v>
      </c>
      <c r="AQ25" t="s">
        <v>247</v>
      </c>
      <c r="AR25" t="s">
        <v>1078</v>
      </c>
      <c r="AS25" t="s">
        <v>766</v>
      </c>
      <c r="AT25" t="s">
        <v>1079</v>
      </c>
      <c r="AU25" t="s">
        <v>146</v>
      </c>
      <c r="AV25" t="s">
        <v>321</v>
      </c>
      <c r="AW25" t="s">
        <v>1080</v>
      </c>
      <c r="AX25" t="s">
        <v>256</v>
      </c>
      <c r="AY25" t="s">
        <v>174</v>
      </c>
      <c r="AZ25" t="s">
        <v>230</v>
      </c>
      <c r="BA25" t="s">
        <v>917</v>
      </c>
      <c r="BB25" t="s">
        <v>231</v>
      </c>
      <c r="BC25" t="s">
        <v>1082</v>
      </c>
      <c r="BD25" t="s">
        <v>1117</v>
      </c>
      <c r="BE25" t="s">
        <v>1037</v>
      </c>
      <c r="BF25" t="s">
        <v>963</v>
      </c>
      <c r="BG25" t="s">
        <v>1036</v>
      </c>
      <c r="BH25" t="s">
        <v>976</v>
      </c>
      <c r="BI25" t="s">
        <v>322</v>
      </c>
      <c r="BJ25" t="s">
        <v>145</v>
      </c>
      <c r="BK25" t="s">
        <v>977</v>
      </c>
      <c r="BL25" t="s">
        <v>756</v>
      </c>
      <c r="BM25" t="s">
        <v>1014</v>
      </c>
      <c r="BN25" t="s">
        <v>233</v>
      </c>
      <c r="BO25" t="s">
        <v>1047</v>
      </c>
      <c r="BP25" t="s">
        <v>760</v>
      </c>
      <c r="BQ25" t="s">
        <v>234</v>
      </c>
      <c r="BR25" t="s">
        <v>258</v>
      </c>
      <c r="BS25" t="s">
        <v>259</v>
      </c>
      <c r="BT25" t="s">
        <v>324</v>
      </c>
      <c r="BU25" t="s">
        <v>323</v>
      </c>
      <c r="BV25" t="s">
        <v>1127</v>
      </c>
      <c r="BW25" t="s">
        <v>775</v>
      </c>
      <c r="BX25" t="s">
        <v>953</v>
      </c>
      <c r="BY25" t="s">
        <v>1128</v>
      </c>
      <c r="BZ25" t="s">
        <v>989</v>
      </c>
      <c r="CA25" t="s">
        <v>986</v>
      </c>
      <c r="CB25" t="s">
        <v>1024</v>
      </c>
      <c r="CC25" t="s">
        <v>239</v>
      </c>
      <c r="CD25" t="s">
        <v>241</v>
      </c>
      <c r="CE25" t="s">
        <v>805</v>
      </c>
      <c r="CF25" t="s">
        <v>806</v>
      </c>
    </row>
    <row r="26" spans="1:90">
      <c r="A26" s="40">
        <v>21</v>
      </c>
      <c r="B26" s="40" t="s">
        <v>327</v>
      </c>
      <c r="C26" s="2" t="s">
        <v>328</v>
      </c>
      <c r="D26" s="2" t="s">
        <v>24</v>
      </c>
      <c r="E26" s="2" t="s">
        <v>20</v>
      </c>
      <c r="F26" s="2">
        <v>40</v>
      </c>
      <c r="G26" s="2">
        <v>60</v>
      </c>
      <c r="H26" s="2">
        <v>30</v>
      </c>
      <c r="I26" s="2">
        <v>31</v>
      </c>
      <c r="J26" s="2">
        <v>31</v>
      </c>
      <c r="K26" s="2">
        <v>70</v>
      </c>
      <c r="L26" s="2">
        <v>262</v>
      </c>
      <c r="M26" s="2" t="s">
        <v>1071</v>
      </c>
      <c r="N26" s="2" t="s">
        <v>1061</v>
      </c>
      <c r="O26" t="s">
        <v>220</v>
      </c>
      <c r="P26" t="s">
        <v>329</v>
      </c>
      <c r="Q26" t="s">
        <v>330</v>
      </c>
      <c r="R26" t="s">
        <v>301</v>
      </c>
      <c r="S26" t="s">
        <v>773</v>
      </c>
      <c r="T26" t="s">
        <v>1096</v>
      </c>
      <c r="U26" t="s">
        <v>311</v>
      </c>
      <c r="V26" t="s">
        <v>306</v>
      </c>
      <c r="W26" t="s">
        <v>960</v>
      </c>
      <c r="X26" t="s">
        <v>1119</v>
      </c>
      <c r="Y26" t="s">
        <v>331</v>
      </c>
      <c r="Z26" t="s">
        <v>1062</v>
      </c>
      <c r="AA26" t="s">
        <v>138</v>
      </c>
      <c r="AB26" t="s">
        <v>1063</v>
      </c>
      <c r="AC26" t="s">
        <v>148</v>
      </c>
      <c r="AD26" t="s">
        <v>172</v>
      </c>
      <c r="AE26" t="s">
        <v>752</v>
      </c>
      <c r="AF26" t="s">
        <v>1078</v>
      </c>
      <c r="AG26" t="s">
        <v>766</v>
      </c>
      <c r="AH26" t="s">
        <v>1119</v>
      </c>
      <c r="AI26" t="s">
        <v>1079</v>
      </c>
      <c r="AJ26" t="s">
        <v>1080</v>
      </c>
      <c r="AK26" t="s">
        <v>230</v>
      </c>
      <c r="AL26" t="s">
        <v>1096</v>
      </c>
      <c r="AM26" t="s">
        <v>917</v>
      </c>
      <c r="AN26" t="s">
        <v>231</v>
      </c>
      <c r="AO26" t="s">
        <v>1082</v>
      </c>
      <c r="AP26" t="s">
        <v>1117</v>
      </c>
      <c r="AQ26" t="s">
        <v>1037</v>
      </c>
      <c r="AR26" t="s">
        <v>1083</v>
      </c>
      <c r="AS26" t="s">
        <v>1125</v>
      </c>
      <c r="AT26" t="s">
        <v>776</v>
      </c>
      <c r="AU26" t="s">
        <v>756</v>
      </c>
      <c r="AV26" t="s">
        <v>757</v>
      </c>
      <c r="AW26" t="s">
        <v>1014</v>
      </c>
      <c r="AX26" t="s">
        <v>233</v>
      </c>
      <c r="AY26" t="s">
        <v>2339</v>
      </c>
      <c r="AZ26" t="s">
        <v>234</v>
      </c>
      <c r="BA26" t="s">
        <v>332</v>
      </c>
      <c r="BB26" t="s">
        <v>291</v>
      </c>
      <c r="BC26" t="s">
        <v>310</v>
      </c>
      <c r="BD26" t="s">
        <v>316</v>
      </c>
      <c r="BE26" t="s">
        <v>333</v>
      </c>
      <c r="BF26" t="s">
        <v>1092</v>
      </c>
      <c r="BG26" t="s">
        <v>774</v>
      </c>
      <c r="BH26" t="s">
        <v>1125</v>
      </c>
      <c r="BI26" t="s">
        <v>953</v>
      </c>
      <c r="BJ26" t="s">
        <v>1121</v>
      </c>
      <c r="BK26" t="s">
        <v>1130</v>
      </c>
      <c r="BL26" t="s">
        <v>239</v>
      </c>
      <c r="BM26" t="s">
        <v>241</v>
      </c>
      <c r="BN26" t="s">
        <v>805</v>
      </c>
      <c r="BO26" t="s">
        <v>806</v>
      </c>
    </row>
    <row r="27" spans="1:90">
      <c r="A27" s="40">
        <v>22</v>
      </c>
      <c r="B27" s="40" t="s">
        <v>334</v>
      </c>
      <c r="C27" s="2" t="s">
        <v>335</v>
      </c>
      <c r="D27" s="2" t="s">
        <v>24</v>
      </c>
      <c r="E27" s="2" t="s">
        <v>20</v>
      </c>
      <c r="F27" s="2">
        <v>65</v>
      </c>
      <c r="G27" s="2">
        <v>90</v>
      </c>
      <c r="H27" s="2">
        <v>65</v>
      </c>
      <c r="I27" s="2">
        <v>61</v>
      </c>
      <c r="J27" s="2">
        <v>61</v>
      </c>
      <c r="K27" s="2">
        <v>100</v>
      </c>
      <c r="L27" s="2">
        <v>442</v>
      </c>
      <c r="M27" s="2" t="s">
        <v>1112</v>
      </c>
      <c r="N27" s="2" t="s">
        <v>1061</v>
      </c>
      <c r="O27" t="s">
        <v>301</v>
      </c>
      <c r="P27" t="s">
        <v>330</v>
      </c>
      <c r="Q27" t="s">
        <v>220</v>
      </c>
      <c r="R27" t="s">
        <v>329</v>
      </c>
      <c r="S27" t="s">
        <v>996</v>
      </c>
      <c r="T27" t="s">
        <v>330</v>
      </c>
      <c r="U27" t="s">
        <v>301</v>
      </c>
      <c r="V27" t="s">
        <v>773</v>
      </c>
      <c r="W27" t="s">
        <v>1096</v>
      </c>
      <c r="X27" t="s">
        <v>311</v>
      </c>
      <c r="Y27" t="s">
        <v>306</v>
      </c>
      <c r="Z27" t="s">
        <v>960</v>
      </c>
      <c r="AA27" t="s">
        <v>1119</v>
      </c>
      <c r="AB27" t="s">
        <v>331</v>
      </c>
      <c r="AC27" t="s">
        <v>1132</v>
      </c>
      <c r="AD27" t="s">
        <v>1062</v>
      </c>
      <c r="AE27" t="s">
        <v>138</v>
      </c>
      <c r="AF27" t="s">
        <v>1063</v>
      </c>
      <c r="AG27" t="s">
        <v>148</v>
      </c>
      <c r="AH27" t="s">
        <v>172</v>
      </c>
      <c r="AI27" t="s">
        <v>752</v>
      </c>
      <c r="AJ27" t="s">
        <v>247</v>
      </c>
      <c r="AK27" t="s">
        <v>1078</v>
      </c>
      <c r="AL27" t="s">
        <v>766</v>
      </c>
      <c r="AM27" t="s">
        <v>1119</v>
      </c>
      <c r="AN27" t="s">
        <v>1079</v>
      </c>
      <c r="AO27" t="s">
        <v>1080</v>
      </c>
      <c r="AP27" t="s">
        <v>230</v>
      </c>
      <c r="AQ27" t="s">
        <v>1096</v>
      </c>
      <c r="AR27" t="s">
        <v>917</v>
      </c>
      <c r="AS27" t="s">
        <v>231</v>
      </c>
      <c r="AT27" t="s">
        <v>1082</v>
      </c>
      <c r="AU27" t="s">
        <v>1117</v>
      </c>
      <c r="AV27" t="s">
        <v>1037</v>
      </c>
      <c r="AW27" t="s">
        <v>1083</v>
      </c>
      <c r="AX27" t="s">
        <v>1125</v>
      </c>
      <c r="AY27" t="s">
        <v>776</v>
      </c>
      <c r="AZ27" t="s">
        <v>976</v>
      </c>
      <c r="BA27" t="s">
        <v>756</v>
      </c>
      <c r="BB27" t="s">
        <v>757</v>
      </c>
      <c r="BC27" t="s">
        <v>1014</v>
      </c>
      <c r="BD27" t="s">
        <v>233</v>
      </c>
      <c r="BE27" t="s">
        <v>2339</v>
      </c>
      <c r="BF27" t="s">
        <v>234</v>
      </c>
      <c r="BG27" t="s">
        <v>332</v>
      </c>
      <c r="BH27" t="s">
        <v>291</v>
      </c>
      <c r="BI27" t="s">
        <v>310</v>
      </c>
      <c r="BJ27" t="s">
        <v>316</v>
      </c>
      <c r="BK27" t="s">
        <v>333</v>
      </c>
      <c r="BL27" t="s">
        <v>1092</v>
      </c>
      <c r="BM27" t="s">
        <v>774</v>
      </c>
      <c r="BN27" t="s">
        <v>1125</v>
      </c>
      <c r="BO27" t="s">
        <v>953</v>
      </c>
      <c r="BP27" t="s">
        <v>1121</v>
      </c>
      <c r="BQ27" t="s">
        <v>1130</v>
      </c>
      <c r="BR27" t="s">
        <v>239</v>
      </c>
      <c r="BS27" t="s">
        <v>241</v>
      </c>
      <c r="BT27" t="s">
        <v>805</v>
      </c>
      <c r="BU27" t="s">
        <v>806</v>
      </c>
    </row>
    <row r="28" spans="1:90">
      <c r="A28" s="40">
        <v>23</v>
      </c>
      <c r="B28" s="40" t="s">
        <v>336</v>
      </c>
      <c r="C28" s="2" t="s">
        <v>337</v>
      </c>
      <c r="D28" s="2" t="s">
        <v>11</v>
      </c>
      <c r="E28" s="2"/>
      <c r="F28" s="2">
        <v>35</v>
      </c>
      <c r="G28" s="2">
        <v>60</v>
      </c>
      <c r="H28" s="2">
        <v>44</v>
      </c>
      <c r="I28" s="2">
        <v>40</v>
      </c>
      <c r="J28" s="2">
        <v>54</v>
      </c>
      <c r="K28" s="2">
        <v>55</v>
      </c>
      <c r="L28" s="2">
        <v>288</v>
      </c>
      <c r="M28" s="2" t="s">
        <v>1074</v>
      </c>
      <c r="N28" s="2" t="s">
        <v>1061</v>
      </c>
      <c r="O28" t="s">
        <v>338</v>
      </c>
      <c r="P28" t="s">
        <v>330</v>
      </c>
      <c r="Q28" t="s">
        <v>296</v>
      </c>
      <c r="R28" t="s">
        <v>258</v>
      </c>
      <c r="S28" t="s">
        <v>139</v>
      </c>
      <c r="T28" t="s">
        <v>324</v>
      </c>
      <c r="U28" t="s">
        <v>339</v>
      </c>
      <c r="V28" t="s">
        <v>946</v>
      </c>
      <c r="W28" t="s">
        <v>1133</v>
      </c>
      <c r="X28" t="s">
        <v>948</v>
      </c>
      <c r="Y28" t="s">
        <v>1134</v>
      </c>
      <c r="Z28" t="s">
        <v>990</v>
      </c>
      <c r="AA28" t="s">
        <v>975</v>
      </c>
      <c r="AB28" t="s">
        <v>2335</v>
      </c>
      <c r="AC28" t="s">
        <v>272</v>
      </c>
      <c r="AD28" t="s">
        <v>1135</v>
      </c>
      <c r="AE28" t="s">
        <v>979</v>
      </c>
      <c r="AF28" t="s">
        <v>1062</v>
      </c>
      <c r="AG28" t="s">
        <v>227</v>
      </c>
      <c r="AH28" t="s">
        <v>1063</v>
      </c>
      <c r="AI28" t="s">
        <v>148</v>
      </c>
      <c r="AJ28" t="s">
        <v>1077</v>
      </c>
      <c r="AK28" t="s">
        <v>172</v>
      </c>
      <c r="AL28" t="s">
        <v>752</v>
      </c>
      <c r="AM28" t="s">
        <v>1078</v>
      </c>
      <c r="AN28" t="s">
        <v>766</v>
      </c>
      <c r="AO28" t="s">
        <v>1079</v>
      </c>
      <c r="AP28" t="s">
        <v>136</v>
      </c>
      <c r="AQ28" t="s">
        <v>1080</v>
      </c>
      <c r="AR28" t="s">
        <v>256</v>
      </c>
      <c r="AS28" t="s">
        <v>230</v>
      </c>
      <c r="AT28" t="s">
        <v>186</v>
      </c>
      <c r="AU28" t="s">
        <v>1081</v>
      </c>
      <c r="AV28" t="s">
        <v>1095</v>
      </c>
      <c r="AW28" t="s">
        <v>951</v>
      </c>
      <c r="AX28" t="s">
        <v>917</v>
      </c>
      <c r="AY28" t="s">
        <v>231</v>
      </c>
      <c r="AZ28" t="s">
        <v>1082</v>
      </c>
      <c r="BA28" t="s">
        <v>1117</v>
      </c>
      <c r="BB28" t="s">
        <v>1037</v>
      </c>
      <c r="BC28" t="s">
        <v>995</v>
      </c>
      <c r="BD28" t="s">
        <v>1021</v>
      </c>
      <c r="BE28" t="s">
        <v>143</v>
      </c>
      <c r="BF28" t="s">
        <v>2369</v>
      </c>
      <c r="BG28" t="s">
        <v>997</v>
      </c>
      <c r="BH28" t="s">
        <v>756</v>
      </c>
      <c r="BI28" t="s">
        <v>757</v>
      </c>
      <c r="BJ28" t="s">
        <v>233</v>
      </c>
      <c r="BK28" t="s">
        <v>1157</v>
      </c>
      <c r="BL28" t="s">
        <v>2339</v>
      </c>
      <c r="BM28" t="s">
        <v>234</v>
      </c>
      <c r="BN28" t="s">
        <v>341</v>
      </c>
      <c r="BO28" t="s">
        <v>340</v>
      </c>
      <c r="BP28" t="s">
        <v>778</v>
      </c>
      <c r="BQ28" t="s">
        <v>1092</v>
      </c>
      <c r="BR28" t="s">
        <v>773</v>
      </c>
      <c r="BS28" t="s">
        <v>761</v>
      </c>
      <c r="BT28" t="s">
        <v>763</v>
      </c>
      <c r="BU28" t="s">
        <v>945</v>
      </c>
      <c r="BV28" t="s">
        <v>935</v>
      </c>
      <c r="BW28" t="s">
        <v>936</v>
      </c>
      <c r="BX28" t="s">
        <v>1008</v>
      </c>
      <c r="BY28" t="s">
        <v>1136</v>
      </c>
      <c r="BZ28" t="s">
        <v>239</v>
      </c>
      <c r="CA28" t="s">
        <v>241</v>
      </c>
      <c r="CB28" t="s">
        <v>805</v>
      </c>
      <c r="CC28" t="s">
        <v>806</v>
      </c>
    </row>
    <row r="29" spans="1:90">
      <c r="A29" s="40">
        <v>24</v>
      </c>
      <c r="B29" s="40" t="s">
        <v>342</v>
      </c>
      <c r="C29" s="2" t="s">
        <v>343</v>
      </c>
      <c r="D29" s="2" t="s">
        <v>11</v>
      </c>
      <c r="E29" s="2"/>
      <c r="F29" s="2">
        <v>60</v>
      </c>
      <c r="G29" s="2">
        <v>85</v>
      </c>
      <c r="H29" s="2">
        <v>69</v>
      </c>
      <c r="I29" s="2">
        <v>65</v>
      </c>
      <c r="J29" s="2">
        <v>79</v>
      </c>
      <c r="K29" s="2">
        <v>80</v>
      </c>
      <c r="L29" s="2">
        <v>438</v>
      </c>
      <c r="M29" s="2" t="s">
        <v>1168</v>
      </c>
      <c r="N29" s="2" t="s">
        <v>1061</v>
      </c>
      <c r="O29" t="s">
        <v>338</v>
      </c>
      <c r="P29" t="s">
        <v>296</v>
      </c>
      <c r="Q29" t="s">
        <v>330</v>
      </c>
      <c r="R29" t="s">
        <v>258</v>
      </c>
      <c r="S29" t="s">
        <v>1010</v>
      </c>
      <c r="T29" t="s">
        <v>983</v>
      </c>
      <c r="U29" t="s">
        <v>182</v>
      </c>
      <c r="V29" t="s">
        <v>296</v>
      </c>
      <c r="W29" t="s">
        <v>258</v>
      </c>
      <c r="X29" t="s">
        <v>139</v>
      </c>
      <c r="Y29" t="s">
        <v>324</v>
      </c>
      <c r="Z29" t="s">
        <v>339</v>
      </c>
      <c r="AA29" t="s">
        <v>777</v>
      </c>
      <c r="AB29" t="s">
        <v>946</v>
      </c>
      <c r="AC29" t="s">
        <v>1133</v>
      </c>
      <c r="AD29" t="s">
        <v>948</v>
      </c>
      <c r="AE29" t="s">
        <v>1134</v>
      </c>
      <c r="AF29" t="s">
        <v>990</v>
      </c>
      <c r="AG29" t="s">
        <v>975</v>
      </c>
      <c r="AH29" t="s">
        <v>2335</v>
      </c>
      <c r="AI29" t="s">
        <v>272</v>
      </c>
      <c r="AJ29" t="s">
        <v>1135</v>
      </c>
      <c r="AK29" t="s">
        <v>979</v>
      </c>
      <c r="AL29" t="s">
        <v>1062</v>
      </c>
      <c r="AM29" t="s">
        <v>227</v>
      </c>
      <c r="AN29" t="s">
        <v>1063</v>
      </c>
      <c r="AO29" t="s">
        <v>148</v>
      </c>
      <c r="AP29" t="s">
        <v>1077</v>
      </c>
      <c r="AQ29" t="s">
        <v>172</v>
      </c>
      <c r="AR29" t="s">
        <v>752</v>
      </c>
      <c r="AS29" t="s">
        <v>247</v>
      </c>
      <c r="AT29" t="s">
        <v>1078</v>
      </c>
      <c r="AU29" t="s">
        <v>766</v>
      </c>
      <c r="AV29" t="s">
        <v>1079</v>
      </c>
      <c r="AW29" t="s">
        <v>136</v>
      </c>
      <c r="AX29" t="s">
        <v>1080</v>
      </c>
      <c r="AY29" t="s">
        <v>256</v>
      </c>
      <c r="AZ29" t="s">
        <v>230</v>
      </c>
      <c r="BA29" t="s">
        <v>186</v>
      </c>
      <c r="BB29" t="s">
        <v>1081</v>
      </c>
      <c r="BC29" t="s">
        <v>1095</v>
      </c>
      <c r="BD29" t="s">
        <v>951</v>
      </c>
      <c r="BE29" t="s">
        <v>917</v>
      </c>
      <c r="BF29" t="s">
        <v>231</v>
      </c>
      <c r="BG29" t="s">
        <v>1082</v>
      </c>
      <c r="BH29" t="s">
        <v>1117</v>
      </c>
      <c r="BI29" t="s">
        <v>1037</v>
      </c>
      <c r="BJ29" t="s">
        <v>995</v>
      </c>
      <c r="BK29" t="s">
        <v>976</v>
      </c>
      <c r="BL29" t="s">
        <v>1021</v>
      </c>
      <c r="BM29" t="s">
        <v>143</v>
      </c>
      <c r="BN29" t="s">
        <v>1022</v>
      </c>
      <c r="BO29" t="s">
        <v>2369</v>
      </c>
      <c r="BP29" t="s">
        <v>997</v>
      </c>
      <c r="BQ29" t="s">
        <v>756</v>
      </c>
      <c r="BR29" t="s">
        <v>757</v>
      </c>
      <c r="BS29" t="s">
        <v>233</v>
      </c>
      <c r="BT29" t="s">
        <v>1157</v>
      </c>
      <c r="BU29" t="s">
        <v>2339</v>
      </c>
      <c r="BV29" t="s">
        <v>234</v>
      </c>
      <c r="BW29" t="s">
        <v>341</v>
      </c>
      <c r="BX29" t="s">
        <v>340</v>
      </c>
      <c r="BY29" t="s">
        <v>778</v>
      </c>
      <c r="BZ29" t="s">
        <v>1092</v>
      </c>
      <c r="CA29" t="s">
        <v>773</v>
      </c>
      <c r="CB29" t="s">
        <v>761</v>
      </c>
      <c r="CC29" t="s">
        <v>763</v>
      </c>
      <c r="CD29" t="s">
        <v>945</v>
      </c>
      <c r="CE29" t="s">
        <v>935</v>
      </c>
      <c r="CF29" t="s">
        <v>936</v>
      </c>
      <c r="CG29" t="s">
        <v>1008</v>
      </c>
      <c r="CH29" t="s">
        <v>1136</v>
      </c>
      <c r="CI29" t="s">
        <v>239</v>
      </c>
      <c r="CJ29" t="s">
        <v>241</v>
      </c>
      <c r="CK29" t="s">
        <v>805</v>
      </c>
      <c r="CL29" t="s">
        <v>806</v>
      </c>
    </row>
    <row r="30" spans="1:90">
      <c r="A30" s="40">
        <v>25</v>
      </c>
      <c r="B30" s="40" t="s">
        <v>344</v>
      </c>
      <c r="C30" s="2" t="s">
        <v>345</v>
      </c>
      <c r="D30" s="2" t="s">
        <v>17</v>
      </c>
      <c r="E30" s="2"/>
      <c r="F30" s="2">
        <v>35</v>
      </c>
      <c r="G30" s="2">
        <v>55</v>
      </c>
      <c r="H30" s="2">
        <v>30</v>
      </c>
      <c r="I30" s="2">
        <v>50</v>
      </c>
      <c r="J30" s="2">
        <v>40</v>
      </c>
      <c r="K30" s="2">
        <v>90</v>
      </c>
      <c r="L30" s="2">
        <v>300</v>
      </c>
      <c r="M30" s="2" t="s">
        <v>1129</v>
      </c>
      <c r="N30" s="2" t="s">
        <v>1061</v>
      </c>
      <c r="O30" t="s">
        <v>266</v>
      </c>
      <c r="P30" t="s">
        <v>346</v>
      </c>
      <c r="Q30" t="s">
        <v>220</v>
      </c>
      <c r="R30" t="s">
        <v>2393</v>
      </c>
      <c r="S30" t="s">
        <v>310</v>
      </c>
      <c r="T30" t="s">
        <v>322</v>
      </c>
      <c r="U30" t="s">
        <v>1023</v>
      </c>
      <c r="V30" t="s">
        <v>230</v>
      </c>
      <c r="W30" t="s">
        <v>2385</v>
      </c>
      <c r="X30" t="s">
        <v>341</v>
      </c>
      <c r="Y30" t="s">
        <v>146</v>
      </c>
      <c r="Z30" t="s">
        <v>971</v>
      </c>
      <c r="AA30" t="s">
        <v>306</v>
      </c>
      <c r="AB30" t="s">
        <v>1138</v>
      </c>
      <c r="AC30" t="s">
        <v>228</v>
      </c>
      <c r="AD30" t="s">
        <v>321</v>
      </c>
      <c r="AE30" t="s">
        <v>1062</v>
      </c>
      <c r="AF30" t="s">
        <v>227</v>
      </c>
      <c r="AG30" t="s">
        <v>1063</v>
      </c>
      <c r="AH30" t="s">
        <v>148</v>
      </c>
      <c r="AI30" t="s">
        <v>172</v>
      </c>
      <c r="AJ30" t="s">
        <v>228</v>
      </c>
      <c r="AK30" t="s">
        <v>1078</v>
      </c>
      <c r="AL30" t="s">
        <v>766</v>
      </c>
      <c r="AM30" t="s">
        <v>1079</v>
      </c>
      <c r="AN30" t="s">
        <v>146</v>
      </c>
      <c r="AO30" t="s">
        <v>321</v>
      </c>
      <c r="AP30" t="s">
        <v>1080</v>
      </c>
      <c r="AQ30" t="s">
        <v>256</v>
      </c>
      <c r="AR30" t="s">
        <v>1094</v>
      </c>
      <c r="AS30" t="s">
        <v>230</v>
      </c>
      <c r="AT30" t="s">
        <v>917</v>
      </c>
      <c r="AU30" t="s">
        <v>231</v>
      </c>
      <c r="AV30" t="s">
        <v>1082</v>
      </c>
      <c r="AW30" t="s">
        <v>1037</v>
      </c>
      <c r="AX30" t="s">
        <v>1083</v>
      </c>
      <c r="AY30" t="s">
        <v>974</v>
      </c>
      <c r="AZ30" t="s">
        <v>963</v>
      </c>
      <c r="BA30" t="s">
        <v>232</v>
      </c>
      <c r="BB30" t="s">
        <v>1045</v>
      </c>
      <c r="BC30" t="s">
        <v>322</v>
      </c>
      <c r="BD30" t="s">
        <v>977</v>
      </c>
      <c r="BE30" t="s">
        <v>756</v>
      </c>
      <c r="BF30" t="s">
        <v>757</v>
      </c>
      <c r="BG30" t="s">
        <v>233</v>
      </c>
      <c r="BH30" t="s">
        <v>1047</v>
      </c>
      <c r="BI30" t="s">
        <v>760</v>
      </c>
      <c r="BJ30" t="s">
        <v>2339</v>
      </c>
      <c r="BK30" t="s">
        <v>234</v>
      </c>
      <c r="BL30" t="s">
        <v>348</v>
      </c>
      <c r="BM30" t="s">
        <v>147</v>
      </c>
      <c r="BN30" t="s">
        <v>347</v>
      </c>
      <c r="BO30" t="s">
        <v>770</v>
      </c>
      <c r="BP30" t="s">
        <v>775</v>
      </c>
      <c r="BQ30" t="s">
        <v>754</v>
      </c>
      <c r="BR30" t="s">
        <v>780</v>
      </c>
      <c r="BS30" t="s">
        <v>779</v>
      </c>
      <c r="BT30" t="s">
        <v>176</v>
      </c>
      <c r="BU30" t="s">
        <v>1140</v>
      </c>
      <c r="BV30" t="s">
        <v>957</v>
      </c>
      <c r="BW30" t="s">
        <v>950</v>
      </c>
      <c r="BX30" t="s">
        <v>2158</v>
      </c>
      <c r="BY30" t="s">
        <v>987</v>
      </c>
      <c r="BZ30" t="s">
        <v>1139</v>
      </c>
      <c r="CA30" t="s">
        <v>2343</v>
      </c>
      <c r="CB30" t="s">
        <v>239</v>
      </c>
      <c r="CC30" t="s">
        <v>241</v>
      </c>
      <c r="CD30" t="s">
        <v>781</v>
      </c>
      <c r="CE30" t="s">
        <v>782</v>
      </c>
      <c r="CF30" t="s">
        <v>991</v>
      </c>
      <c r="CG30" t="s">
        <v>805</v>
      </c>
      <c r="CH30" t="s">
        <v>806</v>
      </c>
    </row>
    <row r="31" spans="1:90">
      <c r="A31" s="40">
        <v>26</v>
      </c>
      <c r="B31" s="40" t="s">
        <v>349</v>
      </c>
      <c r="C31" s="2" t="s">
        <v>350</v>
      </c>
      <c r="D31" s="2" t="s">
        <v>17</v>
      </c>
      <c r="E31" s="2"/>
      <c r="F31" s="2">
        <v>60</v>
      </c>
      <c r="G31" s="2">
        <v>90</v>
      </c>
      <c r="H31" s="2">
        <v>55</v>
      </c>
      <c r="I31" s="2">
        <v>90</v>
      </c>
      <c r="J31" s="2">
        <v>80</v>
      </c>
      <c r="K31" s="2">
        <v>100</v>
      </c>
      <c r="L31" s="2">
        <v>475</v>
      </c>
      <c r="M31" s="2" t="s">
        <v>1168</v>
      </c>
      <c r="N31" s="2" t="s">
        <v>1061</v>
      </c>
      <c r="O31" t="s">
        <v>266</v>
      </c>
      <c r="P31" t="s">
        <v>346</v>
      </c>
      <c r="Q31" t="s">
        <v>146</v>
      </c>
      <c r="R31" t="s">
        <v>310</v>
      </c>
      <c r="S31" t="s">
        <v>1062</v>
      </c>
      <c r="T31" t="s">
        <v>227</v>
      </c>
      <c r="U31" t="s">
        <v>1063</v>
      </c>
      <c r="V31" t="s">
        <v>148</v>
      </c>
      <c r="W31" t="s">
        <v>172</v>
      </c>
      <c r="X31" t="s">
        <v>247</v>
      </c>
      <c r="Y31" t="s">
        <v>228</v>
      </c>
      <c r="Z31" t="s">
        <v>1078</v>
      </c>
      <c r="AA31" t="s">
        <v>766</v>
      </c>
      <c r="AB31" t="s">
        <v>1079</v>
      </c>
      <c r="AC31" t="s">
        <v>146</v>
      </c>
      <c r="AD31" t="s">
        <v>321</v>
      </c>
      <c r="AE31" t="s">
        <v>1080</v>
      </c>
      <c r="AF31" t="s">
        <v>256</v>
      </c>
      <c r="AG31" t="s">
        <v>1094</v>
      </c>
      <c r="AH31" t="s">
        <v>230</v>
      </c>
      <c r="AI31" t="s">
        <v>917</v>
      </c>
      <c r="AJ31" t="s">
        <v>231</v>
      </c>
      <c r="AK31" t="s">
        <v>1082</v>
      </c>
      <c r="AL31" t="s">
        <v>1117</v>
      </c>
      <c r="AM31" t="s">
        <v>1037</v>
      </c>
      <c r="AN31" t="s">
        <v>1083</v>
      </c>
      <c r="AO31" t="s">
        <v>1102</v>
      </c>
      <c r="AP31" t="s">
        <v>974</v>
      </c>
      <c r="AQ31" t="s">
        <v>963</v>
      </c>
      <c r="AR31" t="s">
        <v>976</v>
      </c>
      <c r="AS31" t="s">
        <v>232</v>
      </c>
      <c r="AT31" t="s">
        <v>1045</v>
      </c>
      <c r="AU31" t="s">
        <v>322</v>
      </c>
      <c r="AV31" t="s">
        <v>977</v>
      </c>
      <c r="AW31" t="s">
        <v>756</v>
      </c>
      <c r="AX31" t="s">
        <v>757</v>
      </c>
      <c r="AY31" t="s">
        <v>233</v>
      </c>
      <c r="AZ31" t="s">
        <v>1047</v>
      </c>
      <c r="BA31" t="s">
        <v>760</v>
      </c>
      <c r="BB31" t="s">
        <v>2339</v>
      </c>
      <c r="BC31" t="s">
        <v>234</v>
      </c>
      <c r="BD31" t="s">
        <v>348</v>
      </c>
      <c r="BE31" t="s">
        <v>147</v>
      </c>
      <c r="BF31" t="s">
        <v>347</v>
      </c>
      <c r="BG31" t="s">
        <v>770</v>
      </c>
      <c r="BH31" t="s">
        <v>775</v>
      </c>
      <c r="BI31" t="s">
        <v>754</v>
      </c>
      <c r="BJ31" t="s">
        <v>780</v>
      </c>
      <c r="BK31" t="s">
        <v>779</v>
      </c>
      <c r="BL31" t="s">
        <v>176</v>
      </c>
      <c r="BM31" t="s">
        <v>1140</v>
      </c>
      <c r="BN31" t="s">
        <v>957</v>
      </c>
      <c r="BO31" t="s">
        <v>950</v>
      </c>
      <c r="BP31" t="s">
        <v>2158</v>
      </c>
      <c r="BQ31" t="s">
        <v>987</v>
      </c>
      <c r="BR31" t="s">
        <v>1139</v>
      </c>
      <c r="BS31" t="s">
        <v>2343</v>
      </c>
      <c r="BT31" t="s">
        <v>239</v>
      </c>
      <c r="BU31" t="s">
        <v>241</v>
      </c>
      <c r="BV31" t="s">
        <v>781</v>
      </c>
      <c r="BW31" t="s">
        <v>220</v>
      </c>
      <c r="BX31" t="s">
        <v>2393</v>
      </c>
      <c r="BY31" t="s">
        <v>322</v>
      </c>
      <c r="BZ31" t="s">
        <v>782</v>
      </c>
      <c r="CA31" t="s">
        <v>991</v>
      </c>
      <c r="CB31" t="s">
        <v>1023</v>
      </c>
      <c r="CC31" t="s">
        <v>230</v>
      </c>
      <c r="CD31" t="s">
        <v>2385</v>
      </c>
      <c r="CE31" t="s">
        <v>341</v>
      </c>
      <c r="CF31" t="s">
        <v>971</v>
      </c>
      <c r="CG31" t="s">
        <v>306</v>
      </c>
      <c r="CH31" t="s">
        <v>1138</v>
      </c>
      <c r="CI31" t="s">
        <v>228</v>
      </c>
      <c r="CJ31" t="s">
        <v>321</v>
      </c>
      <c r="CK31" t="s">
        <v>805</v>
      </c>
      <c r="CL31" t="s">
        <v>806</v>
      </c>
    </row>
    <row r="32" spans="1:90">
      <c r="A32" s="40">
        <v>27</v>
      </c>
      <c r="B32" s="40" t="s">
        <v>351</v>
      </c>
      <c r="C32" s="2" t="s">
        <v>352</v>
      </c>
      <c r="D32" s="2" t="s">
        <v>22</v>
      </c>
      <c r="E32" s="2"/>
      <c r="F32" s="2">
        <v>50</v>
      </c>
      <c r="G32" s="2">
        <v>75</v>
      </c>
      <c r="H32" s="2">
        <v>85</v>
      </c>
      <c r="I32" s="2">
        <v>20</v>
      </c>
      <c r="J32" s="2">
        <v>30</v>
      </c>
      <c r="K32" s="2">
        <v>40</v>
      </c>
      <c r="L32" s="2">
        <v>300</v>
      </c>
      <c r="M32" s="2" t="s">
        <v>1141</v>
      </c>
      <c r="N32" s="2" t="s">
        <v>1061</v>
      </c>
      <c r="O32" t="s">
        <v>249</v>
      </c>
      <c r="P32" t="s">
        <v>353</v>
      </c>
      <c r="Q32" t="s">
        <v>309</v>
      </c>
      <c r="R32" t="s">
        <v>296</v>
      </c>
      <c r="S32" t="s">
        <v>768</v>
      </c>
      <c r="T32" t="s">
        <v>173</v>
      </c>
      <c r="U32" t="s">
        <v>354</v>
      </c>
      <c r="V32" t="s">
        <v>758</v>
      </c>
      <c r="W32" t="s">
        <v>789</v>
      </c>
      <c r="X32" t="s">
        <v>323</v>
      </c>
      <c r="Y32" t="s">
        <v>939</v>
      </c>
      <c r="Z32" t="s">
        <v>253</v>
      </c>
      <c r="AA32" t="s">
        <v>256</v>
      </c>
      <c r="AB32" t="s">
        <v>980</v>
      </c>
      <c r="AC32" t="s">
        <v>145</v>
      </c>
      <c r="AD32" t="s">
        <v>765</v>
      </c>
      <c r="AE32" t="s">
        <v>136</v>
      </c>
      <c r="AF32" t="s">
        <v>1062</v>
      </c>
      <c r="AG32" t="s">
        <v>226</v>
      </c>
      <c r="AH32" t="s">
        <v>227</v>
      </c>
      <c r="AI32" t="s">
        <v>1063</v>
      </c>
      <c r="AJ32" t="s">
        <v>1030</v>
      </c>
      <c r="AK32" t="s">
        <v>148</v>
      </c>
      <c r="AL32" t="s">
        <v>172</v>
      </c>
      <c r="AM32" t="s">
        <v>752</v>
      </c>
      <c r="AN32" t="s">
        <v>1078</v>
      </c>
      <c r="AO32" t="s">
        <v>759</v>
      </c>
      <c r="AP32" t="s">
        <v>1079</v>
      </c>
      <c r="AQ32" t="s">
        <v>136</v>
      </c>
      <c r="AR32" t="s">
        <v>1080</v>
      </c>
      <c r="AS32" t="s">
        <v>256</v>
      </c>
      <c r="AT32" t="s">
        <v>1094</v>
      </c>
      <c r="AU32" t="s">
        <v>230</v>
      </c>
      <c r="AV32" t="s">
        <v>765</v>
      </c>
      <c r="AW32" t="s">
        <v>1095</v>
      </c>
      <c r="AX32" t="s">
        <v>1096</v>
      </c>
      <c r="AY32" t="s">
        <v>917</v>
      </c>
      <c r="AZ32" t="s">
        <v>231</v>
      </c>
      <c r="BA32" t="s">
        <v>1082</v>
      </c>
      <c r="BB32" t="s">
        <v>1117</v>
      </c>
      <c r="BC32" t="s">
        <v>1037</v>
      </c>
      <c r="BD32" t="s">
        <v>974</v>
      </c>
      <c r="BE32" t="s">
        <v>1005</v>
      </c>
      <c r="BF32" t="s">
        <v>980</v>
      </c>
      <c r="BG32" t="s">
        <v>145</v>
      </c>
      <c r="BH32" t="s">
        <v>1021</v>
      </c>
      <c r="BI32" t="s">
        <v>143</v>
      </c>
      <c r="BJ32" t="s">
        <v>1018</v>
      </c>
      <c r="BK32" t="s">
        <v>997</v>
      </c>
      <c r="BL32" t="s">
        <v>756</v>
      </c>
      <c r="BM32" t="s">
        <v>757</v>
      </c>
      <c r="BN32" t="s">
        <v>233</v>
      </c>
      <c r="BO32" t="s">
        <v>760</v>
      </c>
      <c r="BP32" t="s">
        <v>2339</v>
      </c>
      <c r="BQ32" t="s">
        <v>234</v>
      </c>
      <c r="BR32" t="s">
        <v>259</v>
      </c>
      <c r="BS32" t="s">
        <v>770</v>
      </c>
      <c r="BT32" t="s">
        <v>754</v>
      </c>
      <c r="BU32" t="s">
        <v>173</v>
      </c>
      <c r="BV32" t="s">
        <v>783</v>
      </c>
      <c r="BW32" t="s">
        <v>1143</v>
      </c>
      <c r="BX32" t="s">
        <v>1144</v>
      </c>
      <c r="BY32" t="s">
        <v>993</v>
      </c>
      <c r="BZ32" t="s">
        <v>1002</v>
      </c>
      <c r="CA32" t="s">
        <v>1142</v>
      </c>
      <c r="CB32" t="s">
        <v>2400</v>
      </c>
      <c r="CC32" t="s">
        <v>239</v>
      </c>
      <c r="CD32" t="s">
        <v>241</v>
      </c>
      <c r="CE32" t="s">
        <v>805</v>
      </c>
      <c r="CF32" t="s">
        <v>806</v>
      </c>
    </row>
    <row r="33" spans="1:111">
      <c r="A33" s="40">
        <v>28</v>
      </c>
      <c r="B33" s="40" t="s">
        <v>355</v>
      </c>
      <c r="C33" s="2" t="s">
        <v>356</v>
      </c>
      <c r="D33" s="2" t="s">
        <v>22</v>
      </c>
      <c r="E33" s="2"/>
      <c r="F33" s="2">
        <v>75</v>
      </c>
      <c r="G33" s="2">
        <v>100</v>
      </c>
      <c r="H33" s="2">
        <v>110</v>
      </c>
      <c r="I33" s="2">
        <v>45</v>
      </c>
      <c r="J33" s="2">
        <v>55</v>
      </c>
      <c r="K33" s="2">
        <v>65</v>
      </c>
      <c r="L33" s="2">
        <v>450</v>
      </c>
      <c r="M33" s="2" t="s">
        <v>1159</v>
      </c>
      <c r="N33" s="2" t="s">
        <v>1061</v>
      </c>
      <c r="O33" t="s">
        <v>249</v>
      </c>
      <c r="P33" t="s">
        <v>309</v>
      </c>
      <c r="Q33" t="s">
        <v>296</v>
      </c>
      <c r="R33" t="s">
        <v>353</v>
      </c>
      <c r="S33" t="s">
        <v>309</v>
      </c>
      <c r="T33" t="s">
        <v>296</v>
      </c>
      <c r="U33" t="s">
        <v>768</v>
      </c>
      <c r="V33" t="s">
        <v>173</v>
      </c>
      <c r="W33" t="s">
        <v>354</v>
      </c>
      <c r="X33" t="s">
        <v>758</v>
      </c>
      <c r="Y33" t="s">
        <v>789</v>
      </c>
      <c r="Z33" t="s">
        <v>323</v>
      </c>
      <c r="AA33" t="s">
        <v>1143</v>
      </c>
      <c r="AB33" t="s">
        <v>253</v>
      </c>
      <c r="AC33" t="s">
        <v>256</v>
      </c>
      <c r="AD33" t="s">
        <v>939</v>
      </c>
      <c r="AE33" t="s">
        <v>980</v>
      </c>
      <c r="AF33" t="s">
        <v>145</v>
      </c>
      <c r="AG33" t="s">
        <v>765</v>
      </c>
      <c r="AH33" t="s">
        <v>136</v>
      </c>
      <c r="AI33" t="s">
        <v>1062</v>
      </c>
      <c r="AJ33" t="s">
        <v>226</v>
      </c>
      <c r="AK33" t="s">
        <v>227</v>
      </c>
      <c r="AL33" t="s">
        <v>1063</v>
      </c>
      <c r="AM33" t="s">
        <v>1030</v>
      </c>
      <c r="AN33" t="s">
        <v>148</v>
      </c>
      <c r="AO33" t="s">
        <v>172</v>
      </c>
      <c r="AP33" t="s">
        <v>752</v>
      </c>
      <c r="AQ33" t="s">
        <v>247</v>
      </c>
      <c r="AR33" t="s">
        <v>1078</v>
      </c>
      <c r="AS33" t="s">
        <v>759</v>
      </c>
      <c r="AT33" t="s">
        <v>1079</v>
      </c>
      <c r="AU33" t="s">
        <v>136</v>
      </c>
      <c r="AV33" t="s">
        <v>1080</v>
      </c>
      <c r="AW33" t="s">
        <v>256</v>
      </c>
      <c r="AX33" t="s">
        <v>1094</v>
      </c>
      <c r="AY33" t="s">
        <v>230</v>
      </c>
      <c r="AZ33" t="s">
        <v>765</v>
      </c>
      <c r="BA33" t="s">
        <v>1095</v>
      </c>
      <c r="BB33" t="s">
        <v>1096</v>
      </c>
      <c r="BC33" t="s">
        <v>917</v>
      </c>
      <c r="BD33" t="s">
        <v>231</v>
      </c>
      <c r="BE33" t="s">
        <v>1082</v>
      </c>
      <c r="BF33" t="s">
        <v>1117</v>
      </c>
      <c r="BG33" t="s">
        <v>1037</v>
      </c>
      <c r="BH33" t="s">
        <v>1102</v>
      </c>
      <c r="BI33" t="s">
        <v>974</v>
      </c>
      <c r="BJ33" t="s">
        <v>1005</v>
      </c>
      <c r="BK33" t="s">
        <v>976</v>
      </c>
      <c r="BL33" t="s">
        <v>183</v>
      </c>
      <c r="BM33" t="s">
        <v>980</v>
      </c>
      <c r="BN33" t="s">
        <v>145</v>
      </c>
      <c r="BO33" t="s">
        <v>1021</v>
      </c>
      <c r="BP33" t="s">
        <v>143</v>
      </c>
      <c r="BQ33" t="s">
        <v>1018</v>
      </c>
      <c r="BR33" t="s">
        <v>997</v>
      </c>
      <c r="BS33" t="s">
        <v>756</v>
      </c>
      <c r="BT33" t="s">
        <v>757</v>
      </c>
      <c r="BU33" t="s">
        <v>233</v>
      </c>
      <c r="BV33" t="s">
        <v>760</v>
      </c>
      <c r="BW33" t="s">
        <v>2339</v>
      </c>
      <c r="BX33" t="s">
        <v>234</v>
      </c>
      <c r="BY33" t="s">
        <v>259</v>
      </c>
      <c r="BZ33" t="s">
        <v>770</v>
      </c>
      <c r="CA33" t="s">
        <v>754</v>
      </c>
      <c r="CB33" t="s">
        <v>173</v>
      </c>
      <c r="CC33" t="s">
        <v>783</v>
      </c>
      <c r="CD33" t="s">
        <v>1143</v>
      </c>
      <c r="CE33" t="s">
        <v>1144</v>
      </c>
      <c r="CF33" t="s">
        <v>993</v>
      </c>
      <c r="CG33" t="s">
        <v>1002</v>
      </c>
      <c r="CH33" t="s">
        <v>1142</v>
      </c>
      <c r="CI33" t="s">
        <v>2400</v>
      </c>
      <c r="CJ33" t="s">
        <v>239</v>
      </c>
      <c r="CK33" t="s">
        <v>241</v>
      </c>
      <c r="CL33" t="s">
        <v>805</v>
      </c>
      <c r="CM33" t="s">
        <v>806</v>
      </c>
    </row>
    <row r="34" spans="1:111">
      <c r="A34" s="40">
        <v>29</v>
      </c>
      <c r="B34" s="40" t="s">
        <v>357</v>
      </c>
      <c r="C34" s="2" t="s">
        <v>358</v>
      </c>
      <c r="D34" s="2" t="s">
        <v>11</v>
      </c>
      <c r="E34" s="2"/>
      <c r="F34" s="2">
        <v>55</v>
      </c>
      <c r="G34" s="2">
        <v>47</v>
      </c>
      <c r="H34" s="2">
        <v>52</v>
      </c>
      <c r="I34" s="2">
        <v>40</v>
      </c>
      <c r="J34" s="2">
        <v>40</v>
      </c>
      <c r="K34" s="2">
        <v>41</v>
      </c>
      <c r="L34" s="2">
        <v>275</v>
      </c>
      <c r="M34" s="2" t="s">
        <v>1089</v>
      </c>
      <c r="N34" s="2" t="s">
        <v>1061</v>
      </c>
      <c r="O34" t="s">
        <v>249</v>
      </c>
      <c r="P34" t="s">
        <v>220</v>
      </c>
      <c r="Q34" t="s">
        <v>266</v>
      </c>
      <c r="R34" t="s">
        <v>359</v>
      </c>
      <c r="S34" t="s">
        <v>296</v>
      </c>
      <c r="T34" t="s">
        <v>323</v>
      </c>
      <c r="U34" t="s">
        <v>258</v>
      </c>
      <c r="V34" t="s">
        <v>925</v>
      </c>
      <c r="W34" t="s">
        <v>1011</v>
      </c>
      <c r="X34" t="s">
        <v>919</v>
      </c>
      <c r="Y34" t="s">
        <v>777</v>
      </c>
      <c r="Z34" t="s">
        <v>962</v>
      </c>
      <c r="AA34" t="s">
        <v>935</v>
      </c>
      <c r="AB34" t="s">
        <v>1062</v>
      </c>
      <c r="AC34" t="s">
        <v>226</v>
      </c>
      <c r="AD34" t="s">
        <v>227</v>
      </c>
      <c r="AE34" t="s">
        <v>1063</v>
      </c>
      <c r="AF34" t="s">
        <v>1030</v>
      </c>
      <c r="AG34" t="s">
        <v>148</v>
      </c>
      <c r="AH34" t="s">
        <v>1077</v>
      </c>
      <c r="AI34" t="s">
        <v>172</v>
      </c>
      <c r="AJ34" t="s">
        <v>752</v>
      </c>
      <c r="AK34" t="s">
        <v>141</v>
      </c>
      <c r="AL34" t="s">
        <v>271</v>
      </c>
      <c r="AM34" t="s">
        <v>1078</v>
      </c>
      <c r="AN34" t="s">
        <v>766</v>
      </c>
      <c r="AO34" t="s">
        <v>1079</v>
      </c>
      <c r="AP34" t="s">
        <v>146</v>
      </c>
      <c r="AQ34" t="s">
        <v>321</v>
      </c>
      <c r="AR34" t="s">
        <v>1080</v>
      </c>
      <c r="AS34" t="s">
        <v>256</v>
      </c>
      <c r="AT34" t="s">
        <v>230</v>
      </c>
      <c r="AU34" t="s">
        <v>1081</v>
      </c>
      <c r="AV34" t="s">
        <v>1096</v>
      </c>
      <c r="AW34" t="s">
        <v>917</v>
      </c>
      <c r="AX34" t="s">
        <v>231</v>
      </c>
      <c r="AY34" t="s">
        <v>1082</v>
      </c>
      <c r="AZ34" t="s">
        <v>1117</v>
      </c>
      <c r="BA34" t="s">
        <v>1037</v>
      </c>
      <c r="BB34" t="s">
        <v>1005</v>
      </c>
      <c r="BC34" t="s">
        <v>997</v>
      </c>
      <c r="BD34" t="s">
        <v>756</v>
      </c>
      <c r="BE34" t="s">
        <v>757</v>
      </c>
      <c r="BF34" t="s">
        <v>233</v>
      </c>
      <c r="BG34" t="s">
        <v>760</v>
      </c>
      <c r="BH34" t="s">
        <v>2339</v>
      </c>
      <c r="BI34" t="s">
        <v>234</v>
      </c>
      <c r="BJ34" t="s">
        <v>223</v>
      </c>
      <c r="BK34" t="s">
        <v>290</v>
      </c>
      <c r="BL34" t="s">
        <v>340</v>
      </c>
      <c r="BM34" t="s">
        <v>259</v>
      </c>
      <c r="BN34" t="s">
        <v>302</v>
      </c>
      <c r="BO34" t="s">
        <v>237</v>
      </c>
      <c r="BP34" t="s">
        <v>754</v>
      </c>
      <c r="BQ34" t="s">
        <v>781</v>
      </c>
      <c r="BR34" t="s">
        <v>773</v>
      </c>
      <c r="BS34" t="s">
        <v>761</v>
      </c>
      <c r="BT34" t="s">
        <v>763</v>
      </c>
      <c r="BU34" t="s">
        <v>936</v>
      </c>
      <c r="BV34" t="s">
        <v>1142</v>
      </c>
      <c r="BW34" t="s">
        <v>2410</v>
      </c>
      <c r="BX34" t="s">
        <v>239</v>
      </c>
      <c r="BY34" t="s">
        <v>241</v>
      </c>
      <c r="BZ34" t="s">
        <v>805</v>
      </c>
      <c r="CA34" t="s">
        <v>806</v>
      </c>
    </row>
    <row r="35" spans="1:111">
      <c r="A35" s="40">
        <v>30</v>
      </c>
      <c r="B35" s="40" t="s">
        <v>360</v>
      </c>
      <c r="C35" s="2" t="s">
        <v>361</v>
      </c>
      <c r="D35" s="2" t="s">
        <v>11</v>
      </c>
      <c r="E35" s="2"/>
      <c r="F35" s="2">
        <v>70</v>
      </c>
      <c r="G35" s="2">
        <v>62</v>
      </c>
      <c r="H35" s="2">
        <v>67</v>
      </c>
      <c r="I35" s="2">
        <v>55</v>
      </c>
      <c r="J35" s="2">
        <v>55</v>
      </c>
      <c r="K35" s="2">
        <v>56</v>
      </c>
      <c r="L35" s="2">
        <v>365</v>
      </c>
      <c r="M35" s="2" t="s">
        <v>1091</v>
      </c>
      <c r="N35" s="2" t="s">
        <v>1061</v>
      </c>
      <c r="O35" t="s">
        <v>249</v>
      </c>
      <c r="P35" t="s">
        <v>220</v>
      </c>
      <c r="Q35" t="s">
        <v>266</v>
      </c>
      <c r="R35" t="s">
        <v>359</v>
      </c>
      <c r="S35" t="s">
        <v>296</v>
      </c>
      <c r="T35" t="s">
        <v>323</v>
      </c>
      <c r="U35" t="s">
        <v>258</v>
      </c>
      <c r="V35" t="s">
        <v>925</v>
      </c>
      <c r="W35" t="s">
        <v>1011</v>
      </c>
      <c r="X35" t="s">
        <v>919</v>
      </c>
      <c r="Y35" t="s">
        <v>777</v>
      </c>
      <c r="Z35" t="s">
        <v>962</v>
      </c>
      <c r="AA35" t="s">
        <v>935</v>
      </c>
      <c r="AB35" t="s">
        <v>1062</v>
      </c>
      <c r="AC35" t="s">
        <v>226</v>
      </c>
      <c r="AD35" t="s">
        <v>227</v>
      </c>
      <c r="AE35" t="s">
        <v>1063</v>
      </c>
      <c r="AF35" t="s">
        <v>1030</v>
      </c>
      <c r="AG35" t="s">
        <v>148</v>
      </c>
      <c r="AH35" t="s">
        <v>1077</v>
      </c>
      <c r="AI35" t="s">
        <v>172</v>
      </c>
      <c r="AJ35" t="s">
        <v>752</v>
      </c>
      <c r="AK35" t="s">
        <v>141</v>
      </c>
      <c r="AL35" t="s">
        <v>271</v>
      </c>
      <c r="AM35" t="s">
        <v>1078</v>
      </c>
      <c r="AN35" t="s">
        <v>766</v>
      </c>
      <c r="AO35" t="s">
        <v>1079</v>
      </c>
      <c r="AP35" t="s">
        <v>146</v>
      </c>
      <c r="AQ35" t="s">
        <v>321</v>
      </c>
      <c r="AR35" t="s">
        <v>1080</v>
      </c>
      <c r="AS35" t="s">
        <v>256</v>
      </c>
      <c r="AT35" t="s">
        <v>230</v>
      </c>
      <c r="AU35" t="s">
        <v>1081</v>
      </c>
      <c r="AV35" t="s">
        <v>1096</v>
      </c>
      <c r="AW35" t="s">
        <v>917</v>
      </c>
      <c r="AX35" t="s">
        <v>231</v>
      </c>
      <c r="AY35" t="s">
        <v>1082</v>
      </c>
      <c r="AZ35" t="s">
        <v>1117</v>
      </c>
      <c r="BA35" t="s">
        <v>1037</v>
      </c>
      <c r="BB35" t="s">
        <v>1083</v>
      </c>
      <c r="BC35" t="s">
        <v>1005</v>
      </c>
      <c r="BD35" t="s">
        <v>997</v>
      </c>
      <c r="BE35" t="s">
        <v>756</v>
      </c>
      <c r="BF35" t="s">
        <v>757</v>
      </c>
      <c r="BG35" t="s">
        <v>233</v>
      </c>
      <c r="BH35" t="s">
        <v>760</v>
      </c>
      <c r="BI35" t="s">
        <v>2339</v>
      </c>
      <c r="BJ35" t="s">
        <v>234</v>
      </c>
      <c r="BK35" t="s">
        <v>223</v>
      </c>
      <c r="BL35" t="s">
        <v>290</v>
      </c>
      <c r="BM35" t="s">
        <v>340</v>
      </c>
      <c r="BN35" t="s">
        <v>259</v>
      </c>
      <c r="BO35" t="s">
        <v>302</v>
      </c>
      <c r="BP35" t="s">
        <v>237</v>
      </c>
      <c r="BQ35" t="s">
        <v>754</v>
      </c>
      <c r="BR35" t="s">
        <v>781</v>
      </c>
      <c r="BS35" t="s">
        <v>773</v>
      </c>
      <c r="BT35" t="s">
        <v>761</v>
      </c>
      <c r="BU35" t="s">
        <v>763</v>
      </c>
      <c r="BV35" t="s">
        <v>936</v>
      </c>
      <c r="BW35" t="s">
        <v>1142</v>
      </c>
      <c r="BX35" t="s">
        <v>2410</v>
      </c>
      <c r="BY35" t="s">
        <v>239</v>
      </c>
      <c r="BZ35" t="s">
        <v>241</v>
      </c>
      <c r="CA35" t="s">
        <v>805</v>
      </c>
      <c r="CB35" t="s">
        <v>806</v>
      </c>
    </row>
    <row r="36" spans="1:111">
      <c r="A36" s="40">
        <v>31</v>
      </c>
      <c r="B36" s="40" t="s">
        <v>362</v>
      </c>
      <c r="C36" s="2" t="s">
        <v>363</v>
      </c>
      <c r="D36" s="2" t="s">
        <v>11</v>
      </c>
      <c r="E36" s="2" t="s">
        <v>22</v>
      </c>
      <c r="F36" s="2">
        <v>90</v>
      </c>
      <c r="G36" s="2">
        <v>82</v>
      </c>
      <c r="H36" s="2">
        <v>87</v>
      </c>
      <c r="I36" s="2">
        <v>75</v>
      </c>
      <c r="J36" s="2">
        <v>85</v>
      </c>
      <c r="K36" s="2">
        <v>76</v>
      </c>
      <c r="L36" s="2">
        <v>495</v>
      </c>
      <c r="M36" s="2" t="s">
        <v>1755</v>
      </c>
      <c r="N36" s="2" t="s">
        <v>1061</v>
      </c>
      <c r="O36" t="s">
        <v>249</v>
      </c>
      <c r="P36" t="s">
        <v>359</v>
      </c>
      <c r="Q36" t="s">
        <v>266</v>
      </c>
      <c r="R36" t="s">
        <v>296</v>
      </c>
      <c r="S36" t="s">
        <v>1142</v>
      </c>
      <c r="T36" t="s">
        <v>364</v>
      </c>
      <c r="U36" t="s">
        <v>968</v>
      </c>
      <c r="V36" t="s">
        <v>947</v>
      </c>
      <c r="W36" t="s">
        <v>1062</v>
      </c>
      <c r="X36" t="s">
        <v>226</v>
      </c>
      <c r="Y36" t="s">
        <v>144</v>
      </c>
      <c r="Z36" t="s">
        <v>227</v>
      </c>
      <c r="AA36" t="s">
        <v>1063</v>
      </c>
      <c r="AB36" t="s">
        <v>1030</v>
      </c>
      <c r="AC36" t="s">
        <v>246</v>
      </c>
      <c r="AD36" t="s">
        <v>148</v>
      </c>
      <c r="AE36" t="s">
        <v>1077</v>
      </c>
      <c r="AF36" t="s">
        <v>172</v>
      </c>
      <c r="AG36" t="s">
        <v>752</v>
      </c>
      <c r="AH36" t="s">
        <v>1126</v>
      </c>
      <c r="AI36" t="s">
        <v>141</v>
      </c>
      <c r="AJ36" t="s">
        <v>271</v>
      </c>
      <c r="AK36" t="s">
        <v>247</v>
      </c>
      <c r="AL36" t="s">
        <v>1078</v>
      </c>
      <c r="AM36" t="s">
        <v>766</v>
      </c>
      <c r="AN36" t="s">
        <v>1079</v>
      </c>
      <c r="AO36" t="s">
        <v>1109</v>
      </c>
      <c r="AP36" t="s">
        <v>146</v>
      </c>
      <c r="AQ36" t="s">
        <v>321</v>
      </c>
      <c r="AR36" t="s">
        <v>136</v>
      </c>
      <c r="AS36" t="s">
        <v>1080</v>
      </c>
      <c r="AT36" t="s">
        <v>256</v>
      </c>
      <c r="AU36" t="s">
        <v>174</v>
      </c>
      <c r="AV36" t="s">
        <v>1094</v>
      </c>
      <c r="AW36" t="s">
        <v>230</v>
      </c>
      <c r="AX36" t="s">
        <v>186</v>
      </c>
      <c r="AY36" t="s">
        <v>254</v>
      </c>
      <c r="AZ36" t="s">
        <v>1081</v>
      </c>
      <c r="BA36" t="s">
        <v>765</v>
      </c>
      <c r="BB36" t="s">
        <v>257</v>
      </c>
      <c r="BC36" t="s">
        <v>1095</v>
      </c>
      <c r="BD36" t="s">
        <v>1096</v>
      </c>
      <c r="BE36" t="s">
        <v>951</v>
      </c>
      <c r="BF36" t="s">
        <v>917</v>
      </c>
      <c r="BG36" t="s">
        <v>231</v>
      </c>
      <c r="BH36" t="s">
        <v>1082</v>
      </c>
      <c r="BI36" t="s">
        <v>1117</v>
      </c>
      <c r="BJ36" t="s">
        <v>1037</v>
      </c>
      <c r="BK36" t="s">
        <v>1083</v>
      </c>
      <c r="BL36" t="s">
        <v>1102</v>
      </c>
      <c r="BM36" t="s">
        <v>974</v>
      </c>
      <c r="BN36" t="s">
        <v>1031</v>
      </c>
      <c r="BO36" t="s">
        <v>1034</v>
      </c>
      <c r="BP36" t="s">
        <v>1005</v>
      </c>
      <c r="BQ36" t="s">
        <v>976</v>
      </c>
      <c r="BR36" t="s">
        <v>183</v>
      </c>
      <c r="BS36" t="s">
        <v>1021</v>
      </c>
      <c r="BT36" t="s">
        <v>143</v>
      </c>
      <c r="BU36" t="s">
        <v>1022</v>
      </c>
      <c r="BV36" t="s">
        <v>997</v>
      </c>
      <c r="BW36" t="s">
        <v>756</v>
      </c>
      <c r="BX36" t="s">
        <v>757</v>
      </c>
      <c r="BY36" t="s">
        <v>233</v>
      </c>
      <c r="BZ36" t="s">
        <v>760</v>
      </c>
      <c r="CA36" t="s">
        <v>2398</v>
      </c>
      <c r="CB36" t="s">
        <v>2339</v>
      </c>
      <c r="CC36" t="s">
        <v>234</v>
      </c>
      <c r="CD36" t="s">
        <v>223</v>
      </c>
      <c r="CE36" t="s">
        <v>290</v>
      </c>
      <c r="CF36" t="s">
        <v>340</v>
      </c>
      <c r="CG36" t="s">
        <v>259</v>
      </c>
      <c r="CH36" t="s">
        <v>302</v>
      </c>
      <c r="CI36" t="s">
        <v>237</v>
      </c>
      <c r="CJ36" t="s">
        <v>754</v>
      </c>
      <c r="CK36" t="s">
        <v>781</v>
      </c>
      <c r="CL36" t="s">
        <v>773</v>
      </c>
      <c r="CM36" t="s">
        <v>761</v>
      </c>
      <c r="CN36" t="s">
        <v>763</v>
      </c>
      <c r="CO36" t="s">
        <v>936</v>
      </c>
      <c r="CP36" t="s">
        <v>1142</v>
      </c>
      <c r="CQ36" t="s">
        <v>2410</v>
      </c>
      <c r="CR36" t="s">
        <v>239</v>
      </c>
      <c r="CS36" t="s">
        <v>241</v>
      </c>
      <c r="CT36" t="s">
        <v>220</v>
      </c>
      <c r="CU36" t="s">
        <v>323</v>
      </c>
      <c r="CV36" t="s">
        <v>258</v>
      </c>
      <c r="CW36" t="s">
        <v>925</v>
      </c>
      <c r="CX36" t="s">
        <v>1011</v>
      </c>
      <c r="CY36" t="s">
        <v>919</v>
      </c>
      <c r="CZ36" t="s">
        <v>777</v>
      </c>
      <c r="DA36" t="s">
        <v>962</v>
      </c>
      <c r="DB36" t="s">
        <v>935</v>
      </c>
      <c r="DC36" t="s">
        <v>805</v>
      </c>
      <c r="DD36" t="s">
        <v>806</v>
      </c>
    </row>
    <row r="37" spans="1:111">
      <c r="A37" s="40">
        <v>32</v>
      </c>
      <c r="B37" s="40" t="s">
        <v>365</v>
      </c>
      <c r="C37" s="2" t="s">
        <v>366</v>
      </c>
      <c r="D37" s="2" t="s">
        <v>11</v>
      </c>
      <c r="E37" s="2"/>
      <c r="F37" s="2">
        <v>46</v>
      </c>
      <c r="G37" s="2">
        <v>57</v>
      </c>
      <c r="H37" s="2">
        <v>40</v>
      </c>
      <c r="I37" s="2">
        <v>40</v>
      </c>
      <c r="J37" s="2">
        <v>40</v>
      </c>
      <c r="K37" s="2">
        <v>50</v>
      </c>
      <c r="L37" s="2">
        <v>273</v>
      </c>
      <c r="M37" s="2" t="s">
        <v>1089</v>
      </c>
      <c r="N37" s="2" t="s">
        <v>1061</v>
      </c>
      <c r="O37" t="s">
        <v>330</v>
      </c>
      <c r="P37" t="s">
        <v>329</v>
      </c>
      <c r="Q37" t="s">
        <v>302</v>
      </c>
      <c r="R37" t="s">
        <v>359</v>
      </c>
      <c r="S37" t="s">
        <v>296</v>
      </c>
      <c r="T37" t="s">
        <v>301</v>
      </c>
      <c r="U37" t="s">
        <v>367</v>
      </c>
      <c r="V37" t="s">
        <v>925</v>
      </c>
      <c r="W37" t="s">
        <v>1011</v>
      </c>
      <c r="X37" t="s">
        <v>919</v>
      </c>
      <c r="Y37" t="s">
        <v>997</v>
      </c>
      <c r="Z37" t="s">
        <v>962</v>
      </c>
      <c r="AA37" t="s">
        <v>368</v>
      </c>
      <c r="AB37" t="s">
        <v>1062</v>
      </c>
      <c r="AC37" t="s">
        <v>226</v>
      </c>
      <c r="AD37" t="s">
        <v>227</v>
      </c>
      <c r="AE37" t="s">
        <v>1063</v>
      </c>
      <c r="AF37" t="s">
        <v>1030</v>
      </c>
      <c r="AG37" t="s">
        <v>148</v>
      </c>
      <c r="AH37" t="s">
        <v>1077</v>
      </c>
      <c r="AI37" t="s">
        <v>172</v>
      </c>
      <c r="AJ37" t="s">
        <v>752</v>
      </c>
      <c r="AK37" t="s">
        <v>141</v>
      </c>
      <c r="AL37" t="s">
        <v>271</v>
      </c>
      <c r="AM37" t="s">
        <v>1078</v>
      </c>
      <c r="AN37" t="s">
        <v>766</v>
      </c>
      <c r="AO37" t="s">
        <v>1079</v>
      </c>
      <c r="AP37" t="s">
        <v>146</v>
      </c>
      <c r="AQ37" t="s">
        <v>321</v>
      </c>
      <c r="AR37" t="s">
        <v>1080</v>
      </c>
      <c r="AS37" t="s">
        <v>256</v>
      </c>
      <c r="AT37" t="s">
        <v>230</v>
      </c>
      <c r="AU37" t="s">
        <v>1081</v>
      </c>
      <c r="AV37" t="s">
        <v>917</v>
      </c>
      <c r="AW37" t="s">
        <v>231</v>
      </c>
      <c r="AX37" t="s">
        <v>1082</v>
      </c>
      <c r="AY37" t="s">
        <v>1117</v>
      </c>
      <c r="AZ37" t="s">
        <v>1037</v>
      </c>
      <c r="BA37" t="s">
        <v>1083</v>
      </c>
      <c r="BB37" t="s">
        <v>1005</v>
      </c>
      <c r="BC37" t="s">
        <v>997</v>
      </c>
      <c r="BD37" t="s">
        <v>756</v>
      </c>
      <c r="BE37" t="s">
        <v>757</v>
      </c>
      <c r="BF37" t="s">
        <v>233</v>
      </c>
      <c r="BG37" t="s">
        <v>760</v>
      </c>
      <c r="BH37" t="s">
        <v>2339</v>
      </c>
      <c r="BI37" t="s">
        <v>234</v>
      </c>
      <c r="BJ37" t="s">
        <v>223</v>
      </c>
      <c r="BK37" t="s">
        <v>290</v>
      </c>
      <c r="BL37" t="s">
        <v>340</v>
      </c>
      <c r="BM37" t="s">
        <v>259</v>
      </c>
      <c r="BN37" t="s">
        <v>287</v>
      </c>
      <c r="BO37" t="s">
        <v>235</v>
      </c>
      <c r="BP37" t="s">
        <v>754</v>
      </c>
      <c r="BQ37" t="s">
        <v>761</v>
      </c>
      <c r="BR37" t="s">
        <v>763</v>
      </c>
      <c r="BS37" t="s">
        <v>936</v>
      </c>
      <c r="BT37" t="s">
        <v>1008</v>
      </c>
      <c r="BU37" t="s">
        <v>800</v>
      </c>
      <c r="BV37" t="s">
        <v>1142</v>
      </c>
      <c r="BW37" t="s">
        <v>2410</v>
      </c>
      <c r="BX37" t="s">
        <v>239</v>
      </c>
      <c r="BY37" t="s">
        <v>241</v>
      </c>
      <c r="BZ37" t="s">
        <v>805</v>
      </c>
      <c r="CA37" t="s">
        <v>806</v>
      </c>
    </row>
    <row r="38" spans="1:111">
      <c r="A38" s="40">
        <v>33</v>
      </c>
      <c r="B38" s="40" t="s">
        <v>369</v>
      </c>
      <c r="C38" s="2" t="s">
        <v>370</v>
      </c>
      <c r="D38" s="2" t="s">
        <v>11</v>
      </c>
      <c r="E38" s="2"/>
      <c r="F38" s="2">
        <v>61</v>
      </c>
      <c r="G38" s="2">
        <v>72</v>
      </c>
      <c r="H38" s="2">
        <v>57</v>
      </c>
      <c r="I38" s="2">
        <v>55</v>
      </c>
      <c r="J38" s="2">
        <v>55</v>
      </c>
      <c r="K38" s="2">
        <v>65</v>
      </c>
      <c r="L38" s="2">
        <v>365</v>
      </c>
      <c r="M38" s="2" t="s">
        <v>1089</v>
      </c>
      <c r="N38" s="2" t="s">
        <v>1061</v>
      </c>
      <c r="O38" t="s">
        <v>330</v>
      </c>
      <c r="P38" t="s">
        <v>329</v>
      </c>
      <c r="Q38" t="s">
        <v>302</v>
      </c>
      <c r="R38" t="s">
        <v>359</v>
      </c>
      <c r="S38" t="s">
        <v>296</v>
      </c>
      <c r="T38" t="s">
        <v>301</v>
      </c>
      <c r="U38" t="s">
        <v>367</v>
      </c>
      <c r="V38" t="s">
        <v>925</v>
      </c>
      <c r="W38" t="s">
        <v>1011</v>
      </c>
      <c r="X38" t="s">
        <v>919</v>
      </c>
      <c r="Y38" t="s">
        <v>997</v>
      </c>
      <c r="Z38" t="s">
        <v>962</v>
      </c>
      <c r="AA38" t="s">
        <v>368</v>
      </c>
      <c r="AB38" t="s">
        <v>1062</v>
      </c>
      <c r="AC38" t="s">
        <v>226</v>
      </c>
      <c r="AD38" t="s">
        <v>227</v>
      </c>
      <c r="AE38" t="s">
        <v>1063</v>
      </c>
      <c r="AF38" t="s">
        <v>1030</v>
      </c>
      <c r="AG38" t="s">
        <v>148</v>
      </c>
      <c r="AH38" t="s">
        <v>1077</v>
      </c>
      <c r="AI38" t="s">
        <v>172</v>
      </c>
      <c r="AJ38" t="s">
        <v>752</v>
      </c>
      <c r="AK38" t="s">
        <v>141</v>
      </c>
      <c r="AL38" t="s">
        <v>271</v>
      </c>
      <c r="AM38" t="s">
        <v>1078</v>
      </c>
      <c r="AN38" t="s">
        <v>766</v>
      </c>
      <c r="AO38" t="s">
        <v>1079</v>
      </c>
      <c r="AP38" t="s">
        <v>146</v>
      </c>
      <c r="AQ38" t="s">
        <v>321</v>
      </c>
      <c r="AR38" t="s">
        <v>1080</v>
      </c>
      <c r="AS38" t="s">
        <v>256</v>
      </c>
      <c r="AT38" t="s">
        <v>230</v>
      </c>
      <c r="AU38" t="s">
        <v>1081</v>
      </c>
      <c r="AV38" t="s">
        <v>917</v>
      </c>
      <c r="AW38" t="s">
        <v>231</v>
      </c>
      <c r="AX38" t="s">
        <v>1082</v>
      </c>
      <c r="AY38" t="s">
        <v>1117</v>
      </c>
      <c r="AZ38" t="s">
        <v>1037</v>
      </c>
      <c r="BA38" t="s">
        <v>1083</v>
      </c>
      <c r="BB38" t="s">
        <v>1005</v>
      </c>
      <c r="BC38" t="s">
        <v>997</v>
      </c>
      <c r="BD38" t="s">
        <v>756</v>
      </c>
      <c r="BE38" t="s">
        <v>757</v>
      </c>
      <c r="BF38" t="s">
        <v>233</v>
      </c>
      <c r="BG38" t="s">
        <v>760</v>
      </c>
      <c r="BH38" t="s">
        <v>2339</v>
      </c>
      <c r="BI38" t="s">
        <v>234</v>
      </c>
      <c r="BJ38" t="s">
        <v>223</v>
      </c>
      <c r="BK38" t="s">
        <v>290</v>
      </c>
      <c r="BL38" t="s">
        <v>340</v>
      </c>
      <c r="BM38" t="s">
        <v>259</v>
      </c>
      <c r="BN38" t="s">
        <v>287</v>
      </c>
      <c r="BO38" t="s">
        <v>235</v>
      </c>
      <c r="BP38" t="s">
        <v>754</v>
      </c>
      <c r="BQ38" t="s">
        <v>761</v>
      </c>
      <c r="BR38" t="s">
        <v>763</v>
      </c>
      <c r="BS38" t="s">
        <v>936</v>
      </c>
      <c r="BT38" t="s">
        <v>1008</v>
      </c>
      <c r="BU38" t="s">
        <v>800</v>
      </c>
      <c r="BV38" t="s">
        <v>1142</v>
      </c>
      <c r="BW38" t="s">
        <v>2410</v>
      </c>
      <c r="BX38" t="s">
        <v>239</v>
      </c>
      <c r="BY38" t="s">
        <v>241</v>
      </c>
      <c r="BZ38" t="s">
        <v>805</v>
      </c>
      <c r="CA38" t="s">
        <v>806</v>
      </c>
    </row>
    <row r="39" spans="1:111">
      <c r="A39" s="40">
        <v>34</v>
      </c>
      <c r="B39" s="40" t="s">
        <v>371</v>
      </c>
      <c r="C39" s="2" t="s">
        <v>372</v>
      </c>
      <c r="D39" s="2" t="s">
        <v>11</v>
      </c>
      <c r="E39" s="2" t="s">
        <v>22</v>
      </c>
      <c r="F39" s="2">
        <v>81</v>
      </c>
      <c r="G39" s="2">
        <v>92</v>
      </c>
      <c r="H39" s="2">
        <v>77</v>
      </c>
      <c r="I39" s="2">
        <v>85</v>
      </c>
      <c r="J39" s="2">
        <v>75</v>
      </c>
      <c r="K39" s="2">
        <v>85</v>
      </c>
      <c r="L39" s="2">
        <v>495</v>
      </c>
      <c r="M39" s="2" t="s">
        <v>2414</v>
      </c>
      <c r="N39" s="2" t="s">
        <v>1061</v>
      </c>
      <c r="O39" t="s">
        <v>359</v>
      </c>
      <c r="P39" t="s">
        <v>296</v>
      </c>
      <c r="Q39" t="s">
        <v>329</v>
      </c>
      <c r="R39" t="s">
        <v>302</v>
      </c>
      <c r="S39" t="s">
        <v>1142</v>
      </c>
      <c r="T39" t="s">
        <v>373</v>
      </c>
      <c r="U39" t="s">
        <v>968</v>
      </c>
      <c r="V39" t="s">
        <v>797</v>
      </c>
      <c r="W39" t="s">
        <v>1062</v>
      </c>
      <c r="X39" t="s">
        <v>226</v>
      </c>
      <c r="Y39" t="s">
        <v>144</v>
      </c>
      <c r="Z39" t="s">
        <v>227</v>
      </c>
      <c r="AA39" t="s">
        <v>1063</v>
      </c>
      <c r="AB39" t="s">
        <v>1030</v>
      </c>
      <c r="AC39" t="s">
        <v>246</v>
      </c>
      <c r="AD39" t="s">
        <v>148</v>
      </c>
      <c r="AE39" t="s">
        <v>1077</v>
      </c>
      <c r="AF39" t="s">
        <v>172</v>
      </c>
      <c r="AG39" t="s">
        <v>752</v>
      </c>
      <c r="AH39" t="s">
        <v>1126</v>
      </c>
      <c r="AI39" t="s">
        <v>141</v>
      </c>
      <c r="AJ39" t="s">
        <v>271</v>
      </c>
      <c r="AK39" t="s">
        <v>247</v>
      </c>
      <c r="AL39" t="s">
        <v>1078</v>
      </c>
      <c r="AM39" t="s">
        <v>766</v>
      </c>
      <c r="AN39" t="s">
        <v>1079</v>
      </c>
      <c r="AO39" t="s">
        <v>1109</v>
      </c>
      <c r="AP39" t="s">
        <v>146</v>
      </c>
      <c r="AQ39" t="s">
        <v>321</v>
      </c>
      <c r="AR39" t="s">
        <v>136</v>
      </c>
      <c r="AS39" t="s">
        <v>1080</v>
      </c>
      <c r="AT39" t="s">
        <v>256</v>
      </c>
      <c r="AU39" t="s">
        <v>174</v>
      </c>
      <c r="AV39" t="s">
        <v>1094</v>
      </c>
      <c r="AW39" t="s">
        <v>230</v>
      </c>
      <c r="AX39" t="s">
        <v>186</v>
      </c>
      <c r="AY39" t="s">
        <v>254</v>
      </c>
      <c r="AZ39" t="s">
        <v>1081</v>
      </c>
      <c r="BA39" t="s">
        <v>765</v>
      </c>
      <c r="BB39" t="s">
        <v>257</v>
      </c>
      <c r="BC39" t="s">
        <v>1095</v>
      </c>
      <c r="BD39" t="s">
        <v>951</v>
      </c>
      <c r="BE39" t="s">
        <v>917</v>
      </c>
      <c r="BF39" t="s">
        <v>231</v>
      </c>
      <c r="BG39" t="s">
        <v>1082</v>
      </c>
      <c r="BH39" t="s">
        <v>1117</v>
      </c>
      <c r="BI39" t="s">
        <v>1037</v>
      </c>
      <c r="BJ39" t="s">
        <v>1083</v>
      </c>
      <c r="BK39" t="s">
        <v>1102</v>
      </c>
      <c r="BL39" t="s">
        <v>974</v>
      </c>
      <c r="BM39" t="s">
        <v>1031</v>
      </c>
      <c r="BN39" t="s">
        <v>1034</v>
      </c>
      <c r="BO39" t="s">
        <v>1005</v>
      </c>
      <c r="BP39" t="s">
        <v>976</v>
      </c>
      <c r="BQ39" t="s">
        <v>183</v>
      </c>
      <c r="BR39" t="s">
        <v>1021</v>
      </c>
      <c r="BS39" t="s">
        <v>143</v>
      </c>
      <c r="BT39" t="s">
        <v>1022</v>
      </c>
      <c r="BU39" t="s">
        <v>997</v>
      </c>
      <c r="BV39" t="s">
        <v>756</v>
      </c>
      <c r="BW39" t="s">
        <v>757</v>
      </c>
      <c r="BX39" t="s">
        <v>233</v>
      </c>
      <c r="BY39" t="s">
        <v>760</v>
      </c>
      <c r="BZ39" t="s">
        <v>2398</v>
      </c>
      <c r="CA39" t="s">
        <v>2339</v>
      </c>
      <c r="CB39" t="s">
        <v>234</v>
      </c>
      <c r="CC39" t="s">
        <v>223</v>
      </c>
      <c r="CD39" t="s">
        <v>290</v>
      </c>
      <c r="CE39" t="s">
        <v>340</v>
      </c>
      <c r="CF39" t="s">
        <v>259</v>
      </c>
      <c r="CG39" t="s">
        <v>287</v>
      </c>
      <c r="CH39" t="s">
        <v>235</v>
      </c>
      <c r="CI39" t="s">
        <v>754</v>
      </c>
      <c r="CJ39" t="s">
        <v>761</v>
      </c>
      <c r="CK39" t="s">
        <v>763</v>
      </c>
      <c r="CL39" t="s">
        <v>936</v>
      </c>
      <c r="CM39" t="s">
        <v>1008</v>
      </c>
      <c r="CN39" t="s">
        <v>800</v>
      </c>
      <c r="CO39" t="s">
        <v>1142</v>
      </c>
      <c r="CP39" t="s">
        <v>2410</v>
      </c>
      <c r="CQ39" t="s">
        <v>239</v>
      </c>
      <c r="CR39" t="s">
        <v>241</v>
      </c>
      <c r="CS39" t="s">
        <v>330</v>
      </c>
      <c r="CT39" t="s">
        <v>301</v>
      </c>
      <c r="CU39" t="s">
        <v>367</v>
      </c>
      <c r="CV39" t="s">
        <v>925</v>
      </c>
      <c r="CW39" t="s">
        <v>1011</v>
      </c>
      <c r="CX39" t="s">
        <v>919</v>
      </c>
      <c r="CY39" t="s">
        <v>997</v>
      </c>
      <c r="CZ39" t="s">
        <v>962</v>
      </c>
      <c r="DA39" t="s">
        <v>368</v>
      </c>
      <c r="DB39" t="s">
        <v>805</v>
      </c>
      <c r="DC39" t="s">
        <v>806</v>
      </c>
    </row>
    <row r="40" spans="1:111">
      <c r="A40" s="40">
        <v>35</v>
      </c>
      <c r="B40" s="40" t="s">
        <v>374</v>
      </c>
      <c r="C40" s="2" t="s">
        <v>375</v>
      </c>
      <c r="D40" s="2" t="s">
        <v>894</v>
      </c>
      <c r="E40" s="2"/>
      <c r="F40" s="2">
        <v>70</v>
      </c>
      <c r="G40" s="2">
        <v>45</v>
      </c>
      <c r="H40" s="2">
        <v>48</v>
      </c>
      <c r="I40" s="2">
        <v>60</v>
      </c>
      <c r="J40" s="2">
        <v>65</v>
      </c>
      <c r="K40" s="2">
        <v>35</v>
      </c>
      <c r="L40" s="2">
        <v>323</v>
      </c>
      <c r="M40" s="2" t="s">
        <v>1755</v>
      </c>
      <c r="N40" s="2" t="s">
        <v>1061</v>
      </c>
      <c r="O40" t="s">
        <v>376</v>
      </c>
      <c r="P40" t="s">
        <v>220</v>
      </c>
      <c r="Q40" t="s">
        <v>2343</v>
      </c>
      <c r="R40" t="s">
        <v>779</v>
      </c>
      <c r="S40" t="s">
        <v>377</v>
      </c>
      <c r="T40" t="s">
        <v>348</v>
      </c>
      <c r="U40" t="s">
        <v>353</v>
      </c>
      <c r="V40" t="s">
        <v>921</v>
      </c>
      <c r="W40" t="s">
        <v>1139</v>
      </c>
      <c r="X40" t="s">
        <v>1016</v>
      </c>
      <c r="Y40" t="s">
        <v>378</v>
      </c>
      <c r="Z40" t="s">
        <v>1041</v>
      </c>
      <c r="AA40" t="s">
        <v>379</v>
      </c>
      <c r="AB40" t="s">
        <v>1149</v>
      </c>
      <c r="AC40" t="s">
        <v>987</v>
      </c>
      <c r="AD40" t="s">
        <v>364</v>
      </c>
      <c r="AE40" t="s">
        <v>784</v>
      </c>
      <c r="AF40" t="s">
        <v>228</v>
      </c>
      <c r="AG40" t="s">
        <v>2381</v>
      </c>
      <c r="AH40" t="s">
        <v>978</v>
      </c>
      <c r="AI40" t="s">
        <v>932</v>
      </c>
      <c r="AJ40" t="s">
        <v>982</v>
      </c>
      <c r="AK40" t="s">
        <v>1150</v>
      </c>
      <c r="AL40" t="s">
        <v>1062</v>
      </c>
      <c r="AM40" t="s">
        <v>227</v>
      </c>
      <c r="AN40" t="s">
        <v>1063</v>
      </c>
      <c r="AO40" t="s">
        <v>1151</v>
      </c>
      <c r="AP40" t="s">
        <v>912</v>
      </c>
      <c r="AQ40" t="s">
        <v>148</v>
      </c>
      <c r="AR40" t="s">
        <v>172</v>
      </c>
      <c r="AS40" t="s">
        <v>752</v>
      </c>
      <c r="AT40" t="s">
        <v>141</v>
      </c>
      <c r="AU40" t="s">
        <v>271</v>
      </c>
      <c r="AV40" t="s">
        <v>228</v>
      </c>
      <c r="AW40" t="s">
        <v>1078</v>
      </c>
      <c r="AX40" t="s">
        <v>766</v>
      </c>
      <c r="AY40" t="s">
        <v>759</v>
      </c>
      <c r="AZ40" t="s">
        <v>1079</v>
      </c>
      <c r="BA40" t="s">
        <v>229</v>
      </c>
      <c r="BB40" t="s">
        <v>146</v>
      </c>
      <c r="BC40" t="s">
        <v>321</v>
      </c>
      <c r="BD40" t="s">
        <v>1080</v>
      </c>
      <c r="BE40" t="s">
        <v>256</v>
      </c>
      <c r="BF40" t="s">
        <v>9</v>
      </c>
      <c r="BG40" t="s">
        <v>174</v>
      </c>
      <c r="BH40" t="s">
        <v>1094</v>
      </c>
      <c r="BI40" t="s">
        <v>230</v>
      </c>
      <c r="BJ40" t="s">
        <v>380</v>
      </c>
      <c r="BK40" t="s">
        <v>254</v>
      </c>
      <c r="BL40" t="s">
        <v>257</v>
      </c>
      <c r="BM40" t="s">
        <v>917</v>
      </c>
      <c r="BN40" t="s">
        <v>231</v>
      </c>
      <c r="BO40" t="s">
        <v>1082</v>
      </c>
      <c r="BP40" t="s">
        <v>1037</v>
      </c>
      <c r="BQ40" t="s">
        <v>1083</v>
      </c>
      <c r="BR40" t="s">
        <v>974</v>
      </c>
      <c r="BS40" t="s">
        <v>963</v>
      </c>
      <c r="BT40" t="s">
        <v>1031</v>
      </c>
      <c r="BU40" t="s">
        <v>1036</v>
      </c>
      <c r="BV40" t="s">
        <v>232</v>
      </c>
      <c r="BW40" t="s">
        <v>322</v>
      </c>
      <c r="BX40" t="s">
        <v>785</v>
      </c>
      <c r="BY40" t="s">
        <v>293</v>
      </c>
      <c r="BZ40" t="s">
        <v>977</v>
      </c>
      <c r="CA40" t="s">
        <v>756</v>
      </c>
      <c r="CB40" t="s">
        <v>757</v>
      </c>
      <c r="CC40" t="s">
        <v>233</v>
      </c>
      <c r="CD40" t="s">
        <v>760</v>
      </c>
      <c r="CE40" t="s">
        <v>2398</v>
      </c>
      <c r="CF40" t="s">
        <v>2342</v>
      </c>
      <c r="CG40" t="s">
        <v>2339</v>
      </c>
      <c r="CH40" t="s">
        <v>234</v>
      </c>
      <c r="CI40" t="s">
        <v>381</v>
      </c>
      <c r="CJ40" t="s">
        <v>379</v>
      </c>
      <c r="CK40" t="s">
        <v>235</v>
      </c>
      <c r="CL40" t="s">
        <v>382</v>
      </c>
      <c r="CM40" t="s">
        <v>1099</v>
      </c>
      <c r="CN40" t="s">
        <v>780</v>
      </c>
      <c r="CO40" t="s">
        <v>957</v>
      </c>
      <c r="CP40" t="s">
        <v>1153</v>
      </c>
      <c r="CQ40" t="s">
        <v>918</v>
      </c>
      <c r="CR40" t="s">
        <v>950</v>
      </c>
      <c r="CS40" t="s">
        <v>913</v>
      </c>
      <c r="CT40" t="s">
        <v>1041</v>
      </c>
      <c r="CU40" t="s">
        <v>1200</v>
      </c>
      <c r="CV40" t="s">
        <v>2379</v>
      </c>
      <c r="CW40" t="s">
        <v>239</v>
      </c>
      <c r="CX40" t="s">
        <v>241</v>
      </c>
      <c r="CY40" t="s">
        <v>781</v>
      </c>
      <c r="CZ40" t="s">
        <v>782</v>
      </c>
      <c r="DA40" t="s">
        <v>964</v>
      </c>
      <c r="DB40" t="s">
        <v>930</v>
      </c>
      <c r="DC40" t="s">
        <v>805</v>
      </c>
      <c r="DD40" t="s">
        <v>806</v>
      </c>
    </row>
    <row r="41" spans="1:111">
      <c r="A41" s="40">
        <v>36</v>
      </c>
      <c r="B41" s="40" t="s">
        <v>383</v>
      </c>
      <c r="C41" s="2" t="s">
        <v>384</v>
      </c>
      <c r="D41" s="2" t="s">
        <v>894</v>
      </c>
      <c r="E41" s="2"/>
      <c r="F41" s="2">
        <v>95</v>
      </c>
      <c r="G41" s="2">
        <v>70</v>
      </c>
      <c r="H41" s="2">
        <v>73</v>
      </c>
      <c r="I41" s="2">
        <v>85</v>
      </c>
      <c r="J41" s="2">
        <v>90</v>
      </c>
      <c r="K41" s="2">
        <v>60</v>
      </c>
      <c r="L41" s="2">
        <v>473</v>
      </c>
      <c r="M41" s="2" t="s">
        <v>2415</v>
      </c>
      <c r="N41" s="2" t="s">
        <v>1061</v>
      </c>
      <c r="O41" t="s">
        <v>348</v>
      </c>
      <c r="P41" t="s">
        <v>377</v>
      </c>
      <c r="Q41" t="s">
        <v>378</v>
      </c>
      <c r="R41" t="s">
        <v>379</v>
      </c>
      <c r="S41" t="s">
        <v>2343</v>
      </c>
      <c r="T41" t="s">
        <v>1062</v>
      </c>
      <c r="U41" t="s">
        <v>227</v>
      </c>
      <c r="V41" t="s">
        <v>1063</v>
      </c>
      <c r="W41" t="s">
        <v>1151</v>
      </c>
      <c r="X41" t="s">
        <v>912</v>
      </c>
      <c r="Y41" t="s">
        <v>148</v>
      </c>
      <c r="Z41" t="s">
        <v>172</v>
      </c>
      <c r="AA41" t="s">
        <v>752</v>
      </c>
      <c r="AB41" t="s">
        <v>141</v>
      </c>
      <c r="AC41" t="s">
        <v>271</v>
      </c>
      <c r="AD41" t="s">
        <v>247</v>
      </c>
      <c r="AE41" t="s">
        <v>228</v>
      </c>
      <c r="AF41" t="s">
        <v>1078</v>
      </c>
      <c r="AG41" t="s">
        <v>766</v>
      </c>
      <c r="AH41" t="s">
        <v>759</v>
      </c>
      <c r="AI41" t="s">
        <v>1079</v>
      </c>
      <c r="AJ41" t="s">
        <v>229</v>
      </c>
      <c r="AK41" t="s">
        <v>146</v>
      </c>
      <c r="AL41" t="s">
        <v>321</v>
      </c>
      <c r="AM41" t="s">
        <v>1080</v>
      </c>
      <c r="AN41" t="s">
        <v>256</v>
      </c>
      <c r="AO41" t="s">
        <v>9</v>
      </c>
      <c r="AP41" t="s">
        <v>174</v>
      </c>
      <c r="AQ41" t="s">
        <v>1094</v>
      </c>
      <c r="AR41" t="s">
        <v>230</v>
      </c>
      <c r="AS41" t="s">
        <v>380</v>
      </c>
      <c r="AT41" t="s">
        <v>254</v>
      </c>
      <c r="AU41" t="s">
        <v>257</v>
      </c>
      <c r="AV41" t="s">
        <v>917</v>
      </c>
      <c r="AW41" t="s">
        <v>231</v>
      </c>
      <c r="AX41" t="s">
        <v>1082</v>
      </c>
      <c r="AY41" t="s">
        <v>1037</v>
      </c>
      <c r="AZ41" t="s">
        <v>1083</v>
      </c>
      <c r="BA41" t="s">
        <v>1102</v>
      </c>
      <c r="BB41" t="s">
        <v>974</v>
      </c>
      <c r="BC41" t="s">
        <v>963</v>
      </c>
      <c r="BD41" t="s">
        <v>1031</v>
      </c>
      <c r="BE41" t="s">
        <v>1036</v>
      </c>
      <c r="BF41" t="s">
        <v>976</v>
      </c>
      <c r="BG41" t="s">
        <v>232</v>
      </c>
      <c r="BH41" t="s">
        <v>322</v>
      </c>
      <c r="BI41" t="s">
        <v>785</v>
      </c>
      <c r="BJ41" t="s">
        <v>293</v>
      </c>
      <c r="BK41" t="s">
        <v>977</v>
      </c>
      <c r="BL41" t="s">
        <v>756</v>
      </c>
      <c r="BM41" t="s">
        <v>757</v>
      </c>
      <c r="BN41" t="s">
        <v>233</v>
      </c>
      <c r="BO41" t="s">
        <v>760</v>
      </c>
      <c r="BP41" t="s">
        <v>2398</v>
      </c>
      <c r="BQ41" t="s">
        <v>2342</v>
      </c>
      <c r="BR41" t="s">
        <v>2339</v>
      </c>
      <c r="BS41" t="s">
        <v>234</v>
      </c>
      <c r="BT41" t="s">
        <v>381</v>
      </c>
      <c r="BU41" t="s">
        <v>379</v>
      </c>
      <c r="BV41" t="s">
        <v>235</v>
      </c>
      <c r="BW41" t="s">
        <v>382</v>
      </c>
      <c r="BX41" t="s">
        <v>1099</v>
      </c>
      <c r="BY41" t="s">
        <v>780</v>
      </c>
      <c r="BZ41" t="s">
        <v>957</v>
      </c>
      <c r="CA41" t="s">
        <v>1153</v>
      </c>
      <c r="CB41" t="s">
        <v>918</v>
      </c>
      <c r="CC41" t="s">
        <v>950</v>
      </c>
      <c r="CD41" t="s">
        <v>913</v>
      </c>
      <c r="CE41" t="s">
        <v>1041</v>
      </c>
      <c r="CF41" t="s">
        <v>1200</v>
      </c>
      <c r="CG41" t="s">
        <v>2379</v>
      </c>
      <c r="CH41" t="s">
        <v>239</v>
      </c>
      <c r="CI41" t="s">
        <v>241</v>
      </c>
      <c r="CJ41" t="s">
        <v>376</v>
      </c>
      <c r="CK41" t="s">
        <v>220</v>
      </c>
      <c r="CL41" t="s">
        <v>781</v>
      </c>
      <c r="CM41" t="s">
        <v>779</v>
      </c>
      <c r="CN41" t="s">
        <v>782</v>
      </c>
      <c r="CO41" t="s">
        <v>353</v>
      </c>
      <c r="CP41" t="s">
        <v>964</v>
      </c>
      <c r="CQ41" t="s">
        <v>921</v>
      </c>
      <c r="CR41" t="s">
        <v>930</v>
      </c>
      <c r="CS41" t="s">
        <v>1139</v>
      </c>
      <c r="CT41" t="s">
        <v>1016</v>
      </c>
      <c r="CU41" t="s">
        <v>1041</v>
      </c>
      <c r="CV41" t="s">
        <v>1149</v>
      </c>
      <c r="CW41" t="s">
        <v>987</v>
      </c>
      <c r="CX41" t="s">
        <v>364</v>
      </c>
      <c r="CY41" t="s">
        <v>784</v>
      </c>
      <c r="CZ41" t="s">
        <v>228</v>
      </c>
      <c r="DA41" t="s">
        <v>2381</v>
      </c>
      <c r="DB41" t="s">
        <v>978</v>
      </c>
      <c r="DC41" t="s">
        <v>932</v>
      </c>
      <c r="DD41" t="s">
        <v>982</v>
      </c>
      <c r="DE41" t="s">
        <v>1150</v>
      </c>
      <c r="DF41" t="s">
        <v>805</v>
      </c>
      <c r="DG41" t="s">
        <v>806</v>
      </c>
    </row>
    <row r="42" spans="1:111">
      <c r="A42" s="40">
        <v>37</v>
      </c>
      <c r="B42" s="40" t="s">
        <v>385</v>
      </c>
      <c r="C42" s="2" t="s">
        <v>386</v>
      </c>
      <c r="D42" s="2" t="s">
        <v>19</v>
      </c>
      <c r="E42" s="2"/>
      <c r="F42" s="2">
        <v>38</v>
      </c>
      <c r="G42" s="2">
        <v>41</v>
      </c>
      <c r="H42" s="2">
        <v>40</v>
      </c>
      <c r="I42" s="2">
        <v>50</v>
      </c>
      <c r="J42" s="2">
        <v>65</v>
      </c>
      <c r="K42" s="2">
        <v>65</v>
      </c>
      <c r="L42" s="2">
        <v>299</v>
      </c>
      <c r="M42" s="2" t="s">
        <v>1177</v>
      </c>
      <c r="N42" s="2" t="s">
        <v>1061</v>
      </c>
      <c r="O42" t="s">
        <v>250</v>
      </c>
      <c r="P42" t="s">
        <v>266</v>
      </c>
      <c r="Q42" t="s">
        <v>246</v>
      </c>
      <c r="R42" t="s">
        <v>2333</v>
      </c>
      <c r="S42" t="s">
        <v>310</v>
      </c>
      <c r="T42" t="s">
        <v>255</v>
      </c>
      <c r="U42" t="s">
        <v>387</v>
      </c>
      <c r="V42" t="s">
        <v>927</v>
      </c>
      <c r="W42" t="s">
        <v>774</v>
      </c>
      <c r="X42" t="s">
        <v>1026</v>
      </c>
      <c r="Y42" t="s">
        <v>956</v>
      </c>
      <c r="Z42" t="s">
        <v>1029</v>
      </c>
      <c r="AA42" t="s">
        <v>995</v>
      </c>
      <c r="AB42" t="s">
        <v>254</v>
      </c>
      <c r="AC42" t="s">
        <v>759</v>
      </c>
      <c r="AD42" t="s">
        <v>1154</v>
      </c>
      <c r="AE42" t="s">
        <v>257</v>
      </c>
      <c r="AF42" t="s">
        <v>923</v>
      </c>
      <c r="AG42" t="s">
        <v>962</v>
      </c>
      <c r="AH42" t="s">
        <v>185</v>
      </c>
      <c r="AI42" t="s">
        <v>1062</v>
      </c>
      <c r="AJ42" t="s">
        <v>1063</v>
      </c>
      <c r="AK42" t="s">
        <v>246</v>
      </c>
      <c r="AL42" t="s">
        <v>148</v>
      </c>
      <c r="AM42" t="s">
        <v>172</v>
      </c>
      <c r="AN42" t="s">
        <v>752</v>
      </c>
      <c r="AO42" t="s">
        <v>1078</v>
      </c>
      <c r="AP42" t="s">
        <v>759</v>
      </c>
      <c r="AQ42" t="s">
        <v>1079</v>
      </c>
      <c r="AR42" t="s">
        <v>1080</v>
      </c>
      <c r="AS42" t="s">
        <v>256</v>
      </c>
      <c r="AT42" t="s">
        <v>230</v>
      </c>
      <c r="AU42" t="s">
        <v>254</v>
      </c>
      <c r="AV42" t="s">
        <v>257</v>
      </c>
      <c r="AW42" t="s">
        <v>917</v>
      </c>
      <c r="AX42" t="s">
        <v>1097</v>
      </c>
      <c r="AY42" t="s">
        <v>231</v>
      </c>
      <c r="AZ42" t="s">
        <v>1082</v>
      </c>
      <c r="BA42" t="s">
        <v>1037</v>
      </c>
      <c r="BB42" t="s">
        <v>1098</v>
      </c>
      <c r="BC42" t="s">
        <v>970</v>
      </c>
      <c r="BD42" t="s">
        <v>1031</v>
      </c>
      <c r="BE42" t="s">
        <v>956</v>
      </c>
      <c r="BF42" t="s">
        <v>995</v>
      </c>
      <c r="BG42" t="s">
        <v>785</v>
      </c>
      <c r="BH42" t="s">
        <v>756</v>
      </c>
      <c r="BI42" t="s">
        <v>757</v>
      </c>
      <c r="BJ42" t="s">
        <v>233</v>
      </c>
      <c r="BK42" t="s">
        <v>1157</v>
      </c>
      <c r="BL42" t="s">
        <v>2339</v>
      </c>
      <c r="BM42" t="s">
        <v>234</v>
      </c>
      <c r="BN42" t="s">
        <v>340</v>
      </c>
      <c r="BO42" t="s">
        <v>388</v>
      </c>
      <c r="BP42" t="s">
        <v>770</v>
      </c>
      <c r="BQ42" t="s">
        <v>778</v>
      </c>
      <c r="BR42" t="s">
        <v>774</v>
      </c>
      <c r="BS42" t="s">
        <v>924</v>
      </c>
      <c r="BT42" t="s">
        <v>940</v>
      </c>
      <c r="BU42" t="s">
        <v>1154</v>
      </c>
      <c r="BV42" t="s">
        <v>1155</v>
      </c>
      <c r="BW42" t="s">
        <v>998</v>
      </c>
      <c r="BX42" t="s">
        <v>972</v>
      </c>
      <c r="BY42" t="s">
        <v>1029</v>
      </c>
      <c r="BZ42" t="s">
        <v>1156</v>
      </c>
      <c r="CA42" t="s">
        <v>239</v>
      </c>
      <c r="CB42" t="s">
        <v>241</v>
      </c>
      <c r="CC42" t="s">
        <v>805</v>
      </c>
      <c r="CD42" t="s">
        <v>806</v>
      </c>
    </row>
    <row r="43" spans="1:111">
      <c r="A43" s="40">
        <v>38</v>
      </c>
      <c r="B43" s="40" t="s">
        <v>389</v>
      </c>
      <c r="C43" s="2" t="s">
        <v>390</v>
      </c>
      <c r="D43" s="2" t="s">
        <v>19</v>
      </c>
      <c r="E43" s="2"/>
      <c r="F43" s="2">
        <v>73</v>
      </c>
      <c r="G43" s="2">
        <v>76</v>
      </c>
      <c r="H43" s="2">
        <v>75</v>
      </c>
      <c r="I43" s="2">
        <v>81</v>
      </c>
      <c r="J43" s="2">
        <v>100</v>
      </c>
      <c r="K43" s="2">
        <v>100</v>
      </c>
      <c r="L43" s="2">
        <v>505</v>
      </c>
      <c r="M43" s="2" t="s">
        <v>1173</v>
      </c>
      <c r="N43" s="2" t="s">
        <v>1061</v>
      </c>
      <c r="O43" t="s">
        <v>250</v>
      </c>
      <c r="P43" t="s">
        <v>310</v>
      </c>
      <c r="Q43" t="s">
        <v>387</v>
      </c>
      <c r="R43" t="s">
        <v>759</v>
      </c>
      <c r="S43" t="s">
        <v>991</v>
      </c>
      <c r="T43" t="s">
        <v>1062</v>
      </c>
      <c r="U43" t="s">
        <v>1063</v>
      </c>
      <c r="V43" t="s">
        <v>1151</v>
      </c>
      <c r="W43" t="s">
        <v>912</v>
      </c>
      <c r="X43" t="s">
        <v>246</v>
      </c>
      <c r="Y43" t="s">
        <v>148</v>
      </c>
      <c r="Z43" t="s">
        <v>172</v>
      </c>
      <c r="AA43" t="s">
        <v>752</v>
      </c>
      <c r="AB43" t="s">
        <v>247</v>
      </c>
      <c r="AC43" t="s">
        <v>1078</v>
      </c>
      <c r="AD43" t="s">
        <v>759</v>
      </c>
      <c r="AE43" t="s">
        <v>1079</v>
      </c>
      <c r="AF43" t="s">
        <v>229</v>
      </c>
      <c r="AG43" t="s">
        <v>1080</v>
      </c>
      <c r="AH43" t="s">
        <v>256</v>
      </c>
      <c r="AI43" t="s">
        <v>230</v>
      </c>
      <c r="AJ43" t="s">
        <v>254</v>
      </c>
      <c r="AK43" t="s">
        <v>257</v>
      </c>
      <c r="AL43" t="s">
        <v>917</v>
      </c>
      <c r="AM43" t="s">
        <v>1097</v>
      </c>
      <c r="AN43" t="s">
        <v>231</v>
      </c>
      <c r="AO43" t="s">
        <v>1082</v>
      </c>
      <c r="AP43" t="s">
        <v>1037</v>
      </c>
      <c r="AQ43" t="s">
        <v>1098</v>
      </c>
      <c r="AR43" t="s">
        <v>970</v>
      </c>
      <c r="AS43" t="s">
        <v>1031</v>
      </c>
      <c r="AT43" t="s">
        <v>956</v>
      </c>
      <c r="AU43" t="s">
        <v>995</v>
      </c>
      <c r="AV43" t="s">
        <v>976</v>
      </c>
      <c r="AW43" t="s">
        <v>785</v>
      </c>
      <c r="AX43" t="s">
        <v>293</v>
      </c>
      <c r="AY43" t="s">
        <v>756</v>
      </c>
      <c r="AZ43" t="s">
        <v>757</v>
      </c>
      <c r="BA43" t="s">
        <v>233</v>
      </c>
      <c r="BB43" t="s">
        <v>1157</v>
      </c>
      <c r="BC43" t="s">
        <v>2339</v>
      </c>
      <c r="BD43" t="s">
        <v>234</v>
      </c>
      <c r="BE43" t="s">
        <v>340</v>
      </c>
      <c r="BF43" t="s">
        <v>388</v>
      </c>
      <c r="BG43" t="s">
        <v>770</v>
      </c>
      <c r="BH43" t="s">
        <v>778</v>
      </c>
      <c r="BI43" t="s">
        <v>774</v>
      </c>
      <c r="BJ43" t="s">
        <v>924</v>
      </c>
      <c r="BK43" t="s">
        <v>940</v>
      </c>
      <c r="BL43" t="s">
        <v>1154</v>
      </c>
      <c r="BM43" t="s">
        <v>1155</v>
      </c>
      <c r="BN43" t="s">
        <v>998</v>
      </c>
      <c r="BO43" t="s">
        <v>972</v>
      </c>
      <c r="BP43" t="s">
        <v>1029</v>
      </c>
      <c r="BQ43" t="s">
        <v>1156</v>
      </c>
      <c r="BR43" t="s">
        <v>239</v>
      </c>
      <c r="BS43" t="s">
        <v>241</v>
      </c>
      <c r="BT43" t="s">
        <v>266</v>
      </c>
      <c r="BU43" t="s">
        <v>246</v>
      </c>
      <c r="BV43" t="s">
        <v>2333</v>
      </c>
      <c r="BW43" t="s">
        <v>255</v>
      </c>
      <c r="BX43" t="s">
        <v>927</v>
      </c>
      <c r="BY43" t="s">
        <v>774</v>
      </c>
      <c r="BZ43" t="s">
        <v>1026</v>
      </c>
      <c r="CA43" t="s">
        <v>956</v>
      </c>
      <c r="CB43" t="s">
        <v>1029</v>
      </c>
      <c r="CC43" t="s">
        <v>995</v>
      </c>
      <c r="CD43" t="s">
        <v>254</v>
      </c>
      <c r="CE43" t="s">
        <v>1154</v>
      </c>
      <c r="CF43" t="s">
        <v>257</v>
      </c>
      <c r="CG43" t="s">
        <v>923</v>
      </c>
      <c r="CH43" t="s">
        <v>962</v>
      </c>
      <c r="CI43" t="s">
        <v>185</v>
      </c>
      <c r="CJ43" t="s">
        <v>805</v>
      </c>
      <c r="CK43" t="s">
        <v>806</v>
      </c>
    </row>
    <row r="44" spans="1:111">
      <c r="A44" s="40">
        <v>39</v>
      </c>
      <c r="B44" s="40" t="s">
        <v>391</v>
      </c>
      <c r="C44" s="2" t="s">
        <v>392</v>
      </c>
      <c r="D44" s="2" t="s">
        <v>24</v>
      </c>
      <c r="E44" s="2" t="s">
        <v>894</v>
      </c>
      <c r="F44" s="2">
        <v>115</v>
      </c>
      <c r="G44" s="2">
        <v>45</v>
      </c>
      <c r="H44" s="2">
        <v>20</v>
      </c>
      <c r="I44" s="2">
        <v>45</v>
      </c>
      <c r="J44" s="2">
        <v>25</v>
      </c>
      <c r="K44" s="2">
        <v>20</v>
      </c>
      <c r="L44" s="2">
        <v>270</v>
      </c>
      <c r="M44" s="2" t="s">
        <v>1458</v>
      </c>
      <c r="N44" s="2" t="s">
        <v>1061</v>
      </c>
      <c r="O44" t="s">
        <v>377</v>
      </c>
      <c r="P44" t="s">
        <v>353</v>
      </c>
      <c r="Q44" t="s">
        <v>376</v>
      </c>
      <c r="R44" t="s">
        <v>2393</v>
      </c>
      <c r="S44" t="s">
        <v>340</v>
      </c>
      <c r="T44" t="s">
        <v>1037</v>
      </c>
      <c r="U44" t="s">
        <v>768</v>
      </c>
      <c r="V44" t="s">
        <v>348</v>
      </c>
      <c r="W44" t="s">
        <v>231</v>
      </c>
      <c r="X44" t="s">
        <v>364</v>
      </c>
      <c r="Y44" t="s">
        <v>980</v>
      </c>
      <c r="Z44" t="s">
        <v>1016</v>
      </c>
      <c r="AA44" t="s">
        <v>381</v>
      </c>
      <c r="AB44" t="s">
        <v>1160</v>
      </c>
      <c r="AC44" t="s">
        <v>2343</v>
      </c>
      <c r="AD44" t="s">
        <v>225</v>
      </c>
      <c r="AE44" t="s">
        <v>1062</v>
      </c>
      <c r="AF44" t="s">
        <v>227</v>
      </c>
      <c r="AG44" t="s">
        <v>1063</v>
      </c>
      <c r="AH44" t="s">
        <v>148</v>
      </c>
      <c r="AI44" t="s">
        <v>172</v>
      </c>
      <c r="AJ44" t="s">
        <v>752</v>
      </c>
      <c r="AK44" t="s">
        <v>141</v>
      </c>
      <c r="AL44" t="s">
        <v>271</v>
      </c>
      <c r="AM44" t="s">
        <v>228</v>
      </c>
      <c r="AN44" t="s">
        <v>1078</v>
      </c>
      <c r="AO44" t="s">
        <v>766</v>
      </c>
      <c r="AP44" t="s">
        <v>759</v>
      </c>
      <c r="AQ44" t="s">
        <v>1079</v>
      </c>
      <c r="AR44" t="s">
        <v>229</v>
      </c>
      <c r="AS44" t="s">
        <v>146</v>
      </c>
      <c r="AT44" t="s">
        <v>321</v>
      </c>
      <c r="AU44" t="s">
        <v>1080</v>
      </c>
      <c r="AV44" t="s">
        <v>256</v>
      </c>
      <c r="AW44" t="s">
        <v>9</v>
      </c>
      <c r="AX44" t="s">
        <v>174</v>
      </c>
      <c r="AY44" t="s">
        <v>1094</v>
      </c>
      <c r="AZ44" t="s">
        <v>230</v>
      </c>
      <c r="BA44" t="s">
        <v>380</v>
      </c>
      <c r="BB44" t="s">
        <v>254</v>
      </c>
      <c r="BC44" t="s">
        <v>257</v>
      </c>
      <c r="BD44" t="s">
        <v>917</v>
      </c>
      <c r="BE44" t="s">
        <v>231</v>
      </c>
      <c r="BF44" t="s">
        <v>1082</v>
      </c>
      <c r="BG44" t="s">
        <v>1037</v>
      </c>
      <c r="BH44" t="s">
        <v>1083</v>
      </c>
      <c r="BI44" t="s">
        <v>974</v>
      </c>
      <c r="BJ44" t="s">
        <v>963</v>
      </c>
      <c r="BK44" t="s">
        <v>1031</v>
      </c>
      <c r="BL44" t="s">
        <v>1036</v>
      </c>
      <c r="BM44" t="s">
        <v>232</v>
      </c>
      <c r="BN44" t="s">
        <v>322</v>
      </c>
      <c r="BO44" t="s">
        <v>980</v>
      </c>
      <c r="BP44" t="s">
        <v>785</v>
      </c>
      <c r="BQ44" t="s">
        <v>293</v>
      </c>
      <c r="BR44" t="s">
        <v>977</v>
      </c>
      <c r="BS44" t="s">
        <v>756</v>
      </c>
      <c r="BT44" t="s">
        <v>757</v>
      </c>
      <c r="BU44" t="s">
        <v>233</v>
      </c>
      <c r="BV44" t="s">
        <v>1047</v>
      </c>
      <c r="BW44" t="s">
        <v>2398</v>
      </c>
      <c r="BX44" t="s">
        <v>2342</v>
      </c>
      <c r="BY44" t="s">
        <v>2339</v>
      </c>
      <c r="BZ44" t="s">
        <v>234</v>
      </c>
      <c r="CA44" t="s">
        <v>774</v>
      </c>
      <c r="CB44" t="s">
        <v>786</v>
      </c>
      <c r="CC44" t="s">
        <v>757</v>
      </c>
      <c r="CD44" t="s">
        <v>780</v>
      </c>
      <c r="CE44" t="s">
        <v>957</v>
      </c>
      <c r="CF44" t="s">
        <v>918</v>
      </c>
      <c r="CG44" t="s">
        <v>913</v>
      </c>
      <c r="CH44" t="s">
        <v>978</v>
      </c>
      <c r="CI44" t="s">
        <v>1001</v>
      </c>
      <c r="CJ44" t="s">
        <v>986</v>
      </c>
      <c r="CK44" t="s">
        <v>962</v>
      </c>
      <c r="CL44" t="s">
        <v>1200</v>
      </c>
      <c r="CM44" t="s">
        <v>2379</v>
      </c>
      <c r="CN44" t="s">
        <v>239</v>
      </c>
      <c r="CO44" t="s">
        <v>241</v>
      </c>
      <c r="CP44" t="s">
        <v>781</v>
      </c>
      <c r="CQ44" t="s">
        <v>782</v>
      </c>
      <c r="CR44" t="s">
        <v>964</v>
      </c>
      <c r="CS44" t="s">
        <v>805</v>
      </c>
      <c r="CT44" t="s">
        <v>806</v>
      </c>
    </row>
    <row r="45" spans="1:111">
      <c r="A45" s="40">
        <v>40</v>
      </c>
      <c r="B45" s="40" t="s">
        <v>393</v>
      </c>
      <c r="C45" s="2" t="s">
        <v>394</v>
      </c>
      <c r="D45" s="2" t="s">
        <v>24</v>
      </c>
      <c r="E45" s="2" t="s">
        <v>894</v>
      </c>
      <c r="F45" s="2">
        <v>140</v>
      </c>
      <c r="G45" s="2">
        <v>70</v>
      </c>
      <c r="H45" s="2">
        <v>45</v>
      </c>
      <c r="I45" s="2">
        <v>75</v>
      </c>
      <c r="J45" s="2">
        <v>50</v>
      </c>
      <c r="K45" s="2">
        <v>45</v>
      </c>
      <c r="L45" s="2">
        <v>425</v>
      </c>
      <c r="M45" s="2" t="s">
        <v>1430</v>
      </c>
      <c r="N45" s="2" t="s">
        <v>1061</v>
      </c>
      <c r="O45" t="s">
        <v>348</v>
      </c>
      <c r="P45" t="s">
        <v>377</v>
      </c>
      <c r="Q45" t="s">
        <v>340</v>
      </c>
      <c r="R45" t="s">
        <v>353</v>
      </c>
      <c r="S45" t="s">
        <v>2395</v>
      </c>
      <c r="T45" t="s">
        <v>1062</v>
      </c>
      <c r="U45" t="s">
        <v>227</v>
      </c>
      <c r="V45" t="s">
        <v>1063</v>
      </c>
      <c r="W45" t="s">
        <v>148</v>
      </c>
      <c r="X45" t="s">
        <v>172</v>
      </c>
      <c r="Y45" t="s">
        <v>752</v>
      </c>
      <c r="Z45" t="s">
        <v>141</v>
      </c>
      <c r="AA45" t="s">
        <v>271</v>
      </c>
      <c r="AB45" t="s">
        <v>247</v>
      </c>
      <c r="AC45" t="s">
        <v>228</v>
      </c>
      <c r="AD45" t="s">
        <v>1078</v>
      </c>
      <c r="AE45" t="s">
        <v>766</v>
      </c>
      <c r="AF45" t="s">
        <v>759</v>
      </c>
      <c r="AG45" t="s">
        <v>1079</v>
      </c>
      <c r="AH45" t="s">
        <v>229</v>
      </c>
      <c r="AI45" t="s">
        <v>146</v>
      </c>
      <c r="AJ45" t="s">
        <v>321</v>
      </c>
      <c r="AK45" t="s">
        <v>1080</v>
      </c>
      <c r="AL45" t="s">
        <v>256</v>
      </c>
      <c r="AM45" t="s">
        <v>9</v>
      </c>
      <c r="AN45" t="s">
        <v>174</v>
      </c>
      <c r="AO45" t="s">
        <v>1094</v>
      </c>
      <c r="AP45" t="s">
        <v>230</v>
      </c>
      <c r="AQ45" t="s">
        <v>380</v>
      </c>
      <c r="AR45" t="s">
        <v>254</v>
      </c>
      <c r="AS45" t="s">
        <v>257</v>
      </c>
      <c r="AT45" t="s">
        <v>917</v>
      </c>
      <c r="AU45" t="s">
        <v>231</v>
      </c>
      <c r="AV45" t="s">
        <v>1082</v>
      </c>
      <c r="AW45" t="s">
        <v>1037</v>
      </c>
      <c r="AX45" t="s">
        <v>1083</v>
      </c>
      <c r="AY45" t="s">
        <v>1102</v>
      </c>
      <c r="AZ45" t="s">
        <v>974</v>
      </c>
      <c r="BA45" t="s">
        <v>963</v>
      </c>
      <c r="BB45" t="s">
        <v>1031</v>
      </c>
      <c r="BC45" t="s">
        <v>1036</v>
      </c>
      <c r="BD45" t="s">
        <v>976</v>
      </c>
      <c r="BE45" t="s">
        <v>232</v>
      </c>
      <c r="BF45" t="s">
        <v>322</v>
      </c>
      <c r="BG45" t="s">
        <v>980</v>
      </c>
      <c r="BH45" t="s">
        <v>785</v>
      </c>
      <c r="BI45" t="s">
        <v>293</v>
      </c>
      <c r="BJ45" t="s">
        <v>977</v>
      </c>
      <c r="BK45" t="s">
        <v>756</v>
      </c>
      <c r="BL45" t="s">
        <v>757</v>
      </c>
      <c r="BM45" t="s">
        <v>233</v>
      </c>
      <c r="BN45" t="s">
        <v>1047</v>
      </c>
      <c r="BO45" t="s">
        <v>2398</v>
      </c>
      <c r="BP45" t="s">
        <v>2342</v>
      </c>
      <c r="BQ45" t="s">
        <v>2339</v>
      </c>
      <c r="BR45" t="s">
        <v>234</v>
      </c>
      <c r="BS45" t="s">
        <v>774</v>
      </c>
      <c r="BT45" t="s">
        <v>786</v>
      </c>
      <c r="BU45" t="s">
        <v>757</v>
      </c>
      <c r="BV45" t="s">
        <v>780</v>
      </c>
      <c r="BW45" t="s">
        <v>957</v>
      </c>
      <c r="BX45" t="s">
        <v>918</v>
      </c>
      <c r="BY45" t="s">
        <v>913</v>
      </c>
      <c r="BZ45" t="s">
        <v>978</v>
      </c>
      <c r="CA45" t="s">
        <v>1001</v>
      </c>
      <c r="CB45" t="s">
        <v>986</v>
      </c>
      <c r="CC45" t="s">
        <v>962</v>
      </c>
      <c r="CD45" t="s">
        <v>1200</v>
      </c>
      <c r="CE45" t="s">
        <v>2379</v>
      </c>
      <c r="CF45" t="s">
        <v>239</v>
      </c>
      <c r="CG45" t="s">
        <v>241</v>
      </c>
      <c r="CH45" t="s">
        <v>781</v>
      </c>
      <c r="CI45" t="s">
        <v>376</v>
      </c>
      <c r="CJ45" t="s">
        <v>2393</v>
      </c>
      <c r="CK45" t="s">
        <v>782</v>
      </c>
      <c r="CL45" t="s">
        <v>964</v>
      </c>
      <c r="CM45" t="s">
        <v>1037</v>
      </c>
      <c r="CN45" t="s">
        <v>768</v>
      </c>
      <c r="CO45" t="s">
        <v>231</v>
      </c>
      <c r="CP45" t="s">
        <v>364</v>
      </c>
      <c r="CQ45" t="s">
        <v>980</v>
      </c>
      <c r="CR45" t="s">
        <v>1016</v>
      </c>
      <c r="CS45" t="s">
        <v>381</v>
      </c>
      <c r="CT45" t="s">
        <v>1160</v>
      </c>
      <c r="CU45" t="s">
        <v>2343</v>
      </c>
      <c r="CV45" t="s">
        <v>225</v>
      </c>
      <c r="CW45" t="s">
        <v>805</v>
      </c>
      <c r="CX45" t="s">
        <v>806</v>
      </c>
    </row>
    <row r="46" spans="1:111">
      <c r="A46" s="40">
        <v>41</v>
      </c>
      <c r="B46" s="40" t="s">
        <v>395</v>
      </c>
      <c r="C46" s="2" t="s">
        <v>396</v>
      </c>
      <c r="D46" s="2" t="s">
        <v>11</v>
      </c>
      <c r="E46" s="2" t="s">
        <v>20</v>
      </c>
      <c r="F46" s="2">
        <v>40</v>
      </c>
      <c r="G46" s="2">
        <v>45</v>
      </c>
      <c r="H46" s="2">
        <v>35</v>
      </c>
      <c r="I46" s="2">
        <v>30</v>
      </c>
      <c r="J46" s="2">
        <v>40</v>
      </c>
      <c r="K46" s="2">
        <v>55</v>
      </c>
      <c r="L46" s="2">
        <v>245</v>
      </c>
      <c r="M46" s="2" t="s">
        <v>1103</v>
      </c>
      <c r="N46" s="2" t="s">
        <v>1061</v>
      </c>
      <c r="O46" t="s">
        <v>397</v>
      </c>
      <c r="P46" t="s">
        <v>290</v>
      </c>
      <c r="Q46" t="s">
        <v>1130</v>
      </c>
      <c r="R46" t="s">
        <v>258</v>
      </c>
      <c r="S46" t="s">
        <v>264</v>
      </c>
      <c r="T46" t="s">
        <v>387</v>
      </c>
      <c r="U46" t="s">
        <v>354</v>
      </c>
      <c r="V46" t="s">
        <v>1118</v>
      </c>
      <c r="W46" t="s">
        <v>1020</v>
      </c>
      <c r="X46" t="s">
        <v>787</v>
      </c>
      <c r="Y46" t="s">
        <v>935</v>
      </c>
      <c r="Z46" t="s">
        <v>272</v>
      </c>
      <c r="AA46" t="s">
        <v>1101</v>
      </c>
      <c r="AB46" t="s">
        <v>1062</v>
      </c>
      <c r="AC46" t="s">
        <v>138</v>
      </c>
      <c r="AD46" t="s">
        <v>1063</v>
      </c>
      <c r="AE46" t="s">
        <v>148</v>
      </c>
      <c r="AF46" t="s">
        <v>1077</v>
      </c>
      <c r="AG46" t="s">
        <v>172</v>
      </c>
      <c r="AH46" t="s">
        <v>752</v>
      </c>
      <c r="AI46" t="s">
        <v>1126</v>
      </c>
      <c r="AJ46" t="s">
        <v>1078</v>
      </c>
      <c r="AK46" t="s">
        <v>766</v>
      </c>
      <c r="AL46" t="s">
        <v>1119</v>
      </c>
      <c r="AM46" t="s">
        <v>1079</v>
      </c>
      <c r="AN46" t="s">
        <v>1080</v>
      </c>
      <c r="AO46" t="s">
        <v>174</v>
      </c>
      <c r="AP46" t="s">
        <v>230</v>
      </c>
      <c r="AQ46" t="s">
        <v>1081</v>
      </c>
      <c r="AR46" t="s">
        <v>1096</v>
      </c>
      <c r="AS46" t="s">
        <v>951</v>
      </c>
      <c r="AT46" t="s">
        <v>917</v>
      </c>
      <c r="AU46" t="s">
        <v>231</v>
      </c>
      <c r="AV46" t="s">
        <v>1082</v>
      </c>
      <c r="AW46" t="s">
        <v>1117</v>
      </c>
      <c r="AX46" t="s">
        <v>1037</v>
      </c>
      <c r="AY46" t="s">
        <v>1125</v>
      </c>
      <c r="AZ46" t="s">
        <v>1020</v>
      </c>
      <c r="BA46" t="s">
        <v>995</v>
      </c>
      <c r="BB46" t="s">
        <v>756</v>
      </c>
      <c r="BC46" t="s">
        <v>757</v>
      </c>
      <c r="BD46" t="s">
        <v>1014</v>
      </c>
      <c r="BE46" t="s">
        <v>233</v>
      </c>
      <c r="BF46" t="s">
        <v>2339</v>
      </c>
      <c r="BG46" t="s">
        <v>234</v>
      </c>
      <c r="BH46" t="s">
        <v>289</v>
      </c>
      <c r="BI46" t="s">
        <v>291</v>
      </c>
      <c r="BJ46" t="s">
        <v>388</v>
      </c>
      <c r="BK46" t="s">
        <v>310</v>
      </c>
      <c r="BL46" t="s">
        <v>751</v>
      </c>
      <c r="BM46" t="s">
        <v>774</v>
      </c>
      <c r="BN46" t="s">
        <v>171</v>
      </c>
      <c r="BO46" t="s">
        <v>1125</v>
      </c>
      <c r="BP46" t="s">
        <v>773</v>
      </c>
      <c r="BQ46" t="s">
        <v>1123</v>
      </c>
      <c r="BR46" t="s">
        <v>991</v>
      </c>
      <c r="BS46" t="s">
        <v>1019</v>
      </c>
      <c r="BT46" t="s">
        <v>1124</v>
      </c>
      <c r="BU46" t="s">
        <v>2410</v>
      </c>
      <c r="BV46" t="s">
        <v>239</v>
      </c>
      <c r="BW46" t="s">
        <v>241</v>
      </c>
      <c r="BX46" t="s">
        <v>805</v>
      </c>
      <c r="BY46" t="s">
        <v>806</v>
      </c>
    </row>
    <row r="47" spans="1:111">
      <c r="A47" s="40">
        <v>42</v>
      </c>
      <c r="B47" s="40" t="s">
        <v>398</v>
      </c>
      <c r="C47" s="2" t="s">
        <v>399</v>
      </c>
      <c r="D47" s="2" t="s">
        <v>11</v>
      </c>
      <c r="E47" s="2" t="s">
        <v>20</v>
      </c>
      <c r="F47" s="2">
        <v>75</v>
      </c>
      <c r="G47" s="2">
        <v>80</v>
      </c>
      <c r="H47" s="2">
        <v>70</v>
      </c>
      <c r="I47" s="2">
        <v>65</v>
      </c>
      <c r="J47" s="2">
        <v>75</v>
      </c>
      <c r="K47" s="2">
        <v>90</v>
      </c>
      <c r="L47" s="2">
        <v>455</v>
      </c>
      <c r="M47" s="2" t="s">
        <v>1177</v>
      </c>
      <c r="N47" s="2" t="s">
        <v>1061</v>
      </c>
      <c r="O47" t="s">
        <v>290</v>
      </c>
      <c r="P47" t="s">
        <v>324</v>
      </c>
      <c r="Q47" t="s">
        <v>397</v>
      </c>
      <c r="R47" t="s">
        <v>1130</v>
      </c>
      <c r="S47" t="s">
        <v>290</v>
      </c>
      <c r="T47" t="s">
        <v>1130</v>
      </c>
      <c r="U47" t="s">
        <v>258</v>
      </c>
      <c r="V47" t="s">
        <v>264</v>
      </c>
      <c r="W47" t="s">
        <v>387</v>
      </c>
      <c r="X47" t="s">
        <v>354</v>
      </c>
      <c r="Y47" t="s">
        <v>1118</v>
      </c>
      <c r="Z47" t="s">
        <v>1020</v>
      </c>
      <c r="AA47" t="s">
        <v>787</v>
      </c>
      <c r="AB47" t="s">
        <v>935</v>
      </c>
      <c r="AC47" t="s">
        <v>272</v>
      </c>
      <c r="AD47" t="s">
        <v>1101</v>
      </c>
      <c r="AE47" t="s">
        <v>1062</v>
      </c>
      <c r="AF47" t="s">
        <v>138</v>
      </c>
      <c r="AG47" t="s">
        <v>1063</v>
      </c>
      <c r="AH47" t="s">
        <v>148</v>
      </c>
      <c r="AI47" t="s">
        <v>1077</v>
      </c>
      <c r="AJ47" t="s">
        <v>172</v>
      </c>
      <c r="AK47" t="s">
        <v>752</v>
      </c>
      <c r="AL47" t="s">
        <v>1126</v>
      </c>
      <c r="AM47" t="s">
        <v>247</v>
      </c>
      <c r="AN47" t="s">
        <v>1078</v>
      </c>
      <c r="AO47" t="s">
        <v>766</v>
      </c>
      <c r="AP47" t="s">
        <v>1119</v>
      </c>
      <c r="AQ47" t="s">
        <v>1079</v>
      </c>
      <c r="AR47" t="s">
        <v>1080</v>
      </c>
      <c r="AS47" t="s">
        <v>174</v>
      </c>
      <c r="AT47" t="s">
        <v>230</v>
      </c>
      <c r="AU47" t="s">
        <v>1081</v>
      </c>
      <c r="AV47" t="s">
        <v>1096</v>
      </c>
      <c r="AW47" t="s">
        <v>951</v>
      </c>
      <c r="AX47" t="s">
        <v>917</v>
      </c>
      <c r="AY47" t="s">
        <v>231</v>
      </c>
      <c r="AZ47" t="s">
        <v>1082</v>
      </c>
      <c r="BA47" t="s">
        <v>1117</v>
      </c>
      <c r="BB47" t="s">
        <v>1037</v>
      </c>
      <c r="BC47" t="s">
        <v>1125</v>
      </c>
      <c r="BD47" t="s">
        <v>1020</v>
      </c>
      <c r="BE47" t="s">
        <v>995</v>
      </c>
      <c r="BF47" t="s">
        <v>976</v>
      </c>
      <c r="BG47" t="s">
        <v>756</v>
      </c>
      <c r="BH47" t="s">
        <v>757</v>
      </c>
      <c r="BI47" t="s">
        <v>1014</v>
      </c>
      <c r="BJ47" t="s">
        <v>233</v>
      </c>
      <c r="BK47" t="s">
        <v>2339</v>
      </c>
      <c r="BL47" t="s">
        <v>234</v>
      </c>
      <c r="BM47" t="s">
        <v>289</v>
      </c>
      <c r="BN47" t="s">
        <v>291</v>
      </c>
      <c r="BO47" t="s">
        <v>388</v>
      </c>
      <c r="BP47" t="s">
        <v>310</v>
      </c>
      <c r="BQ47" t="s">
        <v>751</v>
      </c>
      <c r="BR47" t="s">
        <v>774</v>
      </c>
      <c r="BS47" t="s">
        <v>171</v>
      </c>
      <c r="BT47" t="s">
        <v>1125</v>
      </c>
      <c r="BU47" t="s">
        <v>773</v>
      </c>
      <c r="BV47" t="s">
        <v>1123</v>
      </c>
      <c r="BW47" t="s">
        <v>991</v>
      </c>
      <c r="BX47" t="s">
        <v>1019</v>
      </c>
      <c r="BY47" t="s">
        <v>1124</v>
      </c>
      <c r="BZ47" t="s">
        <v>2410</v>
      </c>
      <c r="CA47" t="s">
        <v>239</v>
      </c>
      <c r="CB47" t="s">
        <v>241</v>
      </c>
      <c r="CC47" t="s">
        <v>805</v>
      </c>
      <c r="CD47" t="s">
        <v>806</v>
      </c>
    </row>
    <row r="48" spans="1:111">
      <c r="A48" s="40">
        <v>43</v>
      </c>
      <c r="B48" s="40" t="s">
        <v>400</v>
      </c>
      <c r="C48" s="2" t="s">
        <v>401</v>
      </c>
      <c r="D48" s="2" t="s">
        <v>21</v>
      </c>
      <c r="E48" s="2" t="s">
        <v>11</v>
      </c>
      <c r="F48" s="2">
        <v>45</v>
      </c>
      <c r="G48" s="2">
        <v>50</v>
      </c>
      <c r="H48" s="2">
        <v>55</v>
      </c>
      <c r="I48" s="2">
        <v>75</v>
      </c>
      <c r="J48" s="2">
        <v>65</v>
      </c>
      <c r="K48" s="2">
        <v>30</v>
      </c>
      <c r="L48" s="2">
        <v>320</v>
      </c>
      <c r="M48" s="2" t="s">
        <v>1199</v>
      </c>
      <c r="N48" s="2" t="s">
        <v>1061</v>
      </c>
      <c r="O48" t="s">
        <v>402</v>
      </c>
      <c r="P48" t="s">
        <v>1076</v>
      </c>
      <c r="Q48" t="s">
        <v>339</v>
      </c>
      <c r="R48" t="s">
        <v>221</v>
      </c>
      <c r="S48" t="s">
        <v>288</v>
      </c>
      <c r="T48" t="s">
        <v>222</v>
      </c>
      <c r="U48" t="s">
        <v>403</v>
      </c>
      <c r="V48" t="s">
        <v>987</v>
      </c>
      <c r="W48" t="s">
        <v>992</v>
      </c>
      <c r="X48" t="s">
        <v>784</v>
      </c>
      <c r="Y48" t="s">
        <v>171</v>
      </c>
      <c r="Z48" t="s">
        <v>236</v>
      </c>
      <c r="AA48" t="s">
        <v>2367</v>
      </c>
      <c r="AB48" t="s">
        <v>1062</v>
      </c>
      <c r="AC48" t="s">
        <v>226</v>
      </c>
      <c r="AD48" t="s">
        <v>1063</v>
      </c>
      <c r="AE48" t="s">
        <v>148</v>
      </c>
      <c r="AF48" t="s">
        <v>1077</v>
      </c>
      <c r="AG48" t="s">
        <v>172</v>
      </c>
      <c r="AH48" t="s">
        <v>752</v>
      </c>
      <c r="AI48" t="s">
        <v>1078</v>
      </c>
      <c r="AJ48" t="s">
        <v>1079</v>
      </c>
      <c r="AK48" t="s">
        <v>229</v>
      </c>
      <c r="AL48" t="s">
        <v>1080</v>
      </c>
      <c r="AM48" t="s">
        <v>230</v>
      </c>
      <c r="AN48" t="s">
        <v>1081</v>
      </c>
      <c r="AO48" t="s">
        <v>917</v>
      </c>
      <c r="AP48" t="s">
        <v>231</v>
      </c>
      <c r="AQ48" t="s">
        <v>1082</v>
      </c>
      <c r="AR48" t="s">
        <v>1037</v>
      </c>
      <c r="AS48" t="s">
        <v>970</v>
      </c>
      <c r="AT48" t="s">
        <v>232</v>
      </c>
      <c r="AU48" t="s">
        <v>145</v>
      </c>
      <c r="AV48" t="s">
        <v>2369</v>
      </c>
      <c r="AW48" t="s">
        <v>977</v>
      </c>
      <c r="AX48" t="s">
        <v>756</v>
      </c>
      <c r="AY48" t="s">
        <v>757</v>
      </c>
      <c r="AZ48" t="s">
        <v>233</v>
      </c>
      <c r="BA48" t="s">
        <v>1087</v>
      </c>
      <c r="BB48" t="s">
        <v>2342</v>
      </c>
      <c r="BC48" t="s">
        <v>2339</v>
      </c>
      <c r="BD48" t="s">
        <v>234</v>
      </c>
      <c r="BE48" t="s">
        <v>224</v>
      </c>
      <c r="BF48" t="s">
        <v>770</v>
      </c>
      <c r="BG48" t="s">
        <v>781</v>
      </c>
      <c r="BH48" t="s">
        <v>750</v>
      </c>
      <c r="BI48" t="s">
        <v>1087</v>
      </c>
      <c r="BJ48" t="s">
        <v>1085</v>
      </c>
      <c r="BK48" t="s">
        <v>940</v>
      </c>
      <c r="BL48" t="s">
        <v>949</v>
      </c>
      <c r="BM48" t="s">
        <v>950</v>
      </c>
      <c r="BN48" t="s">
        <v>1150</v>
      </c>
      <c r="BO48" t="s">
        <v>239</v>
      </c>
      <c r="BP48" t="s">
        <v>241</v>
      </c>
      <c r="BQ48" t="s">
        <v>805</v>
      </c>
      <c r="BR48" t="s">
        <v>806</v>
      </c>
    </row>
    <row r="49" spans="1:96">
      <c r="A49" s="40">
        <v>44</v>
      </c>
      <c r="B49" s="40" t="s">
        <v>404</v>
      </c>
      <c r="C49" s="2" t="s">
        <v>405</v>
      </c>
      <c r="D49" s="2" t="s">
        <v>21</v>
      </c>
      <c r="E49" s="2" t="s">
        <v>11</v>
      </c>
      <c r="F49" s="2">
        <v>60</v>
      </c>
      <c r="G49" s="2">
        <v>65</v>
      </c>
      <c r="H49" s="2">
        <v>70</v>
      </c>
      <c r="I49" s="2">
        <v>85</v>
      </c>
      <c r="J49" s="2">
        <v>75</v>
      </c>
      <c r="K49" s="2">
        <v>40</v>
      </c>
      <c r="L49" s="2">
        <v>395</v>
      </c>
      <c r="M49" s="2" t="s">
        <v>1162</v>
      </c>
      <c r="N49" s="2" t="s">
        <v>1061</v>
      </c>
      <c r="O49" t="s">
        <v>339</v>
      </c>
      <c r="P49" t="s">
        <v>402</v>
      </c>
      <c r="Q49" t="s">
        <v>1076</v>
      </c>
      <c r="R49" t="s">
        <v>1076</v>
      </c>
      <c r="S49" t="s">
        <v>339</v>
      </c>
      <c r="T49" t="s">
        <v>221</v>
      </c>
      <c r="U49" t="s">
        <v>288</v>
      </c>
      <c r="V49" t="s">
        <v>222</v>
      </c>
      <c r="W49" t="s">
        <v>403</v>
      </c>
      <c r="X49" t="s">
        <v>987</v>
      </c>
      <c r="Y49" t="s">
        <v>992</v>
      </c>
      <c r="Z49" t="s">
        <v>784</v>
      </c>
      <c r="AA49" t="s">
        <v>171</v>
      </c>
      <c r="AB49" t="s">
        <v>2391</v>
      </c>
      <c r="AC49" t="s">
        <v>236</v>
      </c>
      <c r="AD49" t="s">
        <v>2367</v>
      </c>
      <c r="AE49" t="s">
        <v>1062</v>
      </c>
      <c r="AF49" t="s">
        <v>226</v>
      </c>
      <c r="AG49" t="s">
        <v>1063</v>
      </c>
      <c r="AH49" t="s">
        <v>148</v>
      </c>
      <c r="AI49" t="s">
        <v>1077</v>
      </c>
      <c r="AJ49" t="s">
        <v>172</v>
      </c>
      <c r="AK49" t="s">
        <v>752</v>
      </c>
      <c r="AL49" t="s">
        <v>1078</v>
      </c>
      <c r="AM49" t="s">
        <v>1079</v>
      </c>
      <c r="AN49" t="s">
        <v>229</v>
      </c>
      <c r="AO49" t="s">
        <v>1080</v>
      </c>
      <c r="AP49" t="s">
        <v>230</v>
      </c>
      <c r="AQ49" t="s">
        <v>1081</v>
      </c>
      <c r="AR49" t="s">
        <v>917</v>
      </c>
      <c r="AS49" t="s">
        <v>231</v>
      </c>
      <c r="AT49" t="s">
        <v>1082</v>
      </c>
      <c r="AU49" t="s">
        <v>1037</v>
      </c>
      <c r="AV49" t="s">
        <v>970</v>
      </c>
      <c r="AW49" t="s">
        <v>974</v>
      </c>
      <c r="AX49" t="s">
        <v>232</v>
      </c>
      <c r="AY49" t="s">
        <v>145</v>
      </c>
      <c r="AZ49" t="s">
        <v>2369</v>
      </c>
      <c r="BA49" t="s">
        <v>977</v>
      </c>
      <c r="BB49" t="s">
        <v>756</v>
      </c>
      <c r="BC49" t="s">
        <v>757</v>
      </c>
      <c r="BD49" t="s">
        <v>233</v>
      </c>
      <c r="BE49" t="s">
        <v>1087</v>
      </c>
      <c r="BF49" t="s">
        <v>2342</v>
      </c>
      <c r="BG49" t="s">
        <v>2339</v>
      </c>
      <c r="BH49" t="s">
        <v>234</v>
      </c>
      <c r="BI49" t="s">
        <v>224</v>
      </c>
      <c r="BJ49" t="s">
        <v>770</v>
      </c>
      <c r="BK49" t="s">
        <v>781</v>
      </c>
      <c r="BL49" t="s">
        <v>750</v>
      </c>
      <c r="BM49" t="s">
        <v>1087</v>
      </c>
      <c r="BN49" t="s">
        <v>1085</v>
      </c>
      <c r="BO49" t="s">
        <v>940</v>
      </c>
      <c r="BP49" t="s">
        <v>949</v>
      </c>
      <c r="BQ49" t="s">
        <v>950</v>
      </c>
      <c r="BR49" t="s">
        <v>1150</v>
      </c>
      <c r="BS49" t="s">
        <v>239</v>
      </c>
      <c r="BT49" t="s">
        <v>241</v>
      </c>
      <c r="BU49" t="s">
        <v>805</v>
      </c>
      <c r="BV49" t="s">
        <v>806</v>
      </c>
    </row>
    <row r="50" spans="1:96">
      <c r="A50" s="40">
        <v>45</v>
      </c>
      <c r="B50" s="40" t="s">
        <v>406</v>
      </c>
      <c r="C50" s="2" t="s">
        <v>407</v>
      </c>
      <c r="D50" s="2" t="s">
        <v>21</v>
      </c>
      <c r="E50" s="2" t="s">
        <v>11</v>
      </c>
      <c r="F50" s="2">
        <v>75</v>
      </c>
      <c r="G50" s="2">
        <v>80</v>
      </c>
      <c r="H50" s="2">
        <v>85</v>
      </c>
      <c r="I50" s="2">
        <v>100</v>
      </c>
      <c r="J50" s="2">
        <v>90</v>
      </c>
      <c r="K50" s="2">
        <v>50</v>
      </c>
      <c r="L50" s="2">
        <v>480</v>
      </c>
      <c r="M50" s="2" t="s">
        <v>1075</v>
      </c>
      <c r="N50" s="2" t="s">
        <v>1061</v>
      </c>
      <c r="O50" t="s">
        <v>403</v>
      </c>
      <c r="P50" t="s">
        <v>221</v>
      </c>
      <c r="Q50" t="s">
        <v>288</v>
      </c>
      <c r="R50" t="s">
        <v>1153</v>
      </c>
      <c r="S50" t="s">
        <v>2391</v>
      </c>
      <c r="T50" t="s">
        <v>236</v>
      </c>
      <c r="U50" t="s">
        <v>229</v>
      </c>
      <c r="V50" t="s">
        <v>1062</v>
      </c>
      <c r="W50" t="s">
        <v>226</v>
      </c>
      <c r="X50" t="s">
        <v>1063</v>
      </c>
      <c r="Y50" t="s">
        <v>148</v>
      </c>
      <c r="Z50" t="s">
        <v>1077</v>
      </c>
      <c r="AA50" t="s">
        <v>172</v>
      </c>
      <c r="AB50" t="s">
        <v>752</v>
      </c>
      <c r="AC50" t="s">
        <v>247</v>
      </c>
      <c r="AD50" t="s">
        <v>1078</v>
      </c>
      <c r="AE50" t="s">
        <v>1079</v>
      </c>
      <c r="AF50" t="s">
        <v>229</v>
      </c>
      <c r="AG50" t="s">
        <v>1080</v>
      </c>
      <c r="AH50" t="s">
        <v>230</v>
      </c>
      <c r="AI50" t="s">
        <v>1081</v>
      </c>
      <c r="AJ50" t="s">
        <v>917</v>
      </c>
      <c r="AK50" t="s">
        <v>231</v>
      </c>
      <c r="AL50" t="s">
        <v>1082</v>
      </c>
      <c r="AM50" t="s">
        <v>1037</v>
      </c>
      <c r="AN50" t="s">
        <v>970</v>
      </c>
      <c r="AO50" t="s">
        <v>974</v>
      </c>
      <c r="AP50" t="s">
        <v>976</v>
      </c>
      <c r="AQ50" t="s">
        <v>232</v>
      </c>
      <c r="AR50" t="s">
        <v>145</v>
      </c>
      <c r="AS50" t="s">
        <v>2369</v>
      </c>
      <c r="AT50" t="s">
        <v>977</v>
      </c>
      <c r="AU50" t="s">
        <v>756</v>
      </c>
      <c r="AV50" t="s">
        <v>757</v>
      </c>
      <c r="AW50" t="s">
        <v>233</v>
      </c>
      <c r="AX50" t="s">
        <v>1087</v>
      </c>
      <c r="AY50" t="s">
        <v>2342</v>
      </c>
      <c r="AZ50" t="s">
        <v>2339</v>
      </c>
      <c r="BA50" t="s">
        <v>234</v>
      </c>
      <c r="BB50" t="s">
        <v>224</v>
      </c>
      <c r="BC50" t="s">
        <v>770</v>
      </c>
      <c r="BD50" t="s">
        <v>781</v>
      </c>
      <c r="BE50" t="s">
        <v>750</v>
      </c>
      <c r="BF50" t="s">
        <v>1087</v>
      </c>
      <c r="BG50" t="s">
        <v>1085</v>
      </c>
      <c r="BH50" t="s">
        <v>940</v>
      </c>
      <c r="BI50" t="s">
        <v>949</v>
      </c>
      <c r="BJ50" t="s">
        <v>950</v>
      </c>
      <c r="BK50" t="s">
        <v>1150</v>
      </c>
      <c r="BL50" t="s">
        <v>239</v>
      </c>
      <c r="BM50" t="s">
        <v>241</v>
      </c>
      <c r="BN50" t="s">
        <v>339</v>
      </c>
      <c r="BO50" t="s">
        <v>402</v>
      </c>
      <c r="BP50" t="s">
        <v>1076</v>
      </c>
      <c r="BQ50" t="s">
        <v>222</v>
      </c>
      <c r="BR50" t="s">
        <v>987</v>
      </c>
      <c r="BS50" t="s">
        <v>992</v>
      </c>
      <c r="BT50" t="s">
        <v>784</v>
      </c>
      <c r="BU50" t="s">
        <v>171</v>
      </c>
      <c r="BV50" t="s">
        <v>2367</v>
      </c>
      <c r="BW50" t="s">
        <v>805</v>
      </c>
      <c r="BX50" t="s">
        <v>806</v>
      </c>
    </row>
    <row r="51" spans="1:96">
      <c r="A51" s="40">
        <v>46</v>
      </c>
      <c r="B51" s="40" t="s">
        <v>408</v>
      </c>
      <c r="C51" s="2" t="s">
        <v>409</v>
      </c>
      <c r="D51" s="2" t="s">
        <v>14</v>
      </c>
      <c r="E51" s="2" t="s">
        <v>21</v>
      </c>
      <c r="F51" s="2">
        <v>35</v>
      </c>
      <c r="G51" s="2">
        <v>70</v>
      </c>
      <c r="H51" s="2">
        <v>55</v>
      </c>
      <c r="I51" s="2">
        <v>45</v>
      </c>
      <c r="J51" s="2">
        <v>55</v>
      </c>
      <c r="K51" s="2">
        <v>25</v>
      </c>
      <c r="L51" s="2">
        <v>285</v>
      </c>
      <c r="M51" s="2" t="s">
        <v>1074</v>
      </c>
      <c r="N51" s="2" t="s">
        <v>1061</v>
      </c>
      <c r="O51" t="s">
        <v>249</v>
      </c>
      <c r="P51" t="s">
        <v>221</v>
      </c>
      <c r="Q51" t="s">
        <v>288</v>
      </c>
      <c r="R51" t="s">
        <v>397</v>
      </c>
      <c r="S51" t="s">
        <v>758</v>
      </c>
      <c r="T51" t="s">
        <v>410</v>
      </c>
      <c r="U51" t="s">
        <v>253</v>
      </c>
      <c r="V51" t="s">
        <v>215</v>
      </c>
      <c r="W51" t="s">
        <v>171</v>
      </c>
      <c r="X51" t="s">
        <v>1153</v>
      </c>
      <c r="Y51" t="s">
        <v>1114</v>
      </c>
      <c r="Z51" t="s">
        <v>1018</v>
      </c>
      <c r="AA51" t="s">
        <v>1062</v>
      </c>
      <c r="AB51" t="s">
        <v>226</v>
      </c>
      <c r="AC51" t="s">
        <v>1063</v>
      </c>
      <c r="AD51" t="s">
        <v>1030</v>
      </c>
      <c r="AE51" t="s">
        <v>148</v>
      </c>
      <c r="AF51" t="s">
        <v>1077</v>
      </c>
      <c r="AG51" t="s">
        <v>172</v>
      </c>
      <c r="AH51" t="s">
        <v>752</v>
      </c>
      <c r="AI51" t="s">
        <v>228</v>
      </c>
      <c r="AJ51" t="s">
        <v>1078</v>
      </c>
      <c r="AK51" t="s">
        <v>1079</v>
      </c>
      <c r="AL51" t="s">
        <v>229</v>
      </c>
      <c r="AM51" t="s">
        <v>1080</v>
      </c>
      <c r="AN51" t="s">
        <v>256</v>
      </c>
      <c r="AO51" t="s">
        <v>1094</v>
      </c>
      <c r="AP51" t="s">
        <v>230</v>
      </c>
      <c r="AQ51" t="s">
        <v>1081</v>
      </c>
      <c r="AR51" t="s">
        <v>1096</v>
      </c>
      <c r="AS51" t="s">
        <v>917</v>
      </c>
      <c r="AT51" t="s">
        <v>231</v>
      </c>
      <c r="AU51" t="s">
        <v>1082</v>
      </c>
      <c r="AV51" t="s">
        <v>1117</v>
      </c>
      <c r="AW51" t="s">
        <v>1037</v>
      </c>
      <c r="AX51" t="s">
        <v>970</v>
      </c>
      <c r="AY51" t="s">
        <v>776</v>
      </c>
      <c r="AZ51" t="s">
        <v>232</v>
      </c>
      <c r="BA51" t="s">
        <v>145</v>
      </c>
      <c r="BB51" t="s">
        <v>1042</v>
      </c>
      <c r="BC51" t="s">
        <v>1018</v>
      </c>
      <c r="BD51" t="s">
        <v>977</v>
      </c>
      <c r="BE51" t="s">
        <v>756</v>
      </c>
      <c r="BF51" t="s">
        <v>757</v>
      </c>
      <c r="BG51" t="s">
        <v>233</v>
      </c>
      <c r="BH51" t="s">
        <v>760</v>
      </c>
      <c r="BI51" t="s">
        <v>1087</v>
      </c>
      <c r="BJ51" t="s">
        <v>2339</v>
      </c>
      <c r="BK51" t="s">
        <v>234</v>
      </c>
      <c r="BL51" t="s">
        <v>292</v>
      </c>
      <c r="BM51" t="s">
        <v>259</v>
      </c>
      <c r="BN51" t="s">
        <v>142</v>
      </c>
      <c r="BO51" t="s">
        <v>306</v>
      </c>
      <c r="BP51" t="s">
        <v>324</v>
      </c>
      <c r="BQ51" t="s">
        <v>770</v>
      </c>
      <c r="BR51" t="s">
        <v>754</v>
      </c>
      <c r="BS51" t="s">
        <v>773</v>
      </c>
      <c r="BT51" t="s">
        <v>1076</v>
      </c>
      <c r="BU51" t="s">
        <v>783</v>
      </c>
      <c r="BV51" t="s">
        <v>992</v>
      </c>
      <c r="BW51" t="s">
        <v>1163</v>
      </c>
      <c r="BX51" t="s">
        <v>1110</v>
      </c>
      <c r="BY51" t="s">
        <v>2355</v>
      </c>
      <c r="BZ51" t="s">
        <v>239</v>
      </c>
      <c r="CA51" t="s">
        <v>241</v>
      </c>
      <c r="CB51" t="s">
        <v>805</v>
      </c>
      <c r="CC51" t="s">
        <v>806</v>
      </c>
    </row>
    <row r="52" spans="1:96">
      <c r="A52" s="40">
        <v>47</v>
      </c>
      <c r="B52" s="40" t="s">
        <v>411</v>
      </c>
      <c r="C52" s="2" t="s">
        <v>412</v>
      </c>
      <c r="D52" s="2" t="s">
        <v>14</v>
      </c>
      <c r="E52" s="2" t="s">
        <v>21</v>
      </c>
      <c r="F52" s="2">
        <v>60</v>
      </c>
      <c r="G52" s="2">
        <v>95</v>
      </c>
      <c r="H52" s="2">
        <v>80</v>
      </c>
      <c r="I52" s="2">
        <v>60</v>
      </c>
      <c r="J52" s="2">
        <v>80</v>
      </c>
      <c r="K52" s="2">
        <v>30</v>
      </c>
      <c r="L52" s="2">
        <v>405</v>
      </c>
      <c r="M52" s="2" t="s">
        <v>1090</v>
      </c>
      <c r="N52" s="2" t="s">
        <v>1061</v>
      </c>
      <c r="O52" t="s">
        <v>249</v>
      </c>
      <c r="P52" t="s">
        <v>221</v>
      </c>
      <c r="Q52" t="s">
        <v>288</v>
      </c>
      <c r="R52" t="s">
        <v>397</v>
      </c>
      <c r="S52" t="s">
        <v>1163</v>
      </c>
      <c r="T52" t="s">
        <v>221</v>
      </c>
      <c r="U52" t="s">
        <v>288</v>
      </c>
      <c r="V52" t="s">
        <v>397</v>
      </c>
      <c r="W52" t="s">
        <v>758</v>
      </c>
      <c r="X52" t="s">
        <v>410</v>
      </c>
      <c r="Y52" t="s">
        <v>253</v>
      </c>
      <c r="Z52" t="s">
        <v>215</v>
      </c>
      <c r="AA52" t="s">
        <v>171</v>
      </c>
      <c r="AB52" t="s">
        <v>1153</v>
      </c>
      <c r="AC52" t="s">
        <v>1114</v>
      </c>
      <c r="AD52" t="s">
        <v>1018</v>
      </c>
      <c r="AE52" t="s">
        <v>1062</v>
      </c>
      <c r="AF52" t="s">
        <v>226</v>
      </c>
      <c r="AG52" t="s">
        <v>1063</v>
      </c>
      <c r="AH52" t="s">
        <v>1030</v>
      </c>
      <c r="AI52" t="s">
        <v>148</v>
      </c>
      <c r="AJ52" t="s">
        <v>1077</v>
      </c>
      <c r="AK52" t="s">
        <v>172</v>
      </c>
      <c r="AL52" t="s">
        <v>752</v>
      </c>
      <c r="AM52" t="s">
        <v>247</v>
      </c>
      <c r="AN52" t="s">
        <v>228</v>
      </c>
      <c r="AO52" t="s">
        <v>1078</v>
      </c>
      <c r="AP52" t="s">
        <v>1079</v>
      </c>
      <c r="AQ52" t="s">
        <v>229</v>
      </c>
      <c r="AR52" t="s">
        <v>1080</v>
      </c>
      <c r="AS52" t="s">
        <v>256</v>
      </c>
      <c r="AT52" t="s">
        <v>1094</v>
      </c>
      <c r="AU52" t="s">
        <v>230</v>
      </c>
      <c r="AV52" t="s">
        <v>1081</v>
      </c>
      <c r="AW52" t="s">
        <v>1096</v>
      </c>
      <c r="AX52" t="s">
        <v>917</v>
      </c>
      <c r="AY52" t="s">
        <v>231</v>
      </c>
      <c r="AZ52" t="s">
        <v>1082</v>
      </c>
      <c r="BA52" t="s">
        <v>1117</v>
      </c>
      <c r="BB52" t="s">
        <v>1037</v>
      </c>
      <c r="BC52" t="s">
        <v>970</v>
      </c>
      <c r="BD52" t="s">
        <v>776</v>
      </c>
      <c r="BE52" t="s">
        <v>976</v>
      </c>
      <c r="BF52" t="s">
        <v>232</v>
      </c>
      <c r="BG52" t="s">
        <v>145</v>
      </c>
      <c r="BH52" t="s">
        <v>1042</v>
      </c>
      <c r="BI52" t="s">
        <v>1018</v>
      </c>
      <c r="BJ52" t="s">
        <v>977</v>
      </c>
      <c r="BK52" t="s">
        <v>756</v>
      </c>
      <c r="BL52" t="s">
        <v>757</v>
      </c>
      <c r="BM52" t="s">
        <v>233</v>
      </c>
      <c r="BN52" t="s">
        <v>760</v>
      </c>
      <c r="BO52" t="s">
        <v>1087</v>
      </c>
      <c r="BP52" t="s">
        <v>2339</v>
      </c>
      <c r="BQ52" t="s">
        <v>234</v>
      </c>
      <c r="BR52" t="s">
        <v>292</v>
      </c>
      <c r="BS52" t="s">
        <v>259</v>
      </c>
      <c r="BT52" t="s">
        <v>142</v>
      </c>
      <c r="BU52" t="s">
        <v>306</v>
      </c>
      <c r="BV52" t="s">
        <v>324</v>
      </c>
      <c r="BW52" t="s">
        <v>770</v>
      </c>
      <c r="BX52" t="s">
        <v>754</v>
      </c>
      <c r="BY52" t="s">
        <v>773</v>
      </c>
      <c r="BZ52" t="s">
        <v>1076</v>
      </c>
      <c r="CA52" t="s">
        <v>783</v>
      </c>
      <c r="CB52" t="s">
        <v>992</v>
      </c>
      <c r="CC52" t="s">
        <v>1163</v>
      </c>
      <c r="CD52" t="s">
        <v>1110</v>
      </c>
      <c r="CE52" t="s">
        <v>2355</v>
      </c>
      <c r="CF52" t="s">
        <v>239</v>
      </c>
      <c r="CG52" t="s">
        <v>241</v>
      </c>
      <c r="CH52" t="s">
        <v>805</v>
      </c>
      <c r="CI52" t="s">
        <v>806</v>
      </c>
    </row>
    <row r="53" spans="1:96">
      <c r="A53" s="40">
        <v>48</v>
      </c>
      <c r="B53" s="40" t="s">
        <v>413</v>
      </c>
      <c r="C53" s="2" t="s">
        <v>414</v>
      </c>
      <c r="D53" s="2" t="s">
        <v>14</v>
      </c>
      <c r="E53" s="2" t="s">
        <v>11</v>
      </c>
      <c r="F53" s="2">
        <v>60</v>
      </c>
      <c r="G53" s="2">
        <v>55</v>
      </c>
      <c r="H53" s="2">
        <v>50</v>
      </c>
      <c r="I53" s="2">
        <v>40</v>
      </c>
      <c r="J53" s="2">
        <v>55</v>
      </c>
      <c r="K53" s="2">
        <v>45</v>
      </c>
      <c r="L53" s="2">
        <v>305</v>
      </c>
      <c r="M53" s="2" t="s">
        <v>1120</v>
      </c>
      <c r="N53" s="2" t="s">
        <v>1061</v>
      </c>
      <c r="O53" t="s">
        <v>219</v>
      </c>
      <c r="P53" t="s">
        <v>340</v>
      </c>
      <c r="Q53" t="s">
        <v>771</v>
      </c>
      <c r="R53" t="s">
        <v>290</v>
      </c>
      <c r="S53" t="s">
        <v>287</v>
      </c>
      <c r="T53" t="s">
        <v>221</v>
      </c>
      <c r="U53" t="s">
        <v>397</v>
      </c>
      <c r="V53" t="s">
        <v>288</v>
      </c>
      <c r="W53" t="s">
        <v>292</v>
      </c>
      <c r="X53" t="s">
        <v>222</v>
      </c>
      <c r="Y53" t="s">
        <v>216</v>
      </c>
      <c r="Z53" t="s">
        <v>1019</v>
      </c>
      <c r="AA53" t="s">
        <v>935</v>
      </c>
      <c r="AB53" t="s">
        <v>9</v>
      </c>
      <c r="AC53" t="s">
        <v>1062</v>
      </c>
      <c r="AD53" t="s">
        <v>1063</v>
      </c>
      <c r="AE53" t="s">
        <v>148</v>
      </c>
      <c r="AF53" t="s">
        <v>1077</v>
      </c>
      <c r="AG53" t="s">
        <v>172</v>
      </c>
      <c r="AH53" t="s">
        <v>752</v>
      </c>
      <c r="AI53" t="s">
        <v>1078</v>
      </c>
      <c r="AJ53" t="s">
        <v>1079</v>
      </c>
      <c r="AK53" t="s">
        <v>229</v>
      </c>
      <c r="AL53" t="s">
        <v>1080</v>
      </c>
      <c r="AM53" t="s">
        <v>9</v>
      </c>
      <c r="AN53" t="s">
        <v>230</v>
      </c>
      <c r="AO53" t="s">
        <v>1081</v>
      </c>
      <c r="AP53" t="s">
        <v>917</v>
      </c>
      <c r="AQ53" t="s">
        <v>231</v>
      </c>
      <c r="AR53" t="s">
        <v>1082</v>
      </c>
      <c r="AS53" t="s">
        <v>1117</v>
      </c>
      <c r="AT53" t="s">
        <v>1037</v>
      </c>
      <c r="AU53" t="s">
        <v>232</v>
      </c>
      <c r="AV53" t="s">
        <v>1042</v>
      </c>
      <c r="AW53" t="s">
        <v>2369</v>
      </c>
      <c r="AX53" t="s">
        <v>756</v>
      </c>
      <c r="AY53" t="s">
        <v>757</v>
      </c>
      <c r="AZ53" t="s">
        <v>233</v>
      </c>
      <c r="BA53" t="s">
        <v>2339</v>
      </c>
      <c r="BB53" t="s">
        <v>234</v>
      </c>
      <c r="BC53" t="s">
        <v>306</v>
      </c>
      <c r="BD53" t="s">
        <v>324</v>
      </c>
      <c r="BE53" t="s">
        <v>171</v>
      </c>
      <c r="BF53" t="s">
        <v>788</v>
      </c>
      <c r="BG53" t="s">
        <v>1164</v>
      </c>
      <c r="BH53" t="s">
        <v>941</v>
      </c>
      <c r="BI53" t="s">
        <v>940</v>
      </c>
      <c r="BJ53" t="s">
        <v>216</v>
      </c>
      <c r="BK53" t="s">
        <v>1011</v>
      </c>
      <c r="BL53" t="s">
        <v>1110</v>
      </c>
      <c r="BM53" t="s">
        <v>1114</v>
      </c>
      <c r="BN53" t="s">
        <v>239</v>
      </c>
      <c r="BO53" t="s">
        <v>241</v>
      </c>
      <c r="BP53" t="s">
        <v>805</v>
      </c>
      <c r="BQ53" t="s">
        <v>806</v>
      </c>
    </row>
    <row r="54" spans="1:96">
      <c r="A54" s="40">
        <v>49</v>
      </c>
      <c r="B54" s="40" t="s">
        <v>415</v>
      </c>
      <c r="C54" s="2" t="s">
        <v>416</v>
      </c>
      <c r="D54" s="2" t="s">
        <v>14</v>
      </c>
      <c r="E54" s="2" t="s">
        <v>11</v>
      </c>
      <c r="F54" s="2">
        <v>70</v>
      </c>
      <c r="G54" s="2">
        <v>65</v>
      </c>
      <c r="H54" s="2">
        <v>60</v>
      </c>
      <c r="I54" s="2">
        <v>90</v>
      </c>
      <c r="J54" s="2">
        <v>75</v>
      </c>
      <c r="K54" s="2">
        <v>90</v>
      </c>
      <c r="L54" s="2">
        <v>450</v>
      </c>
      <c r="M54" s="2" t="s">
        <v>1074</v>
      </c>
      <c r="N54" s="2" t="s">
        <v>1061</v>
      </c>
      <c r="O54" t="s">
        <v>219</v>
      </c>
      <c r="P54" t="s">
        <v>290</v>
      </c>
      <c r="Q54" t="s">
        <v>340</v>
      </c>
      <c r="R54" t="s">
        <v>771</v>
      </c>
      <c r="S54" t="s">
        <v>1113</v>
      </c>
      <c r="T54" t="s">
        <v>290</v>
      </c>
      <c r="U54" t="s">
        <v>287</v>
      </c>
      <c r="V54" t="s">
        <v>221</v>
      </c>
      <c r="W54" t="s">
        <v>397</v>
      </c>
      <c r="X54" t="s">
        <v>288</v>
      </c>
      <c r="Y54" t="s">
        <v>292</v>
      </c>
      <c r="Z54" t="s">
        <v>222</v>
      </c>
      <c r="AA54" t="s">
        <v>289</v>
      </c>
      <c r="AB54" t="s">
        <v>216</v>
      </c>
      <c r="AC54" t="s">
        <v>1019</v>
      </c>
      <c r="AD54" t="s">
        <v>935</v>
      </c>
      <c r="AE54" t="s">
        <v>9</v>
      </c>
      <c r="AF54" t="s">
        <v>1115</v>
      </c>
      <c r="AG54" t="s">
        <v>1116</v>
      </c>
      <c r="AH54" t="s">
        <v>1062</v>
      </c>
      <c r="AI54" t="s">
        <v>1063</v>
      </c>
      <c r="AJ54" t="s">
        <v>148</v>
      </c>
      <c r="AK54" t="s">
        <v>1077</v>
      </c>
      <c r="AL54" t="s">
        <v>172</v>
      </c>
      <c r="AM54" t="s">
        <v>752</v>
      </c>
      <c r="AN54" t="s">
        <v>247</v>
      </c>
      <c r="AO54" t="s">
        <v>1078</v>
      </c>
      <c r="AP54" t="s">
        <v>1119</v>
      </c>
      <c r="AQ54" t="s">
        <v>1079</v>
      </c>
      <c r="AR54" t="s">
        <v>229</v>
      </c>
      <c r="AS54" t="s">
        <v>1080</v>
      </c>
      <c r="AT54" t="s">
        <v>9</v>
      </c>
      <c r="AU54" t="s">
        <v>230</v>
      </c>
      <c r="AV54" t="s">
        <v>1081</v>
      </c>
      <c r="AW54" t="s">
        <v>1096</v>
      </c>
      <c r="AX54" t="s">
        <v>917</v>
      </c>
      <c r="AY54" t="s">
        <v>231</v>
      </c>
      <c r="AZ54" t="s">
        <v>1082</v>
      </c>
      <c r="BA54" t="s">
        <v>1117</v>
      </c>
      <c r="BB54" t="s">
        <v>1037</v>
      </c>
      <c r="BC54" t="s">
        <v>970</v>
      </c>
      <c r="BD54" t="s">
        <v>1020</v>
      </c>
      <c r="BE54" t="s">
        <v>976</v>
      </c>
      <c r="BF54" t="s">
        <v>232</v>
      </c>
      <c r="BG54" t="s">
        <v>1042</v>
      </c>
      <c r="BH54" t="s">
        <v>2369</v>
      </c>
      <c r="BI54" t="s">
        <v>756</v>
      </c>
      <c r="BJ54" t="s">
        <v>757</v>
      </c>
      <c r="BK54" t="s">
        <v>1014</v>
      </c>
      <c r="BL54" t="s">
        <v>233</v>
      </c>
      <c r="BM54" t="s">
        <v>2339</v>
      </c>
      <c r="BN54" t="s">
        <v>234</v>
      </c>
      <c r="BO54" t="s">
        <v>306</v>
      </c>
      <c r="BP54" t="s">
        <v>324</v>
      </c>
      <c r="BQ54" t="s">
        <v>171</v>
      </c>
      <c r="BR54" t="s">
        <v>788</v>
      </c>
      <c r="BS54" t="s">
        <v>1164</v>
      </c>
      <c r="BT54" t="s">
        <v>941</v>
      </c>
      <c r="BU54" t="s">
        <v>940</v>
      </c>
      <c r="BV54" t="s">
        <v>216</v>
      </c>
      <c r="BW54" t="s">
        <v>1011</v>
      </c>
      <c r="BX54" t="s">
        <v>1110</v>
      </c>
      <c r="BY54" t="s">
        <v>1114</v>
      </c>
      <c r="BZ54" t="s">
        <v>239</v>
      </c>
      <c r="CA54" t="s">
        <v>241</v>
      </c>
      <c r="CB54" t="s">
        <v>805</v>
      </c>
      <c r="CC54" t="s">
        <v>806</v>
      </c>
    </row>
    <row r="55" spans="1:96">
      <c r="A55" s="40">
        <v>50</v>
      </c>
      <c r="B55" s="40" t="s">
        <v>417</v>
      </c>
      <c r="C55" s="2" t="s">
        <v>418</v>
      </c>
      <c r="D55" s="2" t="s">
        <v>22</v>
      </c>
      <c r="E55" s="2"/>
      <c r="F55" s="2">
        <v>10</v>
      </c>
      <c r="G55" s="2">
        <v>55</v>
      </c>
      <c r="H55" s="2">
        <v>25</v>
      </c>
      <c r="I55" s="2">
        <v>35</v>
      </c>
      <c r="J55" s="2">
        <v>45</v>
      </c>
      <c r="K55" s="2">
        <v>95</v>
      </c>
      <c r="L55" s="2">
        <v>265</v>
      </c>
      <c r="M55" s="2" t="s">
        <v>1103</v>
      </c>
      <c r="N55" s="2" t="s">
        <v>1061</v>
      </c>
      <c r="O55" t="s">
        <v>249</v>
      </c>
      <c r="P55" t="s">
        <v>309</v>
      </c>
      <c r="Q55" t="s">
        <v>220</v>
      </c>
      <c r="R55" t="s">
        <v>1130</v>
      </c>
      <c r="S55" t="s">
        <v>755</v>
      </c>
      <c r="T55" t="s">
        <v>789</v>
      </c>
      <c r="U55" t="s">
        <v>1021</v>
      </c>
      <c r="V55" t="s">
        <v>1008</v>
      </c>
      <c r="W55" t="s">
        <v>990</v>
      </c>
      <c r="X55" t="s">
        <v>968</v>
      </c>
      <c r="Y55" t="s">
        <v>256</v>
      </c>
      <c r="Z55" t="s">
        <v>253</v>
      </c>
      <c r="AA55" t="s">
        <v>136</v>
      </c>
      <c r="AB55" t="s">
        <v>419</v>
      </c>
      <c r="AC55" t="s">
        <v>1062</v>
      </c>
      <c r="AD55" t="s">
        <v>226</v>
      </c>
      <c r="AE55" t="s">
        <v>1063</v>
      </c>
      <c r="AF55" t="s">
        <v>1030</v>
      </c>
      <c r="AG55" t="s">
        <v>148</v>
      </c>
      <c r="AH55" t="s">
        <v>172</v>
      </c>
      <c r="AI55" t="s">
        <v>752</v>
      </c>
      <c r="AJ55" t="s">
        <v>1078</v>
      </c>
      <c r="AK55" t="s">
        <v>1079</v>
      </c>
      <c r="AL55" t="s">
        <v>136</v>
      </c>
      <c r="AM55" t="s">
        <v>1080</v>
      </c>
      <c r="AN55" t="s">
        <v>256</v>
      </c>
      <c r="AO55" t="s">
        <v>230</v>
      </c>
      <c r="AP55" t="s">
        <v>1081</v>
      </c>
      <c r="AQ55" t="s">
        <v>765</v>
      </c>
      <c r="AR55" t="s">
        <v>1095</v>
      </c>
      <c r="AS55" t="s">
        <v>1096</v>
      </c>
      <c r="AT55" t="s">
        <v>917</v>
      </c>
      <c r="AU55" t="s">
        <v>231</v>
      </c>
      <c r="AV55" t="s">
        <v>1082</v>
      </c>
      <c r="AW55" t="s">
        <v>1117</v>
      </c>
      <c r="AX55" t="s">
        <v>1037</v>
      </c>
      <c r="AY55" t="s">
        <v>1083</v>
      </c>
      <c r="AZ55" t="s">
        <v>1005</v>
      </c>
      <c r="BA55" t="s">
        <v>1021</v>
      </c>
      <c r="BB55" t="s">
        <v>143</v>
      </c>
      <c r="BC55" t="s">
        <v>756</v>
      </c>
      <c r="BD55" t="s">
        <v>757</v>
      </c>
      <c r="BE55" t="s">
        <v>233</v>
      </c>
      <c r="BF55" t="s">
        <v>760</v>
      </c>
      <c r="BG55" t="s">
        <v>2339</v>
      </c>
      <c r="BH55" t="s">
        <v>234</v>
      </c>
      <c r="BI55" t="s">
        <v>420</v>
      </c>
      <c r="BJ55" t="s">
        <v>324</v>
      </c>
      <c r="BK55" t="s">
        <v>775</v>
      </c>
      <c r="BL55" t="s">
        <v>774</v>
      </c>
      <c r="BM55" t="s">
        <v>754</v>
      </c>
      <c r="BN55" t="s">
        <v>773</v>
      </c>
      <c r="BO55" t="s">
        <v>170</v>
      </c>
      <c r="BP55" t="s">
        <v>763</v>
      </c>
      <c r="BQ55" t="s">
        <v>953</v>
      </c>
      <c r="BR55" t="s">
        <v>931</v>
      </c>
      <c r="BS55" t="s">
        <v>1130</v>
      </c>
      <c r="BT55" t="s">
        <v>990</v>
      </c>
      <c r="BU55" t="s">
        <v>1024</v>
      </c>
      <c r="BV55" t="s">
        <v>239</v>
      </c>
      <c r="BW55" t="s">
        <v>241</v>
      </c>
      <c r="BX55" t="s">
        <v>805</v>
      </c>
      <c r="BY55" t="s">
        <v>806</v>
      </c>
    </row>
    <row r="56" spans="1:96">
      <c r="A56" s="40">
        <v>51</v>
      </c>
      <c r="B56" s="40" t="s">
        <v>421</v>
      </c>
      <c r="C56" s="2" t="s">
        <v>422</v>
      </c>
      <c r="D56" s="2" t="s">
        <v>22</v>
      </c>
      <c r="E56" s="2"/>
      <c r="F56" s="2">
        <v>35</v>
      </c>
      <c r="G56" s="2">
        <v>80</v>
      </c>
      <c r="H56" s="2">
        <v>50</v>
      </c>
      <c r="I56" s="2">
        <v>50</v>
      </c>
      <c r="J56" s="2">
        <v>70</v>
      </c>
      <c r="K56" s="2">
        <v>120</v>
      </c>
      <c r="L56" s="2">
        <v>405</v>
      </c>
      <c r="M56" s="2" t="s">
        <v>1129</v>
      </c>
      <c r="N56" s="2" t="s">
        <v>1061</v>
      </c>
      <c r="O56" t="s">
        <v>249</v>
      </c>
      <c r="P56" t="s">
        <v>309</v>
      </c>
      <c r="Q56" t="s">
        <v>220</v>
      </c>
      <c r="R56" t="s">
        <v>333</v>
      </c>
      <c r="S56" t="s">
        <v>993</v>
      </c>
      <c r="T56" t="s">
        <v>2400</v>
      </c>
      <c r="U56" t="s">
        <v>220</v>
      </c>
      <c r="V56" t="s">
        <v>1130</v>
      </c>
      <c r="W56" t="s">
        <v>755</v>
      </c>
      <c r="X56" t="s">
        <v>789</v>
      </c>
      <c r="Y56" t="s">
        <v>1021</v>
      </c>
      <c r="Z56" t="s">
        <v>1008</v>
      </c>
      <c r="AA56" t="s">
        <v>939</v>
      </c>
      <c r="AB56" t="s">
        <v>990</v>
      </c>
      <c r="AC56" t="s">
        <v>968</v>
      </c>
      <c r="AD56" t="s">
        <v>256</v>
      </c>
      <c r="AE56" t="s">
        <v>253</v>
      </c>
      <c r="AF56" t="s">
        <v>136</v>
      </c>
      <c r="AG56" t="s">
        <v>419</v>
      </c>
      <c r="AH56" t="s">
        <v>1062</v>
      </c>
      <c r="AI56" t="s">
        <v>226</v>
      </c>
      <c r="AJ56" t="s">
        <v>1063</v>
      </c>
      <c r="AK56" t="s">
        <v>1030</v>
      </c>
      <c r="AL56" t="s">
        <v>148</v>
      </c>
      <c r="AM56" t="s">
        <v>172</v>
      </c>
      <c r="AN56" t="s">
        <v>752</v>
      </c>
      <c r="AO56" t="s">
        <v>247</v>
      </c>
      <c r="AP56" t="s">
        <v>1078</v>
      </c>
      <c r="AQ56" t="s">
        <v>1079</v>
      </c>
      <c r="AR56" t="s">
        <v>136</v>
      </c>
      <c r="AS56" t="s">
        <v>1080</v>
      </c>
      <c r="AT56" t="s">
        <v>256</v>
      </c>
      <c r="AU56" t="s">
        <v>230</v>
      </c>
      <c r="AV56" t="s">
        <v>186</v>
      </c>
      <c r="AW56" t="s">
        <v>1081</v>
      </c>
      <c r="AX56" t="s">
        <v>765</v>
      </c>
      <c r="AY56" t="s">
        <v>1095</v>
      </c>
      <c r="AZ56" t="s">
        <v>1096</v>
      </c>
      <c r="BA56" t="s">
        <v>917</v>
      </c>
      <c r="BB56" t="s">
        <v>231</v>
      </c>
      <c r="BC56" t="s">
        <v>1082</v>
      </c>
      <c r="BD56" t="s">
        <v>1117</v>
      </c>
      <c r="BE56" t="s">
        <v>1037</v>
      </c>
      <c r="BF56" t="s">
        <v>1083</v>
      </c>
      <c r="BG56" t="s">
        <v>1005</v>
      </c>
      <c r="BH56" t="s">
        <v>976</v>
      </c>
      <c r="BI56" t="s">
        <v>183</v>
      </c>
      <c r="BJ56" t="s">
        <v>1021</v>
      </c>
      <c r="BK56" t="s">
        <v>143</v>
      </c>
      <c r="BL56" t="s">
        <v>756</v>
      </c>
      <c r="BM56" t="s">
        <v>757</v>
      </c>
      <c r="BN56" t="s">
        <v>233</v>
      </c>
      <c r="BO56" t="s">
        <v>760</v>
      </c>
      <c r="BP56" t="s">
        <v>2339</v>
      </c>
      <c r="BQ56" t="s">
        <v>234</v>
      </c>
      <c r="BR56" t="s">
        <v>420</v>
      </c>
      <c r="BS56" t="s">
        <v>324</v>
      </c>
      <c r="BT56" t="s">
        <v>775</v>
      </c>
      <c r="BU56" t="s">
        <v>774</v>
      </c>
      <c r="BV56" t="s">
        <v>754</v>
      </c>
      <c r="BW56" t="s">
        <v>773</v>
      </c>
      <c r="BX56" t="s">
        <v>170</v>
      </c>
      <c r="BY56" t="s">
        <v>763</v>
      </c>
      <c r="BZ56" t="s">
        <v>953</v>
      </c>
      <c r="CA56" t="s">
        <v>931</v>
      </c>
      <c r="CB56" t="s">
        <v>1130</v>
      </c>
      <c r="CC56" t="s">
        <v>990</v>
      </c>
      <c r="CD56" t="s">
        <v>1024</v>
      </c>
      <c r="CE56" t="s">
        <v>239</v>
      </c>
      <c r="CF56" t="s">
        <v>241</v>
      </c>
      <c r="CG56" t="s">
        <v>805</v>
      </c>
      <c r="CH56" t="s">
        <v>806</v>
      </c>
    </row>
    <row r="57" spans="1:96">
      <c r="A57" s="40">
        <v>52</v>
      </c>
      <c r="B57" s="40" t="s">
        <v>423</v>
      </c>
      <c r="C57" s="2" t="s">
        <v>424</v>
      </c>
      <c r="D57" s="2" t="s">
        <v>24</v>
      </c>
      <c r="E57" s="2"/>
      <c r="F57" s="2">
        <v>40</v>
      </c>
      <c r="G57" s="2">
        <v>45</v>
      </c>
      <c r="H57" s="2">
        <v>35</v>
      </c>
      <c r="I57" s="2">
        <v>40</v>
      </c>
      <c r="J57" s="2">
        <v>40</v>
      </c>
      <c r="K57" s="2">
        <v>90</v>
      </c>
      <c r="L57" s="2">
        <v>290</v>
      </c>
      <c r="M57" s="2" t="s">
        <v>1074</v>
      </c>
      <c r="N57" s="2" t="s">
        <v>1061</v>
      </c>
      <c r="O57" t="s">
        <v>249</v>
      </c>
      <c r="P57" t="s">
        <v>220</v>
      </c>
      <c r="Q57" t="s">
        <v>258</v>
      </c>
      <c r="R57" t="s">
        <v>176</v>
      </c>
      <c r="S57" t="s">
        <v>323</v>
      </c>
      <c r="T57" t="s">
        <v>324</v>
      </c>
      <c r="U57" t="s">
        <v>774</v>
      </c>
      <c r="V57" t="s">
        <v>1126</v>
      </c>
      <c r="W57" t="s">
        <v>425</v>
      </c>
      <c r="X57" t="s">
        <v>253</v>
      </c>
      <c r="Y57" t="s">
        <v>991</v>
      </c>
      <c r="Z57" t="s">
        <v>960</v>
      </c>
      <c r="AA57" t="s">
        <v>962</v>
      </c>
      <c r="AB57" t="s">
        <v>993</v>
      </c>
      <c r="AC57" t="s">
        <v>971</v>
      </c>
      <c r="AD57" t="s">
        <v>1062</v>
      </c>
      <c r="AE57" t="s">
        <v>226</v>
      </c>
      <c r="AF57" t="s">
        <v>1063</v>
      </c>
      <c r="AG57" t="s">
        <v>1030</v>
      </c>
      <c r="AH57" t="s">
        <v>148</v>
      </c>
      <c r="AI57" t="s">
        <v>172</v>
      </c>
      <c r="AJ57" t="s">
        <v>752</v>
      </c>
      <c r="AK57" t="s">
        <v>1126</v>
      </c>
      <c r="AL57" t="s">
        <v>1078</v>
      </c>
      <c r="AM57" t="s">
        <v>766</v>
      </c>
      <c r="AN57" t="s">
        <v>1079</v>
      </c>
      <c r="AO57" t="s">
        <v>146</v>
      </c>
      <c r="AP57" t="s">
        <v>321</v>
      </c>
      <c r="AQ57" t="s">
        <v>1080</v>
      </c>
      <c r="AR57" t="s">
        <v>256</v>
      </c>
      <c r="AS57" t="s">
        <v>174</v>
      </c>
      <c r="AT57" t="s">
        <v>230</v>
      </c>
      <c r="AU57" t="s">
        <v>1096</v>
      </c>
      <c r="AV57" t="s">
        <v>951</v>
      </c>
      <c r="AW57" t="s">
        <v>917</v>
      </c>
      <c r="AX57" t="s">
        <v>231</v>
      </c>
      <c r="AY57" t="s">
        <v>1082</v>
      </c>
      <c r="AZ57" t="s">
        <v>1117</v>
      </c>
      <c r="BA57" t="s">
        <v>1037</v>
      </c>
      <c r="BB57" t="s">
        <v>1083</v>
      </c>
      <c r="BC57" t="s">
        <v>1005</v>
      </c>
      <c r="BD57" t="s">
        <v>995</v>
      </c>
      <c r="BE57" t="s">
        <v>1036</v>
      </c>
      <c r="BF57" t="s">
        <v>232</v>
      </c>
      <c r="BG57" t="s">
        <v>785</v>
      </c>
      <c r="BH57" t="s">
        <v>293</v>
      </c>
      <c r="BI57" t="s">
        <v>756</v>
      </c>
      <c r="BJ57" t="s">
        <v>1014</v>
      </c>
      <c r="BK57" t="s">
        <v>233</v>
      </c>
      <c r="BL57" t="s">
        <v>234</v>
      </c>
      <c r="BM57" t="s">
        <v>266</v>
      </c>
      <c r="BN57" t="s">
        <v>388</v>
      </c>
      <c r="BO57" t="s">
        <v>235</v>
      </c>
      <c r="BP57" t="s">
        <v>770</v>
      </c>
      <c r="BQ57" t="s">
        <v>778</v>
      </c>
      <c r="BR57" t="s">
        <v>781</v>
      </c>
      <c r="BS57" t="s">
        <v>761</v>
      </c>
      <c r="BT57" t="s">
        <v>1166</v>
      </c>
      <c r="BU57" t="s">
        <v>945</v>
      </c>
      <c r="BV57" t="s">
        <v>934</v>
      </c>
      <c r="BW57" t="s">
        <v>1001</v>
      </c>
      <c r="BX57" t="s">
        <v>986</v>
      </c>
      <c r="BY57" t="s">
        <v>1167</v>
      </c>
      <c r="BZ57" t="s">
        <v>239</v>
      </c>
      <c r="CA57" t="s">
        <v>241</v>
      </c>
      <c r="CB57" t="s">
        <v>805</v>
      </c>
      <c r="CC57" t="s">
        <v>806</v>
      </c>
    </row>
    <row r="58" spans="1:96">
      <c r="A58" s="40">
        <v>53</v>
      </c>
      <c r="B58" s="40" t="s">
        <v>426</v>
      </c>
      <c r="C58" s="2" t="s">
        <v>427</v>
      </c>
      <c r="D58" s="2" t="s">
        <v>24</v>
      </c>
      <c r="E58" s="2"/>
      <c r="F58" s="2">
        <v>65</v>
      </c>
      <c r="G58" s="2">
        <v>70</v>
      </c>
      <c r="H58" s="2">
        <v>60</v>
      </c>
      <c r="I58" s="2">
        <v>65</v>
      </c>
      <c r="J58" s="2">
        <v>65</v>
      </c>
      <c r="K58" s="2">
        <v>115</v>
      </c>
      <c r="L58" s="2">
        <v>440</v>
      </c>
      <c r="M58" s="2" t="s">
        <v>1168</v>
      </c>
      <c r="N58" s="2" t="s">
        <v>1061</v>
      </c>
      <c r="O58" t="s">
        <v>249</v>
      </c>
      <c r="P58" t="s">
        <v>258</v>
      </c>
      <c r="Q58" t="s">
        <v>220</v>
      </c>
      <c r="R58" t="s">
        <v>176</v>
      </c>
      <c r="S58" t="s">
        <v>1136</v>
      </c>
      <c r="T58" t="s">
        <v>258</v>
      </c>
      <c r="U58" t="s">
        <v>176</v>
      </c>
      <c r="V58" t="s">
        <v>323</v>
      </c>
      <c r="W58" t="s">
        <v>324</v>
      </c>
      <c r="X58" t="s">
        <v>774</v>
      </c>
      <c r="Y58" t="s">
        <v>1126</v>
      </c>
      <c r="Z58" t="s">
        <v>354</v>
      </c>
      <c r="AA58" t="s">
        <v>1169</v>
      </c>
      <c r="AB58" t="s">
        <v>253</v>
      </c>
      <c r="AC58" t="s">
        <v>991</v>
      </c>
      <c r="AD58" t="s">
        <v>960</v>
      </c>
      <c r="AE58" t="s">
        <v>962</v>
      </c>
      <c r="AF58" t="s">
        <v>993</v>
      </c>
      <c r="AG58" t="s">
        <v>971</v>
      </c>
      <c r="AH58" t="s">
        <v>1062</v>
      </c>
      <c r="AI58" t="s">
        <v>226</v>
      </c>
      <c r="AJ58" t="s">
        <v>1063</v>
      </c>
      <c r="AK58" t="s">
        <v>1030</v>
      </c>
      <c r="AL58" t="s">
        <v>246</v>
      </c>
      <c r="AM58" t="s">
        <v>148</v>
      </c>
      <c r="AN58" t="s">
        <v>172</v>
      </c>
      <c r="AO58" t="s">
        <v>752</v>
      </c>
      <c r="AP58" t="s">
        <v>1126</v>
      </c>
      <c r="AQ58" t="s">
        <v>247</v>
      </c>
      <c r="AR58" t="s">
        <v>1078</v>
      </c>
      <c r="AS58" t="s">
        <v>766</v>
      </c>
      <c r="AT58" t="s">
        <v>1079</v>
      </c>
      <c r="AU58" t="s">
        <v>146</v>
      </c>
      <c r="AV58" t="s">
        <v>321</v>
      </c>
      <c r="AW58" t="s">
        <v>1080</v>
      </c>
      <c r="AX58" t="s">
        <v>256</v>
      </c>
      <c r="AY58" t="s">
        <v>174</v>
      </c>
      <c r="AZ58" t="s">
        <v>230</v>
      </c>
      <c r="BA58" t="s">
        <v>1096</v>
      </c>
      <c r="BB58" t="s">
        <v>951</v>
      </c>
      <c r="BC58" t="s">
        <v>917</v>
      </c>
      <c r="BD58" t="s">
        <v>231</v>
      </c>
      <c r="BE58" t="s">
        <v>1082</v>
      </c>
      <c r="BF58" t="s">
        <v>1117</v>
      </c>
      <c r="BG58" t="s">
        <v>1037</v>
      </c>
      <c r="BH58" t="s">
        <v>1083</v>
      </c>
      <c r="BI58" t="s">
        <v>969</v>
      </c>
      <c r="BJ58" t="s">
        <v>1005</v>
      </c>
      <c r="BK58" t="s">
        <v>995</v>
      </c>
      <c r="BL58" t="s">
        <v>1036</v>
      </c>
      <c r="BM58" t="s">
        <v>976</v>
      </c>
      <c r="BN58" t="s">
        <v>232</v>
      </c>
      <c r="BO58" t="s">
        <v>785</v>
      </c>
      <c r="BP58" t="s">
        <v>293</v>
      </c>
      <c r="BQ58" t="s">
        <v>756</v>
      </c>
      <c r="BR58" t="s">
        <v>1014</v>
      </c>
      <c r="BS58" t="s">
        <v>233</v>
      </c>
      <c r="BT58" t="s">
        <v>234</v>
      </c>
      <c r="BU58" t="s">
        <v>266</v>
      </c>
      <c r="BV58" t="s">
        <v>388</v>
      </c>
      <c r="BW58" t="s">
        <v>235</v>
      </c>
      <c r="BX58" t="s">
        <v>770</v>
      </c>
      <c r="BY58" t="s">
        <v>778</v>
      </c>
      <c r="BZ58" t="s">
        <v>781</v>
      </c>
      <c r="CA58" t="s">
        <v>761</v>
      </c>
      <c r="CB58" t="s">
        <v>1166</v>
      </c>
      <c r="CC58" t="s">
        <v>945</v>
      </c>
      <c r="CD58" t="s">
        <v>934</v>
      </c>
      <c r="CE58" t="s">
        <v>1001</v>
      </c>
      <c r="CF58" t="s">
        <v>986</v>
      </c>
      <c r="CG58" t="s">
        <v>1167</v>
      </c>
      <c r="CH58" t="s">
        <v>239</v>
      </c>
      <c r="CI58" t="s">
        <v>241</v>
      </c>
      <c r="CJ58" t="s">
        <v>425</v>
      </c>
      <c r="CK58" t="s">
        <v>805</v>
      </c>
      <c r="CL58" t="s">
        <v>806</v>
      </c>
    </row>
    <row r="59" spans="1:96">
      <c r="A59" s="40">
        <v>54</v>
      </c>
      <c r="B59" s="40" t="s">
        <v>428</v>
      </c>
      <c r="C59" s="2" t="s">
        <v>429</v>
      </c>
      <c r="D59" s="2" t="s">
        <v>27</v>
      </c>
      <c r="E59" s="2"/>
      <c r="F59" s="2">
        <v>50</v>
      </c>
      <c r="G59" s="2">
        <v>52</v>
      </c>
      <c r="H59" s="2">
        <v>48</v>
      </c>
      <c r="I59" s="2">
        <v>65</v>
      </c>
      <c r="J59" s="2">
        <v>50</v>
      </c>
      <c r="K59" s="2">
        <v>55</v>
      </c>
      <c r="L59" s="2">
        <v>320</v>
      </c>
      <c r="M59" s="2" t="s">
        <v>1173</v>
      </c>
      <c r="N59" s="2" t="s">
        <v>1061</v>
      </c>
      <c r="O59" t="s">
        <v>249</v>
      </c>
      <c r="P59" t="s">
        <v>955</v>
      </c>
      <c r="Q59" t="s">
        <v>266</v>
      </c>
      <c r="R59" t="s">
        <v>269</v>
      </c>
      <c r="S59" t="s">
        <v>340</v>
      </c>
      <c r="T59" t="s">
        <v>287</v>
      </c>
      <c r="U59" t="s">
        <v>954</v>
      </c>
      <c r="V59" t="s">
        <v>323</v>
      </c>
      <c r="W59" t="s">
        <v>324</v>
      </c>
      <c r="X59" t="s">
        <v>1019</v>
      </c>
      <c r="Y59" t="s">
        <v>179</v>
      </c>
      <c r="Z59" t="s">
        <v>1170</v>
      </c>
      <c r="AA59" t="s">
        <v>785</v>
      </c>
      <c r="AB59" t="s">
        <v>235</v>
      </c>
      <c r="AC59" t="s">
        <v>140</v>
      </c>
      <c r="AD59" t="s">
        <v>1048</v>
      </c>
      <c r="AE59" t="s">
        <v>1062</v>
      </c>
      <c r="AF59" t="s">
        <v>144</v>
      </c>
      <c r="AG59" t="s">
        <v>227</v>
      </c>
      <c r="AH59" t="s">
        <v>270</v>
      </c>
      <c r="AI59" t="s">
        <v>914</v>
      </c>
      <c r="AJ59" t="s">
        <v>1063</v>
      </c>
      <c r="AK59" t="s">
        <v>1030</v>
      </c>
      <c r="AL59" t="s">
        <v>1151</v>
      </c>
      <c r="AM59" t="s">
        <v>912</v>
      </c>
      <c r="AN59" t="s">
        <v>148</v>
      </c>
      <c r="AO59" t="s">
        <v>1104</v>
      </c>
      <c r="AP59" t="s">
        <v>172</v>
      </c>
      <c r="AQ59" t="s">
        <v>141</v>
      </c>
      <c r="AR59" t="s">
        <v>271</v>
      </c>
      <c r="AS59" t="s">
        <v>228</v>
      </c>
      <c r="AT59" t="s">
        <v>1078</v>
      </c>
      <c r="AU59" t="s">
        <v>766</v>
      </c>
      <c r="AV59" t="s">
        <v>1079</v>
      </c>
      <c r="AW59" t="s">
        <v>1080</v>
      </c>
      <c r="AX59" t="s">
        <v>256</v>
      </c>
      <c r="AY59" t="s">
        <v>9</v>
      </c>
      <c r="AZ59" t="s">
        <v>1094</v>
      </c>
      <c r="BA59" t="s">
        <v>230</v>
      </c>
      <c r="BB59" t="s">
        <v>1096</v>
      </c>
      <c r="BC59" t="s">
        <v>917</v>
      </c>
      <c r="BD59" t="s">
        <v>231</v>
      </c>
      <c r="BE59" t="s">
        <v>1082</v>
      </c>
      <c r="BF59" t="s">
        <v>1037</v>
      </c>
      <c r="BG59" t="s">
        <v>1038</v>
      </c>
      <c r="BH59" t="s">
        <v>974</v>
      </c>
      <c r="BI59" t="s">
        <v>1005</v>
      </c>
      <c r="BJ59" t="s">
        <v>232</v>
      </c>
      <c r="BK59" t="s">
        <v>785</v>
      </c>
      <c r="BL59" t="s">
        <v>756</v>
      </c>
      <c r="BM59" t="s">
        <v>757</v>
      </c>
      <c r="BN59" t="s">
        <v>233</v>
      </c>
      <c r="BO59" t="s">
        <v>760</v>
      </c>
      <c r="BP59" t="s">
        <v>2398</v>
      </c>
      <c r="BQ59" t="s">
        <v>2339</v>
      </c>
      <c r="BR59" t="s">
        <v>234</v>
      </c>
      <c r="BS59" t="s">
        <v>292</v>
      </c>
      <c r="BT59" t="s">
        <v>388</v>
      </c>
      <c r="BU59" t="s">
        <v>387</v>
      </c>
      <c r="BV59" t="s">
        <v>771</v>
      </c>
      <c r="BW59" t="s">
        <v>757</v>
      </c>
      <c r="BX59" t="s">
        <v>779</v>
      </c>
      <c r="BY59" t="s">
        <v>1171</v>
      </c>
      <c r="BZ59" t="s">
        <v>790</v>
      </c>
      <c r="CA59" t="s">
        <v>958</v>
      </c>
      <c r="CB59" t="s">
        <v>1106</v>
      </c>
      <c r="CC59" t="s">
        <v>940</v>
      </c>
      <c r="CD59" t="s">
        <v>990</v>
      </c>
      <c r="CE59" t="s">
        <v>1043</v>
      </c>
      <c r="CF59" t="s">
        <v>1477</v>
      </c>
      <c r="CG59" t="s">
        <v>1191</v>
      </c>
      <c r="CH59" t="s">
        <v>239</v>
      </c>
      <c r="CI59" t="s">
        <v>241</v>
      </c>
      <c r="CJ59" t="s">
        <v>805</v>
      </c>
      <c r="CK59" t="s">
        <v>806</v>
      </c>
    </row>
    <row r="60" spans="1:96">
      <c r="A60" s="40">
        <v>55</v>
      </c>
      <c r="B60" s="40" t="s">
        <v>430</v>
      </c>
      <c r="C60" s="2" t="s">
        <v>431</v>
      </c>
      <c r="D60" s="2" t="s">
        <v>27</v>
      </c>
      <c r="E60" s="2"/>
      <c r="F60" s="2">
        <v>80</v>
      </c>
      <c r="G60" s="2">
        <v>82</v>
      </c>
      <c r="H60" s="2">
        <v>78</v>
      </c>
      <c r="I60" s="2">
        <v>95</v>
      </c>
      <c r="J60" s="2">
        <v>80</v>
      </c>
      <c r="K60" s="2">
        <v>85</v>
      </c>
      <c r="L60" s="2">
        <v>500</v>
      </c>
      <c r="M60" s="2" t="s">
        <v>1752</v>
      </c>
      <c r="N60" s="2" t="s">
        <v>1061</v>
      </c>
      <c r="O60" t="s">
        <v>249</v>
      </c>
      <c r="P60" t="s">
        <v>266</v>
      </c>
      <c r="Q60" t="s">
        <v>269</v>
      </c>
      <c r="R60" t="s">
        <v>955</v>
      </c>
      <c r="S60" t="s">
        <v>959</v>
      </c>
      <c r="T60" t="s">
        <v>266</v>
      </c>
      <c r="U60" t="s">
        <v>269</v>
      </c>
      <c r="V60" t="s">
        <v>340</v>
      </c>
      <c r="W60" t="s">
        <v>287</v>
      </c>
      <c r="X60" t="s">
        <v>954</v>
      </c>
      <c r="Y60" t="s">
        <v>323</v>
      </c>
      <c r="Z60" t="s">
        <v>324</v>
      </c>
      <c r="AA60" t="s">
        <v>1019</v>
      </c>
      <c r="AB60" t="s">
        <v>179</v>
      </c>
      <c r="AC60" t="s">
        <v>1170</v>
      </c>
      <c r="AD60" t="s">
        <v>785</v>
      </c>
      <c r="AE60" t="s">
        <v>235</v>
      </c>
      <c r="AF60" t="s">
        <v>140</v>
      </c>
      <c r="AG60" t="s">
        <v>1048</v>
      </c>
      <c r="AH60" t="s">
        <v>1062</v>
      </c>
      <c r="AI60" t="s">
        <v>144</v>
      </c>
      <c r="AJ60" t="s">
        <v>227</v>
      </c>
      <c r="AK60" t="s">
        <v>270</v>
      </c>
      <c r="AL60" t="s">
        <v>914</v>
      </c>
      <c r="AM60" t="s">
        <v>1063</v>
      </c>
      <c r="AN60" t="s">
        <v>1030</v>
      </c>
      <c r="AO60" t="s">
        <v>1151</v>
      </c>
      <c r="AP60" t="s">
        <v>912</v>
      </c>
      <c r="AQ60" t="s">
        <v>148</v>
      </c>
      <c r="AR60" t="s">
        <v>1104</v>
      </c>
      <c r="AS60" t="s">
        <v>172</v>
      </c>
      <c r="AT60" t="s">
        <v>141</v>
      </c>
      <c r="AU60" t="s">
        <v>271</v>
      </c>
      <c r="AV60" t="s">
        <v>247</v>
      </c>
      <c r="AW60" t="s">
        <v>228</v>
      </c>
      <c r="AX60" t="s">
        <v>1078</v>
      </c>
      <c r="AY60" t="s">
        <v>766</v>
      </c>
      <c r="AZ60" t="s">
        <v>1079</v>
      </c>
      <c r="BA60" t="s">
        <v>1080</v>
      </c>
      <c r="BB60" t="s">
        <v>256</v>
      </c>
      <c r="BC60" t="s">
        <v>9</v>
      </c>
      <c r="BD60" t="s">
        <v>1094</v>
      </c>
      <c r="BE60" t="s">
        <v>230</v>
      </c>
      <c r="BF60" t="s">
        <v>1096</v>
      </c>
      <c r="BG60" t="s">
        <v>917</v>
      </c>
      <c r="BH60" t="s">
        <v>231</v>
      </c>
      <c r="BI60" t="s">
        <v>1082</v>
      </c>
      <c r="BJ60" t="s">
        <v>1172</v>
      </c>
      <c r="BK60" t="s">
        <v>1037</v>
      </c>
      <c r="BL60" t="s">
        <v>1102</v>
      </c>
      <c r="BM60" t="s">
        <v>1038</v>
      </c>
      <c r="BN60" t="s">
        <v>974</v>
      </c>
      <c r="BO60" t="s">
        <v>1005</v>
      </c>
      <c r="BP60" t="s">
        <v>976</v>
      </c>
      <c r="BQ60" t="s">
        <v>232</v>
      </c>
      <c r="BR60" t="s">
        <v>785</v>
      </c>
      <c r="BS60" t="s">
        <v>756</v>
      </c>
      <c r="BT60" t="s">
        <v>757</v>
      </c>
      <c r="BU60" t="s">
        <v>233</v>
      </c>
      <c r="BV60" t="s">
        <v>760</v>
      </c>
      <c r="BW60" t="s">
        <v>2398</v>
      </c>
      <c r="BX60" t="s">
        <v>2339</v>
      </c>
      <c r="BY60" t="s">
        <v>234</v>
      </c>
      <c r="BZ60" t="s">
        <v>292</v>
      </c>
      <c r="CA60" t="s">
        <v>388</v>
      </c>
      <c r="CB60" t="s">
        <v>387</v>
      </c>
      <c r="CC60" t="s">
        <v>771</v>
      </c>
      <c r="CD60" t="s">
        <v>757</v>
      </c>
      <c r="CE60" t="s">
        <v>779</v>
      </c>
      <c r="CF60" t="s">
        <v>1171</v>
      </c>
      <c r="CG60" t="s">
        <v>790</v>
      </c>
      <c r="CH60" t="s">
        <v>958</v>
      </c>
      <c r="CI60" t="s">
        <v>1106</v>
      </c>
      <c r="CJ60" t="s">
        <v>940</v>
      </c>
      <c r="CK60" t="s">
        <v>990</v>
      </c>
      <c r="CL60" t="s">
        <v>1043</v>
      </c>
      <c r="CM60" t="s">
        <v>1477</v>
      </c>
      <c r="CN60" t="s">
        <v>1191</v>
      </c>
      <c r="CO60" t="s">
        <v>239</v>
      </c>
      <c r="CP60" t="s">
        <v>241</v>
      </c>
      <c r="CQ60" t="s">
        <v>805</v>
      </c>
      <c r="CR60" t="s">
        <v>806</v>
      </c>
    </row>
    <row r="61" spans="1:96">
      <c r="A61" s="40">
        <v>56</v>
      </c>
      <c r="B61" s="40" t="s">
        <v>433</v>
      </c>
      <c r="C61" s="2" t="s">
        <v>434</v>
      </c>
      <c r="D61" s="2" t="s">
        <v>18</v>
      </c>
      <c r="E61" s="2"/>
      <c r="F61" s="2">
        <v>40</v>
      </c>
      <c r="G61" s="2">
        <v>80</v>
      </c>
      <c r="H61" s="2">
        <v>35</v>
      </c>
      <c r="I61" s="2">
        <v>35</v>
      </c>
      <c r="J61" s="2">
        <v>45</v>
      </c>
      <c r="K61" s="2">
        <v>70</v>
      </c>
      <c r="L61" s="2">
        <v>305</v>
      </c>
      <c r="M61" s="2" t="s">
        <v>1159</v>
      </c>
      <c r="N61" s="2" t="s">
        <v>1061</v>
      </c>
      <c r="O61" t="s">
        <v>249</v>
      </c>
      <c r="P61" t="s">
        <v>330</v>
      </c>
      <c r="Q61" t="s">
        <v>432</v>
      </c>
      <c r="R61" t="s">
        <v>302</v>
      </c>
      <c r="S61" t="s">
        <v>913</v>
      </c>
      <c r="T61" t="s">
        <v>323</v>
      </c>
      <c r="U61" t="s">
        <v>435</v>
      </c>
      <c r="V61" t="s">
        <v>436</v>
      </c>
      <c r="W61" t="s">
        <v>324</v>
      </c>
      <c r="X61" t="s">
        <v>960</v>
      </c>
      <c r="Y61" t="s">
        <v>756</v>
      </c>
      <c r="Z61" t="s">
        <v>1171</v>
      </c>
      <c r="AA61" t="s">
        <v>373</v>
      </c>
      <c r="AB61" t="s">
        <v>1001</v>
      </c>
      <c r="AC61" t="s">
        <v>1174</v>
      </c>
      <c r="AD61" t="s">
        <v>1024</v>
      </c>
      <c r="AE61" t="s">
        <v>1062</v>
      </c>
      <c r="AF61" t="s">
        <v>227</v>
      </c>
      <c r="AG61" t="s">
        <v>1063</v>
      </c>
      <c r="AH61" t="s">
        <v>1030</v>
      </c>
      <c r="AI61" t="s">
        <v>148</v>
      </c>
      <c r="AJ61" t="s">
        <v>1175</v>
      </c>
      <c r="AK61" t="s">
        <v>172</v>
      </c>
      <c r="AL61" t="s">
        <v>752</v>
      </c>
      <c r="AM61" t="s">
        <v>1126</v>
      </c>
      <c r="AN61" t="s">
        <v>1078</v>
      </c>
      <c r="AO61" t="s">
        <v>766</v>
      </c>
      <c r="AP61" t="s">
        <v>1079</v>
      </c>
      <c r="AQ61" t="s">
        <v>1109</v>
      </c>
      <c r="AR61" t="s">
        <v>146</v>
      </c>
      <c r="AS61" t="s">
        <v>321</v>
      </c>
      <c r="AT61" t="s">
        <v>136</v>
      </c>
      <c r="AU61" t="s">
        <v>1080</v>
      </c>
      <c r="AV61" t="s">
        <v>256</v>
      </c>
      <c r="AW61" t="s">
        <v>1094</v>
      </c>
      <c r="AX61" t="s">
        <v>230</v>
      </c>
      <c r="AY61" t="s">
        <v>1095</v>
      </c>
      <c r="AZ61" t="s">
        <v>1096</v>
      </c>
      <c r="BA61" t="s">
        <v>917</v>
      </c>
      <c r="BB61" t="s">
        <v>231</v>
      </c>
      <c r="BC61" t="s">
        <v>1082</v>
      </c>
      <c r="BD61" t="s">
        <v>1117</v>
      </c>
      <c r="BE61" t="s">
        <v>1172</v>
      </c>
      <c r="BF61" t="s">
        <v>1037</v>
      </c>
      <c r="BG61" t="s">
        <v>1098</v>
      </c>
      <c r="BH61" t="s">
        <v>1102</v>
      </c>
      <c r="BI61" t="s">
        <v>974</v>
      </c>
      <c r="BJ61" t="s">
        <v>1020</v>
      </c>
      <c r="BK61" t="s">
        <v>995</v>
      </c>
      <c r="BL61" t="s">
        <v>1036</v>
      </c>
      <c r="BM61" t="s">
        <v>1021</v>
      </c>
      <c r="BN61" t="s">
        <v>143</v>
      </c>
      <c r="BO61" t="s">
        <v>997</v>
      </c>
      <c r="BP61" t="s">
        <v>756</v>
      </c>
      <c r="BQ61" t="s">
        <v>757</v>
      </c>
      <c r="BR61" t="s">
        <v>1014</v>
      </c>
      <c r="BS61" t="s">
        <v>233</v>
      </c>
      <c r="BT61" t="s">
        <v>760</v>
      </c>
      <c r="BU61" t="s">
        <v>2398</v>
      </c>
      <c r="BV61" t="s">
        <v>2339</v>
      </c>
      <c r="BW61" t="s">
        <v>234</v>
      </c>
      <c r="BX61" t="s">
        <v>259</v>
      </c>
      <c r="BY61" t="s">
        <v>437</v>
      </c>
      <c r="BZ61" t="s">
        <v>775</v>
      </c>
      <c r="CA61" t="s">
        <v>771</v>
      </c>
      <c r="CB61" t="s">
        <v>757</v>
      </c>
      <c r="CC61" t="s">
        <v>779</v>
      </c>
      <c r="CD61" t="s">
        <v>763</v>
      </c>
      <c r="CE61" t="s">
        <v>920</v>
      </c>
      <c r="CF61" t="s">
        <v>944</v>
      </c>
      <c r="CG61" t="s">
        <v>1128</v>
      </c>
      <c r="CH61" t="s">
        <v>1174</v>
      </c>
      <c r="CI61" t="s">
        <v>993</v>
      </c>
      <c r="CJ61" t="s">
        <v>239</v>
      </c>
      <c r="CK61" t="s">
        <v>241</v>
      </c>
      <c r="CL61" t="s">
        <v>805</v>
      </c>
      <c r="CM61" t="s">
        <v>806</v>
      </c>
    </row>
    <row r="62" spans="1:96">
      <c r="A62" s="40">
        <v>57</v>
      </c>
      <c r="B62" s="40" t="s">
        <v>438</v>
      </c>
      <c r="C62" s="2" t="s">
        <v>439</v>
      </c>
      <c r="D62" s="2" t="s">
        <v>18</v>
      </c>
      <c r="E62" s="2"/>
      <c r="F62" s="2">
        <v>65</v>
      </c>
      <c r="G62" s="2">
        <v>105</v>
      </c>
      <c r="H62" s="2">
        <v>60</v>
      </c>
      <c r="I62" s="2">
        <v>60</v>
      </c>
      <c r="J62" s="2">
        <v>70</v>
      </c>
      <c r="K62" s="2">
        <v>95</v>
      </c>
      <c r="L62" s="2">
        <v>455</v>
      </c>
      <c r="M62" s="2" t="s">
        <v>1752</v>
      </c>
      <c r="N62" s="2" t="s">
        <v>1061</v>
      </c>
      <c r="O62" t="s">
        <v>249</v>
      </c>
      <c r="P62" t="s">
        <v>330</v>
      </c>
      <c r="Q62" t="s">
        <v>432</v>
      </c>
      <c r="R62" t="s">
        <v>302</v>
      </c>
      <c r="S62" t="s">
        <v>974</v>
      </c>
      <c r="T62" t="s">
        <v>323</v>
      </c>
      <c r="U62" t="s">
        <v>435</v>
      </c>
      <c r="V62" t="s">
        <v>436</v>
      </c>
      <c r="W62" t="s">
        <v>324</v>
      </c>
      <c r="X62" t="s">
        <v>960</v>
      </c>
      <c r="Y62" t="s">
        <v>304</v>
      </c>
      <c r="Z62" t="s">
        <v>756</v>
      </c>
      <c r="AA62" t="s">
        <v>1171</v>
      </c>
      <c r="AB62" t="s">
        <v>373</v>
      </c>
      <c r="AC62" t="s">
        <v>1001</v>
      </c>
      <c r="AD62" t="s">
        <v>1174</v>
      </c>
      <c r="AE62" t="s">
        <v>1024</v>
      </c>
      <c r="AF62" t="s">
        <v>1062</v>
      </c>
      <c r="AG62" t="s">
        <v>227</v>
      </c>
      <c r="AH62" t="s">
        <v>1063</v>
      </c>
      <c r="AI62" t="s">
        <v>1030</v>
      </c>
      <c r="AJ62" t="s">
        <v>148</v>
      </c>
      <c r="AK62" t="s">
        <v>1175</v>
      </c>
      <c r="AL62" t="s">
        <v>172</v>
      </c>
      <c r="AM62" t="s">
        <v>752</v>
      </c>
      <c r="AN62" t="s">
        <v>1126</v>
      </c>
      <c r="AO62" t="s">
        <v>247</v>
      </c>
      <c r="AP62" t="s">
        <v>1078</v>
      </c>
      <c r="AQ62" t="s">
        <v>766</v>
      </c>
      <c r="AR62" t="s">
        <v>1079</v>
      </c>
      <c r="AS62" t="s">
        <v>1109</v>
      </c>
      <c r="AT62" t="s">
        <v>146</v>
      </c>
      <c r="AU62" t="s">
        <v>321</v>
      </c>
      <c r="AV62" t="s">
        <v>136</v>
      </c>
      <c r="AW62" t="s">
        <v>1080</v>
      </c>
      <c r="AX62" t="s">
        <v>256</v>
      </c>
      <c r="AY62" t="s">
        <v>1094</v>
      </c>
      <c r="AZ62" t="s">
        <v>230</v>
      </c>
      <c r="BA62" t="s">
        <v>1095</v>
      </c>
      <c r="BB62" t="s">
        <v>1096</v>
      </c>
      <c r="BC62" t="s">
        <v>917</v>
      </c>
      <c r="BD62" t="s">
        <v>231</v>
      </c>
      <c r="BE62" t="s">
        <v>1082</v>
      </c>
      <c r="BF62" t="s">
        <v>1117</v>
      </c>
      <c r="BG62" t="s">
        <v>1172</v>
      </c>
      <c r="BH62" t="s">
        <v>1037</v>
      </c>
      <c r="BI62" t="s">
        <v>1098</v>
      </c>
      <c r="BJ62" t="s">
        <v>1102</v>
      </c>
      <c r="BK62" t="s">
        <v>974</v>
      </c>
      <c r="BL62" t="s">
        <v>1020</v>
      </c>
      <c r="BM62" t="s">
        <v>995</v>
      </c>
      <c r="BN62" t="s">
        <v>1036</v>
      </c>
      <c r="BO62" t="s">
        <v>976</v>
      </c>
      <c r="BP62" t="s">
        <v>183</v>
      </c>
      <c r="BQ62" t="s">
        <v>1021</v>
      </c>
      <c r="BR62" t="s">
        <v>143</v>
      </c>
      <c r="BS62" t="s">
        <v>997</v>
      </c>
      <c r="BT62" t="s">
        <v>756</v>
      </c>
      <c r="BU62" t="s">
        <v>757</v>
      </c>
      <c r="BV62" t="s">
        <v>1014</v>
      </c>
      <c r="BW62" t="s">
        <v>233</v>
      </c>
      <c r="BX62" t="s">
        <v>760</v>
      </c>
      <c r="BY62" t="s">
        <v>2398</v>
      </c>
      <c r="BZ62" t="s">
        <v>2339</v>
      </c>
      <c r="CA62" t="s">
        <v>234</v>
      </c>
      <c r="CB62" t="s">
        <v>259</v>
      </c>
      <c r="CC62" t="s">
        <v>437</v>
      </c>
      <c r="CD62" t="s">
        <v>775</v>
      </c>
      <c r="CE62" t="s">
        <v>771</v>
      </c>
      <c r="CF62" t="s">
        <v>757</v>
      </c>
      <c r="CG62" t="s">
        <v>779</v>
      </c>
      <c r="CH62" t="s">
        <v>763</v>
      </c>
      <c r="CI62" t="s">
        <v>920</v>
      </c>
      <c r="CJ62" t="s">
        <v>944</v>
      </c>
      <c r="CK62" t="s">
        <v>1128</v>
      </c>
      <c r="CL62" t="s">
        <v>1174</v>
      </c>
      <c r="CM62" t="s">
        <v>993</v>
      </c>
      <c r="CN62" t="s">
        <v>239</v>
      </c>
      <c r="CO62" t="s">
        <v>241</v>
      </c>
      <c r="CP62" t="s">
        <v>913</v>
      </c>
      <c r="CQ62" t="s">
        <v>805</v>
      </c>
      <c r="CR62" t="s">
        <v>806</v>
      </c>
    </row>
    <row r="63" spans="1:96">
      <c r="A63" s="40">
        <v>58</v>
      </c>
      <c r="B63" s="40" t="s">
        <v>440</v>
      </c>
      <c r="C63" s="2" t="s">
        <v>441</v>
      </c>
      <c r="D63" s="2" t="s">
        <v>19</v>
      </c>
      <c r="E63" s="2"/>
      <c r="F63" s="2">
        <v>55</v>
      </c>
      <c r="G63" s="2">
        <v>70</v>
      </c>
      <c r="H63" s="2">
        <v>45</v>
      </c>
      <c r="I63" s="2">
        <v>70</v>
      </c>
      <c r="J63" s="2">
        <v>50</v>
      </c>
      <c r="K63" s="2">
        <v>60</v>
      </c>
      <c r="L63" s="2">
        <v>350</v>
      </c>
      <c r="M63" s="2" t="s">
        <v>1158</v>
      </c>
      <c r="N63" s="2" t="s">
        <v>1061</v>
      </c>
      <c r="O63" t="s">
        <v>258</v>
      </c>
      <c r="P63" t="s">
        <v>246</v>
      </c>
      <c r="Q63" t="s">
        <v>250</v>
      </c>
      <c r="R63" t="s">
        <v>330</v>
      </c>
      <c r="S63" t="s">
        <v>934</v>
      </c>
      <c r="T63" t="s">
        <v>925</v>
      </c>
      <c r="U63" t="s">
        <v>1127</v>
      </c>
      <c r="V63" t="s">
        <v>775</v>
      </c>
      <c r="W63" t="s">
        <v>182</v>
      </c>
      <c r="X63" t="s">
        <v>223</v>
      </c>
      <c r="Y63" t="s">
        <v>1026</v>
      </c>
      <c r="Z63" t="s">
        <v>306</v>
      </c>
      <c r="AA63" t="s">
        <v>1036</v>
      </c>
      <c r="AB63" t="s">
        <v>254</v>
      </c>
      <c r="AC63" t="s">
        <v>777</v>
      </c>
      <c r="AD63" t="s">
        <v>924</v>
      </c>
      <c r="AE63" t="s">
        <v>764</v>
      </c>
      <c r="AF63" t="s">
        <v>972</v>
      </c>
      <c r="AG63" t="s">
        <v>1062</v>
      </c>
      <c r="AH63" t="s">
        <v>227</v>
      </c>
      <c r="AI63" t="s">
        <v>1063</v>
      </c>
      <c r="AJ63" t="s">
        <v>246</v>
      </c>
      <c r="AK63" t="s">
        <v>148</v>
      </c>
      <c r="AL63" t="s">
        <v>172</v>
      </c>
      <c r="AM63" t="s">
        <v>752</v>
      </c>
      <c r="AN63" t="s">
        <v>1078</v>
      </c>
      <c r="AO63" t="s">
        <v>759</v>
      </c>
      <c r="AP63" t="s">
        <v>1079</v>
      </c>
      <c r="AQ63" t="s">
        <v>1080</v>
      </c>
      <c r="AR63" t="s">
        <v>256</v>
      </c>
      <c r="AS63" t="s">
        <v>230</v>
      </c>
      <c r="AT63" t="s">
        <v>254</v>
      </c>
      <c r="AU63" t="s">
        <v>257</v>
      </c>
      <c r="AV63" t="s">
        <v>1096</v>
      </c>
      <c r="AW63" t="s">
        <v>917</v>
      </c>
      <c r="AX63" t="s">
        <v>1097</v>
      </c>
      <c r="AY63" t="s">
        <v>231</v>
      </c>
      <c r="AZ63" t="s">
        <v>1082</v>
      </c>
      <c r="BA63" t="s">
        <v>1117</v>
      </c>
      <c r="BB63" t="s">
        <v>1037</v>
      </c>
      <c r="BC63" t="s">
        <v>1098</v>
      </c>
      <c r="BD63" t="s">
        <v>1031</v>
      </c>
      <c r="BE63" t="s">
        <v>956</v>
      </c>
      <c r="BF63" t="s">
        <v>1036</v>
      </c>
      <c r="BG63" t="s">
        <v>756</v>
      </c>
      <c r="BH63" t="s">
        <v>757</v>
      </c>
      <c r="BI63" t="s">
        <v>233</v>
      </c>
      <c r="BJ63" t="s">
        <v>1047</v>
      </c>
      <c r="BK63" t="s">
        <v>760</v>
      </c>
      <c r="BL63" t="s">
        <v>1040</v>
      </c>
      <c r="BM63" t="s">
        <v>2339</v>
      </c>
      <c r="BN63" t="s">
        <v>234</v>
      </c>
      <c r="BO63" t="s">
        <v>359</v>
      </c>
      <c r="BP63" t="s">
        <v>364</v>
      </c>
      <c r="BQ63" t="s">
        <v>373</v>
      </c>
      <c r="BR63" t="s">
        <v>225</v>
      </c>
      <c r="BS63" t="s">
        <v>255</v>
      </c>
      <c r="BT63" t="s">
        <v>761</v>
      </c>
      <c r="BU63" t="s">
        <v>1164</v>
      </c>
      <c r="BV63" t="s">
        <v>777</v>
      </c>
      <c r="BW63" t="s">
        <v>924</v>
      </c>
      <c r="BX63" t="s">
        <v>1155</v>
      </c>
      <c r="BY63" t="s">
        <v>913</v>
      </c>
      <c r="BZ63" t="s">
        <v>1174</v>
      </c>
      <c r="CA63" t="s">
        <v>972</v>
      </c>
      <c r="CB63" t="s">
        <v>239</v>
      </c>
      <c r="CC63" t="s">
        <v>241</v>
      </c>
      <c r="CD63" t="s">
        <v>805</v>
      </c>
      <c r="CE63" t="s">
        <v>806</v>
      </c>
    </row>
    <row r="64" spans="1:96">
      <c r="A64" s="40">
        <v>59</v>
      </c>
      <c r="B64" s="40" t="s">
        <v>442</v>
      </c>
      <c r="C64" s="2" t="s">
        <v>443</v>
      </c>
      <c r="D64" s="2" t="s">
        <v>19</v>
      </c>
      <c r="E64" s="2"/>
      <c r="F64" s="2">
        <v>90</v>
      </c>
      <c r="G64" s="2">
        <v>110</v>
      </c>
      <c r="H64" s="2">
        <v>80</v>
      </c>
      <c r="I64" s="2">
        <v>100</v>
      </c>
      <c r="J64" s="2">
        <v>80</v>
      </c>
      <c r="K64" s="2">
        <v>95</v>
      </c>
      <c r="L64" s="2">
        <v>555</v>
      </c>
      <c r="M64" s="2" t="s">
        <v>1173</v>
      </c>
      <c r="N64" s="2" t="s">
        <v>1061</v>
      </c>
      <c r="O64" t="s">
        <v>258</v>
      </c>
      <c r="P64" t="s">
        <v>246</v>
      </c>
      <c r="Q64" t="s">
        <v>934</v>
      </c>
      <c r="R64" t="s">
        <v>1010</v>
      </c>
      <c r="S64" t="s">
        <v>182</v>
      </c>
      <c r="T64" t="s">
        <v>791</v>
      </c>
      <c r="U64" t="s">
        <v>1062</v>
      </c>
      <c r="V64" t="s">
        <v>227</v>
      </c>
      <c r="W64" t="s">
        <v>1063</v>
      </c>
      <c r="X64" t="s">
        <v>246</v>
      </c>
      <c r="Y64" t="s">
        <v>148</v>
      </c>
      <c r="Z64" t="s">
        <v>172</v>
      </c>
      <c r="AA64" t="s">
        <v>752</v>
      </c>
      <c r="AB64" t="s">
        <v>247</v>
      </c>
      <c r="AC64" t="s">
        <v>1078</v>
      </c>
      <c r="AD64" t="s">
        <v>759</v>
      </c>
      <c r="AE64" t="s">
        <v>1079</v>
      </c>
      <c r="AF64" t="s">
        <v>229</v>
      </c>
      <c r="AG64" t="s">
        <v>1080</v>
      </c>
      <c r="AH64" t="s">
        <v>256</v>
      </c>
      <c r="AI64" t="s">
        <v>230</v>
      </c>
      <c r="AJ64" t="s">
        <v>254</v>
      </c>
      <c r="AK64" t="s">
        <v>257</v>
      </c>
      <c r="AL64" t="s">
        <v>1096</v>
      </c>
      <c r="AM64" t="s">
        <v>917</v>
      </c>
      <c r="AN64" t="s">
        <v>1097</v>
      </c>
      <c r="AO64" t="s">
        <v>231</v>
      </c>
      <c r="AP64" t="s">
        <v>1082</v>
      </c>
      <c r="AQ64" t="s">
        <v>1117</v>
      </c>
      <c r="AR64" t="s">
        <v>1037</v>
      </c>
      <c r="AS64" t="s">
        <v>1098</v>
      </c>
      <c r="AT64" t="s">
        <v>1031</v>
      </c>
      <c r="AU64" t="s">
        <v>956</v>
      </c>
      <c r="AV64" t="s">
        <v>1036</v>
      </c>
      <c r="AW64" t="s">
        <v>976</v>
      </c>
      <c r="AX64" t="s">
        <v>1021</v>
      </c>
      <c r="AY64" t="s">
        <v>756</v>
      </c>
      <c r="AZ64" t="s">
        <v>757</v>
      </c>
      <c r="BA64" t="s">
        <v>233</v>
      </c>
      <c r="BB64" t="s">
        <v>1047</v>
      </c>
      <c r="BC64" t="s">
        <v>760</v>
      </c>
      <c r="BD64" t="s">
        <v>1040</v>
      </c>
      <c r="BE64" t="s">
        <v>2339</v>
      </c>
      <c r="BF64" t="s">
        <v>234</v>
      </c>
      <c r="BG64" t="s">
        <v>359</v>
      </c>
      <c r="BH64" t="s">
        <v>364</v>
      </c>
      <c r="BI64" t="s">
        <v>373</v>
      </c>
      <c r="BJ64" t="s">
        <v>225</v>
      </c>
      <c r="BK64" t="s">
        <v>255</v>
      </c>
      <c r="BL64" t="s">
        <v>761</v>
      </c>
      <c r="BM64" t="s">
        <v>1164</v>
      </c>
      <c r="BN64" t="s">
        <v>777</v>
      </c>
      <c r="BO64" t="s">
        <v>924</v>
      </c>
      <c r="BP64" t="s">
        <v>1155</v>
      </c>
      <c r="BQ64" t="s">
        <v>913</v>
      </c>
      <c r="BR64" t="s">
        <v>1174</v>
      </c>
      <c r="BS64" t="s">
        <v>972</v>
      </c>
      <c r="BT64" t="s">
        <v>239</v>
      </c>
      <c r="BU64" t="s">
        <v>241</v>
      </c>
      <c r="BV64" t="s">
        <v>250</v>
      </c>
      <c r="BW64" t="s">
        <v>330</v>
      </c>
      <c r="BX64" t="s">
        <v>925</v>
      </c>
      <c r="BY64" t="s">
        <v>1127</v>
      </c>
      <c r="BZ64" t="s">
        <v>775</v>
      </c>
      <c r="CA64" t="s">
        <v>223</v>
      </c>
      <c r="CB64" t="s">
        <v>1026</v>
      </c>
      <c r="CC64" t="s">
        <v>306</v>
      </c>
      <c r="CD64" t="s">
        <v>1036</v>
      </c>
      <c r="CE64" t="s">
        <v>254</v>
      </c>
      <c r="CF64" t="s">
        <v>777</v>
      </c>
      <c r="CG64" t="s">
        <v>924</v>
      </c>
      <c r="CH64" t="s">
        <v>764</v>
      </c>
      <c r="CI64" t="s">
        <v>972</v>
      </c>
      <c r="CJ64" t="s">
        <v>805</v>
      </c>
      <c r="CK64" t="s">
        <v>806</v>
      </c>
    </row>
    <row r="65" spans="1:94">
      <c r="A65" s="40">
        <v>60</v>
      </c>
      <c r="B65" s="40" t="s">
        <v>444</v>
      </c>
      <c r="C65" s="2" t="s">
        <v>445</v>
      </c>
      <c r="D65" s="2" t="s">
        <v>27</v>
      </c>
      <c r="E65" s="2"/>
      <c r="F65" s="2">
        <v>40</v>
      </c>
      <c r="G65" s="2">
        <v>50</v>
      </c>
      <c r="H65" s="2">
        <v>40</v>
      </c>
      <c r="I65" s="2">
        <v>40</v>
      </c>
      <c r="J65" s="2">
        <v>40</v>
      </c>
      <c r="K65" s="2">
        <v>90</v>
      </c>
      <c r="L65" s="2">
        <v>300</v>
      </c>
      <c r="M65" s="2" t="s">
        <v>1188</v>
      </c>
      <c r="N65" s="2" t="s">
        <v>1061</v>
      </c>
      <c r="O65" t="s">
        <v>955</v>
      </c>
      <c r="P65" t="s">
        <v>267</v>
      </c>
      <c r="Q65" t="s">
        <v>388</v>
      </c>
      <c r="R65" t="s">
        <v>269</v>
      </c>
      <c r="S65" t="s">
        <v>348</v>
      </c>
      <c r="T65" t="s">
        <v>766</v>
      </c>
      <c r="U65" t="s">
        <v>364</v>
      </c>
      <c r="V65" t="s">
        <v>446</v>
      </c>
      <c r="W65" t="s">
        <v>1144</v>
      </c>
      <c r="X65" t="s">
        <v>1099</v>
      </c>
      <c r="Y65" t="s">
        <v>1016</v>
      </c>
      <c r="Z65" t="s">
        <v>140</v>
      </c>
      <c r="AA65" t="s">
        <v>990</v>
      </c>
      <c r="AB65" t="s">
        <v>1062</v>
      </c>
      <c r="AC65" t="s">
        <v>144</v>
      </c>
      <c r="AD65" t="s">
        <v>270</v>
      </c>
      <c r="AE65" t="s">
        <v>914</v>
      </c>
      <c r="AF65" t="s">
        <v>1063</v>
      </c>
      <c r="AG65" t="s">
        <v>148</v>
      </c>
      <c r="AH65" t="s">
        <v>1104</v>
      </c>
      <c r="AI65" t="s">
        <v>172</v>
      </c>
      <c r="AJ65" t="s">
        <v>141</v>
      </c>
      <c r="AK65" t="s">
        <v>271</v>
      </c>
      <c r="AL65" t="s">
        <v>1078</v>
      </c>
      <c r="AM65" t="s">
        <v>766</v>
      </c>
      <c r="AN65" t="s">
        <v>1079</v>
      </c>
      <c r="AO65" t="s">
        <v>1080</v>
      </c>
      <c r="AP65" t="s">
        <v>256</v>
      </c>
      <c r="AQ65" t="s">
        <v>9</v>
      </c>
      <c r="AR65" t="s">
        <v>230</v>
      </c>
      <c r="AS65" t="s">
        <v>917</v>
      </c>
      <c r="AT65" t="s">
        <v>231</v>
      </c>
      <c r="AU65" t="s">
        <v>1082</v>
      </c>
      <c r="AV65" t="s">
        <v>1117</v>
      </c>
      <c r="AW65" t="s">
        <v>1037</v>
      </c>
      <c r="AX65" t="s">
        <v>1038</v>
      </c>
      <c r="AY65" t="s">
        <v>756</v>
      </c>
      <c r="AZ65" t="s">
        <v>757</v>
      </c>
      <c r="BA65" t="s">
        <v>233</v>
      </c>
      <c r="BB65" t="s">
        <v>2339</v>
      </c>
      <c r="BC65" t="s">
        <v>234</v>
      </c>
      <c r="BD65" t="s">
        <v>273</v>
      </c>
      <c r="BE65" t="s">
        <v>446</v>
      </c>
      <c r="BF65" t="s">
        <v>272</v>
      </c>
      <c r="BG65" t="s">
        <v>382</v>
      </c>
      <c r="BH65" t="s">
        <v>792</v>
      </c>
      <c r="BI65" t="s">
        <v>754</v>
      </c>
      <c r="BJ65" t="s">
        <v>779</v>
      </c>
      <c r="BK65" t="s">
        <v>916</v>
      </c>
      <c r="BL65" t="s">
        <v>1106</v>
      </c>
      <c r="BM65" t="s">
        <v>1178</v>
      </c>
      <c r="BN65" t="s">
        <v>1144</v>
      </c>
      <c r="BO65" t="s">
        <v>955</v>
      </c>
      <c r="BP65" t="s">
        <v>954</v>
      </c>
      <c r="BQ65" t="s">
        <v>239</v>
      </c>
      <c r="BR65" t="s">
        <v>241</v>
      </c>
      <c r="BS65" t="s">
        <v>805</v>
      </c>
      <c r="BT65" t="s">
        <v>806</v>
      </c>
    </row>
    <row r="66" spans="1:94">
      <c r="A66" s="40">
        <v>61</v>
      </c>
      <c r="B66" s="40" t="s">
        <v>447</v>
      </c>
      <c r="C66" s="2" t="s">
        <v>448</v>
      </c>
      <c r="D66" s="2" t="s">
        <v>27</v>
      </c>
      <c r="E66" s="2"/>
      <c r="F66" s="2">
        <v>65</v>
      </c>
      <c r="G66" s="2">
        <v>65</v>
      </c>
      <c r="H66" s="2">
        <v>65</v>
      </c>
      <c r="I66" s="2">
        <v>50</v>
      </c>
      <c r="J66" s="2">
        <v>50</v>
      </c>
      <c r="K66" s="2">
        <v>90</v>
      </c>
      <c r="L66" s="2">
        <v>385</v>
      </c>
      <c r="M66" s="2" t="s">
        <v>1074</v>
      </c>
      <c r="N66" s="2" t="s">
        <v>1061</v>
      </c>
      <c r="O66" t="s">
        <v>388</v>
      </c>
      <c r="P66" t="s">
        <v>267</v>
      </c>
      <c r="Q66" t="s">
        <v>955</v>
      </c>
      <c r="R66" t="s">
        <v>267</v>
      </c>
      <c r="S66" t="s">
        <v>388</v>
      </c>
      <c r="T66" t="s">
        <v>269</v>
      </c>
      <c r="U66" t="s">
        <v>348</v>
      </c>
      <c r="V66" t="s">
        <v>766</v>
      </c>
      <c r="W66" t="s">
        <v>364</v>
      </c>
      <c r="X66" t="s">
        <v>446</v>
      </c>
      <c r="Y66" t="s">
        <v>1144</v>
      </c>
      <c r="Z66" t="s">
        <v>1099</v>
      </c>
      <c r="AA66" t="s">
        <v>1016</v>
      </c>
      <c r="AB66" t="s">
        <v>140</v>
      </c>
      <c r="AC66" t="s">
        <v>990</v>
      </c>
      <c r="AD66" t="s">
        <v>1062</v>
      </c>
      <c r="AE66" t="s">
        <v>144</v>
      </c>
      <c r="AF66" t="s">
        <v>227</v>
      </c>
      <c r="AG66" t="s">
        <v>270</v>
      </c>
      <c r="AH66" t="s">
        <v>914</v>
      </c>
      <c r="AI66" t="s">
        <v>1063</v>
      </c>
      <c r="AJ66" t="s">
        <v>148</v>
      </c>
      <c r="AK66" t="s">
        <v>1104</v>
      </c>
      <c r="AL66" t="s">
        <v>172</v>
      </c>
      <c r="AM66" t="s">
        <v>141</v>
      </c>
      <c r="AN66" t="s">
        <v>271</v>
      </c>
      <c r="AO66" t="s">
        <v>1078</v>
      </c>
      <c r="AP66" t="s">
        <v>766</v>
      </c>
      <c r="AQ66" t="s">
        <v>1079</v>
      </c>
      <c r="AR66" t="s">
        <v>136</v>
      </c>
      <c r="AS66" t="s">
        <v>1080</v>
      </c>
      <c r="AT66" t="s">
        <v>256</v>
      </c>
      <c r="AU66" t="s">
        <v>9</v>
      </c>
      <c r="AV66" t="s">
        <v>1094</v>
      </c>
      <c r="AW66" t="s">
        <v>230</v>
      </c>
      <c r="AX66" t="s">
        <v>917</v>
      </c>
      <c r="AY66" t="s">
        <v>231</v>
      </c>
      <c r="AZ66" t="s">
        <v>1082</v>
      </c>
      <c r="BA66" t="s">
        <v>1117</v>
      </c>
      <c r="BB66" t="s">
        <v>1037</v>
      </c>
      <c r="BC66" t="s">
        <v>1038</v>
      </c>
      <c r="BD66" t="s">
        <v>974</v>
      </c>
      <c r="BE66" t="s">
        <v>1021</v>
      </c>
      <c r="BF66" t="s">
        <v>756</v>
      </c>
      <c r="BG66" t="s">
        <v>757</v>
      </c>
      <c r="BH66" t="s">
        <v>233</v>
      </c>
      <c r="BI66" t="s">
        <v>760</v>
      </c>
      <c r="BJ66" t="s">
        <v>2398</v>
      </c>
      <c r="BK66" t="s">
        <v>2339</v>
      </c>
      <c r="BL66" t="s">
        <v>234</v>
      </c>
      <c r="BM66" t="s">
        <v>273</v>
      </c>
      <c r="BN66" t="s">
        <v>446</v>
      </c>
      <c r="BO66" t="s">
        <v>272</v>
      </c>
      <c r="BP66" t="s">
        <v>382</v>
      </c>
      <c r="BQ66" t="s">
        <v>792</v>
      </c>
      <c r="BR66" t="s">
        <v>754</v>
      </c>
      <c r="BS66" t="s">
        <v>779</v>
      </c>
      <c r="BT66" t="s">
        <v>916</v>
      </c>
      <c r="BU66" t="s">
        <v>1106</v>
      </c>
      <c r="BV66" t="s">
        <v>1178</v>
      </c>
      <c r="BW66" t="s">
        <v>1144</v>
      </c>
      <c r="BX66" t="s">
        <v>955</v>
      </c>
      <c r="BY66" t="s">
        <v>954</v>
      </c>
      <c r="BZ66" t="s">
        <v>239</v>
      </c>
      <c r="CA66" t="s">
        <v>241</v>
      </c>
      <c r="CB66" t="s">
        <v>805</v>
      </c>
      <c r="CC66" t="s">
        <v>806</v>
      </c>
    </row>
    <row r="67" spans="1:94">
      <c r="A67" s="40">
        <v>62</v>
      </c>
      <c r="B67" s="40" t="s">
        <v>449</v>
      </c>
      <c r="C67" s="2" t="s">
        <v>450</v>
      </c>
      <c r="D67" s="2" t="s">
        <v>27</v>
      </c>
      <c r="E67" s="2" t="s">
        <v>18</v>
      </c>
      <c r="F67" s="2">
        <v>90</v>
      </c>
      <c r="G67" s="2">
        <v>85</v>
      </c>
      <c r="H67" s="2">
        <v>95</v>
      </c>
      <c r="I67" s="2">
        <v>70</v>
      </c>
      <c r="J67" s="2">
        <v>90</v>
      </c>
      <c r="K67" s="2">
        <v>70</v>
      </c>
      <c r="L67" s="2">
        <v>500</v>
      </c>
      <c r="M67" s="2" t="s">
        <v>1108</v>
      </c>
      <c r="N67" s="2" t="s">
        <v>1061</v>
      </c>
      <c r="O67" t="s">
        <v>348</v>
      </c>
      <c r="P67" t="s">
        <v>446</v>
      </c>
      <c r="Q67" t="s">
        <v>451</v>
      </c>
      <c r="R67" t="s">
        <v>388</v>
      </c>
      <c r="S67" t="s">
        <v>1179</v>
      </c>
      <c r="T67" t="s">
        <v>792</v>
      </c>
      <c r="U67" t="s">
        <v>1180</v>
      </c>
      <c r="V67" t="s">
        <v>1062</v>
      </c>
      <c r="W67" t="s">
        <v>144</v>
      </c>
      <c r="X67" t="s">
        <v>227</v>
      </c>
      <c r="Y67" t="s">
        <v>270</v>
      </c>
      <c r="Z67" t="s">
        <v>914</v>
      </c>
      <c r="AA67" t="s">
        <v>1063</v>
      </c>
      <c r="AB67" t="s">
        <v>148</v>
      </c>
      <c r="AC67" t="s">
        <v>1104</v>
      </c>
      <c r="AD67" t="s">
        <v>1175</v>
      </c>
      <c r="AE67" t="s">
        <v>172</v>
      </c>
      <c r="AF67" t="s">
        <v>141</v>
      </c>
      <c r="AG67" t="s">
        <v>271</v>
      </c>
      <c r="AH67" t="s">
        <v>247</v>
      </c>
      <c r="AI67" t="s">
        <v>1078</v>
      </c>
      <c r="AJ67" t="s">
        <v>766</v>
      </c>
      <c r="AK67" t="s">
        <v>1079</v>
      </c>
      <c r="AL67" t="s">
        <v>136</v>
      </c>
      <c r="AM67" t="s">
        <v>1080</v>
      </c>
      <c r="AN67" t="s">
        <v>256</v>
      </c>
      <c r="AO67" t="s">
        <v>9</v>
      </c>
      <c r="AP67" t="s">
        <v>1094</v>
      </c>
      <c r="AQ67" t="s">
        <v>230</v>
      </c>
      <c r="AR67" t="s">
        <v>1095</v>
      </c>
      <c r="AS67" t="s">
        <v>917</v>
      </c>
      <c r="AT67" t="s">
        <v>231</v>
      </c>
      <c r="AU67" t="s">
        <v>1082</v>
      </c>
      <c r="AV67" t="s">
        <v>1117</v>
      </c>
      <c r="AW67" t="s">
        <v>1172</v>
      </c>
      <c r="AX67" t="s">
        <v>1037</v>
      </c>
      <c r="AY67" t="s">
        <v>1102</v>
      </c>
      <c r="AZ67" t="s">
        <v>1038</v>
      </c>
      <c r="BA67" t="s">
        <v>974</v>
      </c>
      <c r="BB67" t="s">
        <v>995</v>
      </c>
      <c r="BC67" t="s">
        <v>976</v>
      </c>
      <c r="BD67" t="s">
        <v>1021</v>
      </c>
      <c r="BE67" t="s">
        <v>143</v>
      </c>
      <c r="BF67" t="s">
        <v>997</v>
      </c>
      <c r="BG67" t="s">
        <v>756</v>
      </c>
      <c r="BH67" t="s">
        <v>757</v>
      </c>
      <c r="BI67" t="s">
        <v>233</v>
      </c>
      <c r="BJ67" t="s">
        <v>760</v>
      </c>
      <c r="BK67" t="s">
        <v>2398</v>
      </c>
      <c r="BL67" t="s">
        <v>2339</v>
      </c>
      <c r="BM67" t="s">
        <v>234</v>
      </c>
      <c r="BN67" t="s">
        <v>273</v>
      </c>
      <c r="BO67" t="s">
        <v>446</v>
      </c>
      <c r="BP67" t="s">
        <v>272</v>
      </c>
      <c r="BQ67" t="s">
        <v>382</v>
      </c>
      <c r="BR67" t="s">
        <v>792</v>
      </c>
      <c r="BS67" t="s">
        <v>754</v>
      </c>
      <c r="BT67" t="s">
        <v>779</v>
      </c>
      <c r="BU67" t="s">
        <v>916</v>
      </c>
      <c r="BV67" t="s">
        <v>1106</v>
      </c>
      <c r="BW67" t="s">
        <v>1178</v>
      </c>
      <c r="BX67" t="s">
        <v>1144</v>
      </c>
      <c r="BY67" t="s">
        <v>955</v>
      </c>
      <c r="BZ67" t="s">
        <v>954</v>
      </c>
      <c r="CA67" t="s">
        <v>239</v>
      </c>
      <c r="CB67" t="s">
        <v>241</v>
      </c>
      <c r="CC67" t="s">
        <v>267</v>
      </c>
      <c r="CD67" t="s">
        <v>955</v>
      </c>
      <c r="CE67" t="s">
        <v>269</v>
      </c>
      <c r="CF67" t="s">
        <v>766</v>
      </c>
      <c r="CG67" t="s">
        <v>364</v>
      </c>
      <c r="CH67" t="s">
        <v>1144</v>
      </c>
      <c r="CI67" t="s">
        <v>1099</v>
      </c>
      <c r="CJ67" t="s">
        <v>1016</v>
      </c>
      <c r="CK67" t="s">
        <v>140</v>
      </c>
      <c r="CL67" t="s">
        <v>990</v>
      </c>
      <c r="CM67" t="s">
        <v>805</v>
      </c>
      <c r="CN67" t="s">
        <v>806</v>
      </c>
    </row>
    <row r="68" spans="1:94">
      <c r="A68" s="40">
        <v>63</v>
      </c>
      <c r="B68" s="40" t="s">
        <v>452</v>
      </c>
      <c r="C68" s="2" t="s">
        <v>453</v>
      </c>
      <c r="D68" s="2" t="s">
        <v>9</v>
      </c>
      <c r="E68" s="2"/>
      <c r="F68" s="2">
        <v>25</v>
      </c>
      <c r="G68" s="2">
        <v>20</v>
      </c>
      <c r="H68" s="2">
        <v>15</v>
      </c>
      <c r="I68" s="2">
        <v>105</v>
      </c>
      <c r="J68" s="2">
        <v>55</v>
      </c>
      <c r="K68" s="2">
        <v>90</v>
      </c>
      <c r="L68" s="2">
        <v>310</v>
      </c>
      <c r="M68" s="2" t="s">
        <v>1131</v>
      </c>
      <c r="N68" s="2" t="s">
        <v>1061</v>
      </c>
      <c r="O68" t="s">
        <v>454</v>
      </c>
      <c r="P68" t="s">
        <v>1062</v>
      </c>
      <c r="Q68" t="s">
        <v>1063</v>
      </c>
      <c r="R68" t="s">
        <v>1151</v>
      </c>
      <c r="S68" t="s">
        <v>912</v>
      </c>
      <c r="T68" t="s">
        <v>148</v>
      </c>
      <c r="U68" t="s">
        <v>172</v>
      </c>
      <c r="V68" t="s">
        <v>752</v>
      </c>
      <c r="W68" t="s">
        <v>1126</v>
      </c>
      <c r="X68" t="s">
        <v>228</v>
      </c>
      <c r="Y68" t="s">
        <v>1078</v>
      </c>
      <c r="Z68" t="s">
        <v>766</v>
      </c>
      <c r="AA68" t="s">
        <v>759</v>
      </c>
      <c r="AB68" t="s">
        <v>1079</v>
      </c>
      <c r="AC68" t="s">
        <v>1080</v>
      </c>
      <c r="AD68" t="s">
        <v>9</v>
      </c>
      <c r="AE68" t="s">
        <v>174</v>
      </c>
      <c r="AF68" t="s">
        <v>230</v>
      </c>
      <c r="AG68" t="s">
        <v>380</v>
      </c>
      <c r="AH68" t="s">
        <v>951</v>
      </c>
      <c r="AI68" t="s">
        <v>917</v>
      </c>
      <c r="AJ68" t="s">
        <v>231</v>
      </c>
      <c r="AK68" t="s">
        <v>1082</v>
      </c>
      <c r="AL68" t="s">
        <v>1117</v>
      </c>
      <c r="AM68" t="s">
        <v>1037</v>
      </c>
      <c r="AN68" t="s">
        <v>970</v>
      </c>
      <c r="AO68" t="s">
        <v>974</v>
      </c>
      <c r="AP68" t="s">
        <v>963</v>
      </c>
      <c r="AQ68" t="s">
        <v>969</v>
      </c>
      <c r="AR68" t="s">
        <v>232</v>
      </c>
      <c r="AS68" t="s">
        <v>322</v>
      </c>
      <c r="AT68" t="s">
        <v>785</v>
      </c>
      <c r="AU68" t="s">
        <v>293</v>
      </c>
      <c r="AV68" t="s">
        <v>977</v>
      </c>
      <c r="AW68" t="s">
        <v>756</v>
      </c>
      <c r="AX68" t="s">
        <v>757</v>
      </c>
      <c r="AY68" t="s">
        <v>233</v>
      </c>
      <c r="AZ68" t="s">
        <v>1012</v>
      </c>
      <c r="BA68" t="s">
        <v>2342</v>
      </c>
      <c r="BB68" t="s">
        <v>2339</v>
      </c>
      <c r="BC68" t="s">
        <v>234</v>
      </c>
      <c r="BD68" t="s">
        <v>137</v>
      </c>
      <c r="BE68" t="s">
        <v>274</v>
      </c>
      <c r="BF68" t="s">
        <v>147</v>
      </c>
      <c r="BG68" t="s">
        <v>455</v>
      </c>
      <c r="BH68" t="s">
        <v>779</v>
      </c>
      <c r="BI68" t="s">
        <v>928</v>
      </c>
      <c r="BJ68" t="s">
        <v>941</v>
      </c>
      <c r="BK68" t="s">
        <v>1262</v>
      </c>
      <c r="BL68" t="s">
        <v>999</v>
      </c>
      <c r="BM68" t="s">
        <v>1183</v>
      </c>
      <c r="BN68" t="s">
        <v>1182</v>
      </c>
      <c r="BO68" t="s">
        <v>1181</v>
      </c>
      <c r="BP68" t="s">
        <v>239</v>
      </c>
      <c r="BQ68" t="s">
        <v>241</v>
      </c>
      <c r="BR68" t="s">
        <v>805</v>
      </c>
      <c r="BS68" t="s">
        <v>806</v>
      </c>
    </row>
    <row r="69" spans="1:94">
      <c r="A69" s="40">
        <v>64</v>
      </c>
      <c r="B69" s="40" t="s">
        <v>456</v>
      </c>
      <c r="C69" s="2" t="s">
        <v>457</v>
      </c>
      <c r="D69" s="2" t="s">
        <v>9</v>
      </c>
      <c r="E69" s="2"/>
      <c r="F69" s="2">
        <v>40</v>
      </c>
      <c r="G69" s="2">
        <v>35</v>
      </c>
      <c r="H69" s="2">
        <v>30</v>
      </c>
      <c r="I69" s="2">
        <v>120</v>
      </c>
      <c r="J69" s="2">
        <v>70</v>
      </c>
      <c r="K69" s="2">
        <v>105</v>
      </c>
      <c r="L69" s="2">
        <v>400</v>
      </c>
      <c r="M69" s="2" t="s">
        <v>1129</v>
      </c>
      <c r="N69" s="2" t="s">
        <v>1061</v>
      </c>
      <c r="O69" t="s">
        <v>287</v>
      </c>
      <c r="P69" t="s">
        <v>454</v>
      </c>
      <c r="Q69" t="s">
        <v>458</v>
      </c>
      <c r="R69" t="s">
        <v>287</v>
      </c>
      <c r="S69" t="s">
        <v>340</v>
      </c>
      <c r="T69" t="s">
        <v>1184</v>
      </c>
      <c r="U69" t="s">
        <v>1181</v>
      </c>
      <c r="V69" t="s">
        <v>292</v>
      </c>
      <c r="W69" t="s">
        <v>380</v>
      </c>
      <c r="X69" t="s">
        <v>1152</v>
      </c>
      <c r="Y69" t="s">
        <v>459</v>
      </c>
      <c r="Z69" t="s">
        <v>1000</v>
      </c>
      <c r="AA69" t="s">
        <v>938</v>
      </c>
      <c r="AB69" t="s">
        <v>9</v>
      </c>
      <c r="AC69" t="s">
        <v>790</v>
      </c>
      <c r="AD69" t="s">
        <v>952</v>
      </c>
      <c r="AE69" t="s">
        <v>1062</v>
      </c>
      <c r="AF69" t="s">
        <v>1063</v>
      </c>
      <c r="AG69" t="s">
        <v>1151</v>
      </c>
      <c r="AH69" t="s">
        <v>912</v>
      </c>
      <c r="AI69" t="s">
        <v>148</v>
      </c>
      <c r="AJ69" t="s">
        <v>172</v>
      </c>
      <c r="AK69" t="s">
        <v>752</v>
      </c>
      <c r="AL69" t="s">
        <v>1126</v>
      </c>
      <c r="AM69" t="s">
        <v>228</v>
      </c>
      <c r="AN69" t="s">
        <v>1078</v>
      </c>
      <c r="AO69" t="s">
        <v>766</v>
      </c>
      <c r="AP69" t="s">
        <v>759</v>
      </c>
      <c r="AQ69" t="s">
        <v>1079</v>
      </c>
      <c r="AR69" t="s">
        <v>1080</v>
      </c>
      <c r="AS69" t="s">
        <v>9</v>
      </c>
      <c r="AT69" t="s">
        <v>174</v>
      </c>
      <c r="AU69" t="s">
        <v>230</v>
      </c>
      <c r="AV69" t="s">
        <v>380</v>
      </c>
      <c r="AW69" t="s">
        <v>951</v>
      </c>
      <c r="AX69" t="s">
        <v>917</v>
      </c>
      <c r="AY69" t="s">
        <v>231</v>
      </c>
      <c r="AZ69" t="s">
        <v>1082</v>
      </c>
      <c r="BA69" t="s">
        <v>1117</v>
      </c>
      <c r="BB69" t="s">
        <v>1037</v>
      </c>
      <c r="BC69" t="s">
        <v>970</v>
      </c>
      <c r="BD69" t="s">
        <v>974</v>
      </c>
      <c r="BE69" t="s">
        <v>963</v>
      </c>
      <c r="BF69" t="s">
        <v>969</v>
      </c>
      <c r="BG69" t="s">
        <v>232</v>
      </c>
      <c r="BH69" t="s">
        <v>322</v>
      </c>
      <c r="BI69" t="s">
        <v>785</v>
      </c>
      <c r="BJ69" t="s">
        <v>293</v>
      </c>
      <c r="BK69" t="s">
        <v>977</v>
      </c>
      <c r="BL69" t="s">
        <v>756</v>
      </c>
      <c r="BM69" t="s">
        <v>757</v>
      </c>
      <c r="BN69" t="s">
        <v>233</v>
      </c>
      <c r="BO69" t="s">
        <v>1012</v>
      </c>
      <c r="BP69" t="s">
        <v>2342</v>
      </c>
      <c r="BQ69" t="s">
        <v>2339</v>
      </c>
      <c r="BR69" t="s">
        <v>234</v>
      </c>
      <c r="BS69" t="s">
        <v>137</v>
      </c>
      <c r="BT69" t="s">
        <v>274</v>
      </c>
      <c r="BU69" t="s">
        <v>147</v>
      </c>
      <c r="BV69" t="s">
        <v>455</v>
      </c>
      <c r="BW69" t="s">
        <v>779</v>
      </c>
      <c r="BX69" t="s">
        <v>928</v>
      </c>
      <c r="BY69" t="s">
        <v>941</v>
      </c>
      <c r="BZ69" t="s">
        <v>1262</v>
      </c>
      <c r="CA69" t="s">
        <v>999</v>
      </c>
      <c r="CB69" t="s">
        <v>1183</v>
      </c>
      <c r="CC69" t="s">
        <v>1182</v>
      </c>
      <c r="CD69" t="s">
        <v>1181</v>
      </c>
      <c r="CE69" t="s">
        <v>239</v>
      </c>
      <c r="CF69" t="s">
        <v>241</v>
      </c>
      <c r="CG69" t="s">
        <v>805</v>
      </c>
      <c r="CH69" t="s">
        <v>806</v>
      </c>
    </row>
    <row r="70" spans="1:94">
      <c r="A70" s="40">
        <v>65</v>
      </c>
      <c r="B70" s="40" t="s">
        <v>460</v>
      </c>
      <c r="C70" s="2" t="s">
        <v>461</v>
      </c>
      <c r="D70" s="2" t="s">
        <v>9</v>
      </c>
      <c r="E70" s="2"/>
      <c r="F70" s="2">
        <v>55</v>
      </c>
      <c r="G70" s="2">
        <v>50</v>
      </c>
      <c r="H70" s="2">
        <v>45</v>
      </c>
      <c r="I70" s="2">
        <v>135</v>
      </c>
      <c r="J70" s="2">
        <v>85</v>
      </c>
      <c r="K70" s="2">
        <v>120</v>
      </c>
      <c r="L70" s="2">
        <v>490</v>
      </c>
      <c r="M70" s="2" t="s">
        <v>1168</v>
      </c>
      <c r="N70" s="2" t="s">
        <v>1061</v>
      </c>
      <c r="O70" t="s">
        <v>287</v>
      </c>
      <c r="P70" t="s">
        <v>454</v>
      </c>
      <c r="Q70" t="s">
        <v>458</v>
      </c>
      <c r="R70" t="s">
        <v>287</v>
      </c>
      <c r="S70" t="s">
        <v>340</v>
      </c>
      <c r="T70" t="s">
        <v>1184</v>
      </c>
      <c r="U70" t="s">
        <v>1181</v>
      </c>
      <c r="V70" t="s">
        <v>292</v>
      </c>
      <c r="W70" t="s">
        <v>380</v>
      </c>
      <c r="X70" t="s">
        <v>1152</v>
      </c>
      <c r="Y70" t="s">
        <v>459</v>
      </c>
      <c r="Z70" t="s">
        <v>1000</v>
      </c>
      <c r="AA70" t="s">
        <v>912</v>
      </c>
      <c r="AB70" t="s">
        <v>9</v>
      </c>
      <c r="AC70" t="s">
        <v>790</v>
      </c>
      <c r="AD70" t="s">
        <v>952</v>
      </c>
      <c r="AE70" t="s">
        <v>1062</v>
      </c>
      <c r="AF70" t="s">
        <v>1063</v>
      </c>
      <c r="AG70" t="s">
        <v>1151</v>
      </c>
      <c r="AH70" t="s">
        <v>912</v>
      </c>
      <c r="AI70" t="s">
        <v>148</v>
      </c>
      <c r="AJ70" t="s">
        <v>172</v>
      </c>
      <c r="AK70" t="s">
        <v>752</v>
      </c>
      <c r="AL70" t="s">
        <v>1126</v>
      </c>
      <c r="AM70" t="s">
        <v>247</v>
      </c>
      <c r="AN70" t="s">
        <v>228</v>
      </c>
      <c r="AO70" t="s">
        <v>1078</v>
      </c>
      <c r="AP70" t="s">
        <v>766</v>
      </c>
      <c r="AQ70" t="s">
        <v>759</v>
      </c>
      <c r="AR70" t="s">
        <v>1079</v>
      </c>
      <c r="AS70" t="s">
        <v>1080</v>
      </c>
      <c r="AT70" t="s">
        <v>9</v>
      </c>
      <c r="AU70" t="s">
        <v>174</v>
      </c>
      <c r="AV70" t="s">
        <v>230</v>
      </c>
      <c r="AW70" t="s">
        <v>380</v>
      </c>
      <c r="AX70" t="s">
        <v>951</v>
      </c>
      <c r="AY70" t="s">
        <v>917</v>
      </c>
      <c r="AZ70" t="s">
        <v>231</v>
      </c>
      <c r="BA70" t="s">
        <v>1082</v>
      </c>
      <c r="BB70" t="s">
        <v>1117</v>
      </c>
      <c r="BC70" t="s">
        <v>1037</v>
      </c>
      <c r="BD70" t="s">
        <v>1102</v>
      </c>
      <c r="BE70" t="s">
        <v>970</v>
      </c>
      <c r="BF70" t="s">
        <v>974</v>
      </c>
      <c r="BG70" t="s">
        <v>963</v>
      </c>
      <c r="BH70" t="s">
        <v>969</v>
      </c>
      <c r="BI70" t="s">
        <v>976</v>
      </c>
      <c r="BJ70" t="s">
        <v>232</v>
      </c>
      <c r="BK70" t="s">
        <v>322</v>
      </c>
      <c r="BL70" t="s">
        <v>785</v>
      </c>
      <c r="BM70" t="s">
        <v>293</v>
      </c>
      <c r="BN70" t="s">
        <v>977</v>
      </c>
      <c r="BO70" t="s">
        <v>756</v>
      </c>
      <c r="BP70" t="s">
        <v>757</v>
      </c>
      <c r="BQ70" t="s">
        <v>233</v>
      </c>
      <c r="BR70" t="s">
        <v>1012</v>
      </c>
      <c r="BS70" t="s">
        <v>2342</v>
      </c>
      <c r="BT70" t="s">
        <v>2339</v>
      </c>
      <c r="BU70" t="s">
        <v>234</v>
      </c>
      <c r="BV70" t="s">
        <v>137</v>
      </c>
      <c r="BW70" t="s">
        <v>274</v>
      </c>
      <c r="BX70" t="s">
        <v>147</v>
      </c>
      <c r="BY70" t="s">
        <v>455</v>
      </c>
      <c r="BZ70" t="s">
        <v>779</v>
      </c>
      <c r="CA70" t="s">
        <v>928</v>
      </c>
      <c r="CB70" t="s">
        <v>941</v>
      </c>
      <c r="CC70" t="s">
        <v>1262</v>
      </c>
      <c r="CD70" t="s">
        <v>999</v>
      </c>
      <c r="CE70" t="s">
        <v>1183</v>
      </c>
      <c r="CF70" t="s">
        <v>1182</v>
      </c>
      <c r="CG70" t="s">
        <v>1181</v>
      </c>
      <c r="CH70" t="s">
        <v>239</v>
      </c>
      <c r="CI70" t="s">
        <v>241</v>
      </c>
      <c r="CJ70" t="s">
        <v>938</v>
      </c>
      <c r="CK70" t="s">
        <v>805</v>
      </c>
      <c r="CL70" t="s">
        <v>806</v>
      </c>
    </row>
    <row r="71" spans="1:94">
      <c r="A71" s="40">
        <v>65.099999999999994</v>
      </c>
      <c r="B71" s="40" t="s">
        <v>2285</v>
      </c>
      <c r="C71" s="2" t="s">
        <v>2286</v>
      </c>
      <c r="D71" s="2" t="s">
        <v>9</v>
      </c>
      <c r="E71" s="2"/>
      <c r="F71" s="2">
        <v>55</v>
      </c>
      <c r="G71" s="2">
        <v>50</v>
      </c>
      <c r="H71" s="2">
        <v>65</v>
      </c>
      <c r="I71" s="2">
        <v>175</v>
      </c>
      <c r="J71" s="2">
        <v>95</v>
      </c>
      <c r="K71" s="2">
        <v>150</v>
      </c>
      <c r="L71" s="2">
        <v>590</v>
      </c>
      <c r="M71" s="2" t="s">
        <v>1064</v>
      </c>
      <c r="N71" s="2" t="s">
        <v>1061</v>
      </c>
      <c r="O71" t="s">
        <v>1062</v>
      </c>
      <c r="P71" t="s">
        <v>1063</v>
      </c>
      <c r="Q71" t="s">
        <v>757</v>
      </c>
      <c r="R71" t="s">
        <v>2342</v>
      </c>
      <c r="S71" t="s">
        <v>2339</v>
      </c>
      <c r="T71" t="s">
        <v>234</v>
      </c>
      <c r="U71" t="s">
        <v>239</v>
      </c>
      <c r="V71" t="s">
        <v>241</v>
      </c>
      <c r="W71" t="s">
        <v>805</v>
      </c>
      <c r="X71" t="s">
        <v>806</v>
      </c>
    </row>
    <row r="72" spans="1:94">
      <c r="A72" s="40">
        <v>66</v>
      </c>
      <c r="B72" s="40" t="s">
        <v>462</v>
      </c>
      <c r="C72" s="2" t="s">
        <v>463</v>
      </c>
      <c r="D72" s="2" t="s">
        <v>18</v>
      </c>
      <c r="E72" s="2"/>
      <c r="F72" s="2">
        <v>70</v>
      </c>
      <c r="G72" s="2">
        <v>80</v>
      </c>
      <c r="H72" s="2">
        <v>50</v>
      </c>
      <c r="I72" s="2">
        <v>35</v>
      </c>
      <c r="J72" s="2">
        <v>35</v>
      </c>
      <c r="K72" s="2">
        <v>35</v>
      </c>
      <c r="L72" s="2">
        <v>305</v>
      </c>
      <c r="M72" s="2" t="s">
        <v>1221</v>
      </c>
      <c r="N72" s="2" t="s">
        <v>1061</v>
      </c>
      <c r="O72" t="s">
        <v>330</v>
      </c>
      <c r="P72" t="s">
        <v>432</v>
      </c>
      <c r="Q72" t="s">
        <v>302</v>
      </c>
      <c r="R72" t="s">
        <v>435</v>
      </c>
      <c r="S72" t="s">
        <v>1172</v>
      </c>
      <c r="T72" t="s">
        <v>771</v>
      </c>
      <c r="U72" t="s">
        <v>436</v>
      </c>
      <c r="V72" t="s">
        <v>1128</v>
      </c>
      <c r="W72" t="s">
        <v>1185</v>
      </c>
      <c r="X72" t="s">
        <v>451</v>
      </c>
      <c r="Y72" t="s">
        <v>1016</v>
      </c>
      <c r="Z72" t="s">
        <v>1171</v>
      </c>
      <c r="AA72" t="s">
        <v>1092</v>
      </c>
      <c r="AB72" t="s">
        <v>1179</v>
      </c>
      <c r="AC72" t="s">
        <v>1062</v>
      </c>
      <c r="AD72" t="s">
        <v>227</v>
      </c>
      <c r="AE72" t="s">
        <v>1063</v>
      </c>
      <c r="AF72" t="s">
        <v>148</v>
      </c>
      <c r="AG72" t="s">
        <v>1175</v>
      </c>
      <c r="AH72" t="s">
        <v>172</v>
      </c>
      <c r="AI72" t="s">
        <v>752</v>
      </c>
      <c r="AJ72" t="s">
        <v>228</v>
      </c>
      <c r="AK72" t="s">
        <v>1078</v>
      </c>
      <c r="AL72" t="s">
        <v>766</v>
      </c>
      <c r="AM72" t="s">
        <v>1079</v>
      </c>
      <c r="AN72" t="s">
        <v>1109</v>
      </c>
      <c r="AO72" t="s">
        <v>136</v>
      </c>
      <c r="AP72" t="s">
        <v>1080</v>
      </c>
      <c r="AQ72" t="s">
        <v>256</v>
      </c>
      <c r="AR72" t="s">
        <v>1094</v>
      </c>
      <c r="AS72" t="s">
        <v>230</v>
      </c>
      <c r="AT72" t="s">
        <v>254</v>
      </c>
      <c r="AU72" t="s">
        <v>257</v>
      </c>
      <c r="AV72" t="s">
        <v>1095</v>
      </c>
      <c r="AW72" t="s">
        <v>917</v>
      </c>
      <c r="AX72" t="s">
        <v>231</v>
      </c>
      <c r="AY72" t="s">
        <v>1082</v>
      </c>
      <c r="AZ72" t="s">
        <v>1117</v>
      </c>
      <c r="BA72" t="s">
        <v>1172</v>
      </c>
      <c r="BB72" t="s">
        <v>1037</v>
      </c>
      <c r="BC72" t="s">
        <v>1102</v>
      </c>
      <c r="BD72" t="s">
        <v>974</v>
      </c>
      <c r="BE72" t="s">
        <v>1031</v>
      </c>
      <c r="BF72" t="s">
        <v>995</v>
      </c>
      <c r="BG72" t="s">
        <v>1036</v>
      </c>
      <c r="BH72" t="s">
        <v>1021</v>
      </c>
      <c r="BI72" t="s">
        <v>143</v>
      </c>
      <c r="BJ72" t="s">
        <v>997</v>
      </c>
      <c r="BK72" t="s">
        <v>756</v>
      </c>
      <c r="BL72" t="s">
        <v>757</v>
      </c>
      <c r="BM72" t="s">
        <v>233</v>
      </c>
      <c r="BN72" t="s">
        <v>760</v>
      </c>
      <c r="BO72" t="s">
        <v>2398</v>
      </c>
      <c r="BP72" t="s">
        <v>2339</v>
      </c>
      <c r="BQ72" t="s">
        <v>234</v>
      </c>
      <c r="BR72" t="s">
        <v>137</v>
      </c>
      <c r="BS72" t="s">
        <v>274</v>
      </c>
      <c r="BT72" t="s">
        <v>147</v>
      </c>
      <c r="BU72" t="s">
        <v>464</v>
      </c>
      <c r="BV72" t="s">
        <v>259</v>
      </c>
      <c r="BW72" t="s">
        <v>437</v>
      </c>
      <c r="BX72" t="s">
        <v>779</v>
      </c>
      <c r="BY72" t="s">
        <v>944</v>
      </c>
      <c r="BZ72" t="s">
        <v>928</v>
      </c>
      <c r="CA72" t="s">
        <v>950</v>
      </c>
      <c r="CB72" t="s">
        <v>1174</v>
      </c>
      <c r="CC72" t="s">
        <v>999</v>
      </c>
      <c r="CD72" t="s">
        <v>1186</v>
      </c>
      <c r="CE72" t="s">
        <v>184</v>
      </c>
      <c r="CF72" t="s">
        <v>1035</v>
      </c>
      <c r="CG72" t="s">
        <v>239</v>
      </c>
      <c r="CH72" t="s">
        <v>241</v>
      </c>
      <c r="CI72" t="s">
        <v>805</v>
      </c>
      <c r="CJ72" t="s">
        <v>806</v>
      </c>
    </row>
    <row r="73" spans="1:94">
      <c r="A73" s="40">
        <v>67</v>
      </c>
      <c r="B73" s="40" t="s">
        <v>465</v>
      </c>
      <c r="C73" s="2" t="s">
        <v>466</v>
      </c>
      <c r="D73" s="2" t="s">
        <v>18</v>
      </c>
      <c r="E73" s="2"/>
      <c r="F73" s="2">
        <v>80</v>
      </c>
      <c r="G73" s="2">
        <v>100</v>
      </c>
      <c r="H73" s="2">
        <v>70</v>
      </c>
      <c r="I73" s="2">
        <v>50</v>
      </c>
      <c r="J73" s="2">
        <v>60</v>
      </c>
      <c r="K73" s="2">
        <v>45</v>
      </c>
      <c r="L73" s="2">
        <v>405</v>
      </c>
      <c r="M73" s="2" t="s">
        <v>1168</v>
      </c>
      <c r="N73" s="2" t="s">
        <v>1061</v>
      </c>
      <c r="O73" t="s">
        <v>435</v>
      </c>
      <c r="P73" t="s">
        <v>330</v>
      </c>
      <c r="Q73" t="s">
        <v>432</v>
      </c>
      <c r="R73" t="s">
        <v>302</v>
      </c>
      <c r="S73" t="s">
        <v>302</v>
      </c>
      <c r="T73" t="s">
        <v>435</v>
      </c>
      <c r="U73" t="s">
        <v>1172</v>
      </c>
      <c r="V73" t="s">
        <v>771</v>
      </c>
      <c r="W73" t="s">
        <v>436</v>
      </c>
      <c r="X73" t="s">
        <v>1128</v>
      </c>
      <c r="Y73" t="s">
        <v>1185</v>
      </c>
      <c r="Z73" t="s">
        <v>451</v>
      </c>
      <c r="AA73" t="s">
        <v>1016</v>
      </c>
      <c r="AB73" t="s">
        <v>1171</v>
      </c>
      <c r="AC73" t="s">
        <v>1092</v>
      </c>
      <c r="AD73" t="s">
        <v>1179</v>
      </c>
      <c r="AE73" t="s">
        <v>1062</v>
      </c>
      <c r="AF73" t="s">
        <v>227</v>
      </c>
      <c r="AG73" t="s">
        <v>1063</v>
      </c>
      <c r="AH73" t="s">
        <v>148</v>
      </c>
      <c r="AI73" t="s">
        <v>1175</v>
      </c>
      <c r="AJ73" t="s">
        <v>172</v>
      </c>
      <c r="AK73" t="s">
        <v>752</v>
      </c>
      <c r="AL73" t="s">
        <v>228</v>
      </c>
      <c r="AM73" t="s">
        <v>1078</v>
      </c>
      <c r="AN73" t="s">
        <v>766</v>
      </c>
      <c r="AO73" t="s">
        <v>1079</v>
      </c>
      <c r="AP73" t="s">
        <v>1109</v>
      </c>
      <c r="AQ73" t="s">
        <v>136</v>
      </c>
      <c r="AR73" t="s">
        <v>1080</v>
      </c>
      <c r="AS73" t="s">
        <v>256</v>
      </c>
      <c r="AT73" t="s">
        <v>1094</v>
      </c>
      <c r="AU73" t="s">
        <v>230</v>
      </c>
      <c r="AV73" t="s">
        <v>254</v>
      </c>
      <c r="AW73" t="s">
        <v>257</v>
      </c>
      <c r="AX73" t="s">
        <v>1095</v>
      </c>
      <c r="AY73" t="s">
        <v>917</v>
      </c>
      <c r="AZ73" t="s">
        <v>231</v>
      </c>
      <c r="BA73" t="s">
        <v>1082</v>
      </c>
      <c r="BB73" t="s">
        <v>1117</v>
      </c>
      <c r="BC73" t="s">
        <v>1172</v>
      </c>
      <c r="BD73" t="s">
        <v>1037</v>
      </c>
      <c r="BE73" t="s">
        <v>1102</v>
      </c>
      <c r="BF73" t="s">
        <v>974</v>
      </c>
      <c r="BG73" t="s">
        <v>1031</v>
      </c>
      <c r="BH73" t="s">
        <v>995</v>
      </c>
      <c r="BI73" t="s">
        <v>1036</v>
      </c>
      <c r="BJ73" t="s">
        <v>1021</v>
      </c>
      <c r="BK73" t="s">
        <v>143</v>
      </c>
      <c r="BL73" t="s">
        <v>997</v>
      </c>
      <c r="BM73" t="s">
        <v>756</v>
      </c>
      <c r="BN73" t="s">
        <v>757</v>
      </c>
      <c r="BO73" t="s">
        <v>233</v>
      </c>
      <c r="BP73" t="s">
        <v>760</v>
      </c>
      <c r="BQ73" t="s">
        <v>2398</v>
      </c>
      <c r="BR73" t="s">
        <v>2339</v>
      </c>
      <c r="BS73" t="s">
        <v>234</v>
      </c>
      <c r="BT73" t="s">
        <v>137</v>
      </c>
      <c r="BU73" t="s">
        <v>274</v>
      </c>
      <c r="BV73" t="s">
        <v>147</v>
      </c>
      <c r="BW73" t="s">
        <v>464</v>
      </c>
      <c r="BX73" t="s">
        <v>259</v>
      </c>
      <c r="BY73" t="s">
        <v>437</v>
      </c>
      <c r="BZ73" t="s">
        <v>779</v>
      </c>
      <c r="CA73" t="s">
        <v>944</v>
      </c>
      <c r="CB73" t="s">
        <v>928</v>
      </c>
      <c r="CC73" t="s">
        <v>950</v>
      </c>
      <c r="CD73" t="s">
        <v>1174</v>
      </c>
      <c r="CE73" t="s">
        <v>999</v>
      </c>
      <c r="CF73" t="s">
        <v>1186</v>
      </c>
      <c r="CG73" t="s">
        <v>184</v>
      </c>
      <c r="CH73" t="s">
        <v>1035</v>
      </c>
      <c r="CI73" t="s">
        <v>239</v>
      </c>
      <c r="CJ73" t="s">
        <v>241</v>
      </c>
      <c r="CK73" t="s">
        <v>805</v>
      </c>
      <c r="CL73" t="s">
        <v>806</v>
      </c>
    </row>
    <row r="74" spans="1:94">
      <c r="A74" s="40">
        <v>68</v>
      </c>
      <c r="B74" s="40" t="s">
        <v>467</v>
      </c>
      <c r="C74" s="2" t="s">
        <v>468</v>
      </c>
      <c r="D74" s="2" t="s">
        <v>18</v>
      </c>
      <c r="E74" s="2"/>
      <c r="F74" s="2">
        <v>90</v>
      </c>
      <c r="G74" s="2">
        <v>130</v>
      </c>
      <c r="H74" s="2">
        <v>80</v>
      </c>
      <c r="I74" s="2">
        <v>65</v>
      </c>
      <c r="J74" s="2">
        <v>85</v>
      </c>
      <c r="K74" s="2">
        <v>55</v>
      </c>
      <c r="L74" s="2">
        <v>505</v>
      </c>
      <c r="M74" s="2" t="s">
        <v>1161</v>
      </c>
      <c r="N74" s="2" t="s">
        <v>1061</v>
      </c>
      <c r="O74" t="s">
        <v>435</v>
      </c>
      <c r="P74" t="s">
        <v>330</v>
      </c>
      <c r="Q74" t="s">
        <v>432</v>
      </c>
      <c r="R74" t="s">
        <v>302</v>
      </c>
      <c r="S74" t="s">
        <v>1187</v>
      </c>
      <c r="T74" t="s">
        <v>302</v>
      </c>
      <c r="U74" t="s">
        <v>435</v>
      </c>
      <c r="V74" t="s">
        <v>1172</v>
      </c>
      <c r="W74" t="s">
        <v>771</v>
      </c>
      <c r="X74" t="s">
        <v>436</v>
      </c>
      <c r="Y74" t="s">
        <v>1128</v>
      </c>
      <c r="Z74" t="s">
        <v>1185</v>
      </c>
      <c r="AA74" t="s">
        <v>451</v>
      </c>
      <c r="AB74" t="s">
        <v>1016</v>
      </c>
      <c r="AC74" t="s">
        <v>1171</v>
      </c>
      <c r="AD74" t="s">
        <v>1092</v>
      </c>
      <c r="AE74" t="s">
        <v>1179</v>
      </c>
      <c r="AF74" t="s">
        <v>1062</v>
      </c>
      <c r="AG74" t="s">
        <v>227</v>
      </c>
      <c r="AH74" t="s">
        <v>1063</v>
      </c>
      <c r="AI74" t="s">
        <v>148</v>
      </c>
      <c r="AJ74" t="s">
        <v>1175</v>
      </c>
      <c r="AK74" t="s">
        <v>172</v>
      </c>
      <c r="AL74" t="s">
        <v>752</v>
      </c>
      <c r="AM74" t="s">
        <v>247</v>
      </c>
      <c r="AN74" t="s">
        <v>228</v>
      </c>
      <c r="AO74" t="s">
        <v>1078</v>
      </c>
      <c r="AP74" t="s">
        <v>766</v>
      </c>
      <c r="AQ74" t="s">
        <v>1079</v>
      </c>
      <c r="AR74" t="s">
        <v>1109</v>
      </c>
      <c r="AS74" t="s">
        <v>136</v>
      </c>
      <c r="AT74" t="s">
        <v>1080</v>
      </c>
      <c r="AU74" t="s">
        <v>256</v>
      </c>
      <c r="AV74" t="s">
        <v>1094</v>
      </c>
      <c r="AW74" t="s">
        <v>230</v>
      </c>
      <c r="AX74" t="s">
        <v>254</v>
      </c>
      <c r="AY74" t="s">
        <v>257</v>
      </c>
      <c r="AZ74" t="s">
        <v>1095</v>
      </c>
      <c r="BA74" t="s">
        <v>917</v>
      </c>
      <c r="BB74" t="s">
        <v>231</v>
      </c>
      <c r="BC74" t="s">
        <v>1082</v>
      </c>
      <c r="BD74" t="s">
        <v>1117</v>
      </c>
      <c r="BE74" t="s">
        <v>1172</v>
      </c>
      <c r="BF74" t="s">
        <v>1037</v>
      </c>
      <c r="BG74" t="s">
        <v>1102</v>
      </c>
      <c r="BH74" t="s">
        <v>974</v>
      </c>
      <c r="BI74" t="s">
        <v>1031</v>
      </c>
      <c r="BJ74" t="s">
        <v>995</v>
      </c>
      <c r="BK74" t="s">
        <v>1036</v>
      </c>
      <c r="BL74" t="s">
        <v>976</v>
      </c>
      <c r="BM74" t="s">
        <v>183</v>
      </c>
      <c r="BN74" t="s">
        <v>1021</v>
      </c>
      <c r="BO74" t="s">
        <v>143</v>
      </c>
      <c r="BP74" t="s">
        <v>997</v>
      </c>
      <c r="BQ74" t="s">
        <v>756</v>
      </c>
      <c r="BR74" t="s">
        <v>757</v>
      </c>
      <c r="BS74" t="s">
        <v>233</v>
      </c>
      <c r="BT74" t="s">
        <v>760</v>
      </c>
      <c r="BU74" t="s">
        <v>2398</v>
      </c>
      <c r="BV74" t="s">
        <v>2339</v>
      </c>
      <c r="BW74" t="s">
        <v>234</v>
      </c>
      <c r="BX74" t="s">
        <v>137</v>
      </c>
      <c r="BY74" t="s">
        <v>274</v>
      </c>
      <c r="BZ74" t="s">
        <v>147</v>
      </c>
      <c r="CA74" t="s">
        <v>464</v>
      </c>
      <c r="CB74" t="s">
        <v>259</v>
      </c>
      <c r="CC74" t="s">
        <v>437</v>
      </c>
      <c r="CD74" t="s">
        <v>779</v>
      </c>
      <c r="CE74" t="s">
        <v>944</v>
      </c>
      <c r="CF74" t="s">
        <v>928</v>
      </c>
      <c r="CG74" t="s">
        <v>950</v>
      </c>
      <c r="CH74" t="s">
        <v>1174</v>
      </c>
      <c r="CI74" t="s">
        <v>999</v>
      </c>
      <c r="CJ74" t="s">
        <v>1186</v>
      </c>
      <c r="CK74" t="s">
        <v>184</v>
      </c>
      <c r="CL74" t="s">
        <v>1035</v>
      </c>
      <c r="CM74" t="s">
        <v>239</v>
      </c>
      <c r="CN74" t="s">
        <v>241</v>
      </c>
      <c r="CO74" t="s">
        <v>805</v>
      </c>
      <c r="CP74" t="s">
        <v>806</v>
      </c>
    </row>
    <row r="75" spans="1:94">
      <c r="A75" s="40">
        <v>69</v>
      </c>
      <c r="B75" s="40" t="s">
        <v>469</v>
      </c>
      <c r="C75" s="2" t="s">
        <v>470</v>
      </c>
      <c r="D75" s="2" t="s">
        <v>21</v>
      </c>
      <c r="E75" s="2" t="s">
        <v>11</v>
      </c>
      <c r="F75" s="2">
        <v>50</v>
      </c>
      <c r="G75" s="2">
        <v>75</v>
      </c>
      <c r="H75" s="2">
        <v>35</v>
      </c>
      <c r="I75" s="2">
        <v>70</v>
      </c>
      <c r="J75" s="2">
        <v>30</v>
      </c>
      <c r="K75" s="2">
        <v>40</v>
      </c>
      <c r="L75" s="2">
        <v>300</v>
      </c>
      <c r="M75" s="2" t="s">
        <v>1075</v>
      </c>
      <c r="N75" s="2" t="s">
        <v>1061</v>
      </c>
      <c r="O75" t="s">
        <v>149</v>
      </c>
      <c r="P75" t="s">
        <v>215</v>
      </c>
      <c r="Q75" t="s">
        <v>338</v>
      </c>
      <c r="R75" t="s">
        <v>222</v>
      </c>
      <c r="S75" t="s">
        <v>221</v>
      </c>
      <c r="T75" t="s">
        <v>288</v>
      </c>
      <c r="U75" t="s">
        <v>339</v>
      </c>
      <c r="V75" t="s">
        <v>928</v>
      </c>
      <c r="W75" t="s">
        <v>1076</v>
      </c>
      <c r="X75" t="s">
        <v>975</v>
      </c>
      <c r="Y75" t="s">
        <v>224</v>
      </c>
      <c r="Z75" t="s">
        <v>341</v>
      </c>
      <c r="AA75" t="s">
        <v>1189</v>
      </c>
      <c r="AB75" t="s">
        <v>1062</v>
      </c>
      <c r="AC75" t="s">
        <v>226</v>
      </c>
      <c r="AD75" t="s">
        <v>1063</v>
      </c>
      <c r="AE75" t="s">
        <v>148</v>
      </c>
      <c r="AF75" t="s">
        <v>1077</v>
      </c>
      <c r="AG75" t="s">
        <v>172</v>
      </c>
      <c r="AH75" t="s">
        <v>752</v>
      </c>
      <c r="AI75" t="s">
        <v>1078</v>
      </c>
      <c r="AJ75" t="s">
        <v>1079</v>
      </c>
      <c r="AK75" t="s">
        <v>229</v>
      </c>
      <c r="AL75" t="s">
        <v>1080</v>
      </c>
      <c r="AM75" t="s">
        <v>230</v>
      </c>
      <c r="AN75" t="s">
        <v>380</v>
      </c>
      <c r="AO75" t="s">
        <v>1081</v>
      </c>
      <c r="AP75" t="s">
        <v>917</v>
      </c>
      <c r="AQ75" t="s">
        <v>231</v>
      </c>
      <c r="AR75" t="s">
        <v>1082</v>
      </c>
      <c r="AS75" t="s">
        <v>1117</v>
      </c>
      <c r="AT75" t="s">
        <v>1037</v>
      </c>
      <c r="AU75" t="s">
        <v>970</v>
      </c>
      <c r="AV75" t="s">
        <v>232</v>
      </c>
      <c r="AW75" t="s">
        <v>145</v>
      </c>
      <c r="AX75" t="s">
        <v>2369</v>
      </c>
      <c r="AY75" t="s">
        <v>977</v>
      </c>
      <c r="AZ75" t="s">
        <v>756</v>
      </c>
      <c r="BA75" t="s">
        <v>757</v>
      </c>
      <c r="BB75" t="s">
        <v>233</v>
      </c>
      <c r="BC75" t="s">
        <v>1087</v>
      </c>
      <c r="BD75" t="s">
        <v>2339</v>
      </c>
      <c r="BE75" t="s">
        <v>234</v>
      </c>
      <c r="BF75" t="s">
        <v>397</v>
      </c>
      <c r="BG75" t="s">
        <v>171</v>
      </c>
      <c r="BH75" t="s">
        <v>779</v>
      </c>
      <c r="BI75" t="s">
        <v>750</v>
      </c>
      <c r="BJ75" t="s">
        <v>1085</v>
      </c>
      <c r="BK75" t="s">
        <v>1192</v>
      </c>
      <c r="BL75" t="s">
        <v>950</v>
      </c>
      <c r="BM75" t="s">
        <v>1190</v>
      </c>
      <c r="BN75" t="s">
        <v>930</v>
      </c>
      <c r="BO75" t="s">
        <v>992</v>
      </c>
      <c r="BP75" t="s">
        <v>1017</v>
      </c>
      <c r="BQ75" t="s">
        <v>1088</v>
      </c>
      <c r="BR75" t="s">
        <v>1134</v>
      </c>
      <c r="BS75" t="s">
        <v>1191</v>
      </c>
      <c r="BT75" t="s">
        <v>2335</v>
      </c>
      <c r="BU75" t="s">
        <v>239</v>
      </c>
      <c r="BV75" t="s">
        <v>241</v>
      </c>
      <c r="BW75" t="s">
        <v>805</v>
      </c>
      <c r="BX75" t="s">
        <v>806</v>
      </c>
    </row>
    <row r="76" spans="1:94">
      <c r="A76" s="40">
        <v>70</v>
      </c>
      <c r="B76" s="40" t="s">
        <v>471</v>
      </c>
      <c r="C76" s="2" t="s">
        <v>472</v>
      </c>
      <c r="D76" s="2" t="s">
        <v>21</v>
      </c>
      <c r="E76" s="2" t="s">
        <v>11</v>
      </c>
      <c r="F76" s="2">
        <v>65</v>
      </c>
      <c r="G76" s="2">
        <v>90</v>
      </c>
      <c r="H76" s="2">
        <v>50</v>
      </c>
      <c r="I76" s="2">
        <v>85</v>
      </c>
      <c r="J76" s="2">
        <v>45</v>
      </c>
      <c r="K76" s="2">
        <v>55</v>
      </c>
      <c r="L76" s="2">
        <v>390</v>
      </c>
      <c r="M76" s="2" t="s">
        <v>1145</v>
      </c>
      <c r="N76" s="2" t="s">
        <v>1061</v>
      </c>
      <c r="O76" t="s">
        <v>149</v>
      </c>
      <c r="P76" t="s">
        <v>338</v>
      </c>
      <c r="Q76" t="s">
        <v>215</v>
      </c>
      <c r="R76" t="s">
        <v>215</v>
      </c>
      <c r="S76" t="s">
        <v>338</v>
      </c>
      <c r="T76" t="s">
        <v>222</v>
      </c>
      <c r="U76" t="s">
        <v>221</v>
      </c>
      <c r="V76" t="s">
        <v>288</v>
      </c>
      <c r="W76" t="s">
        <v>339</v>
      </c>
      <c r="X76" t="s">
        <v>928</v>
      </c>
      <c r="Y76" t="s">
        <v>1076</v>
      </c>
      <c r="Z76" t="s">
        <v>975</v>
      </c>
      <c r="AA76" t="s">
        <v>224</v>
      </c>
      <c r="AB76" t="s">
        <v>341</v>
      </c>
      <c r="AC76" t="s">
        <v>1189</v>
      </c>
      <c r="AD76" t="s">
        <v>1062</v>
      </c>
      <c r="AE76" t="s">
        <v>226</v>
      </c>
      <c r="AF76" t="s">
        <v>1063</v>
      </c>
      <c r="AG76" t="s">
        <v>148</v>
      </c>
      <c r="AH76" t="s">
        <v>1077</v>
      </c>
      <c r="AI76" t="s">
        <v>172</v>
      </c>
      <c r="AJ76" t="s">
        <v>752</v>
      </c>
      <c r="AK76" t="s">
        <v>1078</v>
      </c>
      <c r="AL76" t="s">
        <v>1079</v>
      </c>
      <c r="AM76" t="s">
        <v>229</v>
      </c>
      <c r="AN76" t="s">
        <v>1080</v>
      </c>
      <c r="AO76" t="s">
        <v>230</v>
      </c>
      <c r="AP76" t="s">
        <v>380</v>
      </c>
      <c r="AQ76" t="s">
        <v>1081</v>
      </c>
      <c r="AR76" t="s">
        <v>917</v>
      </c>
      <c r="AS76" t="s">
        <v>231</v>
      </c>
      <c r="AT76" t="s">
        <v>1082</v>
      </c>
      <c r="AU76" t="s">
        <v>1117</v>
      </c>
      <c r="AV76" t="s">
        <v>1037</v>
      </c>
      <c r="AW76" t="s">
        <v>970</v>
      </c>
      <c r="AX76" t="s">
        <v>232</v>
      </c>
      <c r="AY76" t="s">
        <v>145</v>
      </c>
      <c r="AZ76" t="s">
        <v>2369</v>
      </c>
      <c r="BA76" t="s">
        <v>977</v>
      </c>
      <c r="BB76" t="s">
        <v>756</v>
      </c>
      <c r="BC76" t="s">
        <v>757</v>
      </c>
      <c r="BD76" t="s">
        <v>233</v>
      </c>
      <c r="BE76" t="s">
        <v>1087</v>
      </c>
      <c r="BF76" t="s">
        <v>2339</v>
      </c>
      <c r="BG76" t="s">
        <v>234</v>
      </c>
      <c r="BH76" t="s">
        <v>397</v>
      </c>
      <c r="BI76" t="s">
        <v>171</v>
      </c>
      <c r="BJ76" t="s">
        <v>779</v>
      </c>
      <c r="BK76" t="s">
        <v>750</v>
      </c>
      <c r="BL76" t="s">
        <v>1085</v>
      </c>
      <c r="BM76" t="s">
        <v>1192</v>
      </c>
      <c r="BN76" t="s">
        <v>950</v>
      </c>
      <c r="BO76" t="s">
        <v>1190</v>
      </c>
      <c r="BP76" t="s">
        <v>930</v>
      </c>
      <c r="BQ76" t="s">
        <v>992</v>
      </c>
      <c r="BR76" t="s">
        <v>1017</v>
      </c>
      <c r="BS76" t="s">
        <v>1088</v>
      </c>
      <c r="BT76" t="s">
        <v>1134</v>
      </c>
      <c r="BU76" t="s">
        <v>1191</v>
      </c>
      <c r="BV76" t="s">
        <v>2335</v>
      </c>
      <c r="BW76" t="s">
        <v>239</v>
      </c>
      <c r="BX76" t="s">
        <v>241</v>
      </c>
      <c r="BY76" t="s">
        <v>805</v>
      </c>
      <c r="BZ76" t="s">
        <v>806</v>
      </c>
    </row>
    <row r="77" spans="1:94">
      <c r="A77" s="40">
        <v>71</v>
      </c>
      <c r="B77" s="40" t="s">
        <v>473</v>
      </c>
      <c r="C77" s="2" t="s">
        <v>474</v>
      </c>
      <c r="D77" s="2" t="s">
        <v>21</v>
      </c>
      <c r="E77" s="2" t="s">
        <v>11</v>
      </c>
      <c r="F77" s="2">
        <v>80</v>
      </c>
      <c r="G77" s="2">
        <v>105</v>
      </c>
      <c r="H77" s="2">
        <v>65</v>
      </c>
      <c r="I77" s="2">
        <v>100</v>
      </c>
      <c r="J77" s="2">
        <v>60</v>
      </c>
      <c r="K77" s="2">
        <v>70</v>
      </c>
      <c r="L77" s="2">
        <v>480</v>
      </c>
      <c r="M77" s="2" t="s">
        <v>1141</v>
      </c>
      <c r="N77" s="2" t="s">
        <v>1061</v>
      </c>
      <c r="O77" t="s">
        <v>149</v>
      </c>
      <c r="P77" t="s">
        <v>224</v>
      </c>
      <c r="Q77" t="s">
        <v>222</v>
      </c>
      <c r="R77" t="s">
        <v>1076</v>
      </c>
      <c r="S77" t="s">
        <v>946</v>
      </c>
      <c r="T77" t="s">
        <v>1133</v>
      </c>
      <c r="U77" t="s">
        <v>948</v>
      </c>
      <c r="V77" t="s">
        <v>1193</v>
      </c>
      <c r="W77" t="s">
        <v>1194</v>
      </c>
      <c r="X77" t="s">
        <v>1086</v>
      </c>
      <c r="Y77" t="s">
        <v>1062</v>
      </c>
      <c r="Z77" t="s">
        <v>226</v>
      </c>
      <c r="AA77" t="s">
        <v>1063</v>
      </c>
      <c r="AB77" t="s">
        <v>148</v>
      </c>
      <c r="AC77" t="s">
        <v>1077</v>
      </c>
      <c r="AD77" t="s">
        <v>172</v>
      </c>
      <c r="AE77" t="s">
        <v>752</v>
      </c>
      <c r="AF77" t="s">
        <v>247</v>
      </c>
      <c r="AG77" t="s">
        <v>1078</v>
      </c>
      <c r="AH77" t="s">
        <v>1079</v>
      </c>
      <c r="AI77" t="s">
        <v>229</v>
      </c>
      <c r="AJ77" t="s">
        <v>1080</v>
      </c>
      <c r="AK77" t="s">
        <v>230</v>
      </c>
      <c r="AL77" t="s">
        <v>380</v>
      </c>
      <c r="AM77" t="s">
        <v>1081</v>
      </c>
      <c r="AN77" t="s">
        <v>917</v>
      </c>
      <c r="AO77" t="s">
        <v>231</v>
      </c>
      <c r="AP77" t="s">
        <v>1082</v>
      </c>
      <c r="AQ77" t="s">
        <v>1117</v>
      </c>
      <c r="AR77" t="s">
        <v>1037</v>
      </c>
      <c r="AS77" t="s">
        <v>970</v>
      </c>
      <c r="AT77" t="s">
        <v>976</v>
      </c>
      <c r="AU77" t="s">
        <v>232</v>
      </c>
      <c r="AV77" t="s">
        <v>145</v>
      </c>
      <c r="AW77" t="s">
        <v>2369</v>
      </c>
      <c r="AX77" t="s">
        <v>977</v>
      </c>
      <c r="AY77" t="s">
        <v>756</v>
      </c>
      <c r="AZ77" t="s">
        <v>757</v>
      </c>
      <c r="BA77" t="s">
        <v>233</v>
      </c>
      <c r="BB77" t="s">
        <v>1087</v>
      </c>
      <c r="BC77" t="s">
        <v>2339</v>
      </c>
      <c r="BD77" t="s">
        <v>234</v>
      </c>
      <c r="BE77" t="s">
        <v>397</v>
      </c>
      <c r="BF77" t="s">
        <v>171</v>
      </c>
      <c r="BG77" t="s">
        <v>779</v>
      </c>
      <c r="BH77" t="s">
        <v>750</v>
      </c>
      <c r="BI77" t="s">
        <v>1085</v>
      </c>
      <c r="BJ77" t="s">
        <v>1192</v>
      </c>
      <c r="BK77" t="s">
        <v>950</v>
      </c>
      <c r="BL77" t="s">
        <v>1190</v>
      </c>
      <c r="BM77" t="s">
        <v>930</v>
      </c>
      <c r="BN77" t="s">
        <v>992</v>
      </c>
      <c r="BO77" t="s">
        <v>1017</v>
      </c>
      <c r="BP77" t="s">
        <v>1088</v>
      </c>
      <c r="BQ77" t="s">
        <v>1134</v>
      </c>
      <c r="BR77" t="s">
        <v>1191</v>
      </c>
      <c r="BS77" t="s">
        <v>2335</v>
      </c>
      <c r="BT77" t="s">
        <v>239</v>
      </c>
      <c r="BU77" t="s">
        <v>241</v>
      </c>
      <c r="BV77" t="s">
        <v>338</v>
      </c>
      <c r="BW77" t="s">
        <v>215</v>
      </c>
      <c r="BX77" t="s">
        <v>221</v>
      </c>
      <c r="BY77" t="s">
        <v>288</v>
      </c>
      <c r="BZ77" t="s">
        <v>339</v>
      </c>
      <c r="CA77" t="s">
        <v>928</v>
      </c>
      <c r="CB77" t="s">
        <v>975</v>
      </c>
      <c r="CC77" t="s">
        <v>341</v>
      </c>
      <c r="CD77" t="s">
        <v>1189</v>
      </c>
      <c r="CE77" t="s">
        <v>805</v>
      </c>
      <c r="CF77" t="s">
        <v>806</v>
      </c>
    </row>
    <row r="78" spans="1:94">
      <c r="A78" s="40">
        <v>72</v>
      </c>
      <c r="B78" s="40" t="s">
        <v>475</v>
      </c>
      <c r="C78" s="2" t="s">
        <v>476</v>
      </c>
      <c r="D78" s="2" t="s">
        <v>27</v>
      </c>
      <c r="E78" s="2" t="s">
        <v>11</v>
      </c>
      <c r="F78" s="2">
        <v>40</v>
      </c>
      <c r="G78" s="2">
        <v>40</v>
      </c>
      <c r="H78" s="2">
        <v>35</v>
      </c>
      <c r="I78" s="2">
        <v>50</v>
      </c>
      <c r="J78" s="2">
        <v>100</v>
      </c>
      <c r="K78" s="2">
        <v>70</v>
      </c>
      <c r="L78" s="2">
        <v>335</v>
      </c>
      <c r="M78" s="2" t="s">
        <v>1074</v>
      </c>
      <c r="N78" s="2" t="s">
        <v>1061</v>
      </c>
      <c r="O78" t="s">
        <v>296</v>
      </c>
      <c r="P78" t="s">
        <v>290</v>
      </c>
      <c r="Q78" t="s">
        <v>477</v>
      </c>
      <c r="R78" t="s">
        <v>339</v>
      </c>
      <c r="S78" t="s">
        <v>1011</v>
      </c>
      <c r="T78" t="s">
        <v>446</v>
      </c>
      <c r="U78" t="s">
        <v>338</v>
      </c>
      <c r="V78" t="s">
        <v>1134</v>
      </c>
      <c r="W78" t="s">
        <v>455</v>
      </c>
      <c r="X78" t="s">
        <v>954</v>
      </c>
      <c r="Y78" t="s">
        <v>997</v>
      </c>
      <c r="Z78" t="s">
        <v>324</v>
      </c>
      <c r="AA78" t="s">
        <v>1029</v>
      </c>
      <c r="AB78" t="s">
        <v>140</v>
      </c>
      <c r="AC78" t="s">
        <v>186</v>
      </c>
      <c r="AD78" t="s">
        <v>1189</v>
      </c>
      <c r="AE78" t="s">
        <v>1062</v>
      </c>
      <c r="AF78" t="s">
        <v>226</v>
      </c>
      <c r="AG78" t="s">
        <v>144</v>
      </c>
      <c r="AH78" t="s">
        <v>270</v>
      </c>
      <c r="AI78" t="s">
        <v>914</v>
      </c>
      <c r="AJ78" t="s">
        <v>1063</v>
      </c>
      <c r="AK78" t="s">
        <v>148</v>
      </c>
      <c r="AL78" t="s">
        <v>1104</v>
      </c>
      <c r="AM78" t="s">
        <v>1077</v>
      </c>
      <c r="AN78" t="s">
        <v>172</v>
      </c>
      <c r="AO78" t="s">
        <v>141</v>
      </c>
      <c r="AP78" t="s">
        <v>271</v>
      </c>
      <c r="AQ78" t="s">
        <v>1078</v>
      </c>
      <c r="AR78" t="s">
        <v>766</v>
      </c>
      <c r="AS78" t="s">
        <v>759</v>
      </c>
      <c r="AT78" t="s">
        <v>1079</v>
      </c>
      <c r="AU78" t="s">
        <v>1080</v>
      </c>
      <c r="AV78" t="s">
        <v>230</v>
      </c>
      <c r="AW78" t="s">
        <v>186</v>
      </c>
      <c r="AX78" t="s">
        <v>1081</v>
      </c>
      <c r="AY78" t="s">
        <v>917</v>
      </c>
      <c r="AZ78" t="s">
        <v>231</v>
      </c>
      <c r="BA78" t="s">
        <v>1082</v>
      </c>
      <c r="BB78" t="s">
        <v>1117</v>
      </c>
      <c r="BC78" t="s">
        <v>1037</v>
      </c>
      <c r="BD78" t="s">
        <v>1038</v>
      </c>
      <c r="BE78" t="s">
        <v>995</v>
      </c>
      <c r="BF78" t="s">
        <v>145</v>
      </c>
      <c r="BG78" t="s">
        <v>2369</v>
      </c>
      <c r="BH78" t="s">
        <v>997</v>
      </c>
      <c r="BI78" t="s">
        <v>756</v>
      </c>
      <c r="BJ78" t="s">
        <v>757</v>
      </c>
      <c r="BK78" t="s">
        <v>233</v>
      </c>
      <c r="BL78" t="s">
        <v>2342</v>
      </c>
      <c r="BM78" t="s">
        <v>2339</v>
      </c>
      <c r="BN78" t="s">
        <v>234</v>
      </c>
      <c r="BO78" t="s">
        <v>478</v>
      </c>
      <c r="BP78" t="s">
        <v>387</v>
      </c>
      <c r="BQ78" t="s">
        <v>272</v>
      </c>
      <c r="BR78" t="s">
        <v>267</v>
      </c>
      <c r="BS78" t="s">
        <v>173</v>
      </c>
      <c r="BT78" t="s">
        <v>772</v>
      </c>
      <c r="BU78" t="s">
        <v>928</v>
      </c>
      <c r="BV78" t="s">
        <v>950</v>
      </c>
      <c r="BW78" t="s">
        <v>1105</v>
      </c>
      <c r="BX78" t="s">
        <v>1195</v>
      </c>
      <c r="BY78" t="s">
        <v>178</v>
      </c>
      <c r="BZ78" t="s">
        <v>239</v>
      </c>
      <c r="CA78" t="s">
        <v>241</v>
      </c>
      <c r="CB78" t="s">
        <v>805</v>
      </c>
      <c r="CC78" t="s">
        <v>806</v>
      </c>
    </row>
    <row r="79" spans="1:94">
      <c r="A79" s="40">
        <v>73</v>
      </c>
      <c r="B79" s="40" t="s">
        <v>479</v>
      </c>
      <c r="C79" s="2" t="s">
        <v>480</v>
      </c>
      <c r="D79" s="2" t="s">
        <v>27</v>
      </c>
      <c r="E79" s="2" t="s">
        <v>11</v>
      </c>
      <c r="F79" s="2">
        <v>80</v>
      </c>
      <c r="G79" s="2">
        <v>70</v>
      </c>
      <c r="H79" s="2">
        <v>65</v>
      </c>
      <c r="I79" s="2">
        <v>80</v>
      </c>
      <c r="J79" s="2">
        <v>120</v>
      </c>
      <c r="K79" s="2">
        <v>100</v>
      </c>
      <c r="L79" s="2">
        <v>515</v>
      </c>
      <c r="M79" s="2" t="s">
        <v>1137</v>
      </c>
      <c r="N79" s="2" t="s">
        <v>1061</v>
      </c>
      <c r="O79" t="s">
        <v>296</v>
      </c>
      <c r="P79" t="s">
        <v>290</v>
      </c>
      <c r="Q79" t="s">
        <v>477</v>
      </c>
      <c r="R79" t="s">
        <v>290</v>
      </c>
      <c r="S79" t="s">
        <v>477</v>
      </c>
      <c r="T79" t="s">
        <v>339</v>
      </c>
      <c r="U79" t="s">
        <v>1011</v>
      </c>
      <c r="V79" t="s">
        <v>446</v>
      </c>
      <c r="W79" t="s">
        <v>338</v>
      </c>
      <c r="X79" t="s">
        <v>1134</v>
      </c>
      <c r="Y79" t="s">
        <v>455</v>
      </c>
      <c r="Z79" t="s">
        <v>954</v>
      </c>
      <c r="AA79" t="s">
        <v>997</v>
      </c>
      <c r="AB79" t="s">
        <v>324</v>
      </c>
      <c r="AC79" t="s">
        <v>1029</v>
      </c>
      <c r="AD79" t="s">
        <v>140</v>
      </c>
      <c r="AE79" t="s">
        <v>186</v>
      </c>
      <c r="AF79" t="s">
        <v>1189</v>
      </c>
      <c r="AG79" t="s">
        <v>1062</v>
      </c>
      <c r="AH79" t="s">
        <v>226</v>
      </c>
      <c r="AI79" t="s">
        <v>144</v>
      </c>
      <c r="AJ79" t="s">
        <v>270</v>
      </c>
      <c r="AK79" t="s">
        <v>914</v>
      </c>
      <c r="AL79" t="s">
        <v>1063</v>
      </c>
      <c r="AM79" t="s">
        <v>148</v>
      </c>
      <c r="AN79" t="s">
        <v>1104</v>
      </c>
      <c r="AO79" t="s">
        <v>1077</v>
      </c>
      <c r="AP79" t="s">
        <v>172</v>
      </c>
      <c r="AQ79" t="s">
        <v>141</v>
      </c>
      <c r="AR79" t="s">
        <v>271</v>
      </c>
      <c r="AS79" t="s">
        <v>247</v>
      </c>
      <c r="AT79" t="s">
        <v>1078</v>
      </c>
      <c r="AU79" t="s">
        <v>766</v>
      </c>
      <c r="AV79" t="s">
        <v>759</v>
      </c>
      <c r="AW79" t="s">
        <v>1079</v>
      </c>
      <c r="AX79" t="s">
        <v>1080</v>
      </c>
      <c r="AY79" t="s">
        <v>230</v>
      </c>
      <c r="AZ79" t="s">
        <v>186</v>
      </c>
      <c r="BA79" t="s">
        <v>1081</v>
      </c>
      <c r="BB79" t="s">
        <v>917</v>
      </c>
      <c r="BC79" t="s">
        <v>231</v>
      </c>
      <c r="BD79" t="s">
        <v>1082</v>
      </c>
      <c r="BE79" t="s">
        <v>1117</v>
      </c>
      <c r="BF79" t="s">
        <v>1037</v>
      </c>
      <c r="BG79" t="s">
        <v>1038</v>
      </c>
      <c r="BH79" t="s">
        <v>995</v>
      </c>
      <c r="BI79" t="s">
        <v>976</v>
      </c>
      <c r="BJ79" t="s">
        <v>145</v>
      </c>
      <c r="BK79" t="s">
        <v>2369</v>
      </c>
      <c r="BL79" t="s">
        <v>997</v>
      </c>
      <c r="BM79" t="s">
        <v>756</v>
      </c>
      <c r="BN79" t="s">
        <v>757</v>
      </c>
      <c r="BO79" t="s">
        <v>233</v>
      </c>
      <c r="BP79" t="s">
        <v>2342</v>
      </c>
      <c r="BQ79" t="s">
        <v>2339</v>
      </c>
      <c r="BR79" t="s">
        <v>234</v>
      </c>
      <c r="BS79" t="s">
        <v>478</v>
      </c>
      <c r="BT79" t="s">
        <v>387</v>
      </c>
      <c r="BU79" t="s">
        <v>272</v>
      </c>
      <c r="BV79" t="s">
        <v>267</v>
      </c>
      <c r="BW79" t="s">
        <v>173</v>
      </c>
      <c r="BX79" t="s">
        <v>772</v>
      </c>
      <c r="BY79" t="s">
        <v>928</v>
      </c>
      <c r="BZ79" t="s">
        <v>950</v>
      </c>
      <c r="CA79" t="s">
        <v>1105</v>
      </c>
      <c r="CB79" t="s">
        <v>1195</v>
      </c>
      <c r="CC79" t="s">
        <v>178</v>
      </c>
      <c r="CD79" t="s">
        <v>239</v>
      </c>
      <c r="CE79" t="s">
        <v>241</v>
      </c>
      <c r="CF79" t="s">
        <v>805</v>
      </c>
      <c r="CG79" t="s">
        <v>806</v>
      </c>
    </row>
    <row r="80" spans="1:94">
      <c r="A80" s="40">
        <v>74</v>
      </c>
      <c r="B80" s="40" t="s">
        <v>481</v>
      </c>
      <c r="C80" s="2" t="s">
        <v>482</v>
      </c>
      <c r="D80" s="2" t="s">
        <v>25</v>
      </c>
      <c r="E80" s="2" t="s">
        <v>22</v>
      </c>
      <c r="F80" s="2">
        <v>40</v>
      </c>
      <c r="G80" s="2">
        <v>80</v>
      </c>
      <c r="H80" s="2">
        <v>100</v>
      </c>
      <c r="I80" s="2">
        <v>30</v>
      </c>
      <c r="J80" s="2">
        <v>30</v>
      </c>
      <c r="K80" s="2">
        <v>20</v>
      </c>
      <c r="L80" s="2">
        <v>300</v>
      </c>
      <c r="M80" s="2" t="s">
        <v>1074</v>
      </c>
      <c r="N80" s="2" t="s">
        <v>1061</v>
      </c>
      <c r="O80" t="s">
        <v>219</v>
      </c>
      <c r="P80" t="s">
        <v>353</v>
      </c>
      <c r="Q80" t="s">
        <v>933</v>
      </c>
      <c r="R80" t="s">
        <v>1003</v>
      </c>
      <c r="S80" t="s">
        <v>483</v>
      </c>
      <c r="T80" t="s">
        <v>789</v>
      </c>
      <c r="U80" t="s">
        <v>768</v>
      </c>
      <c r="V80" t="s">
        <v>1196</v>
      </c>
      <c r="W80" t="s">
        <v>1109</v>
      </c>
      <c r="X80" t="s">
        <v>484</v>
      </c>
      <c r="Y80" t="s">
        <v>1021</v>
      </c>
      <c r="Z80" t="s">
        <v>1007</v>
      </c>
      <c r="AA80" t="s">
        <v>136</v>
      </c>
      <c r="AB80" t="s">
        <v>485</v>
      </c>
      <c r="AC80" t="s">
        <v>225</v>
      </c>
      <c r="AD80" t="s">
        <v>183</v>
      </c>
      <c r="AE80" t="s">
        <v>1062</v>
      </c>
      <c r="AF80" t="s">
        <v>227</v>
      </c>
      <c r="AG80" t="s">
        <v>1063</v>
      </c>
      <c r="AH80" t="s">
        <v>148</v>
      </c>
      <c r="AI80" t="s">
        <v>172</v>
      </c>
      <c r="AJ80" t="s">
        <v>752</v>
      </c>
      <c r="AK80" t="s">
        <v>1078</v>
      </c>
      <c r="AL80" t="s">
        <v>1079</v>
      </c>
      <c r="AM80" t="s">
        <v>1109</v>
      </c>
      <c r="AN80" t="s">
        <v>136</v>
      </c>
      <c r="AO80" t="s">
        <v>1080</v>
      </c>
      <c r="AP80" t="s">
        <v>256</v>
      </c>
      <c r="AQ80" t="s">
        <v>1094</v>
      </c>
      <c r="AR80" t="s">
        <v>230</v>
      </c>
      <c r="AS80" t="s">
        <v>254</v>
      </c>
      <c r="AT80" t="s">
        <v>765</v>
      </c>
      <c r="AU80" t="s">
        <v>257</v>
      </c>
      <c r="AV80" t="s">
        <v>1095</v>
      </c>
      <c r="AW80" t="s">
        <v>917</v>
      </c>
      <c r="AX80" t="s">
        <v>231</v>
      </c>
      <c r="AY80" t="s">
        <v>1082</v>
      </c>
      <c r="AZ80" t="s">
        <v>1037</v>
      </c>
      <c r="BA80" t="s">
        <v>974</v>
      </c>
      <c r="BB80" t="s">
        <v>1031</v>
      </c>
      <c r="BC80" t="s">
        <v>485</v>
      </c>
      <c r="BD80" t="s">
        <v>1003</v>
      </c>
      <c r="BE80" t="s">
        <v>183</v>
      </c>
      <c r="BF80" t="s">
        <v>980</v>
      </c>
      <c r="BG80" t="s">
        <v>1021</v>
      </c>
      <c r="BH80" t="s">
        <v>143</v>
      </c>
      <c r="BI80" t="s">
        <v>756</v>
      </c>
      <c r="BJ80" t="s">
        <v>757</v>
      </c>
      <c r="BK80" t="s">
        <v>233</v>
      </c>
      <c r="BL80" t="s">
        <v>760</v>
      </c>
      <c r="BM80" t="s">
        <v>1087</v>
      </c>
      <c r="BN80" t="s">
        <v>2398</v>
      </c>
      <c r="BO80" t="s">
        <v>2339</v>
      </c>
      <c r="BP80" t="s">
        <v>234</v>
      </c>
      <c r="BQ80" t="s">
        <v>486</v>
      </c>
      <c r="BR80" t="s">
        <v>751</v>
      </c>
      <c r="BS80" t="s">
        <v>770</v>
      </c>
      <c r="BT80" t="s">
        <v>754</v>
      </c>
      <c r="BU80" t="s">
        <v>920</v>
      </c>
      <c r="BV80" t="s">
        <v>911</v>
      </c>
      <c r="BW80" t="s">
        <v>981</v>
      </c>
      <c r="BX80" t="s">
        <v>1002</v>
      </c>
      <c r="BY80" t="s">
        <v>1197</v>
      </c>
      <c r="BZ80" t="s">
        <v>239</v>
      </c>
      <c r="CA80" t="s">
        <v>241</v>
      </c>
      <c r="CB80" t="s">
        <v>805</v>
      </c>
      <c r="CC80" t="s">
        <v>806</v>
      </c>
    </row>
    <row r="81" spans="1:99">
      <c r="A81" s="40">
        <v>75</v>
      </c>
      <c r="B81" s="40" t="s">
        <v>487</v>
      </c>
      <c r="C81" s="2" t="s">
        <v>488</v>
      </c>
      <c r="D81" s="2" t="s">
        <v>25</v>
      </c>
      <c r="E81" s="2" t="s">
        <v>22</v>
      </c>
      <c r="F81" s="2">
        <v>55</v>
      </c>
      <c r="G81" s="2">
        <v>95</v>
      </c>
      <c r="H81" s="2">
        <v>115</v>
      </c>
      <c r="I81" s="2">
        <v>45</v>
      </c>
      <c r="J81" s="2">
        <v>45</v>
      </c>
      <c r="K81" s="2">
        <v>35</v>
      </c>
      <c r="L81" s="2">
        <v>390</v>
      </c>
      <c r="M81" s="2" t="s">
        <v>1158</v>
      </c>
      <c r="N81" s="2" t="s">
        <v>1061</v>
      </c>
      <c r="O81" t="s">
        <v>219</v>
      </c>
      <c r="P81" t="s">
        <v>353</v>
      </c>
      <c r="Q81" t="s">
        <v>933</v>
      </c>
      <c r="R81" t="s">
        <v>1003</v>
      </c>
      <c r="S81" t="s">
        <v>933</v>
      </c>
      <c r="T81" t="s">
        <v>1003</v>
      </c>
      <c r="U81" t="s">
        <v>483</v>
      </c>
      <c r="V81" t="s">
        <v>789</v>
      </c>
      <c r="W81" t="s">
        <v>768</v>
      </c>
      <c r="X81" t="s">
        <v>1196</v>
      </c>
      <c r="Y81" t="s">
        <v>1109</v>
      </c>
      <c r="Z81" t="s">
        <v>484</v>
      </c>
      <c r="AA81" t="s">
        <v>1021</v>
      </c>
      <c r="AB81" t="s">
        <v>1007</v>
      </c>
      <c r="AC81" t="s">
        <v>136</v>
      </c>
      <c r="AD81" t="s">
        <v>485</v>
      </c>
      <c r="AE81" t="s">
        <v>225</v>
      </c>
      <c r="AF81" t="s">
        <v>183</v>
      </c>
      <c r="AG81" t="s">
        <v>1062</v>
      </c>
      <c r="AH81" t="s">
        <v>227</v>
      </c>
      <c r="AI81" t="s">
        <v>1063</v>
      </c>
      <c r="AJ81" t="s">
        <v>148</v>
      </c>
      <c r="AK81" t="s">
        <v>172</v>
      </c>
      <c r="AL81" t="s">
        <v>752</v>
      </c>
      <c r="AM81" t="s">
        <v>1078</v>
      </c>
      <c r="AN81" t="s">
        <v>1079</v>
      </c>
      <c r="AO81" t="s">
        <v>1109</v>
      </c>
      <c r="AP81" t="s">
        <v>136</v>
      </c>
      <c r="AQ81" t="s">
        <v>1080</v>
      </c>
      <c r="AR81" t="s">
        <v>256</v>
      </c>
      <c r="AS81" t="s">
        <v>1094</v>
      </c>
      <c r="AT81" t="s">
        <v>230</v>
      </c>
      <c r="AU81" t="s">
        <v>254</v>
      </c>
      <c r="AV81" t="s">
        <v>765</v>
      </c>
      <c r="AW81" t="s">
        <v>257</v>
      </c>
      <c r="AX81" t="s">
        <v>1095</v>
      </c>
      <c r="AY81" t="s">
        <v>917</v>
      </c>
      <c r="AZ81" t="s">
        <v>231</v>
      </c>
      <c r="BA81" t="s">
        <v>1082</v>
      </c>
      <c r="BB81" t="s">
        <v>1037</v>
      </c>
      <c r="BC81" t="s">
        <v>974</v>
      </c>
      <c r="BD81" t="s">
        <v>1031</v>
      </c>
      <c r="BE81" t="s">
        <v>485</v>
      </c>
      <c r="BF81" t="s">
        <v>1003</v>
      </c>
      <c r="BG81" t="s">
        <v>183</v>
      </c>
      <c r="BH81" t="s">
        <v>980</v>
      </c>
      <c r="BI81" t="s">
        <v>1021</v>
      </c>
      <c r="BJ81" t="s">
        <v>143</v>
      </c>
      <c r="BK81" t="s">
        <v>756</v>
      </c>
      <c r="BL81" t="s">
        <v>757</v>
      </c>
      <c r="BM81" t="s">
        <v>233</v>
      </c>
      <c r="BN81" t="s">
        <v>760</v>
      </c>
      <c r="BO81" t="s">
        <v>1087</v>
      </c>
      <c r="BP81" t="s">
        <v>2398</v>
      </c>
      <c r="BQ81" t="s">
        <v>2339</v>
      </c>
      <c r="BR81" t="s">
        <v>234</v>
      </c>
      <c r="BS81" t="s">
        <v>486</v>
      </c>
      <c r="BT81" t="s">
        <v>751</v>
      </c>
      <c r="BU81" t="s">
        <v>770</v>
      </c>
      <c r="BV81" t="s">
        <v>754</v>
      </c>
      <c r="BW81" t="s">
        <v>920</v>
      </c>
      <c r="BX81" t="s">
        <v>911</v>
      </c>
      <c r="BY81" t="s">
        <v>981</v>
      </c>
      <c r="BZ81" t="s">
        <v>1002</v>
      </c>
      <c r="CA81" t="s">
        <v>1197</v>
      </c>
      <c r="CB81" t="s">
        <v>239</v>
      </c>
      <c r="CC81" t="s">
        <v>241</v>
      </c>
      <c r="CD81" t="s">
        <v>805</v>
      </c>
      <c r="CE81" t="s">
        <v>806</v>
      </c>
    </row>
    <row r="82" spans="1:99">
      <c r="A82" s="40">
        <v>76</v>
      </c>
      <c r="B82" s="40" t="s">
        <v>489</v>
      </c>
      <c r="C82" s="2" t="s">
        <v>490</v>
      </c>
      <c r="D82" s="2" t="s">
        <v>25</v>
      </c>
      <c r="E82" s="2" t="s">
        <v>22</v>
      </c>
      <c r="F82" s="2">
        <v>80</v>
      </c>
      <c r="G82" s="2">
        <v>110</v>
      </c>
      <c r="H82" s="2">
        <v>130</v>
      </c>
      <c r="I82" s="2">
        <v>55</v>
      </c>
      <c r="J82" s="2">
        <v>65</v>
      </c>
      <c r="K82" s="2">
        <v>45</v>
      </c>
      <c r="L82" s="2">
        <v>485</v>
      </c>
      <c r="M82" s="2" t="s">
        <v>1173</v>
      </c>
      <c r="N82" s="2" t="s">
        <v>1061</v>
      </c>
      <c r="O82" t="s">
        <v>219</v>
      </c>
      <c r="P82" t="s">
        <v>353</v>
      </c>
      <c r="Q82" t="s">
        <v>933</v>
      </c>
      <c r="R82" t="s">
        <v>1003</v>
      </c>
      <c r="S82" t="s">
        <v>933</v>
      </c>
      <c r="T82" t="s">
        <v>1003</v>
      </c>
      <c r="U82" t="s">
        <v>483</v>
      </c>
      <c r="V82" t="s">
        <v>789</v>
      </c>
      <c r="W82" t="s">
        <v>1198</v>
      </c>
      <c r="X82" t="s">
        <v>1196</v>
      </c>
      <c r="Y82" t="s">
        <v>1109</v>
      </c>
      <c r="Z82" t="s">
        <v>484</v>
      </c>
      <c r="AA82" t="s">
        <v>1021</v>
      </c>
      <c r="AB82" t="s">
        <v>1007</v>
      </c>
      <c r="AC82" t="s">
        <v>136</v>
      </c>
      <c r="AD82" t="s">
        <v>485</v>
      </c>
      <c r="AE82" t="s">
        <v>225</v>
      </c>
      <c r="AF82" t="s">
        <v>183</v>
      </c>
      <c r="AG82" t="s">
        <v>184</v>
      </c>
      <c r="AH82" t="s">
        <v>1062</v>
      </c>
      <c r="AI82" t="s">
        <v>227</v>
      </c>
      <c r="AJ82" t="s">
        <v>1063</v>
      </c>
      <c r="AK82" t="s">
        <v>246</v>
      </c>
      <c r="AL82" t="s">
        <v>148</v>
      </c>
      <c r="AM82" t="s">
        <v>172</v>
      </c>
      <c r="AN82" t="s">
        <v>752</v>
      </c>
      <c r="AO82" t="s">
        <v>247</v>
      </c>
      <c r="AP82" t="s">
        <v>1078</v>
      </c>
      <c r="AQ82" t="s">
        <v>1079</v>
      </c>
      <c r="AR82" t="s">
        <v>1109</v>
      </c>
      <c r="AS82" t="s">
        <v>136</v>
      </c>
      <c r="AT82" t="s">
        <v>1080</v>
      </c>
      <c r="AU82" t="s">
        <v>256</v>
      </c>
      <c r="AV82" t="s">
        <v>1094</v>
      </c>
      <c r="AW82" t="s">
        <v>230</v>
      </c>
      <c r="AX82" t="s">
        <v>254</v>
      </c>
      <c r="AY82" t="s">
        <v>765</v>
      </c>
      <c r="AZ82" t="s">
        <v>257</v>
      </c>
      <c r="BA82" t="s">
        <v>1095</v>
      </c>
      <c r="BB82" t="s">
        <v>917</v>
      </c>
      <c r="BC82" t="s">
        <v>231</v>
      </c>
      <c r="BD82" t="s">
        <v>1082</v>
      </c>
      <c r="BE82" t="s">
        <v>1037</v>
      </c>
      <c r="BF82" t="s">
        <v>1102</v>
      </c>
      <c r="BG82" t="s">
        <v>974</v>
      </c>
      <c r="BH82" t="s">
        <v>1031</v>
      </c>
      <c r="BI82" t="s">
        <v>485</v>
      </c>
      <c r="BJ82" t="s">
        <v>976</v>
      </c>
      <c r="BK82" t="s">
        <v>1003</v>
      </c>
      <c r="BL82" t="s">
        <v>183</v>
      </c>
      <c r="BM82" t="s">
        <v>980</v>
      </c>
      <c r="BN82" t="s">
        <v>1021</v>
      </c>
      <c r="BO82" t="s">
        <v>143</v>
      </c>
      <c r="BP82" t="s">
        <v>756</v>
      </c>
      <c r="BQ82" t="s">
        <v>757</v>
      </c>
      <c r="BR82" t="s">
        <v>233</v>
      </c>
      <c r="BS82" t="s">
        <v>760</v>
      </c>
      <c r="BT82" t="s">
        <v>1087</v>
      </c>
      <c r="BU82" t="s">
        <v>2398</v>
      </c>
      <c r="BV82" t="s">
        <v>2339</v>
      </c>
      <c r="BW82" t="s">
        <v>234</v>
      </c>
      <c r="BX82" t="s">
        <v>486</v>
      </c>
      <c r="BY82" t="s">
        <v>751</v>
      </c>
      <c r="BZ82" t="s">
        <v>770</v>
      </c>
      <c r="CA82" t="s">
        <v>754</v>
      </c>
      <c r="CB82" t="s">
        <v>920</v>
      </c>
      <c r="CC82" t="s">
        <v>911</v>
      </c>
      <c r="CD82" t="s">
        <v>981</v>
      </c>
      <c r="CE82" t="s">
        <v>1002</v>
      </c>
      <c r="CF82" t="s">
        <v>1197</v>
      </c>
      <c r="CG82" t="s">
        <v>239</v>
      </c>
      <c r="CH82" t="s">
        <v>241</v>
      </c>
      <c r="CI82" t="s">
        <v>768</v>
      </c>
      <c r="CJ82" t="s">
        <v>805</v>
      </c>
      <c r="CK82" t="s">
        <v>806</v>
      </c>
    </row>
    <row r="83" spans="1:99">
      <c r="A83" s="40">
        <v>77</v>
      </c>
      <c r="B83" s="40" t="s">
        <v>491</v>
      </c>
      <c r="C83" s="2" t="s">
        <v>492</v>
      </c>
      <c r="D83" s="2" t="s">
        <v>19</v>
      </c>
      <c r="E83" s="2"/>
      <c r="F83" s="2">
        <v>50</v>
      </c>
      <c r="G83" s="2">
        <v>85</v>
      </c>
      <c r="H83" s="2">
        <v>55</v>
      </c>
      <c r="I83" s="2">
        <v>65</v>
      </c>
      <c r="J83" s="2">
        <v>65</v>
      </c>
      <c r="K83" s="2">
        <v>90</v>
      </c>
      <c r="L83" s="2">
        <v>410</v>
      </c>
      <c r="M83" s="2" t="s">
        <v>1131</v>
      </c>
      <c r="N83" s="2" t="s">
        <v>1061</v>
      </c>
      <c r="O83" t="s">
        <v>219</v>
      </c>
      <c r="P83" t="s">
        <v>220</v>
      </c>
      <c r="Q83" t="s">
        <v>266</v>
      </c>
      <c r="R83" t="s">
        <v>250</v>
      </c>
      <c r="S83" t="s">
        <v>1127</v>
      </c>
      <c r="T83" t="s">
        <v>493</v>
      </c>
      <c r="U83" t="s">
        <v>1097</v>
      </c>
      <c r="V83" t="s">
        <v>255</v>
      </c>
      <c r="W83" t="s">
        <v>223</v>
      </c>
      <c r="X83" t="s">
        <v>185</v>
      </c>
      <c r="Y83" t="s">
        <v>306</v>
      </c>
      <c r="Z83" t="s">
        <v>257</v>
      </c>
      <c r="AA83" t="s">
        <v>175</v>
      </c>
      <c r="AB83" t="s">
        <v>972</v>
      </c>
      <c r="AC83" t="s">
        <v>1062</v>
      </c>
      <c r="AD83" t="s">
        <v>227</v>
      </c>
      <c r="AE83" t="s">
        <v>1063</v>
      </c>
      <c r="AF83" t="s">
        <v>148</v>
      </c>
      <c r="AG83" t="s">
        <v>172</v>
      </c>
      <c r="AH83" t="s">
        <v>752</v>
      </c>
      <c r="AI83" t="s">
        <v>1078</v>
      </c>
      <c r="AJ83" t="s">
        <v>1079</v>
      </c>
      <c r="AK83" t="s">
        <v>229</v>
      </c>
      <c r="AL83" t="s">
        <v>1080</v>
      </c>
      <c r="AM83" t="s">
        <v>230</v>
      </c>
      <c r="AN83" t="s">
        <v>254</v>
      </c>
      <c r="AO83" t="s">
        <v>257</v>
      </c>
      <c r="AP83" t="s">
        <v>917</v>
      </c>
      <c r="AQ83" t="s">
        <v>1097</v>
      </c>
      <c r="AR83" t="s">
        <v>231</v>
      </c>
      <c r="AS83" t="s">
        <v>1082</v>
      </c>
      <c r="AT83" t="s">
        <v>1037</v>
      </c>
      <c r="AU83" t="s">
        <v>1083</v>
      </c>
      <c r="AV83" t="s">
        <v>1098</v>
      </c>
      <c r="AW83" t="s">
        <v>1031</v>
      </c>
      <c r="AX83" t="s">
        <v>956</v>
      </c>
      <c r="AY83" t="s">
        <v>756</v>
      </c>
      <c r="AZ83" t="s">
        <v>757</v>
      </c>
      <c r="BA83" t="s">
        <v>233</v>
      </c>
      <c r="BB83" t="s">
        <v>1047</v>
      </c>
      <c r="BC83" t="s">
        <v>2339</v>
      </c>
      <c r="BD83" t="s">
        <v>234</v>
      </c>
      <c r="BE83" t="s">
        <v>359</v>
      </c>
      <c r="BF83" t="s">
        <v>368</v>
      </c>
      <c r="BG83" t="s">
        <v>373</v>
      </c>
      <c r="BH83" t="s">
        <v>225</v>
      </c>
      <c r="BI83" t="s">
        <v>432</v>
      </c>
      <c r="BJ83" t="s">
        <v>388</v>
      </c>
      <c r="BK83" t="s">
        <v>1127</v>
      </c>
      <c r="BL83" t="s">
        <v>781</v>
      </c>
      <c r="BM83" t="s">
        <v>1164</v>
      </c>
      <c r="BN83" t="s">
        <v>962</v>
      </c>
      <c r="BO83" t="s">
        <v>1181</v>
      </c>
      <c r="BP83" t="s">
        <v>239</v>
      </c>
      <c r="BQ83" t="s">
        <v>241</v>
      </c>
      <c r="BR83" t="s">
        <v>805</v>
      </c>
      <c r="BS83" t="s">
        <v>806</v>
      </c>
    </row>
    <row r="84" spans="1:99">
      <c r="A84" s="40">
        <v>78</v>
      </c>
      <c r="B84" s="40" t="s">
        <v>494</v>
      </c>
      <c r="C84" s="2" t="s">
        <v>495</v>
      </c>
      <c r="D84" s="2" t="s">
        <v>19</v>
      </c>
      <c r="E84" s="2"/>
      <c r="F84" s="2">
        <v>65</v>
      </c>
      <c r="G84" s="2">
        <v>100</v>
      </c>
      <c r="H84" s="2">
        <v>70</v>
      </c>
      <c r="I84" s="2">
        <v>80</v>
      </c>
      <c r="J84" s="2">
        <v>80</v>
      </c>
      <c r="K84" s="2">
        <v>105</v>
      </c>
      <c r="L84" s="2">
        <v>500</v>
      </c>
      <c r="M84" s="2" t="s">
        <v>1091</v>
      </c>
      <c r="N84" s="2" t="s">
        <v>1061</v>
      </c>
      <c r="O84" t="s">
        <v>266</v>
      </c>
      <c r="P84" t="s">
        <v>220</v>
      </c>
      <c r="Q84" t="s">
        <v>250</v>
      </c>
      <c r="R84" t="s">
        <v>310</v>
      </c>
      <c r="S84" t="s">
        <v>797</v>
      </c>
      <c r="T84" t="s">
        <v>997</v>
      </c>
      <c r="U84" t="s">
        <v>266</v>
      </c>
      <c r="V84" t="s">
        <v>250</v>
      </c>
      <c r="W84" t="s">
        <v>1127</v>
      </c>
      <c r="X84" t="s">
        <v>493</v>
      </c>
      <c r="Y84" t="s">
        <v>1097</v>
      </c>
      <c r="Z84" t="s">
        <v>255</v>
      </c>
      <c r="AA84" t="s">
        <v>223</v>
      </c>
      <c r="AB84" t="s">
        <v>185</v>
      </c>
      <c r="AC84" t="s">
        <v>306</v>
      </c>
      <c r="AD84" t="s">
        <v>301</v>
      </c>
      <c r="AE84" t="s">
        <v>257</v>
      </c>
      <c r="AF84" t="s">
        <v>175</v>
      </c>
      <c r="AG84" t="s">
        <v>972</v>
      </c>
      <c r="AH84" t="s">
        <v>1062</v>
      </c>
      <c r="AI84" t="s">
        <v>227</v>
      </c>
      <c r="AJ84" t="s">
        <v>1063</v>
      </c>
      <c r="AK84" t="s">
        <v>148</v>
      </c>
      <c r="AL84" t="s">
        <v>172</v>
      </c>
      <c r="AM84" t="s">
        <v>752</v>
      </c>
      <c r="AN84" t="s">
        <v>247</v>
      </c>
      <c r="AO84" t="s">
        <v>1078</v>
      </c>
      <c r="AP84" t="s">
        <v>1079</v>
      </c>
      <c r="AQ84" t="s">
        <v>229</v>
      </c>
      <c r="AR84" t="s">
        <v>1080</v>
      </c>
      <c r="AS84" t="s">
        <v>230</v>
      </c>
      <c r="AT84" t="s">
        <v>254</v>
      </c>
      <c r="AU84" t="s">
        <v>257</v>
      </c>
      <c r="AV84" t="s">
        <v>917</v>
      </c>
      <c r="AW84" t="s">
        <v>1097</v>
      </c>
      <c r="AX84" t="s">
        <v>231</v>
      </c>
      <c r="AY84" t="s">
        <v>1082</v>
      </c>
      <c r="AZ84" t="s">
        <v>1037</v>
      </c>
      <c r="BA84" t="s">
        <v>1083</v>
      </c>
      <c r="BB84" t="s">
        <v>1098</v>
      </c>
      <c r="BC84" t="s">
        <v>1031</v>
      </c>
      <c r="BD84" t="s">
        <v>956</v>
      </c>
      <c r="BE84" t="s">
        <v>976</v>
      </c>
      <c r="BF84" t="s">
        <v>997</v>
      </c>
      <c r="BG84" t="s">
        <v>756</v>
      </c>
      <c r="BH84" t="s">
        <v>757</v>
      </c>
      <c r="BI84" t="s">
        <v>233</v>
      </c>
      <c r="BJ84" t="s">
        <v>1047</v>
      </c>
      <c r="BK84" t="s">
        <v>2339</v>
      </c>
      <c r="BL84" t="s">
        <v>234</v>
      </c>
      <c r="BM84" t="s">
        <v>359</v>
      </c>
      <c r="BN84" t="s">
        <v>368</v>
      </c>
      <c r="BO84" t="s">
        <v>373</v>
      </c>
      <c r="BP84" t="s">
        <v>225</v>
      </c>
      <c r="BQ84" t="s">
        <v>432</v>
      </c>
      <c r="BR84" t="s">
        <v>388</v>
      </c>
      <c r="BS84" t="s">
        <v>1127</v>
      </c>
      <c r="BT84" t="s">
        <v>781</v>
      </c>
      <c r="BU84" t="s">
        <v>1164</v>
      </c>
      <c r="BV84" t="s">
        <v>962</v>
      </c>
      <c r="BW84" t="s">
        <v>1181</v>
      </c>
      <c r="BX84" t="s">
        <v>239</v>
      </c>
      <c r="BY84" t="s">
        <v>241</v>
      </c>
      <c r="BZ84" t="s">
        <v>219</v>
      </c>
      <c r="CA84" t="s">
        <v>805</v>
      </c>
      <c r="CB84" t="s">
        <v>806</v>
      </c>
    </row>
    <row r="85" spans="1:99">
      <c r="A85" s="40">
        <v>79</v>
      </c>
      <c r="B85" s="40" t="s">
        <v>496</v>
      </c>
      <c r="C85" s="2" t="s">
        <v>497</v>
      </c>
      <c r="D85" s="2" t="s">
        <v>27</v>
      </c>
      <c r="E85" s="2" t="s">
        <v>9</v>
      </c>
      <c r="F85" s="2">
        <v>90</v>
      </c>
      <c r="G85" s="2">
        <v>65</v>
      </c>
      <c r="H85" s="2">
        <v>65</v>
      </c>
      <c r="I85" s="2">
        <v>40</v>
      </c>
      <c r="J85" s="2">
        <v>40</v>
      </c>
      <c r="K85" s="2">
        <v>15</v>
      </c>
      <c r="L85" s="2">
        <v>315</v>
      </c>
      <c r="M85" s="2" t="s">
        <v>1168</v>
      </c>
      <c r="N85" s="2" t="s">
        <v>1061</v>
      </c>
      <c r="O85" t="s">
        <v>219</v>
      </c>
      <c r="P85" t="s">
        <v>751</v>
      </c>
      <c r="Q85" t="s">
        <v>958</v>
      </c>
      <c r="R85" t="s">
        <v>220</v>
      </c>
      <c r="S85" t="s">
        <v>269</v>
      </c>
      <c r="T85" t="s">
        <v>287</v>
      </c>
      <c r="U85" t="s">
        <v>340</v>
      </c>
      <c r="V85" t="s">
        <v>420</v>
      </c>
      <c r="W85" t="s">
        <v>954</v>
      </c>
      <c r="X85" t="s">
        <v>1019</v>
      </c>
      <c r="Y85" t="s">
        <v>943</v>
      </c>
      <c r="Z85" t="s">
        <v>235</v>
      </c>
      <c r="AA85" t="s">
        <v>9</v>
      </c>
      <c r="AB85" t="s">
        <v>766</v>
      </c>
      <c r="AC85" t="s">
        <v>785</v>
      </c>
      <c r="AD85" t="s">
        <v>1200</v>
      </c>
      <c r="AE85" t="s">
        <v>1062</v>
      </c>
      <c r="AF85" t="s">
        <v>144</v>
      </c>
      <c r="AG85" t="s">
        <v>227</v>
      </c>
      <c r="AH85" t="s">
        <v>914</v>
      </c>
      <c r="AI85" t="s">
        <v>1063</v>
      </c>
      <c r="AJ85" t="s">
        <v>1151</v>
      </c>
      <c r="AK85" t="s">
        <v>912</v>
      </c>
      <c r="AL85" t="s">
        <v>148</v>
      </c>
      <c r="AM85" t="s">
        <v>1104</v>
      </c>
      <c r="AN85" t="s">
        <v>172</v>
      </c>
      <c r="AO85" t="s">
        <v>752</v>
      </c>
      <c r="AP85" t="s">
        <v>141</v>
      </c>
      <c r="AQ85" t="s">
        <v>271</v>
      </c>
      <c r="AR85" t="s">
        <v>228</v>
      </c>
      <c r="AS85" t="s">
        <v>1078</v>
      </c>
      <c r="AT85" t="s">
        <v>766</v>
      </c>
      <c r="AU85" t="s">
        <v>759</v>
      </c>
      <c r="AV85" t="s">
        <v>1079</v>
      </c>
      <c r="AW85" t="s">
        <v>136</v>
      </c>
      <c r="AX85" t="s">
        <v>1080</v>
      </c>
      <c r="AY85" t="s">
        <v>256</v>
      </c>
      <c r="AZ85" t="s">
        <v>9</v>
      </c>
      <c r="BA85" t="s">
        <v>174</v>
      </c>
      <c r="BB85" t="s">
        <v>230</v>
      </c>
      <c r="BC85" t="s">
        <v>254</v>
      </c>
      <c r="BD85" t="s">
        <v>257</v>
      </c>
      <c r="BE85" t="s">
        <v>917</v>
      </c>
      <c r="BF85" t="s">
        <v>231</v>
      </c>
      <c r="BG85" t="s">
        <v>1082</v>
      </c>
      <c r="BH85" t="s">
        <v>1037</v>
      </c>
      <c r="BI85" t="s">
        <v>1083</v>
      </c>
      <c r="BJ85" t="s">
        <v>1038</v>
      </c>
      <c r="BK85" t="s">
        <v>1031</v>
      </c>
      <c r="BL85" t="s">
        <v>232</v>
      </c>
      <c r="BM85" t="s">
        <v>322</v>
      </c>
      <c r="BN85" t="s">
        <v>785</v>
      </c>
      <c r="BO85" t="s">
        <v>1021</v>
      </c>
      <c r="BP85" t="s">
        <v>293</v>
      </c>
      <c r="BQ85" t="s">
        <v>977</v>
      </c>
      <c r="BR85" t="s">
        <v>756</v>
      </c>
      <c r="BS85" t="s">
        <v>757</v>
      </c>
      <c r="BT85" t="s">
        <v>233</v>
      </c>
      <c r="BU85" t="s">
        <v>1012</v>
      </c>
      <c r="BV85" t="s">
        <v>2339</v>
      </c>
      <c r="BW85" t="s">
        <v>234</v>
      </c>
      <c r="BX85" t="s">
        <v>493</v>
      </c>
      <c r="BY85" t="s">
        <v>753</v>
      </c>
      <c r="BZ85" t="s">
        <v>1099</v>
      </c>
      <c r="CA85" t="s">
        <v>757</v>
      </c>
      <c r="CB85" t="s">
        <v>790</v>
      </c>
      <c r="CC85" t="s">
        <v>933</v>
      </c>
      <c r="CD85" t="s">
        <v>911</v>
      </c>
      <c r="CE85" t="s">
        <v>989</v>
      </c>
      <c r="CF85" t="s">
        <v>1019</v>
      </c>
      <c r="CG85" t="s">
        <v>1048</v>
      </c>
      <c r="CH85" t="s">
        <v>2335</v>
      </c>
      <c r="CI85" t="s">
        <v>239</v>
      </c>
      <c r="CJ85" t="s">
        <v>241</v>
      </c>
      <c r="CK85" t="s">
        <v>805</v>
      </c>
      <c r="CL85" t="s">
        <v>806</v>
      </c>
    </row>
    <row r="86" spans="1:99">
      <c r="A86" s="40">
        <v>80</v>
      </c>
      <c r="B86" s="40" t="s">
        <v>498</v>
      </c>
      <c r="C86" s="2" t="s">
        <v>499</v>
      </c>
      <c r="D86" s="2" t="s">
        <v>27</v>
      </c>
      <c r="E86" s="2" t="s">
        <v>9</v>
      </c>
      <c r="F86" s="2">
        <v>95</v>
      </c>
      <c r="G86" s="2">
        <v>75</v>
      </c>
      <c r="H86" s="2">
        <v>110</v>
      </c>
      <c r="I86" s="2">
        <v>100</v>
      </c>
      <c r="J86" s="2">
        <v>80</v>
      </c>
      <c r="K86" s="2">
        <v>30</v>
      </c>
      <c r="L86" s="2">
        <v>490</v>
      </c>
      <c r="M86" s="2" t="s">
        <v>1100</v>
      </c>
      <c r="N86" s="2" t="s">
        <v>1061</v>
      </c>
      <c r="O86" t="s">
        <v>219</v>
      </c>
      <c r="P86" t="s">
        <v>220</v>
      </c>
      <c r="Q86" t="s">
        <v>751</v>
      </c>
      <c r="R86" t="s">
        <v>958</v>
      </c>
      <c r="S86" t="s">
        <v>220</v>
      </c>
      <c r="T86" t="s">
        <v>269</v>
      </c>
      <c r="U86" t="s">
        <v>287</v>
      </c>
      <c r="V86" t="s">
        <v>340</v>
      </c>
      <c r="W86" t="s">
        <v>420</v>
      </c>
      <c r="X86" t="s">
        <v>954</v>
      </c>
      <c r="Y86" t="s">
        <v>1019</v>
      </c>
      <c r="Z86" t="s">
        <v>943</v>
      </c>
      <c r="AA86" t="s">
        <v>268</v>
      </c>
      <c r="AB86" t="s">
        <v>235</v>
      </c>
      <c r="AC86" t="s">
        <v>9</v>
      </c>
      <c r="AD86" t="s">
        <v>766</v>
      </c>
      <c r="AE86" t="s">
        <v>785</v>
      </c>
      <c r="AF86" t="s">
        <v>1200</v>
      </c>
      <c r="AG86" t="s">
        <v>1062</v>
      </c>
      <c r="AH86" t="s">
        <v>144</v>
      </c>
      <c r="AI86" t="s">
        <v>227</v>
      </c>
      <c r="AJ86" t="s">
        <v>914</v>
      </c>
      <c r="AK86" t="s">
        <v>1063</v>
      </c>
      <c r="AL86" t="s">
        <v>1151</v>
      </c>
      <c r="AM86" t="s">
        <v>912</v>
      </c>
      <c r="AN86" t="s">
        <v>148</v>
      </c>
      <c r="AO86" t="s">
        <v>1104</v>
      </c>
      <c r="AP86" t="s">
        <v>172</v>
      </c>
      <c r="AQ86" t="s">
        <v>752</v>
      </c>
      <c r="AR86" t="s">
        <v>141</v>
      </c>
      <c r="AS86" t="s">
        <v>271</v>
      </c>
      <c r="AT86" t="s">
        <v>247</v>
      </c>
      <c r="AU86" t="s">
        <v>228</v>
      </c>
      <c r="AV86" t="s">
        <v>1078</v>
      </c>
      <c r="AW86" t="s">
        <v>766</v>
      </c>
      <c r="AX86" t="s">
        <v>759</v>
      </c>
      <c r="AY86" t="s">
        <v>1079</v>
      </c>
      <c r="AZ86" t="s">
        <v>136</v>
      </c>
      <c r="BA86" t="s">
        <v>1080</v>
      </c>
      <c r="BB86" t="s">
        <v>256</v>
      </c>
      <c r="BC86" t="s">
        <v>9</v>
      </c>
      <c r="BD86" t="s">
        <v>174</v>
      </c>
      <c r="BE86" t="s">
        <v>1094</v>
      </c>
      <c r="BF86" t="s">
        <v>230</v>
      </c>
      <c r="BG86" t="s">
        <v>254</v>
      </c>
      <c r="BH86" t="s">
        <v>257</v>
      </c>
      <c r="BI86" t="s">
        <v>1096</v>
      </c>
      <c r="BJ86" t="s">
        <v>917</v>
      </c>
      <c r="BK86" t="s">
        <v>231</v>
      </c>
      <c r="BL86" t="s">
        <v>1082</v>
      </c>
      <c r="BM86" t="s">
        <v>1037</v>
      </c>
      <c r="BN86" t="s">
        <v>1083</v>
      </c>
      <c r="BO86" t="s">
        <v>1102</v>
      </c>
      <c r="BP86" t="s">
        <v>1038</v>
      </c>
      <c r="BQ86" t="s">
        <v>974</v>
      </c>
      <c r="BR86" t="s">
        <v>1031</v>
      </c>
      <c r="BS86" t="s">
        <v>976</v>
      </c>
      <c r="BT86" t="s">
        <v>232</v>
      </c>
      <c r="BU86" t="s">
        <v>322</v>
      </c>
      <c r="BV86" t="s">
        <v>785</v>
      </c>
      <c r="BW86" t="s">
        <v>1021</v>
      </c>
      <c r="BX86" t="s">
        <v>293</v>
      </c>
      <c r="BY86" t="s">
        <v>977</v>
      </c>
      <c r="BZ86" t="s">
        <v>756</v>
      </c>
      <c r="CA86" t="s">
        <v>757</v>
      </c>
      <c r="CB86" t="s">
        <v>233</v>
      </c>
      <c r="CC86" t="s">
        <v>1012</v>
      </c>
      <c r="CD86" t="s">
        <v>760</v>
      </c>
      <c r="CE86" t="s">
        <v>2339</v>
      </c>
      <c r="CF86" t="s">
        <v>234</v>
      </c>
      <c r="CG86" t="s">
        <v>493</v>
      </c>
      <c r="CH86" t="s">
        <v>753</v>
      </c>
      <c r="CI86" t="s">
        <v>1099</v>
      </c>
      <c r="CJ86" t="s">
        <v>757</v>
      </c>
      <c r="CK86" t="s">
        <v>790</v>
      </c>
      <c r="CL86" t="s">
        <v>933</v>
      </c>
      <c r="CM86" t="s">
        <v>911</v>
      </c>
      <c r="CN86" t="s">
        <v>989</v>
      </c>
      <c r="CO86" t="s">
        <v>1019</v>
      </c>
      <c r="CP86" t="s">
        <v>1048</v>
      </c>
      <c r="CQ86" t="s">
        <v>2335</v>
      </c>
      <c r="CR86" t="s">
        <v>239</v>
      </c>
      <c r="CS86" t="s">
        <v>241</v>
      </c>
      <c r="CT86" t="s">
        <v>805</v>
      </c>
      <c r="CU86" t="s">
        <v>806</v>
      </c>
    </row>
    <row r="87" spans="1:99">
      <c r="A87" s="40">
        <v>81</v>
      </c>
      <c r="B87" s="40" t="s">
        <v>500</v>
      </c>
      <c r="C87" s="2" t="s">
        <v>501</v>
      </c>
      <c r="D87" s="2" t="s">
        <v>17</v>
      </c>
      <c r="E87" s="2" t="s">
        <v>26</v>
      </c>
      <c r="F87" s="2">
        <v>25</v>
      </c>
      <c r="G87" s="2">
        <v>35</v>
      </c>
      <c r="H87" s="2">
        <v>70</v>
      </c>
      <c r="I87" s="2">
        <v>95</v>
      </c>
      <c r="J87" s="2">
        <v>55</v>
      </c>
      <c r="K87" s="2">
        <v>45</v>
      </c>
      <c r="L87" s="2">
        <v>325</v>
      </c>
      <c r="M87" s="2" t="s">
        <v>1073</v>
      </c>
      <c r="N87" s="2" t="s">
        <v>1061</v>
      </c>
      <c r="O87" t="s">
        <v>219</v>
      </c>
      <c r="P87" t="s">
        <v>290</v>
      </c>
      <c r="Q87" t="s">
        <v>346</v>
      </c>
      <c r="R87" t="s">
        <v>502</v>
      </c>
      <c r="S87" t="s">
        <v>322</v>
      </c>
      <c r="T87" t="s">
        <v>1205</v>
      </c>
      <c r="U87" t="s">
        <v>1203</v>
      </c>
      <c r="V87" t="s">
        <v>1206</v>
      </c>
      <c r="W87" t="s">
        <v>1202</v>
      </c>
      <c r="X87" t="s">
        <v>1023</v>
      </c>
      <c r="Y87" t="s">
        <v>973</v>
      </c>
      <c r="Z87" t="s">
        <v>324</v>
      </c>
      <c r="AA87" t="s">
        <v>1138</v>
      </c>
      <c r="AB87" t="s">
        <v>1204</v>
      </c>
      <c r="AC87" t="s">
        <v>988</v>
      </c>
      <c r="AD87" t="s">
        <v>980</v>
      </c>
      <c r="AE87" t="s">
        <v>1207</v>
      </c>
      <c r="AF87" t="s">
        <v>1062</v>
      </c>
      <c r="AG87" t="s">
        <v>1063</v>
      </c>
      <c r="AH87" t="s">
        <v>148</v>
      </c>
      <c r="AI87" t="s">
        <v>172</v>
      </c>
      <c r="AJ87" t="s">
        <v>752</v>
      </c>
      <c r="AK87" t="s">
        <v>228</v>
      </c>
      <c r="AL87" t="s">
        <v>1078</v>
      </c>
      <c r="AM87" t="s">
        <v>766</v>
      </c>
      <c r="AN87" t="s">
        <v>1079</v>
      </c>
      <c r="AO87" t="s">
        <v>146</v>
      </c>
      <c r="AP87" t="s">
        <v>321</v>
      </c>
      <c r="AQ87" t="s">
        <v>1080</v>
      </c>
      <c r="AR87" t="s">
        <v>230</v>
      </c>
      <c r="AS87" t="s">
        <v>380</v>
      </c>
      <c r="AT87" t="s">
        <v>917</v>
      </c>
      <c r="AU87" t="s">
        <v>231</v>
      </c>
      <c r="AV87" t="s">
        <v>1037</v>
      </c>
      <c r="AW87" t="s">
        <v>963</v>
      </c>
      <c r="AX87" t="s">
        <v>485</v>
      </c>
      <c r="AY87" t="s">
        <v>232</v>
      </c>
      <c r="AZ87" t="s">
        <v>1045</v>
      </c>
      <c r="BA87" t="s">
        <v>322</v>
      </c>
      <c r="BB87" t="s">
        <v>980</v>
      </c>
      <c r="BC87" t="s">
        <v>785</v>
      </c>
      <c r="BD87" t="s">
        <v>756</v>
      </c>
      <c r="BE87" t="s">
        <v>757</v>
      </c>
      <c r="BF87" t="s">
        <v>233</v>
      </c>
      <c r="BG87" t="s">
        <v>973</v>
      </c>
      <c r="BH87" t="s">
        <v>1047</v>
      </c>
      <c r="BI87" t="s">
        <v>2339</v>
      </c>
      <c r="BJ87" t="s">
        <v>234</v>
      </c>
      <c r="BK87" t="s">
        <v>239</v>
      </c>
      <c r="BL87" t="s">
        <v>241</v>
      </c>
      <c r="BM87" t="s">
        <v>805</v>
      </c>
      <c r="BN87" t="s">
        <v>806</v>
      </c>
    </row>
    <row r="88" spans="1:99">
      <c r="A88" s="40">
        <v>82</v>
      </c>
      <c r="B88" s="40" t="s">
        <v>503</v>
      </c>
      <c r="C88" s="2" t="s">
        <v>504</v>
      </c>
      <c r="D88" s="2" t="s">
        <v>17</v>
      </c>
      <c r="E88" s="2" t="s">
        <v>26</v>
      </c>
      <c r="F88" s="2">
        <v>50</v>
      </c>
      <c r="G88" s="2">
        <v>60</v>
      </c>
      <c r="H88" s="2">
        <v>95</v>
      </c>
      <c r="I88" s="2">
        <v>120</v>
      </c>
      <c r="J88" s="2">
        <v>70</v>
      </c>
      <c r="K88" s="2">
        <v>70</v>
      </c>
      <c r="L88" s="2">
        <v>465</v>
      </c>
      <c r="M88" s="2" t="s">
        <v>1112</v>
      </c>
      <c r="N88" s="2" t="s">
        <v>1061</v>
      </c>
      <c r="O88" t="s">
        <v>219</v>
      </c>
      <c r="P88" t="s">
        <v>290</v>
      </c>
      <c r="Q88" t="s">
        <v>502</v>
      </c>
      <c r="R88" t="s">
        <v>346</v>
      </c>
      <c r="S88" t="s">
        <v>333</v>
      </c>
      <c r="T88" t="s">
        <v>290</v>
      </c>
      <c r="U88" t="s">
        <v>346</v>
      </c>
      <c r="V88" t="s">
        <v>502</v>
      </c>
      <c r="W88" t="s">
        <v>2348</v>
      </c>
      <c r="X88" t="s">
        <v>322</v>
      </c>
      <c r="Y88" t="s">
        <v>1205</v>
      </c>
      <c r="Z88" t="s">
        <v>1203</v>
      </c>
      <c r="AA88" t="s">
        <v>1206</v>
      </c>
      <c r="AB88" t="s">
        <v>1202</v>
      </c>
      <c r="AC88" t="s">
        <v>1023</v>
      </c>
      <c r="AD88" t="s">
        <v>973</v>
      </c>
      <c r="AE88" t="s">
        <v>324</v>
      </c>
      <c r="AF88" t="s">
        <v>1138</v>
      </c>
      <c r="AG88" t="s">
        <v>1204</v>
      </c>
      <c r="AH88" t="s">
        <v>988</v>
      </c>
      <c r="AI88" t="s">
        <v>980</v>
      </c>
      <c r="AJ88" t="s">
        <v>1207</v>
      </c>
      <c r="AK88" t="s">
        <v>1062</v>
      </c>
      <c r="AL88" t="s">
        <v>1063</v>
      </c>
      <c r="AM88" t="s">
        <v>148</v>
      </c>
      <c r="AN88" t="s">
        <v>172</v>
      </c>
      <c r="AO88" t="s">
        <v>752</v>
      </c>
      <c r="AP88" t="s">
        <v>247</v>
      </c>
      <c r="AQ88" t="s">
        <v>228</v>
      </c>
      <c r="AR88" t="s">
        <v>1078</v>
      </c>
      <c r="AS88" t="s">
        <v>766</v>
      </c>
      <c r="AT88" t="s">
        <v>1079</v>
      </c>
      <c r="AU88" t="s">
        <v>146</v>
      </c>
      <c r="AV88" t="s">
        <v>321</v>
      </c>
      <c r="AW88" t="s">
        <v>1080</v>
      </c>
      <c r="AX88" t="s">
        <v>230</v>
      </c>
      <c r="AY88" t="s">
        <v>380</v>
      </c>
      <c r="AZ88" t="s">
        <v>917</v>
      </c>
      <c r="BA88" t="s">
        <v>231</v>
      </c>
      <c r="BB88" t="s">
        <v>1037</v>
      </c>
      <c r="BC88" t="s">
        <v>963</v>
      </c>
      <c r="BD88" t="s">
        <v>485</v>
      </c>
      <c r="BE88" t="s">
        <v>976</v>
      </c>
      <c r="BF88" t="s">
        <v>232</v>
      </c>
      <c r="BG88" t="s">
        <v>1045</v>
      </c>
      <c r="BH88" t="s">
        <v>322</v>
      </c>
      <c r="BI88" t="s">
        <v>980</v>
      </c>
      <c r="BJ88" t="s">
        <v>785</v>
      </c>
      <c r="BK88" t="s">
        <v>756</v>
      </c>
      <c r="BL88" t="s">
        <v>757</v>
      </c>
      <c r="BM88" t="s">
        <v>233</v>
      </c>
      <c r="BN88" t="s">
        <v>973</v>
      </c>
      <c r="BO88" t="s">
        <v>1047</v>
      </c>
      <c r="BP88" t="s">
        <v>2339</v>
      </c>
      <c r="BQ88" t="s">
        <v>234</v>
      </c>
      <c r="BR88" t="s">
        <v>239</v>
      </c>
      <c r="BS88" t="s">
        <v>241</v>
      </c>
      <c r="BT88" t="s">
        <v>805</v>
      </c>
      <c r="BU88" t="s">
        <v>806</v>
      </c>
    </row>
    <row r="89" spans="1:99">
      <c r="A89" s="40">
        <v>83</v>
      </c>
      <c r="B89" s="40" t="s">
        <v>803</v>
      </c>
      <c r="C89" s="2" t="s">
        <v>801</v>
      </c>
      <c r="D89" s="2" t="s">
        <v>24</v>
      </c>
      <c r="E89" s="2" t="s">
        <v>20</v>
      </c>
      <c r="F89" s="2">
        <v>52</v>
      </c>
      <c r="G89" s="2">
        <v>65</v>
      </c>
      <c r="H89" s="2">
        <v>55</v>
      </c>
      <c r="I89" s="2">
        <v>58</v>
      </c>
      <c r="J89" s="2">
        <v>62</v>
      </c>
      <c r="K89" s="2">
        <v>60</v>
      </c>
      <c r="L89" s="2">
        <v>352</v>
      </c>
      <c r="M89" s="2" t="s">
        <v>1158</v>
      </c>
      <c r="N89" s="2" t="s">
        <v>1061</v>
      </c>
      <c r="O89" t="s">
        <v>309</v>
      </c>
      <c r="P89" t="s">
        <v>330</v>
      </c>
      <c r="Q89" t="s">
        <v>329</v>
      </c>
      <c r="R89" t="s">
        <v>758</v>
      </c>
      <c r="S89" t="s">
        <v>997</v>
      </c>
      <c r="T89" t="s">
        <v>301</v>
      </c>
      <c r="U89" t="s">
        <v>928</v>
      </c>
      <c r="V89" t="s">
        <v>1096</v>
      </c>
      <c r="W89" t="s">
        <v>253</v>
      </c>
      <c r="X89" t="s">
        <v>1118</v>
      </c>
      <c r="Y89" t="s">
        <v>145</v>
      </c>
      <c r="Z89" t="s">
        <v>306</v>
      </c>
      <c r="AA89" t="s">
        <v>993</v>
      </c>
      <c r="AB89" t="s">
        <v>1020</v>
      </c>
      <c r="AC89" t="s">
        <v>971</v>
      </c>
      <c r="AD89" t="s">
        <v>776</v>
      </c>
      <c r="AE89" t="s">
        <v>1101</v>
      </c>
      <c r="AF89" t="s">
        <v>1123</v>
      </c>
      <c r="AG89" t="s">
        <v>1062</v>
      </c>
      <c r="AH89" t="s">
        <v>226</v>
      </c>
      <c r="AI89" t="s">
        <v>138</v>
      </c>
      <c r="AJ89" t="s">
        <v>1063</v>
      </c>
      <c r="AK89" t="s">
        <v>148</v>
      </c>
      <c r="AL89" t="s">
        <v>172</v>
      </c>
      <c r="AM89" t="s">
        <v>752</v>
      </c>
      <c r="AN89" t="s">
        <v>1078</v>
      </c>
      <c r="AO89" t="s">
        <v>1119</v>
      </c>
      <c r="AP89" t="s">
        <v>1079</v>
      </c>
      <c r="AQ89" t="s">
        <v>1080</v>
      </c>
      <c r="AR89" t="s">
        <v>230</v>
      </c>
      <c r="AS89" t="s">
        <v>1096</v>
      </c>
      <c r="AT89" t="s">
        <v>917</v>
      </c>
      <c r="AU89" t="s">
        <v>231</v>
      </c>
      <c r="AV89" t="s">
        <v>1082</v>
      </c>
      <c r="AW89" t="s">
        <v>1117</v>
      </c>
      <c r="AX89" t="s">
        <v>1037</v>
      </c>
      <c r="AY89" t="s">
        <v>1125</v>
      </c>
      <c r="AZ89" t="s">
        <v>776</v>
      </c>
      <c r="BA89" t="s">
        <v>1020</v>
      </c>
      <c r="BB89" t="s">
        <v>1036</v>
      </c>
      <c r="BC89" t="s">
        <v>145</v>
      </c>
      <c r="BD89" t="s">
        <v>785</v>
      </c>
      <c r="BE89" t="s">
        <v>997</v>
      </c>
      <c r="BF89" t="s">
        <v>756</v>
      </c>
      <c r="BG89" t="s">
        <v>757</v>
      </c>
      <c r="BH89" t="s">
        <v>1014</v>
      </c>
      <c r="BI89" t="s">
        <v>233</v>
      </c>
      <c r="BJ89" t="s">
        <v>2339</v>
      </c>
      <c r="BK89" t="s">
        <v>234</v>
      </c>
      <c r="BL89" t="s">
        <v>289</v>
      </c>
      <c r="BM89" t="s">
        <v>310</v>
      </c>
      <c r="BN89" t="s">
        <v>311</v>
      </c>
      <c r="BO89" t="s">
        <v>751</v>
      </c>
      <c r="BP89" t="s">
        <v>770</v>
      </c>
      <c r="BQ89" t="s">
        <v>755</v>
      </c>
      <c r="BR89" t="s">
        <v>771</v>
      </c>
      <c r="BS89" t="s">
        <v>1125</v>
      </c>
      <c r="BT89" t="s">
        <v>1128</v>
      </c>
      <c r="BU89" t="s">
        <v>1121</v>
      </c>
      <c r="BV89" t="s">
        <v>913</v>
      </c>
      <c r="BW89" t="s">
        <v>1194</v>
      </c>
      <c r="BX89" t="s">
        <v>1119</v>
      </c>
      <c r="BY89" t="s">
        <v>1013</v>
      </c>
      <c r="BZ89" t="s">
        <v>993</v>
      </c>
      <c r="CA89" t="s">
        <v>1477</v>
      </c>
      <c r="CB89" t="s">
        <v>239</v>
      </c>
      <c r="CC89" t="s">
        <v>241</v>
      </c>
      <c r="CD89" t="s">
        <v>805</v>
      </c>
      <c r="CE89" t="s">
        <v>806</v>
      </c>
    </row>
    <row r="90" spans="1:99">
      <c r="A90" s="40">
        <v>84</v>
      </c>
      <c r="B90" s="40" t="s">
        <v>505</v>
      </c>
      <c r="C90" s="2" t="s">
        <v>506</v>
      </c>
      <c r="D90" s="2" t="s">
        <v>24</v>
      </c>
      <c r="E90" s="2" t="s">
        <v>20</v>
      </c>
      <c r="F90" s="2">
        <v>35</v>
      </c>
      <c r="G90" s="2">
        <v>85</v>
      </c>
      <c r="H90" s="2">
        <v>45</v>
      </c>
      <c r="I90" s="2">
        <v>35</v>
      </c>
      <c r="J90" s="2">
        <v>35</v>
      </c>
      <c r="K90" s="2">
        <v>75</v>
      </c>
      <c r="L90" s="2">
        <v>310</v>
      </c>
      <c r="M90" s="2" t="s">
        <v>1066</v>
      </c>
      <c r="N90" s="2" t="s">
        <v>1061</v>
      </c>
      <c r="O90" t="s">
        <v>220</v>
      </c>
      <c r="P90" t="s">
        <v>329</v>
      </c>
      <c r="Q90" t="s">
        <v>310</v>
      </c>
      <c r="R90" t="s">
        <v>304</v>
      </c>
      <c r="S90" t="s">
        <v>301</v>
      </c>
      <c r="T90" t="s">
        <v>773</v>
      </c>
      <c r="U90" t="s">
        <v>953</v>
      </c>
      <c r="V90" t="s">
        <v>1195</v>
      </c>
      <c r="W90" t="s">
        <v>965</v>
      </c>
      <c r="X90" t="s">
        <v>306</v>
      </c>
      <c r="Y90" t="s">
        <v>331</v>
      </c>
      <c r="Z90" t="s">
        <v>916</v>
      </c>
      <c r="AA90" t="s">
        <v>373</v>
      </c>
      <c r="AB90" t="s">
        <v>1062</v>
      </c>
      <c r="AC90" t="s">
        <v>138</v>
      </c>
      <c r="AD90" t="s">
        <v>1063</v>
      </c>
      <c r="AE90" t="s">
        <v>148</v>
      </c>
      <c r="AF90" t="s">
        <v>172</v>
      </c>
      <c r="AG90" t="s">
        <v>752</v>
      </c>
      <c r="AH90" t="s">
        <v>1078</v>
      </c>
      <c r="AI90" t="s">
        <v>1119</v>
      </c>
      <c r="AJ90" t="s">
        <v>1079</v>
      </c>
      <c r="AK90" t="s">
        <v>1080</v>
      </c>
      <c r="AL90" t="s">
        <v>230</v>
      </c>
      <c r="AM90" t="s">
        <v>1096</v>
      </c>
      <c r="AN90" t="s">
        <v>917</v>
      </c>
      <c r="AO90" t="s">
        <v>231</v>
      </c>
      <c r="AP90" t="s">
        <v>1082</v>
      </c>
      <c r="AQ90" t="s">
        <v>1117</v>
      </c>
      <c r="AR90" t="s">
        <v>1037</v>
      </c>
      <c r="AS90" t="s">
        <v>1083</v>
      </c>
      <c r="AT90" t="s">
        <v>1125</v>
      </c>
      <c r="AU90" t="s">
        <v>756</v>
      </c>
      <c r="AV90" t="s">
        <v>757</v>
      </c>
      <c r="AW90" t="s">
        <v>233</v>
      </c>
      <c r="AX90" t="s">
        <v>2339</v>
      </c>
      <c r="AY90" t="s">
        <v>234</v>
      </c>
      <c r="AZ90" t="s">
        <v>290</v>
      </c>
      <c r="BA90" t="s">
        <v>310</v>
      </c>
      <c r="BB90" t="s">
        <v>272</v>
      </c>
      <c r="BC90" t="s">
        <v>311</v>
      </c>
      <c r="BD90" t="s">
        <v>770</v>
      </c>
      <c r="BE90" t="s">
        <v>774</v>
      </c>
      <c r="BF90" t="s">
        <v>916</v>
      </c>
      <c r="BG90" t="s">
        <v>992</v>
      </c>
      <c r="BH90" t="s">
        <v>960</v>
      </c>
      <c r="BI90" t="s">
        <v>1123</v>
      </c>
      <c r="BJ90" t="s">
        <v>239</v>
      </c>
      <c r="BK90" t="s">
        <v>241</v>
      </c>
      <c r="BL90" t="s">
        <v>805</v>
      </c>
      <c r="BM90" t="s">
        <v>806</v>
      </c>
    </row>
    <row r="91" spans="1:99">
      <c r="A91" s="40">
        <v>85</v>
      </c>
      <c r="B91" s="40" t="s">
        <v>507</v>
      </c>
      <c r="C91" s="2" t="s">
        <v>508</v>
      </c>
      <c r="D91" s="2" t="s">
        <v>24</v>
      </c>
      <c r="E91" s="2" t="s">
        <v>20</v>
      </c>
      <c r="F91" s="2">
        <v>60</v>
      </c>
      <c r="G91" s="2">
        <v>110</v>
      </c>
      <c r="H91" s="2">
        <v>70</v>
      </c>
      <c r="I91" s="2">
        <v>60</v>
      </c>
      <c r="J91" s="2">
        <v>60</v>
      </c>
      <c r="K91" s="2">
        <v>100</v>
      </c>
      <c r="L91" s="2">
        <v>460</v>
      </c>
      <c r="M91" s="2" t="s">
        <v>1162</v>
      </c>
      <c r="N91" s="2" t="s">
        <v>1061</v>
      </c>
      <c r="O91" t="s">
        <v>220</v>
      </c>
      <c r="P91" t="s">
        <v>329</v>
      </c>
      <c r="Q91" t="s">
        <v>310</v>
      </c>
      <c r="R91" t="s">
        <v>304</v>
      </c>
      <c r="S91" t="s">
        <v>996</v>
      </c>
      <c r="T91" t="s">
        <v>310</v>
      </c>
      <c r="U91" t="s">
        <v>304</v>
      </c>
      <c r="V91" t="s">
        <v>301</v>
      </c>
      <c r="W91" t="s">
        <v>773</v>
      </c>
      <c r="X91" t="s">
        <v>953</v>
      </c>
      <c r="Y91" t="s">
        <v>1195</v>
      </c>
      <c r="Z91" t="s">
        <v>333</v>
      </c>
      <c r="AA91" t="s">
        <v>306</v>
      </c>
      <c r="AB91" t="s">
        <v>331</v>
      </c>
      <c r="AC91" t="s">
        <v>916</v>
      </c>
      <c r="AD91" t="s">
        <v>373</v>
      </c>
      <c r="AE91" t="s">
        <v>1062</v>
      </c>
      <c r="AF91" t="s">
        <v>138</v>
      </c>
      <c r="AG91" t="s">
        <v>1063</v>
      </c>
      <c r="AH91" t="s">
        <v>148</v>
      </c>
      <c r="AI91" t="s">
        <v>172</v>
      </c>
      <c r="AJ91" t="s">
        <v>752</v>
      </c>
      <c r="AK91" t="s">
        <v>1126</v>
      </c>
      <c r="AL91" t="s">
        <v>247</v>
      </c>
      <c r="AM91" t="s">
        <v>1078</v>
      </c>
      <c r="AN91" t="s">
        <v>1119</v>
      </c>
      <c r="AO91" t="s">
        <v>1079</v>
      </c>
      <c r="AP91" t="s">
        <v>1080</v>
      </c>
      <c r="AQ91" t="s">
        <v>230</v>
      </c>
      <c r="AR91" t="s">
        <v>1096</v>
      </c>
      <c r="AS91" t="s">
        <v>951</v>
      </c>
      <c r="AT91" t="s">
        <v>917</v>
      </c>
      <c r="AU91" t="s">
        <v>231</v>
      </c>
      <c r="AV91" t="s">
        <v>1082</v>
      </c>
      <c r="AW91" t="s">
        <v>1117</v>
      </c>
      <c r="AX91" t="s">
        <v>1037</v>
      </c>
      <c r="AY91" t="s">
        <v>1083</v>
      </c>
      <c r="AZ91" t="s">
        <v>1125</v>
      </c>
      <c r="BA91" t="s">
        <v>995</v>
      </c>
      <c r="BB91" t="s">
        <v>976</v>
      </c>
      <c r="BC91" t="s">
        <v>756</v>
      </c>
      <c r="BD91" t="s">
        <v>757</v>
      </c>
      <c r="BE91" t="s">
        <v>233</v>
      </c>
      <c r="BF91" t="s">
        <v>2339</v>
      </c>
      <c r="BG91" t="s">
        <v>234</v>
      </c>
      <c r="BH91" t="s">
        <v>290</v>
      </c>
      <c r="BI91" t="s">
        <v>310</v>
      </c>
      <c r="BJ91" t="s">
        <v>272</v>
      </c>
      <c r="BK91" t="s">
        <v>311</v>
      </c>
      <c r="BL91" t="s">
        <v>770</v>
      </c>
      <c r="BM91" t="s">
        <v>774</v>
      </c>
      <c r="BN91" t="s">
        <v>916</v>
      </c>
      <c r="BO91" t="s">
        <v>992</v>
      </c>
      <c r="BP91" t="s">
        <v>960</v>
      </c>
      <c r="BQ91" t="s">
        <v>1123</v>
      </c>
      <c r="BR91" t="s">
        <v>239</v>
      </c>
      <c r="BS91" t="s">
        <v>241</v>
      </c>
      <c r="BT91" t="s">
        <v>965</v>
      </c>
      <c r="BU91" t="s">
        <v>805</v>
      </c>
      <c r="BV91" t="s">
        <v>806</v>
      </c>
    </row>
    <row r="92" spans="1:99">
      <c r="A92" s="40">
        <v>86</v>
      </c>
      <c r="B92" s="40" t="s">
        <v>509</v>
      </c>
      <c r="C92" s="2" t="s">
        <v>510</v>
      </c>
      <c r="D92" s="2" t="s">
        <v>27</v>
      </c>
      <c r="E92" s="2"/>
      <c r="F92" s="2">
        <v>65</v>
      </c>
      <c r="G92" s="2">
        <v>45</v>
      </c>
      <c r="H92" s="2">
        <v>55</v>
      </c>
      <c r="I92" s="2">
        <v>45</v>
      </c>
      <c r="J92" s="2">
        <v>70</v>
      </c>
      <c r="K92" s="2">
        <v>45</v>
      </c>
      <c r="L92" s="2">
        <v>325</v>
      </c>
      <c r="M92" s="2" t="s">
        <v>1091</v>
      </c>
      <c r="N92" s="2" t="s">
        <v>1061</v>
      </c>
      <c r="O92" t="s">
        <v>420</v>
      </c>
      <c r="P92" t="s">
        <v>220</v>
      </c>
      <c r="Q92" t="s">
        <v>955</v>
      </c>
      <c r="R92" t="s">
        <v>769</v>
      </c>
      <c r="S92" t="s">
        <v>779</v>
      </c>
      <c r="T92" t="s">
        <v>984</v>
      </c>
      <c r="U92" t="s">
        <v>231</v>
      </c>
      <c r="V92" t="s">
        <v>178</v>
      </c>
      <c r="W92" t="s">
        <v>478</v>
      </c>
      <c r="X92" t="s">
        <v>959</v>
      </c>
      <c r="Y92" t="s">
        <v>961</v>
      </c>
      <c r="Z92" t="s">
        <v>223</v>
      </c>
      <c r="AA92" t="s">
        <v>914</v>
      </c>
      <c r="AB92" t="s">
        <v>179</v>
      </c>
      <c r="AC92" t="s">
        <v>141</v>
      </c>
      <c r="AD92" t="s">
        <v>759</v>
      </c>
      <c r="AE92" t="s">
        <v>1104</v>
      </c>
      <c r="AF92" t="s">
        <v>1062</v>
      </c>
      <c r="AG92" t="s">
        <v>144</v>
      </c>
      <c r="AH92" t="s">
        <v>270</v>
      </c>
      <c r="AI92" t="s">
        <v>914</v>
      </c>
      <c r="AJ92" t="s">
        <v>1063</v>
      </c>
      <c r="AK92" t="s">
        <v>148</v>
      </c>
      <c r="AL92" t="s">
        <v>1104</v>
      </c>
      <c r="AM92" t="s">
        <v>172</v>
      </c>
      <c r="AN92" t="s">
        <v>141</v>
      </c>
      <c r="AO92" t="s">
        <v>271</v>
      </c>
      <c r="AP92" t="s">
        <v>1078</v>
      </c>
      <c r="AQ92" t="s">
        <v>766</v>
      </c>
      <c r="AR92" t="s">
        <v>759</v>
      </c>
      <c r="AS92" t="s">
        <v>1079</v>
      </c>
      <c r="AT92" t="s">
        <v>1080</v>
      </c>
      <c r="AU92" t="s">
        <v>230</v>
      </c>
      <c r="AV92" t="s">
        <v>917</v>
      </c>
      <c r="AW92" t="s">
        <v>231</v>
      </c>
      <c r="AX92" t="s">
        <v>1082</v>
      </c>
      <c r="AY92" t="s">
        <v>1117</v>
      </c>
      <c r="AZ92" t="s">
        <v>1037</v>
      </c>
      <c r="BA92" t="s">
        <v>1083</v>
      </c>
      <c r="BB92" t="s">
        <v>974</v>
      </c>
      <c r="BC92" t="s">
        <v>756</v>
      </c>
      <c r="BD92" t="s">
        <v>757</v>
      </c>
      <c r="BE92" t="s">
        <v>233</v>
      </c>
      <c r="BF92" t="s">
        <v>2339</v>
      </c>
      <c r="BG92" t="s">
        <v>234</v>
      </c>
      <c r="BH92" t="s">
        <v>341</v>
      </c>
      <c r="BI92" t="s">
        <v>368</v>
      </c>
      <c r="BJ92" t="s">
        <v>340</v>
      </c>
      <c r="BK92" t="s">
        <v>511</v>
      </c>
      <c r="BL92" t="s">
        <v>786</v>
      </c>
      <c r="BM92" t="s">
        <v>757</v>
      </c>
      <c r="BN92" t="s">
        <v>779</v>
      </c>
      <c r="BO92" t="s">
        <v>761</v>
      </c>
      <c r="BP92" t="s">
        <v>176</v>
      </c>
      <c r="BQ92" t="s">
        <v>946</v>
      </c>
      <c r="BR92" t="s">
        <v>1133</v>
      </c>
      <c r="BS92" t="s">
        <v>948</v>
      </c>
      <c r="BT92" t="s">
        <v>216</v>
      </c>
      <c r="BU92" t="s">
        <v>1209</v>
      </c>
      <c r="BV92" t="s">
        <v>954</v>
      </c>
      <c r="BW92" t="s">
        <v>1577</v>
      </c>
      <c r="BX92" t="s">
        <v>2335</v>
      </c>
      <c r="BY92" t="s">
        <v>239</v>
      </c>
      <c r="BZ92" t="s">
        <v>241</v>
      </c>
      <c r="CA92" t="s">
        <v>805</v>
      </c>
      <c r="CB92" t="s">
        <v>806</v>
      </c>
    </row>
    <row r="93" spans="1:99">
      <c r="A93" s="40">
        <v>87</v>
      </c>
      <c r="B93" s="40" t="s">
        <v>512</v>
      </c>
      <c r="C93" s="2" t="s">
        <v>513</v>
      </c>
      <c r="D93" s="2" t="s">
        <v>27</v>
      </c>
      <c r="E93" s="2" t="s">
        <v>23</v>
      </c>
      <c r="F93" s="2">
        <v>90</v>
      </c>
      <c r="G93" s="2">
        <v>70</v>
      </c>
      <c r="H93" s="2">
        <v>80</v>
      </c>
      <c r="I93" s="2">
        <v>70</v>
      </c>
      <c r="J93" s="2">
        <v>95</v>
      </c>
      <c r="K93" s="2">
        <v>70</v>
      </c>
      <c r="L93" s="2">
        <v>475</v>
      </c>
      <c r="M93" s="2" t="s">
        <v>1221</v>
      </c>
      <c r="N93" s="2" t="s">
        <v>1061</v>
      </c>
      <c r="O93" t="s">
        <v>420</v>
      </c>
      <c r="P93" t="s">
        <v>220</v>
      </c>
      <c r="Q93" t="s">
        <v>769</v>
      </c>
      <c r="R93" t="s">
        <v>216</v>
      </c>
      <c r="S93" t="s">
        <v>220</v>
      </c>
      <c r="T93" t="s">
        <v>216</v>
      </c>
      <c r="U93" t="s">
        <v>769</v>
      </c>
      <c r="V93" t="s">
        <v>779</v>
      </c>
      <c r="W93" t="s">
        <v>984</v>
      </c>
      <c r="X93" t="s">
        <v>231</v>
      </c>
      <c r="Y93" t="s">
        <v>178</v>
      </c>
      <c r="Z93" t="s">
        <v>478</v>
      </c>
      <c r="AA93" t="s">
        <v>959</v>
      </c>
      <c r="AB93" t="s">
        <v>961</v>
      </c>
      <c r="AC93" t="s">
        <v>1210</v>
      </c>
      <c r="AD93" t="s">
        <v>223</v>
      </c>
      <c r="AE93" t="s">
        <v>914</v>
      </c>
      <c r="AF93" t="s">
        <v>179</v>
      </c>
      <c r="AG93" t="s">
        <v>141</v>
      </c>
      <c r="AH93" t="s">
        <v>759</v>
      </c>
      <c r="AI93" t="s">
        <v>1104</v>
      </c>
      <c r="AJ93" t="s">
        <v>1062</v>
      </c>
      <c r="AK93" t="s">
        <v>144</v>
      </c>
      <c r="AL93" t="s">
        <v>270</v>
      </c>
      <c r="AM93" t="s">
        <v>914</v>
      </c>
      <c r="AN93" t="s">
        <v>1063</v>
      </c>
      <c r="AO93" t="s">
        <v>148</v>
      </c>
      <c r="AP93" t="s">
        <v>1104</v>
      </c>
      <c r="AQ93" t="s">
        <v>172</v>
      </c>
      <c r="AR93" t="s">
        <v>141</v>
      </c>
      <c r="AS93" t="s">
        <v>271</v>
      </c>
      <c r="AT93" t="s">
        <v>247</v>
      </c>
      <c r="AU93" t="s">
        <v>1078</v>
      </c>
      <c r="AV93" t="s">
        <v>766</v>
      </c>
      <c r="AW93" t="s">
        <v>759</v>
      </c>
      <c r="AX93" t="s">
        <v>1079</v>
      </c>
      <c r="AY93" t="s">
        <v>1080</v>
      </c>
      <c r="AZ93" t="s">
        <v>230</v>
      </c>
      <c r="BA93" t="s">
        <v>917</v>
      </c>
      <c r="BB93" t="s">
        <v>231</v>
      </c>
      <c r="BC93" t="s">
        <v>1082</v>
      </c>
      <c r="BD93" t="s">
        <v>1117</v>
      </c>
      <c r="BE93" t="s">
        <v>1037</v>
      </c>
      <c r="BF93" t="s">
        <v>1083</v>
      </c>
      <c r="BG93" t="s">
        <v>974</v>
      </c>
      <c r="BH93" t="s">
        <v>976</v>
      </c>
      <c r="BI93" t="s">
        <v>1027</v>
      </c>
      <c r="BJ93" t="s">
        <v>756</v>
      </c>
      <c r="BK93" t="s">
        <v>757</v>
      </c>
      <c r="BL93" t="s">
        <v>233</v>
      </c>
      <c r="BM93" t="s">
        <v>2339</v>
      </c>
      <c r="BN93" t="s">
        <v>234</v>
      </c>
      <c r="BO93" t="s">
        <v>341</v>
      </c>
      <c r="BP93" t="s">
        <v>368</v>
      </c>
      <c r="BQ93" t="s">
        <v>340</v>
      </c>
      <c r="BR93" t="s">
        <v>511</v>
      </c>
      <c r="BS93" t="s">
        <v>786</v>
      </c>
      <c r="BT93" t="s">
        <v>757</v>
      </c>
      <c r="BU93" t="s">
        <v>779</v>
      </c>
      <c r="BV93" t="s">
        <v>761</v>
      </c>
      <c r="BW93" t="s">
        <v>176</v>
      </c>
      <c r="BX93" t="s">
        <v>946</v>
      </c>
      <c r="BY93" t="s">
        <v>1133</v>
      </c>
      <c r="BZ93" t="s">
        <v>948</v>
      </c>
      <c r="CA93" t="s">
        <v>216</v>
      </c>
      <c r="CB93" t="s">
        <v>1209</v>
      </c>
      <c r="CC93" t="s">
        <v>954</v>
      </c>
      <c r="CD93" t="s">
        <v>1577</v>
      </c>
      <c r="CE93" t="s">
        <v>2335</v>
      </c>
      <c r="CF93" t="s">
        <v>239</v>
      </c>
      <c r="CG93" t="s">
        <v>241</v>
      </c>
      <c r="CH93" t="s">
        <v>955</v>
      </c>
      <c r="CI93" t="s">
        <v>805</v>
      </c>
      <c r="CJ93" t="s">
        <v>806</v>
      </c>
    </row>
    <row r="94" spans="1:99">
      <c r="A94" s="40">
        <v>88</v>
      </c>
      <c r="B94" s="40" t="s">
        <v>514</v>
      </c>
      <c r="C94" s="2" t="s">
        <v>515</v>
      </c>
      <c r="D94" s="2" t="s">
        <v>11</v>
      </c>
      <c r="E94" s="2"/>
      <c r="F94" s="2">
        <v>80</v>
      </c>
      <c r="G94" s="2">
        <v>80</v>
      </c>
      <c r="H94" s="2">
        <v>50</v>
      </c>
      <c r="I94" s="2">
        <v>40</v>
      </c>
      <c r="J94" s="2">
        <v>50</v>
      </c>
      <c r="K94" s="2">
        <v>25</v>
      </c>
      <c r="L94" s="2">
        <v>325</v>
      </c>
      <c r="M94" s="2" t="s">
        <v>1090</v>
      </c>
      <c r="N94" s="2" t="s">
        <v>1061</v>
      </c>
      <c r="O94" t="s">
        <v>376</v>
      </c>
      <c r="P94" t="s">
        <v>516</v>
      </c>
      <c r="Q94" t="s">
        <v>284</v>
      </c>
      <c r="R94" t="s">
        <v>755</v>
      </c>
      <c r="S94" t="s">
        <v>340</v>
      </c>
      <c r="T94" t="s">
        <v>238</v>
      </c>
      <c r="U94" t="s">
        <v>378</v>
      </c>
      <c r="V94" t="s">
        <v>990</v>
      </c>
      <c r="W94" t="s">
        <v>1081</v>
      </c>
      <c r="X94" t="s">
        <v>974</v>
      </c>
      <c r="Y94" t="s">
        <v>324</v>
      </c>
      <c r="Z94" t="s">
        <v>186</v>
      </c>
      <c r="AA94" t="s">
        <v>517</v>
      </c>
      <c r="AB94" t="s">
        <v>979</v>
      </c>
      <c r="AC94" t="s">
        <v>2335</v>
      </c>
      <c r="AD94" t="s">
        <v>931</v>
      </c>
      <c r="AE94" t="s">
        <v>1062</v>
      </c>
      <c r="AF94" t="s">
        <v>227</v>
      </c>
      <c r="AG94" t="s">
        <v>1063</v>
      </c>
      <c r="AH94" t="s">
        <v>148</v>
      </c>
      <c r="AI94" t="s">
        <v>1077</v>
      </c>
      <c r="AJ94" t="s">
        <v>172</v>
      </c>
      <c r="AK94" t="s">
        <v>752</v>
      </c>
      <c r="AL94" t="s">
        <v>1126</v>
      </c>
      <c r="AM94" t="s">
        <v>1078</v>
      </c>
      <c r="AN94" t="s">
        <v>766</v>
      </c>
      <c r="AO94" t="s">
        <v>1079</v>
      </c>
      <c r="AP94" t="s">
        <v>146</v>
      </c>
      <c r="AQ94" t="s">
        <v>321</v>
      </c>
      <c r="AR94" t="s">
        <v>1080</v>
      </c>
      <c r="AS94" t="s">
        <v>256</v>
      </c>
      <c r="AT94" t="s">
        <v>174</v>
      </c>
      <c r="AU94" t="s">
        <v>230</v>
      </c>
      <c r="AV94" t="s">
        <v>186</v>
      </c>
      <c r="AW94" t="s">
        <v>254</v>
      </c>
      <c r="AX94" t="s">
        <v>1081</v>
      </c>
      <c r="AY94" t="s">
        <v>257</v>
      </c>
      <c r="AZ94" t="s">
        <v>1095</v>
      </c>
      <c r="BA94" t="s">
        <v>951</v>
      </c>
      <c r="BB94" t="s">
        <v>917</v>
      </c>
      <c r="BC94" t="s">
        <v>231</v>
      </c>
      <c r="BD94" t="s">
        <v>1082</v>
      </c>
      <c r="BE94" t="s">
        <v>1117</v>
      </c>
      <c r="BF94" t="s">
        <v>1037</v>
      </c>
      <c r="BG94" t="s">
        <v>974</v>
      </c>
      <c r="BH94" t="s">
        <v>1031</v>
      </c>
      <c r="BI94" t="s">
        <v>485</v>
      </c>
      <c r="BJ94" t="s">
        <v>995</v>
      </c>
      <c r="BK94" t="s">
        <v>143</v>
      </c>
      <c r="BL94" t="s">
        <v>2369</v>
      </c>
      <c r="BM94" t="s">
        <v>997</v>
      </c>
      <c r="BN94" t="s">
        <v>756</v>
      </c>
      <c r="BO94" t="s">
        <v>757</v>
      </c>
      <c r="BP94" t="s">
        <v>233</v>
      </c>
      <c r="BQ94" t="s">
        <v>2398</v>
      </c>
      <c r="BR94" t="s">
        <v>2339</v>
      </c>
      <c r="BS94" t="s">
        <v>234</v>
      </c>
      <c r="BT94" t="s">
        <v>272</v>
      </c>
      <c r="BU94" t="s">
        <v>511</v>
      </c>
      <c r="BV94" t="s">
        <v>751</v>
      </c>
      <c r="BW94" t="s">
        <v>1092</v>
      </c>
      <c r="BX94" t="s">
        <v>787</v>
      </c>
      <c r="BY94" t="s">
        <v>946</v>
      </c>
      <c r="BZ94" t="s">
        <v>1133</v>
      </c>
      <c r="CA94" t="s">
        <v>948</v>
      </c>
      <c r="CB94" t="s">
        <v>927</v>
      </c>
      <c r="CC94" t="s">
        <v>1211</v>
      </c>
      <c r="CD94" t="s">
        <v>1006</v>
      </c>
      <c r="CE94" t="s">
        <v>1134</v>
      </c>
      <c r="CF94" t="s">
        <v>239</v>
      </c>
      <c r="CG94" t="s">
        <v>241</v>
      </c>
      <c r="CH94" t="s">
        <v>805</v>
      </c>
      <c r="CI94" t="s">
        <v>806</v>
      </c>
    </row>
    <row r="95" spans="1:99">
      <c r="A95" s="40">
        <v>89</v>
      </c>
      <c r="B95" s="40" t="s">
        <v>518</v>
      </c>
      <c r="C95" s="2" t="s">
        <v>519</v>
      </c>
      <c r="D95" s="2" t="s">
        <v>11</v>
      </c>
      <c r="E95" s="2"/>
      <c r="F95" s="2">
        <v>105</v>
      </c>
      <c r="G95" s="2">
        <v>105</v>
      </c>
      <c r="H95" s="2">
        <v>75</v>
      </c>
      <c r="I95" s="2">
        <v>65</v>
      </c>
      <c r="J95" s="2">
        <v>100</v>
      </c>
      <c r="K95" s="2">
        <v>50</v>
      </c>
      <c r="L95" s="2">
        <v>500</v>
      </c>
      <c r="M95" s="2" t="s">
        <v>1255</v>
      </c>
      <c r="N95" s="2" t="s">
        <v>1061</v>
      </c>
      <c r="O95" t="s">
        <v>376</v>
      </c>
      <c r="P95" t="s">
        <v>284</v>
      </c>
      <c r="Q95" t="s">
        <v>516</v>
      </c>
      <c r="R95" t="s">
        <v>755</v>
      </c>
      <c r="S95" t="s">
        <v>284</v>
      </c>
      <c r="T95" t="s">
        <v>755</v>
      </c>
      <c r="U95" t="s">
        <v>340</v>
      </c>
      <c r="V95" t="s">
        <v>378</v>
      </c>
      <c r="W95" t="s">
        <v>238</v>
      </c>
      <c r="X95" t="s">
        <v>990</v>
      </c>
      <c r="Y95" t="s">
        <v>974</v>
      </c>
      <c r="Z95" t="s">
        <v>324</v>
      </c>
      <c r="AA95" t="s">
        <v>1081</v>
      </c>
      <c r="AB95" t="s">
        <v>186</v>
      </c>
      <c r="AC95" t="s">
        <v>517</v>
      </c>
      <c r="AD95" t="s">
        <v>979</v>
      </c>
      <c r="AE95" t="s">
        <v>2335</v>
      </c>
      <c r="AF95" t="s">
        <v>931</v>
      </c>
      <c r="AG95" t="s">
        <v>1062</v>
      </c>
      <c r="AH95" t="s">
        <v>227</v>
      </c>
      <c r="AI95" t="s">
        <v>1063</v>
      </c>
      <c r="AJ95" t="s">
        <v>148</v>
      </c>
      <c r="AK95" t="s">
        <v>1077</v>
      </c>
      <c r="AL95" t="s">
        <v>172</v>
      </c>
      <c r="AM95" t="s">
        <v>752</v>
      </c>
      <c r="AN95" t="s">
        <v>1126</v>
      </c>
      <c r="AO95" t="s">
        <v>247</v>
      </c>
      <c r="AP95" t="s">
        <v>1078</v>
      </c>
      <c r="AQ95" t="s">
        <v>766</v>
      </c>
      <c r="AR95" t="s">
        <v>1079</v>
      </c>
      <c r="AS95" t="s">
        <v>146</v>
      </c>
      <c r="AT95" t="s">
        <v>321</v>
      </c>
      <c r="AU95" t="s">
        <v>1080</v>
      </c>
      <c r="AV95" t="s">
        <v>256</v>
      </c>
      <c r="AW95" t="s">
        <v>174</v>
      </c>
      <c r="AX95" t="s">
        <v>1094</v>
      </c>
      <c r="AY95" t="s">
        <v>230</v>
      </c>
      <c r="AZ95" t="s">
        <v>186</v>
      </c>
      <c r="BA95" t="s">
        <v>254</v>
      </c>
      <c r="BB95" t="s">
        <v>1081</v>
      </c>
      <c r="BC95" t="s">
        <v>257</v>
      </c>
      <c r="BD95" t="s">
        <v>1095</v>
      </c>
      <c r="BE95" t="s">
        <v>951</v>
      </c>
      <c r="BF95" t="s">
        <v>917</v>
      </c>
      <c r="BG95" t="s">
        <v>231</v>
      </c>
      <c r="BH95" t="s">
        <v>1082</v>
      </c>
      <c r="BI95" t="s">
        <v>1117</v>
      </c>
      <c r="BJ95" t="s">
        <v>1037</v>
      </c>
      <c r="BK95" t="s">
        <v>1102</v>
      </c>
      <c r="BL95" t="s">
        <v>974</v>
      </c>
      <c r="BM95" t="s">
        <v>1031</v>
      </c>
      <c r="BN95" t="s">
        <v>485</v>
      </c>
      <c r="BO95" t="s">
        <v>995</v>
      </c>
      <c r="BP95" t="s">
        <v>976</v>
      </c>
      <c r="BQ95" t="s">
        <v>143</v>
      </c>
      <c r="BR95" t="s">
        <v>2369</v>
      </c>
      <c r="BS95" t="s">
        <v>997</v>
      </c>
      <c r="BT95" t="s">
        <v>756</v>
      </c>
      <c r="BU95" t="s">
        <v>757</v>
      </c>
      <c r="BV95" t="s">
        <v>233</v>
      </c>
      <c r="BW95" t="s">
        <v>760</v>
      </c>
      <c r="BX95" t="s">
        <v>1157</v>
      </c>
      <c r="BY95" t="s">
        <v>2398</v>
      </c>
      <c r="BZ95" t="s">
        <v>2339</v>
      </c>
      <c r="CA95" t="s">
        <v>234</v>
      </c>
      <c r="CB95" t="s">
        <v>272</v>
      </c>
      <c r="CC95" t="s">
        <v>511</v>
      </c>
      <c r="CD95" t="s">
        <v>751</v>
      </c>
      <c r="CE95" t="s">
        <v>1092</v>
      </c>
      <c r="CF95" t="s">
        <v>787</v>
      </c>
      <c r="CG95" t="s">
        <v>946</v>
      </c>
      <c r="CH95" t="s">
        <v>1133</v>
      </c>
      <c r="CI95" t="s">
        <v>948</v>
      </c>
      <c r="CJ95" t="s">
        <v>927</v>
      </c>
      <c r="CK95" t="s">
        <v>1211</v>
      </c>
      <c r="CL95" t="s">
        <v>1006</v>
      </c>
      <c r="CM95" t="s">
        <v>1134</v>
      </c>
      <c r="CN95" t="s">
        <v>239</v>
      </c>
      <c r="CO95" t="s">
        <v>241</v>
      </c>
      <c r="CP95" t="s">
        <v>805</v>
      </c>
      <c r="CQ95" t="s">
        <v>806</v>
      </c>
    </row>
    <row r="96" spans="1:99">
      <c r="A96" s="40">
        <v>90</v>
      </c>
      <c r="B96" s="40" t="s">
        <v>520</v>
      </c>
      <c r="C96" s="2" t="s">
        <v>521</v>
      </c>
      <c r="D96" s="2" t="s">
        <v>27</v>
      </c>
      <c r="E96" s="2"/>
      <c r="F96" s="2">
        <v>30</v>
      </c>
      <c r="G96" s="2">
        <v>65</v>
      </c>
      <c r="H96" s="2">
        <v>100</v>
      </c>
      <c r="I96" s="2">
        <v>45</v>
      </c>
      <c r="J96" s="2">
        <v>25</v>
      </c>
      <c r="K96" s="2">
        <v>40</v>
      </c>
      <c r="L96" s="2">
        <v>305</v>
      </c>
      <c r="M96" s="2" t="s">
        <v>1131</v>
      </c>
      <c r="N96" s="2" t="s">
        <v>1061</v>
      </c>
      <c r="O96" t="s">
        <v>219</v>
      </c>
      <c r="P96" t="s">
        <v>268</v>
      </c>
      <c r="Q96" t="s">
        <v>290</v>
      </c>
      <c r="R96" t="s">
        <v>1209</v>
      </c>
      <c r="S96" t="s">
        <v>1078</v>
      </c>
      <c r="T96" t="s">
        <v>330</v>
      </c>
      <c r="U96" t="s">
        <v>522</v>
      </c>
      <c r="V96" t="s">
        <v>984</v>
      </c>
      <c r="W96" t="s">
        <v>1212</v>
      </c>
      <c r="X96" t="s">
        <v>478</v>
      </c>
      <c r="Y96" t="s">
        <v>767</v>
      </c>
      <c r="Z96" t="s">
        <v>961</v>
      </c>
      <c r="AA96" t="s">
        <v>177</v>
      </c>
      <c r="AB96" t="s">
        <v>141</v>
      </c>
      <c r="AC96" t="s">
        <v>1213</v>
      </c>
      <c r="AD96" t="s">
        <v>140</v>
      </c>
      <c r="AE96" t="s">
        <v>1062</v>
      </c>
      <c r="AF96" t="s">
        <v>144</v>
      </c>
      <c r="AG96" t="s">
        <v>914</v>
      </c>
      <c r="AH96" t="s">
        <v>1063</v>
      </c>
      <c r="AI96" t="s">
        <v>148</v>
      </c>
      <c r="AJ96" t="s">
        <v>1104</v>
      </c>
      <c r="AK96" t="s">
        <v>172</v>
      </c>
      <c r="AL96" t="s">
        <v>141</v>
      </c>
      <c r="AM96" t="s">
        <v>271</v>
      </c>
      <c r="AN96" t="s">
        <v>1078</v>
      </c>
      <c r="AO96" t="s">
        <v>766</v>
      </c>
      <c r="AP96" t="s">
        <v>1079</v>
      </c>
      <c r="AQ96" t="s">
        <v>1080</v>
      </c>
      <c r="AR96" t="s">
        <v>230</v>
      </c>
      <c r="AS96" t="s">
        <v>917</v>
      </c>
      <c r="AT96" t="s">
        <v>231</v>
      </c>
      <c r="AU96" t="s">
        <v>1082</v>
      </c>
      <c r="AV96" t="s">
        <v>1037</v>
      </c>
      <c r="AW96" t="s">
        <v>485</v>
      </c>
      <c r="AX96" t="s">
        <v>995</v>
      </c>
      <c r="AY96" t="s">
        <v>756</v>
      </c>
      <c r="AZ96" t="s">
        <v>757</v>
      </c>
      <c r="BA96" t="s">
        <v>233</v>
      </c>
      <c r="BB96" t="s">
        <v>2339</v>
      </c>
      <c r="BC96" t="s">
        <v>234</v>
      </c>
      <c r="BD96" t="s">
        <v>223</v>
      </c>
      <c r="BE96" t="s">
        <v>303</v>
      </c>
      <c r="BF96" t="s">
        <v>446</v>
      </c>
      <c r="BG96" t="s">
        <v>324</v>
      </c>
      <c r="BH96" t="s">
        <v>455</v>
      </c>
      <c r="BI96" t="s">
        <v>173</v>
      </c>
      <c r="BJ96" t="s">
        <v>1209</v>
      </c>
      <c r="BK96" t="s">
        <v>1144</v>
      </c>
      <c r="BL96" t="s">
        <v>1196</v>
      </c>
      <c r="BM96" t="s">
        <v>954</v>
      </c>
      <c r="BN96" t="s">
        <v>178</v>
      </c>
      <c r="BO96" t="s">
        <v>1214</v>
      </c>
      <c r="BP96" t="s">
        <v>239</v>
      </c>
      <c r="BQ96" t="s">
        <v>241</v>
      </c>
      <c r="BR96" t="s">
        <v>805</v>
      </c>
      <c r="BS96" t="s">
        <v>806</v>
      </c>
    </row>
    <row r="97" spans="1:97">
      <c r="A97" s="40">
        <v>91</v>
      </c>
      <c r="B97" s="40" t="s">
        <v>523</v>
      </c>
      <c r="C97" s="2" t="s">
        <v>524</v>
      </c>
      <c r="D97" s="2" t="s">
        <v>27</v>
      </c>
      <c r="E97" s="2" t="s">
        <v>23</v>
      </c>
      <c r="F97" s="2">
        <v>50</v>
      </c>
      <c r="G97" s="2">
        <v>95</v>
      </c>
      <c r="H97" s="2">
        <v>180</v>
      </c>
      <c r="I97" s="2">
        <v>85</v>
      </c>
      <c r="J97" s="2">
        <v>45</v>
      </c>
      <c r="K97" s="2">
        <v>70</v>
      </c>
      <c r="L97" s="2">
        <v>525</v>
      </c>
      <c r="M97" s="2" t="s">
        <v>1091</v>
      </c>
      <c r="N97" s="2" t="s">
        <v>1061</v>
      </c>
      <c r="O97" t="s">
        <v>290</v>
      </c>
      <c r="P97" t="s">
        <v>478</v>
      </c>
      <c r="Q97" t="s">
        <v>268</v>
      </c>
      <c r="R97" t="s">
        <v>1078</v>
      </c>
      <c r="S97" t="s">
        <v>1011</v>
      </c>
      <c r="T97" t="s">
        <v>525</v>
      </c>
      <c r="U97" t="s">
        <v>1215</v>
      </c>
      <c r="V97" t="s">
        <v>1216</v>
      </c>
      <c r="W97" t="s">
        <v>1062</v>
      </c>
      <c r="X97" t="s">
        <v>144</v>
      </c>
      <c r="Y97" t="s">
        <v>914</v>
      </c>
      <c r="Z97" t="s">
        <v>1063</v>
      </c>
      <c r="AA97" t="s">
        <v>148</v>
      </c>
      <c r="AB97" t="s">
        <v>1104</v>
      </c>
      <c r="AC97" t="s">
        <v>172</v>
      </c>
      <c r="AD97" t="s">
        <v>141</v>
      </c>
      <c r="AE97" t="s">
        <v>271</v>
      </c>
      <c r="AF97" t="s">
        <v>247</v>
      </c>
      <c r="AG97" t="s">
        <v>1078</v>
      </c>
      <c r="AH97" t="s">
        <v>766</v>
      </c>
      <c r="AI97" t="s">
        <v>1079</v>
      </c>
      <c r="AJ97" t="s">
        <v>1080</v>
      </c>
      <c r="AK97" t="s">
        <v>230</v>
      </c>
      <c r="AL97" t="s">
        <v>951</v>
      </c>
      <c r="AM97" t="s">
        <v>917</v>
      </c>
      <c r="AN97" t="s">
        <v>231</v>
      </c>
      <c r="AO97" t="s">
        <v>1082</v>
      </c>
      <c r="AP97" t="s">
        <v>1037</v>
      </c>
      <c r="AQ97" t="s">
        <v>485</v>
      </c>
      <c r="AR97" t="s">
        <v>995</v>
      </c>
      <c r="AS97" t="s">
        <v>976</v>
      </c>
      <c r="AT97" t="s">
        <v>1027</v>
      </c>
      <c r="AU97" t="s">
        <v>997</v>
      </c>
      <c r="AV97" t="s">
        <v>756</v>
      </c>
      <c r="AW97" t="s">
        <v>757</v>
      </c>
      <c r="AX97" t="s">
        <v>233</v>
      </c>
      <c r="AY97" t="s">
        <v>2339</v>
      </c>
      <c r="AZ97" t="s">
        <v>234</v>
      </c>
      <c r="BA97" t="s">
        <v>223</v>
      </c>
      <c r="BB97" t="s">
        <v>303</v>
      </c>
      <c r="BC97" t="s">
        <v>446</v>
      </c>
      <c r="BD97" t="s">
        <v>324</v>
      </c>
      <c r="BE97" t="s">
        <v>455</v>
      </c>
      <c r="BF97" t="s">
        <v>173</v>
      </c>
      <c r="BG97" t="s">
        <v>1209</v>
      </c>
      <c r="BH97" t="s">
        <v>1144</v>
      </c>
      <c r="BI97" t="s">
        <v>1196</v>
      </c>
      <c r="BJ97" t="s">
        <v>954</v>
      </c>
      <c r="BK97" t="s">
        <v>178</v>
      </c>
      <c r="BL97" t="s">
        <v>1214</v>
      </c>
      <c r="BM97" t="s">
        <v>239</v>
      </c>
      <c r="BN97" t="s">
        <v>241</v>
      </c>
      <c r="BO97" t="s">
        <v>219</v>
      </c>
      <c r="BP97" t="s">
        <v>1209</v>
      </c>
      <c r="BQ97" t="s">
        <v>330</v>
      </c>
      <c r="BR97" t="s">
        <v>522</v>
      </c>
      <c r="BS97" t="s">
        <v>984</v>
      </c>
      <c r="BT97" t="s">
        <v>1212</v>
      </c>
      <c r="BU97" t="s">
        <v>767</v>
      </c>
      <c r="BV97" t="s">
        <v>961</v>
      </c>
      <c r="BW97" t="s">
        <v>177</v>
      </c>
      <c r="BX97" t="s">
        <v>141</v>
      </c>
      <c r="BY97" t="s">
        <v>1213</v>
      </c>
      <c r="BZ97" t="s">
        <v>140</v>
      </c>
      <c r="CA97" t="s">
        <v>805</v>
      </c>
      <c r="CB97" t="s">
        <v>806</v>
      </c>
    </row>
    <row r="98" spans="1:97">
      <c r="A98" s="40">
        <v>92</v>
      </c>
      <c r="B98" s="40" t="s">
        <v>526</v>
      </c>
      <c r="C98" s="2" t="s">
        <v>527</v>
      </c>
      <c r="D98" s="2" t="s">
        <v>10</v>
      </c>
      <c r="E98" s="2" t="s">
        <v>11</v>
      </c>
      <c r="F98" s="2">
        <v>30</v>
      </c>
      <c r="G98" s="2">
        <v>35</v>
      </c>
      <c r="H98" s="2">
        <v>30</v>
      </c>
      <c r="I98" s="2">
        <v>100</v>
      </c>
      <c r="J98" s="2">
        <v>35</v>
      </c>
      <c r="K98" s="2">
        <v>80</v>
      </c>
      <c r="L98" s="2">
        <v>310</v>
      </c>
      <c r="M98" s="2" t="s">
        <v>1141</v>
      </c>
      <c r="N98" s="2" t="s">
        <v>1061</v>
      </c>
      <c r="O98" t="s">
        <v>388</v>
      </c>
      <c r="P98" t="s">
        <v>511</v>
      </c>
      <c r="Q98" t="s">
        <v>778</v>
      </c>
      <c r="R98" t="s">
        <v>787</v>
      </c>
      <c r="S98" t="s">
        <v>751</v>
      </c>
      <c r="T98" t="s">
        <v>528</v>
      </c>
      <c r="U98" t="s">
        <v>387</v>
      </c>
      <c r="V98" t="s">
        <v>1008</v>
      </c>
      <c r="W98" t="s">
        <v>995</v>
      </c>
      <c r="X98" t="s">
        <v>174</v>
      </c>
      <c r="Y98" t="s">
        <v>293</v>
      </c>
      <c r="Z98" t="s">
        <v>1157</v>
      </c>
      <c r="AA98" t="s">
        <v>793</v>
      </c>
      <c r="AB98" t="s">
        <v>1029</v>
      </c>
      <c r="AC98" t="s">
        <v>1217</v>
      </c>
      <c r="AD98" t="s">
        <v>1062</v>
      </c>
      <c r="AE98" t="s">
        <v>1063</v>
      </c>
      <c r="AF98" t="s">
        <v>148</v>
      </c>
      <c r="AG98" t="s">
        <v>1077</v>
      </c>
      <c r="AH98" t="s">
        <v>172</v>
      </c>
      <c r="AI98" t="s">
        <v>752</v>
      </c>
      <c r="AJ98" t="s">
        <v>1126</v>
      </c>
      <c r="AK98" t="s">
        <v>1078</v>
      </c>
      <c r="AL98" t="s">
        <v>766</v>
      </c>
      <c r="AM98" t="s">
        <v>1079</v>
      </c>
      <c r="AN98" t="s">
        <v>146</v>
      </c>
      <c r="AO98" t="s">
        <v>1080</v>
      </c>
      <c r="AP98" t="s">
        <v>9</v>
      </c>
      <c r="AQ98" t="s">
        <v>174</v>
      </c>
      <c r="AR98" t="s">
        <v>230</v>
      </c>
      <c r="AS98" t="s">
        <v>1081</v>
      </c>
      <c r="AT98" t="s">
        <v>951</v>
      </c>
      <c r="AU98" t="s">
        <v>917</v>
      </c>
      <c r="AV98" t="s">
        <v>231</v>
      </c>
      <c r="AW98" t="s">
        <v>1082</v>
      </c>
      <c r="AX98" t="s">
        <v>1117</v>
      </c>
      <c r="AY98" t="s">
        <v>1037</v>
      </c>
      <c r="AZ98" t="s">
        <v>970</v>
      </c>
      <c r="BA98" t="s">
        <v>956</v>
      </c>
      <c r="BB98" t="s">
        <v>969</v>
      </c>
      <c r="BC98" t="s">
        <v>485</v>
      </c>
      <c r="BD98" t="s">
        <v>995</v>
      </c>
      <c r="BE98" t="s">
        <v>785</v>
      </c>
      <c r="BF98" t="s">
        <v>2369</v>
      </c>
      <c r="BG98" t="s">
        <v>293</v>
      </c>
      <c r="BH98" t="s">
        <v>756</v>
      </c>
      <c r="BI98" t="s">
        <v>757</v>
      </c>
      <c r="BJ98" t="s">
        <v>233</v>
      </c>
      <c r="BK98" t="s">
        <v>1012</v>
      </c>
      <c r="BL98" t="s">
        <v>1157</v>
      </c>
      <c r="BM98" t="s">
        <v>2342</v>
      </c>
      <c r="BN98" t="s">
        <v>2339</v>
      </c>
      <c r="BO98" t="s">
        <v>234</v>
      </c>
      <c r="BP98" t="s">
        <v>137</v>
      </c>
      <c r="BQ98" t="s">
        <v>274</v>
      </c>
      <c r="BR98" t="s">
        <v>147</v>
      </c>
      <c r="BS98" t="s">
        <v>340</v>
      </c>
      <c r="BT98" t="s">
        <v>272</v>
      </c>
      <c r="BU98" t="s">
        <v>530</v>
      </c>
      <c r="BV98" t="s">
        <v>529</v>
      </c>
      <c r="BW98" t="s">
        <v>1092</v>
      </c>
      <c r="BX98" t="s">
        <v>786</v>
      </c>
      <c r="BY98" t="s">
        <v>923</v>
      </c>
      <c r="BZ98" t="s">
        <v>1130</v>
      </c>
      <c r="CA98" t="s">
        <v>1191</v>
      </c>
      <c r="CB98" t="s">
        <v>1227</v>
      </c>
      <c r="CC98" t="s">
        <v>239</v>
      </c>
      <c r="CD98" t="s">
        <v>241</v>
      </c>
      <c r="CE98" t="s">
        <v>805</v>
      </c>
      <c r="CF98" t="s">
        <v>806</v>
      </c>
    </row>
    <row r="99" spans="1:97">
      <c r="A99" s="40">
        <v>93</v>
      </c>
      <c r="B99" s="40" t="s">
        <v>531</v>
      </c>
      <c r="C99" s="2" t="s">
        <v>532</v>
      </c>
      <c r="D99" s="2" t="s">
        <v>10</v>
      </c>
      <c r="E99" s="2" t="s">
        <v>11</v>
      </c>
      <c r="F99" s="2">
        <v>45</v>
      </c>
      <c r="G99" s="2">
        <v>50</v>
      </c>
      <c r="H99" s="2">
        <v>45</v>
      </c>
      <c r="I99" s="2">
        <v>115</v>
      </c>
      <c r="J99" s="2">
        <v>55</v>
      </c>
      <c r="K99" s="2">
        <v>95</v>
      </c>
      <c r="L99" s="2">
        <v>405</v>
      </c>
      <c r="M99" s="2" t="s">
        <v>1173</v>
      </c>
      <c r="N99" s="2" t="s">
        <v>1061</v>
      </c>
      <c r="O99" t="s">
        <v>388</v>
      </c>
      <c r="P99" t="s">
        <v>511</v>
      </c>
      <c r="Q99" t="s">
        <v>778</v>
      </c>
      <c r="R99" t="s">
        <v>778</v>
      </c>
      <c r="S99" t="s">
        <v>787</v>
      </c>
      <c r="T99" t="s">
        <v>751</v>
      </c>
      <c r="U99" t="s">
        <v>528</v>
      </c>
      <c r="V99" t="s">
        <v>387</v>
      </c>
      <c r="W99" t="s">
        <v>1008</v>
      </c>
      <c r="X99" t="s">
        <v>1211</v>
      </c>
      <c r="Y99" t="s">
        <v>995</v>
      </c>
      <c r="Z99" t="s">
        <v>174</v>
      </c>
      <c r="AA99" t="s">
        <v>293</v>
      </c>
      <c r="AB99" t="s">
        <v>1157</v>
      </c>
      <c r="AC99" t="s">
        <v>793</v>
      </c>
      <c r="AD99" t="s">
        <v>1029</v>
      </c>
      <c r="AE99" t="s">
        <v>1217</v>
      </c>
      <c r="AF99" t="s">
        <v>1062</v>
      </c>
      <c r="AG99" t="s">
        <v>1063</v>
      </c>
      <c r="AH99" t="s">
        <v>148</v>
      </c>
      <c r="AI99" t="s">
        <v>1077</v>
      </c>
      <c r="AJ99" t="s">
        <v>172</v>
      </c>
      <c r="AK99" t="s">
        <v>752</v>
      </c>
      <c r="AL99" t="s">
        <v>1126</v>
      </c>
      <c r="AM99" t="s">
        <v>1078</v>
      </c>
      <c r="AN99" t="s">
        <v>766</v>
      </c>
      <c r="AO99" t="s">
        <v>1079</v>
      </c>
      <c r="AP99" t="s">
        <v>146</v>
      </c>
      <c r="AQ99" t="s">
        <v>1080</v>
      </c>
      <c r="AR99" t="s">
        <v>9</v>
      </c>
      <c r="AS99" t="s">
        <v>174</v>
      </c>
      <c r="AT99" t="s">
        <v>230</v>
      </c>
      <c r="AU99" t="s">
        <v>1081</v>
      </c>
      <c r="AV99" t="s">
        <v>951</v>
      </c>
      <c r="AW99" t="s">
        <v>917</v>
      </c>
      <c r="AX99" t="s">
        <v>231</v>
      </c>
      <c r="AY99" t="s">
        <v>1082</v>
      </c>
      <c r="AZ99" t="s">
        <v>1117</v>
      </c>
      <c r="BA99" t="s">
        <v>1037</v>
      </c>
      <c r="BB99" t="s">
        <v>970</v>
      </c>
      <c r="BC99" t="s">
        <v>974</v>
      </c>
      <c r="BD99" t="s">
        <v>956</v>
      </c>
      <c r="BE99" t="s">
        <v>969</v>
      </c>
      <c r="BF99" t="s">
        <v>485</v>
      </c>
      <c r="BG99" t="s">
        <v>1005</v>
      </c>
      <c r="BH99" t="s">
        <v>995</v>
      </c>
      <c r="BI99" t="s">
        <v>785</v>
      </c>
      <c r="BJ99" t="s">
        <v>2369</v>
      </c>
      <c r="BK99" t="s">
        <v>997</v>
      </c>
      <c r="BL99" t="s">
        <v>293</v>
      </c>
      <c r="BM99" t="s">
        <v>756</v>
      </c>
      <c r="BN99" t="s">
        <v>757</v>
      </c>
      <c r="BO99" t="s">
        <v>233</v>
      </c>
      <c r="BP99" t="s">
        <v>1012</v>
      </c>
      <c r="BQ99" t="s">
        <v>1157</v>
      </c>
      <c r="BR99" t="s">
        <v>2342</v>
      </c>
      <c r="BS99" t="s">
        <v>2339</v>
      </c>
      <c r="BT99" t="s">
        <v>234</v>
      </c>
      <c r="BU99" t="s">
        <v>137</v>
      </c>
      <c r="BV99" t="s">
        <v>274</v>
      </c>
      <c r="BW99" t="s">
        <v>147</v>
      </c>
      <c r="BX99" t="s">
        <v>340</v>
      </c>
      <c r="BY99" t="s">
        <v>272</v>
      </c>
      <c r="BZ99" t="s">
        <v>530</v>
      </c>
      <c r="CA99" t="s">
        <v>529</v>
      </c>
      <c r="CB99" t="s">
        <v>1092</v>
      </c>
      <c r="CC99" t="s">
        <v>786</v>
      </c>
      <c r="CD99" t="s">
        <v>923</v>
      </c>
      <c r="CE99" t="s">
        <v>1130</v>
      </c>
      <c r="CF99" t="s">
        <v>1191</v>
      </c>
      <c r="CG99" t="s">
        <v>1227</v>
      </c>
      <c r="CH99" t="s">
        <v>239</v>
      </c>
      <c r="CI99" t="s">
        <v>241</v>
      </c>
      <c r="CJ99" t="s">
        <v>805</v>
      </c>
      <c r="CK99" t="s">
        <v>806</v>
      </c>
    </row>
    <row r="100" spans="1:97">
      <c r="A100" s="40">
        <v>94</v>
      </c>
      <c r="B100" s="40" t="s">
        <v>533</v>
      </c>
      <c r="C100" s="2" t="s">
        <v>133</v>
      </c>
      <c r="D100" s="2" t="s">
        <v>10</v>
      </c>
      <c r="E100" s="2" t="s">
        <v>11</v>
      </c>
      <c r="F100" s="2">
        <v>60</v>
      </c>
      <c r="G100" s="2">
        <v>65</v>
      </c>
      <c r="H100" s="2">
        <v>60</v>
      </c>
      <c r="I100" s="2">
        <v>130</v>
      </c>
      <c r="J100" s="2">
        <v>75</v>
      </c>
      <c r="K100" s="2">
        <v>110</v>
      </c>
      <c r="L100" s="2">
        <v>500</v>
      </c>
      <c r="M100" s="2" t="s">
        <v>1201</v>
      </c>
      <c r="N100" s="2" t="s">
        <v>1061</v>
      </c>
      <c r="O100" t="s">
        <v>388</v>
      </c>
      <c r="P100" t="s">
        <v>511</v>
      </c>
      <c r="Q100" t="s">
        <v>778</v>
      </c>
      <c r="R100" t="s">
        <v>778</v>
      </c>
      <c r="S100" t="s">
        <v>787</v>
      </c>
      <c r="T100" t="s">
        <v>751</v>
      </c>
      <c r="U100" t="s">
        <v>528</v>
      </c>
      <c r="V100" t="s">
        <v>387</v>
      </c>
      <c r="W100" t="s">
        <v>1008</v>
      </c>
      <c r="X100" t="s">
        <v>1211</v>
      </c>
      <c r="Y100" t="s">
        <v>995</v>
      </c>
      <c r="Z100" t="s">
        <v>174</v>
      </c>
      <c r="AA100" t="s">
        <v>293</v>
      </c>
      <c r="AB100" t="s">
        <v>1157</v>
      </c>
      <c r="AC100" t="s">
        <v>793</v>
      </c>
      <c r="AD100" t="s">
        <v>1029</v>
      </c>
      <c r="AE100" t="s">
        <v>1217</v>
      </c>
      <c r="AF100" t="s">
        <v>1062</v>
      </c>
      <c r="AG100" t="s">
        <v>227</v>
      </c>
      <c r="AH100" t="s">
        <v>1063</v>
      </c>
      <c r="AI100" t="s">
        <v>148</v>
      </c>
      <c r="AJ100" t="s">
        <v>1077</v>
      </c>
      <c r="AK100" t="s">
        <v>172</v>
      </c>
      <c r="AL100" t="s">
        <v>752</v>
      </c>
      <c r="AM100" t="s">
        <v>1126</v>
      </c>
      <c r="AN100" t="s">
        <v>247</v>
      </c>
      <c r="AO100" t="s">
        <v>1078</v>
      </c>
      <c r="AP100" t="s">
        <v>766</v>
      </c>
      <c r="AQ100" t="s">
        <v>1079</v>
      </c>
      <c r="AR100" t="s">
        <v>146</v>
      </c>
      <c r="AS100" t="s">
        <v>321</v>
      </c>
      <c r="AT100" t="s">
        <v>1080</v>
      </c>
      <c r="AU100" t="s">
        <v>9</v>
      </c>
      <c r="AV100" t="s">
        <v>174</v>
      </c>
      <c r="AW100" t="s">
        <v>1094</v>
      </c>
      <c r="AX100" t="s">
        <v>230</v>
      </c>
      <c r="AY100" t="s">
        <v>1081</v>
      </c>
      <c r="AZ100" t="s">
        <v>951</v>
      </c>
      <c r="BA100" t="s">
        <v>917</v>
      </c>
      <c r="BB100" t="s">
        <v>231</v>
      </c>
      <c r="BC100" t="s">
        <v>1082</v>
      </c>
      <c r="BD100" t="s">
        <v>1117</v>
      </c>
      <c r="BE100" t="s">
        <v>1037</v>
      </c>
      <c r="BF100" t="s">
        <v>1102</v>
      </c>
      <c r="BG100" t="s">
        <v>970</v>
      </c>
      <c r="BH100" t="s">
        <v>974</v>
      </c>
      <c r="BI100" t="s">
        <v>956</v>
      </c>
      <c r="BJ100" t="s">
        <v>969</v>
      </c>
      <c r="BK100" t="s">
        <v>485</v>
      </c>
      <c r="BL100" t="s">
        <v>1005</v>
      </c>
      <c r="BM100" t="s">
        <v>995</v>
      </c>
      <c r="BN100" t="s">
        <v>976</v>
      </c>
      <c r="BO100" t="s">
        <v>785</v>
      </c>
      <c r="BP100" t="s">
        <v>2369</v>
      </c>
      <c r="BQ100" t="s">
        <v>997</v>
      </c>
      <c r="BR100" t="s">
        <v>293</v>
      </c>
      <c r="BS100" t="s">
        <v>756</v>
      </c>
      <c r="BT100" t="s">
        <v>757</v>
      </c>
      <c r="BU100" t="s">
        <v>233</v>
      </c>
      <c r="BV100" t="s">
        <v>1012</v>
      </c>
      <c r="BW100" t="s">
        <v>760</v>
      </c>
      <c r="BX100" t="s">
        <v>1157</v>
      </c>
      <c r="BY100" t="s">
        <v>2398</v>
      </c>
      <c r="BZ100" t="s">
        <v>2342</v>
      </c>
      <c r="CA100" t="s">
        <v>2339</v>
      </c>
      <c r="CB100" t="s">
        <v>234</v>
      </c>
      <c r="CC100" t="s">
        <v>137</v>
      </c>
      <c r="CD100" t="s">
        <v>274</v>
      </c>
      <c r="CE100" t="s">
        <v>147</v>
      </c>
      <c r="CF100" t="s">
        <v>340</v>
      </c>
      <c r="CG100" t="s">
        <v>272</v>
      </c>
      <c r="CH100" t="s">
        <v>530</v>
      </c>
      <c r="CI100" t="s">
        <v>529</v>
      </c>
      <c r="CJ100" t="s">
        <v>1092</v>
      </c>
      <c r="CK100" t="s">
        <v>786</v>
      </c>
      <c r="CL100" t="s">
        <v>923</v>
      </c>
      <c r="CM100" t="s">
        <v>1130</v>
      </c>
      <c r="CN100" t="s">
        <v>1191</v>
      </c>
      <c r="CO100" t="s">
        <v>1227</v>
      </c>
      <c r="CP100" t="s">
        <v>239</v>
      </c>
      <c r="CQ100" t="s">
        <v>241</v>
      </c>
      <c r="CR100" t="s">
        <v>805</v>
      </c>
      <c r="CS100" t="s">
        <v>806</v>
      </c>
    </row>
    <row r="101" spans="1:97">
      <c r="A101" s="40">
        <v>94.1</v>
      </c>
      <c r="B101" s="40" t="s">
        <v>2287</v>
      </c>
      <c r="C101" s="2" t="s">
        <v>2288</v>
      </c>
      <c r="D101" s="2" t="s">
        <v>10</v>
      </c>
      <c r="E101" s="2" t="s">
        <v>11</v>
      </c>
      <c r="F101" s="2">
        <v>60</v>
      </c>
      <c r="G101" s="2">
        <v>65</v>
      </c>
      <c r="H101" s="2">
        <v>80</v>
      </c>
      <c r="I101" s="2">
        <v>170</v>
      </c>
      <c r="J101" s="2">
        <v>95</v>
      </c>
      <c r="K101" s="2">
        <v>130</v>
      </c>
      <c r="L101" s="2">
        <v>600</v>
      </c>
      <c r="M101" s="2" t="s">
        <v>1484</v>
      </c>
      <c r="N101" s="2" t="s">
        <v>1061</v>
      </c>
      <c r="O101" t="s">
        <v>1062</v>
      </c>
      <c r="P101" t="s">
        <v>1063</v>
      </c>
      <c r="Q101" t="s">
        <v>2369</v>
      </c>
      <c r="R101" t="s">
        <v>757</v>
      </c>
      <c r="S101" t="s">
        <v>1157</v>
      </c>
      <c r="T101" t="s">
        <v>2398</v>
      </c>
      <c r="U101" t="s">
        <v>2342</v>
      </c>
      <c r="V101" t="s">
        <v>2339</v>
      </c>
      <c r="W101" t="s">
        <v>234</v>
      </c>
      <c r="X101" t="s">
        <v>239</v>
      </c>
      <c r="Y101" t="s">
        <v>241</v>
      </c>
      <c r="Z101" t="s">
        <v>805</v>
      </c>
      <c r="AA101" t="s">
        <v>806</v>
      </c>
    </row>
    <row r="102" spans="1:97">
      <c r="A102" s="40">
        <v>95</v>
      </c>
      <c r="B102" s="40" t="s">
        <v>534</v>
      </c>
      <c r="C102" s="2" t="s">
        <v>535</v>
      </c>
      <c r="D102" s="2" t="s">
        <v>25</v>
      </c>
      <c r="E102" s="2" t="s">
        <v>22</v>
      </c>
      <c r="F102" s="2">
        <v>35</v>
      </c>
      <c r="G102" s="2">
        <v>45</v>
      </c>
      <c r="H102" s="2">
        <v>160</v>
      </c>
      <c r="I102" s="2">
        <v>30</v>
      </c>
      <c r="J102" s="2">
        <v>45</v>
      </c>
      <c r="K102" s="2">
        <v>70</v>
      </c>
      <c r="L102" s="2">
        <v>385</v>
      </c>
      <c r="M102" s="2" t="s">
        <v>1129</v>
      </c>
      <c r="N102" s="2" t="s">
        <v>1061</v>
      </c>
      <c r="O102" t="s">
        <v>240</v>
      </c>
      <c r="P102" t="s">
        <v>219</v>
      </c>
      <c r="Q102" t="s">
        <v>284</v>
      </c>
      <c r="R102" t="s">
        <v>933</v>
      </c>
      <c r="S102" t="s">
        <v>751</v>
      </c>
      <c r="T102" t="s">
        <v>483</v>
      </c>
      <c r="U102" t="s">
        <v>304</v>
      </c>
      <c r="V102" t="s">
        <v>1095</v>
      </c>
      <c r="W102" t="s">
        <v>1007</v>
      </c>
      <c r="X102" t="s">
        <v>1003</v>
      </c>
      <c r="Y102" t="s">
        <v>1109</v>
      </c>
      <c r="Z102" t="s">
        <v>762</v>
      </c>
      <c r="AA102" t="s">
        <v>341</v>
      </c>
      <c r="AB102" t="s">
        <v>324</v>
      </c>
      <c r="AC102" t="s">
        <v>143</v>
      </c>
      <c r="AD102" t="s">
        <v>939</v>
      </c>
      <c r="AE102" t="s">
        <v>761</v>
      </c>
      <c r="AF102" t="s">
        <v>256</v>
      </c>
      <c r="AG102" t="s">
        <v>183</v>
      </c>
      <c r="AH102" t="s">
        <v>225</v>
      </c>
      <c r="AI102" t="s">
        <v>765</v>
      </c>
      <c r="AJ102" t="s">
        <v>1062</v>
      </c>
      <c r="AK102" t="s">
        <v>227</v>
      </c>
      <c r="AL102" t="s">
        <v>1063</v>
      </c>
      <c r="AM102" t="s">
        <v>246</v>
      </c>
      <c r="AN102" t="s">
        <v>148</v>
      </c>
      <c r="AO102" t="s">
        <v>172</v>
      </c>
      <c r="AP102" t="s">
        <v>752</v>
      </c>
      <c r="AQ102" t="s">
        <v>1126</v>
      </c>
      <c r="AR102" t="s">
        <v>1078</v>
      </c>
      <c r="AS102" t="s">
        <v>1079</v>
      </c>
      <c r="AT102" t="s">
        <v>1109</v>
      </c>
      <c r="AU102" t="s">
        <v>136</v>
      </c>
      <c r="AV102" t="s">
        <v>1080</v>
      </c>
      <c r="AW102" t="s">
        <v>256</v>
      </c>
      <c r="AX102" t="s">
        <v>230</v>
      </c>
      <c r="AY102" t="s">
        <v>765</v>
      </c>
      <c r="AZ102" t="s">
        <v>1095</v>
      </c>
      <c r="BA102" t="s">
        <v>951</v>
      </c>
      <c r="BB102" t="s">
        <v>917</v>
      </c>
      <c r="BC102" t="s">
        <v>231</v>
      </c>
      <c r="BD102" t="s">
        <v>1082</v>
      </c>
      <c r="BE102" t="s">
        <v>1037</v>
      </c>
      <c r="BF102" t="s">
        <v>485</v>
      </c>
      <c r="BG102" t="s">
        <v>995</v>
      </c>
      <c r="BH102" t="s">
        <v>1003</v>
      </c>
      <c r="BI102" t="s">
        <v>183</v>
      </c>
      <c r="BJ102" t="s">
        <v>980</v>
      </c>
      <c r="BK102" t="s">
        <v>785</v>
      </c>
      <c r="BL102" t="s">
        <v>1021</v>
      </c>
      <c r="BM102" t="s">
        <v>143</v>
      </c>
      <c r="BN102" t="s">
        <v>1022</v>
      </c>
      <c r="BO102" t="s">
        <v>756</v>
      </c>
      <c r="BP102" t="s">
        <v>757</v>
      </c>
      <c r="BQ102" t="s">
        <v>233</v>
      </c>
      <c r="BR102" t="s">
        <v>973</v>
      </c>
      <c r="BS102" t="s">
        <v>760</v>
      </c>
      <c r="BT102" t="s">
        <v>1087</v>
      </c>
      <c r="BU102" t="s">
        <v>2339</v>
      </c>
      <c r="BV102" t="s">
        <v>234</v>
      </c>
      <c r="BW102" t="s">
        <v>353</v>
      </c>
      <c r="BX102" t="s">
        <v>770</v>
      </c>
      <c r="BY102" t="s">
        <v>768</v>
      </c>
      <c r="BZ102" t="s">
        <v>911</v>
      </c>
      <c r="CA102" t="s">
        <v>1196</v>
      </c>
      <c r="CB102" t="s">
        <v>1002</v>
      </c>
      <c r="CC102" t="s">
        <v>1007</v>
      </c>
      <c r="CD102" t="s">
        <v>184</v>
      </c>
      <c r="CE102" t="s">
        <v>239</v>
      </c>
      <c r="CF102" t="s">
        <v>241</v>
      </c>
      <c r="CG102" t="s">
        <v>805</v>
      </c>
      <c r="CH102" t="s">
        <v>806</v>
      </c>
    </row>
    <row r="103" spans="1:97">
      <c r="A103" s="40">
        <v>96</v>
      </c>
      <c r="B103" s="40" t="s">
        <v>536</v>
      </c>
      <c r="C103" s="2" t="s">
        <v>537</v>
      </c>
      <c r="D103" s="2" t="s">
        <v>9</v>
      </c>
      <c r="E103" s="2"/>
      <c r="F103" s="2">
        <v>60</v>
      </c>
      <c r="G103" s="2">
        <v>48</v>
      </c>
      <c r="H103" s="2">
        <v>45</v>
      </c>
      <c r="I103" s="2">
        <v>43</v>
      </c>
      <c r="J103" s="2">
        <v>90</v>
      </c>
      <c r="K103" s="2">
        <v>42</v>
      </c>
      <c r="L103" s="2">
        <v>328</v>
      </c>
      <c r="M103" s="2" t="s">
        <v>1090</v>
      </c>
      <c r="N103" s="2" t="s">
        <v>1061</v>
      </c>
      <c r="O103" t="s">
        <v>376</v>
      </c>
      <c r="P103" t="s">
        <v>388</v>
      </c>
      <c r="Q103" t="s">
        <v>340</v>
      </c>
      <c r="R103" t="s">
        <v>287</v>
      </c>
      <c r="S103" t="s">
        <v>420</v>
      </c>
      <c r="T103" t="s">
        <v>516</v>
      </c>
      <c r="U103" t="s">
        <v>437</v>
      </c>
      <c r="V103" t="s">
        <v>292</v>
      </c>
      <c r="W103" t="s">
        <v>420</v>
      </c>
      <c r="X103" t="s">
        <v>785</v>
      </c>
      <c r="Y103" t="s">
        <v>1043</v>
      </c>
      <c r="Z103" t="s">
        <v>1019</v>
      </c>
      <c r="AA103" t="s">
        <v>756</v>
      </c>
      <c r="AB103" t="s">
        <v>9</v>
      </c>
      <c r="AC103" t="s">
        <v>991</v>
      </c>
      <c r="AD103" t="s">
        <v>1151</v>
      </c>
      <c r="AE103" t="s">
        <v>790</v>
      </c>
      <c r="AF103" t="s">
        <v>1062</v>
      </c>
      <c r="AG103" t="s">
        <v>1063</v>
      </c>
      <c r="AH103" t="s">
        <v>1151</v>
      </c>
      <c r="AI103" t="s">
        <v>912</v>
      </c>
      <c r="AJ103" t="s">
        <v>148</v>
      </c>
      <c r="AK103" t="s">
        <v>172</v>
      </c>
      <c r="AL103" t="s">
        <v>752</v>
      </c>
      <c r="AM103" t="s">
        <v>1126</v>
      </c>
      <c r="AN103" t="s">
        <v>228</v>
      </c>
      <c r="AO103" t="s">
        <v>1078</v>
      </c>
      <c r="AP103" t="s">
        <v>766</v>
      </c>
      <c r="AQ103" t="s">
        <v>759</v>
      </c>
      <c r="AR103" t="s">
        <v>1079</v>
      </c>
      <c r="AS103" t="s">
        <v>1080</v>
      </c>
      <c r="AT103" t="s">
        <v>9</v>
      </c>
      <c r="AU103" t="s">
        <v>174</v>
      </c>
      <c r="AV103" t="s">
        <v>1094</v>
      </c>
      <c r="AW103" t="s">
        <v>230</v>
      </c>
      <c r="AX103" t="s">
        <v>380</v>
      </c>
      <c r="AY103" t="s">
        <v>951</v>
      </c>
      <c r="AZ103" t="s">
        <v>917</v>
      </c>
      <c r="BA103" t="s">
        <v>231</v>
      </c>
      <c r="BB103" t="s">
        <v>1082</v>
      </c>
      <c r="BC103" t="s">
        <v>1117</v>
      </c>
      <c r="BD103" t="s">
        <v>1172</v>
      </c>
      <c r="BE103" t="s">
        <v>1037</v>
      </c>
      <c r="BF103" t="s">
        <v>974</v>
      </c>
      <c r="BG103" t="s">
        <v>232</v>
      </c>
      <c r="BH103" t="s">
        <v>322</v>
      </c>
      <c r="BI103" t="s">
        <v>785</v>
      </c>
      <c r="BJ103" t="s">
        <v>293</v>
      </c>
      <c r="BK103" t="s">
        <v>977</v>
      </c>
      <c r="BL103" t="s">
        <v>756</v>
      </c>
      <c r="BM103" t="s">
        <v>757</v>
      </c>
      <c r="BN103" t="s">
        <v>233</v>
      </c>
      <c r="BO103" t="s">
        <v>1012</v>
      </c>
      <c r="BP103" t="s">
        <v>2398</v>
      </c>
      <c r="BQ103" t="s">
        <v>2342</v>
      </c>
      <c r="BR103" t="s">
        <v>2339</v>
      </c>
      <c r="BS103" t="s">
        <v>234</v>
      </c>
      <c r="BT103" t="s">
        <v>137</v>
      </c>
      <c r="BU103" t="s">
        <v>274</v>
      </c>
      <c r="BV103" t="s">
        <v>147</v>
      </c>
      <c r="BW103" t="s">
        <v>455</v>
      </c>
      <c r="BX103" t="s">
        <v>919</v>
      </c>
      <c r="BY103" t="s">
        <v>938</v>
      </c>
      <c r="BZ103" t="s">
        <v>1166</v>
      </c>
      <c r="CA103" t="s">
        <v>941</v>
      </c>
      <c r="CB103" t="s">
        <v>940</v>
      </c>
      <c r="CC103" t="s">
        <v>1183</v>
      </c>
      <c r="CD103" t="s">
        <v>991</v>
      </c>
      <c r="CE103" t="s">
        <v>1000</v>
      </c>
      <c r="CF103" t="s">
        <v>239</v>
      </c>
      <c r="CG103" t="s">
        <v>241</v>
      </c>
      <c r="CH103" t="s">
        <v>805</v>
      </c>
      <c r="CI103" t="s">
        <v>806</v>
      </c>
    </row>
    <row r="104" spans="1:97">
      <c r="A104" s="40">
        <v>97</v>
      </c>
      <c r="B104" s="40" t="s">
        <v>538</v>
      </c>
      <c r="C104" s="2" t="s">
        <v>539</v>
      </c>
      <c r="D104" s="2" t="s">
        <v>9</v>
      </c>
      <c r="E104" s="2"/>
      <c r="F104" s="2">
        <v>85</v>
      </c>
      <c r="G104" s="2">
        <v>73</v>
      </c>
      <c r="H104" s="2">
        <v>70</v>
      </c>
      <c r="I104" s="2">
        <v>73</v>
      </c>
      <c r="J104" s="2">
        <v>115</v>
      </c>
      <c r="K104" s="2">
        <v>67</v>
      </c>
      <c r="L104" s="2">
        <v>483</v>
      </c>
      <c r="M104" s="2" t="s">
        <v>1161</v>
      </c>
      <c r="N104" s="2" t="s">
        <v>1061</v>
      </c>
      <c r="O104" t="s">
        <v>376</v>
      </c>
      <c r="P104" t="s">
        <v>340</v>
      </c>
      <c r="Q104" t="s">
        <v>287</v>
      </c>
      <c r="R104" t="s">
        <v>388</v>
      </c>
      <c r="S104" t="s">
        <v>1217</v>
      </c>
      <c r="T104" t="s">
        <v>1136</v>
      </c>
      <c r="U104" t="s">
        <v>340</v>
      </c>
      <c r="V104" t="s">
        <v>287</v>
      </c>
      <c r="W104" t="s">
        <v>420</v>
      </c>
      <c r="X104" t="s">
        <v>516</v>
      </c>
      <c r="Y104" t="s">
        <v>437</v>
      </c>
      <c r="Z104" t="s">
        <v>292</v>
      </c>
      <c r="AA104" t="s">
        <v>420</v>
      </c>
      <c r="AB104" t="s">
        <v>785</v>
      </c>
      <c r="AC104" t="s">
        <v>1043</v>
      </c>
      <c r="AD104" t="s">
        <v>1019</v>
      </c>
      <c r="AE104" t="s">
        <v>756</v>
      </c>
      <c r="AF104" t="s">
        <v>9</v>
      </c>
      <c r="AG104" t="s">
        <v>991</v>
      </c>
      <c r="AH104" t="s">
        <v>1151</v>
      </c>
      <c r="AI104" t="s">
        <v>790</v>
      </c>
      <c r="AJ104" t="s">
        <v>1062</v>
      </c>
      <c r="AK104" t="s">
        <v>1063</v>
      </c>
      <c r="AL104" t="s">
        <v>1151</v>
      </c>
      <c r="AM104" t="s">
        <v>912</v>
      </c>
      <c r="AN104" t="s">
        <v>148</v>
      </c>
      <c r="AO104" t="s">
        <v>172</v>
      </c>
      <c r="AP104" t="s">
        <v>752</v>
      </c>
      <c r="AQ104" t="s">
        <v>1126</v>
      </c>
      <c r="AR104" t="s">
        <v>247</v>
      </c>
      <c r="AS104" t="s">
        <v>228</v>
      </c>
      <c r="AT104" t="s">
        <v>1078</v>
      </c>
      <c r="AU104" t="s">
        <v>766</v>
      </c>
      <c r="AV104" t="s">
        <v>759</v>
      </c>
      <c r="AW104" t="s">
        <v>1079</v>
      </c>
      <c r="AX104" t="s">
        <v>1080</v>
      </c>
      <c r="AY104" t="s">
        <v>9</v>
      </c>
      <c r="AZ104" t="s">
        <v>174</v>
      </c>
      <c r="BA104" t="s">
        <v>1094</v>
      </c>
      <c r="BB104" t="s">
        <v>230</v>
      </c>
      <c r="BC104" t="s">
        <v>380</v>
      </c>
      <c r="BD104" t="s">
        <v>951</v>
      </c>
      <c r="BE104" t="s">
        <v>917</v>
      </c>
      <c r="BF104" t="s">
        <v>231</v>
      </c>
      <c r="BG104" t="s">
        <v>1082</v>
      </c>
      <c r="BH104" t="s">
        <v>1117</v>
      </c>
      <c r="BI104" t="s">
        <v>1172</v>
      </c>
      <c r="BJ104" t="s">
        <v>1037</v>
      </c>
      <c r="BK104" t="s">
        <v>1102</v>
      </c>
      <c r="BL104" t="s">
        <v>974</v>
      </c>
      <c r="BM104" t="s">
        <v>976</v>
      </c>
      <c r="BN104" t="s">
        <v>232</v>
      </c>
      <c r="BO104" t="s">
        <v>322</v>
      </c>
      <c r="BP104" t="s">
        <v>785</v>
      </c>
      <c r="BQ104" t="s">
        <v>293</v>
      </c>
      <c r="BR104" t="s">
        <v>977</v>
      </c>
      <c r="BS104" t="s">
        <v>756</v>
      </c>
      <c r="BT104" t="s">
        <v>757</v>
      </c>
      <c r="BU104" t="s">
        <v>233</v>
      </c>
      <c r="BV104" t="s">
        <v>1012</v>
      </c>
      <c r="BW104" t="s">
        <v>2398</v>
      </c>
      <c r="BX104" t="s">
        <v>2342</v>
      </c>
      <c r="BY104" t="s">
        <v>2339</v>
      </c>
      <c r="BZ104" t="s">
        <v>234</v>
      </c>
      <c r="CA104" t="s">
        <v>137</v>
      </c>
      <c r="CB104" t="s">
        <v>274</v>
      </c>
      <c r="CC104" t="s">
        <v>147</v>
      </c>
      <c r="CD104" t="s">
        <v>455</v>
      </c>
      <c r="CE104" t="s">
        <v>919</v>
      </c>
      <c r="CF104" t="s">
        <v>938</v>
      </c>
      <c r="CG104" t="s">
        <v>1166</v>
      </c>
      <c r="CH104" t="s">
        <v>941</v>
      </c>
      <c r="CI104" t="s">
        <v>940</v>
      </c>
      <c r="CJ104" t="s">
        <v>1183</v>
      </c>
      <c r="CK104" t="s">
        <v>991</v>
      </c>
      <c r="CL104" t="s">
        <v>1000</v>
      </c>
      <c r="CM104" t="s">
        <v>239</v>
      </c>
      <c r="CN104" t="s">
        <v>241</v>
      </c>
      <c r="CO104" t="s">
        <v>805</v>
      </c>
      <c r="CP104" t="s">
        <v>806</v>
      </c>
    </row>
    <row r="105" spans="1:97">
      <c r="A105" s="40">
        <v>98</v>
      </c>
      <c r="B105" s="40" t="s">
        <v>540</v>
      </c>
      <c r="C105" s="2" t="s">
        <v>541</v>
      </c>
      <c r="D105" s="2" t="s">
        <v>27</v>
      </c>
      <c r="E105" s="2"/>
      <c r="F105" s="2">
        <v>30</v>
      </c>
      <c r="G105" s="2">
        <v>105</v>
      </c>
      <c r="H105" s="2">
        <v>90</v>
      </c>
      <c r="I105" s="2">
        <v>25</v>
      </c>
      <c r="J105" s="2">
        <v>25</v>
      </c>
      <c r="K105" s="2">
        <v>50</v>
      </c>
      <c r="L105" s="2">
        <v>325</v>
      </c>
      <c r="M105" s="2" t="s">
        <v>1074</v>
      </c>
      <c r="N105" s="2" t="s">
        <v>1061</v>
      </c>
      <c r="O105" t="s">
        <v>267</v>
      </c>
      <c r="P105" t="s">
        <v>933</v>
      </c>
      <c r="Q105" t="s">
        <v>542</v>
      </c>
      <c r="R105" t="s">
        <v>330</v>
      </c>
      <c r="S105" t="s">
        <v>284</v>
      </c>
      <c r="T105" t="s">
        <v>446</v>
      </c>
      <c r="U105" t="s">
        <v>1144</v>
      </c>
      <c r="V105" t="s">
        <v>783</v>
      </c>
      <c r="W105" t="s">
        <v>493</v>
      </c>
      <c r="X105" t="s">
        <v>1078</v>
      </c>
      <c r="Y105" t="s">
        <v>543</v>
      </c>
      <c r="Z105" t="s">
        <v>341</v>
      </c>
      <c r="AA105" t="s">
        <v>961</v>
      </c>
      <c r="AB105" t="s">
        <v>544</v>
      </c>
      <c r="AC105" t="s">
        <v>770</v>
      </c>
      <c r="AD105" t="s">
        <v>1062</v>
      </c>
      <c r="AE105" t="s">
        <v>226</v>
      </c>
      <c r="AF105" t="s">
        <v>144</v>
      </c>
      <c r="AG105" t="s">
        <v>227</v>
      </c>
      <c r="AH105" t="s">
        <v>914</v>
      </c>
      <c r="AI105" t="s">
        <v>1063</v>
      </c>
      <c r="AJ105" t="s">
        <v>1030</v>
      </c>
      <c r="AK105" t="s">
        <v>148</v>
      </c>
      <c r="AL105" t="s">
        <v>1104</v>
      </c>
      <c r="AM105" t="s">
        <v>172</v>
      </c>
      <c r="AN105" t="s">
        <v>141</v>
      </c>
      <c r="AO105" t="s">
        <v>271</v>
      </c>
      <c r="AP105" t="s">
        <v>1078</v>
      </c>
      <c r="AQ105" t="s">
        <v>766</v>
      </c>
      <c r="AR105" t="s">
        <v>1079</v>
      </c>
      <c r="AS105" t="s">
        <v>1080</v>
      </c>
      <c r="AT105" t="s">
        <v>256</v>
      </c>
      <c r="AU105" t="s">
        <v>1094</v>
      </c>
      <c r="AV105" t="s">
        <v>230</v>
      </c>
      <c r="AW105" t="s">
        <v>1095</v>
      </c>
      <c r="AX105" t="s">
        <v>917</v>
      </c>
      <c r="AY105" t="s">
        <v>231</v>
      </c>
      <c r="AZ105" t="s">
        <v>1082</v>
      </c>
      <c r="BA105" t="s">
        <v>1117</v>
      </c>
      <c r="BB105" t="s">
        <v>1037</v>
      </c>
      <c r="BC105" t="s">
        <v>776</v>
      </c>
      <c r="BD105" t="s">
        <v>1038</v>
      </c>
      <c r="BE105" t="s">
        <v>974</v>
      </c>
      <c r="BF105" t="s">
        <v>145</v>
      </c>
      <c r="BG105" t="s">
        <v>143</v>
      </c>
      <c r="BH105" t="s">
        <v>1018</v>
      </c>
      <c r="BI105" t="s">
        <v>756</v>
      </c>
      <c r="BJ105" t="s">
        <v>757</v>
      </c>
      <c r="BK105" t="s">
        <v>233</v>
      </c>
      <c r="BL105" t="s">
        <v>760</v>
      </c>
      <c r="BM105" t="s">
        <v>2339</v>
      </c>
      <c r="BN105" t="s">
        <v>234</v>
      </c>
      <c r="BO105" t="s">
        <v>341</v>
      </c>
      <c r="BP105" t="s">
        <v>306</v>
      </c>
      <c r="BQ105" t="s">
        <v>272</v>
      </c>
      <c r="BR105" t="s">
        <v>347</v>
      </c>
      <c r="BS105" t="s">
        <v>235</v>
      </c>
      <c r="BT105" t="s">
        <v>770</v>
      </c>
      <c r="BU105" t="s">
        <v>754</v>
      </c>
      <c r="BV105" t="s">
        <v>170</v>
      </c>
      <c r="BW105" t="s">
        <v>928</v>
      </c>
      <c r="BX105" t="s">
        <v>950</v>
      </c>
      <c r="BY105" t="s">
        <v>1142</v>
      </c>
      <c r="BZ105" t="s">
        <v>239</v>
      </c>
      <c r="CA105" t="s">
        <v>241</v>
      </c>
      <c r="CB105" t="s">
        <v>805</v>
      </c>
      <c r="CC105" t="s">
        <v>806</v>
      </c>
    </row>
    <row r="106" spans="1:97">
      <c r="A106" s="40">
        <v>99</v>
      </c>
      <c r="B106" s="40" t="s">
        <v>545</v>
      </c>
      <c r="C106" s="2" t="s">
        <v>546</v>
      </c>
      <c r="D106" s="2" t="s">
        <v>27</v>
      </c>
      <c r="E106" s="2"/>
      <c r="F106" s="2">
        <v>55</v>
      </c>
      <c r="G106" s="2">
        <v>130</v>
      </c>
      <c r="H106" s="2">
        <v>115</v>
      </c>
      <c r="I106" s="2">
        <v>50</v>
      </c>
      <c r="J106" s="2">
        <v>50</v>
      </c>
      <c r="K106" s="2">
        <v>75</v>
      </c>
      <c r="L106" s="2">
        <v>475</v>
      </c>
      <c r="M106" s="2" t="s">
        <v>1090</v>
      </c>
      <c r="N106" s="2" t="s">
        <v>1061</v>
      </c>
      <c r="O106" t="s">
        <v>542</v>
      </c>
      <c r="P106" t="s">
        <v>330</v>
      </c>
      <c r="Q106" t="s">
        <v>267</v>
      </c>
      <c r="R106" t="s">
        <v>933</v>
      </c>
      <c r="S106" t="s">
        <v>1187</v>
      </c>
      <c r="T106" t="s">
        <v>542</v>
      </c>
      <c r="U106" t="s">
        <v>330</v>
      </c>
      <c r="V106" t="s">
        <v>284</v>
      </c>
      <c r="W106" t="s">
        <v>446</v>
      </c>
      <c r="X106" t="s">
        <v>1144</v>
      </c>
      <c r="Y106" t="s">
        <v>783</v>
      </c>
      <c r="Z106" t="s">
        <v>493</v>
      </c>
      <c r="AA106" t="s">
        <v>1078</v>
      </c>
      <c r="AB106" t="s">
        <v>543</v>
      </c>
      <c r="AC106" t="s">
        <v>341</v>
      </c>
      <c r="AD106" t="s">
        <v>961</v>
      </c>
      <c r="AE106" t="s">
        <v>544</v>
      </c>
      <c r="AF106" t="s">
        <v>770</v>
      </c>
      <c r="AG106" t="s">
        <v>1062</v>
      </c>
      <c r="AH106" t="s">
        <v>226</v>
      </c>
      <c r="AI106" t="s">
        <v>144</v>
      </c>
      <c r="AJ106" t="s">
        <v>227</v>
      </c>
      <c r="AK106" t="s">
        <v>914</v>
      </c>
      <c r="AL106" t="s">
        <v>1063</v>
      </c>
      <c r="AM106" t="s">
        <v>1030</v>
      </c>
      <c r="AN106" t="s">
        <v>148</v>
      </c>
      <c r="AO106" t="s">
        <v>1104</v>
      </c>
      <c r="AP106" t="s">
        <v>172</v>
      </c>
      <c r="AQ106" t="s">
        <v>141</v>
      </c>
      <c r="AR106" t="s">
        <v>271</v>
      </c>
      <c r="AS106" t="s">
        <v>247</v>
      </c>
      <c r="AT106" t="s">
        <v>1078</v>
      </c>
      <c r="AU106" t="s">
        <v>766</v>
      </c>
      <c r="AV106" t="s">
        <v>1079</v>
      </c>
      <c r="AW106" t="s">
        <v>1080</v>
      </c>
      <c r="AX106" t="s">
        <v>256</v>
      </c>
      <c r="AY106" t="s">
        <v>1094</v>
      </c>
      <c r="AZ106" t="s">
        <v>230</v>
      </c>
      <c r="BA106" t="s">
        <v>1095</v>
      </c>
      <c r="BB106" t="s">
        <v>917</v>
      </c>
      <c r="BC106" t="s">
        <v>231</v>
      </c>
      <c r="BD106" t="s">
        <v>1082</v>
      </c>
      <c r="BE106" t="s">
        <v>1117</v>
      </c>
      <c r="BF106" t="s">
        <v>1037</v>
      </c>
      <c r="BG106" t="s">
        <v>776</v>
      </c>
      <c r="BH106" t="s">
        <v>1038</v>
      </c>
      <c r="BI106" t="s">
        <v>974</v>
      </c>
      <c r="BJ106" t="s">
        <v>1034</v>
      </c>
      <c r="BK106" t="s">
        <v>976</v>
      </c>
      <c r="BL106" t="s">
        <v>145</v>
      </c>
      <c r="BM106" t="s">
        <v>143</v>
      </c>
      <c r="BN106" t="s">
        <v>1018</v>
      </c>
      <c r="BO106" t="s">
        <v>756</v>
      </c>
      <c r="BP106" t="s">
        <v>757</v>
      </c>
      <c r="BQ106" t="s">
        <v>233</v>
      </c>
      <c r="BR106" t="s">
        <v>760</v>
      </c>
      <c r="BS106" t="s">
        <v>2339</v>
      </c>
      <c r="BT106" t="s">
        <v>234</v>
      </c>
      <c r="BU106" t="s">
        <v>341</v>
      </c>
      <c r="BV106" t="s">
        <v>306</v>
      </c>
      <c r="BW106" t="s">
        <v>272</v>
      </c>
      <c r="BX106" t="s">
        <v>347</v>
      </c>
      <c r="BY106" t="s">
        <v>235</v>
      </c>
      <c r="BZ106" t="s">
        <v>770</v>
      </c>
      <c r="CA106" t="s">
        <v>754</v>
      </c>
      <c r="CB106" t="s">
        <v>170</v>
      </c>
      <c r="CC106" t="s">
        <v>928</v>
      </c>
      <c r="CD106" t="s">
        <v>950</v>
      </c>
      <c r="CE106" t="s">
        <v>1142</v>
      </c>
      <c r="CF106" t="s">
        <v>239</v>
      </c>
      <c r="CG106" t="s">
        <v>241</v>
      </c>
      <c r="CH106" t="s">
        <v>805</v>
      </c>
      <c r="CI106" t="s">
        <v>806</v>
      </c>
    </row>
    <row r="107" spans="1:97">
      <c r="A107" s="40">
        <v>100</v>
      </c>
      <c r="B107" s="40" t="s">
        <v>547</v>
      </c>
      <c r="C107" s="2" t="s">
        <v>548</v>
      </c>
      <c r="D107" s="2" t="s">
        <v>17</v>
      </c>
      <c r="E107" s="2"/>
      <c r="F107" s="2">
        <v>40</v>
      </c>
      <c r="G107" s="2">
        <v>30</v>
      </c>
      <c r="H107" s="2">
        <v>50</v>
      </c>
      <c r="I107" s="2">
        <v>55</v>
      </c>
      <c r="J107" s="2">
        <v>55</v>
      </c>
      <c r="K107" s="2">
        <v>100</v>
      </c>
      <c r="L107" s="2">
        <v>330</v>
      </c>
      <c r="M107" s="2" t="s">
        <v>1065</v>
      </c>
      <c r="N107" s="2" t="s">
        <v>1061</v>
      </c>
      <c r="O107" t="s">
        <v>1140</v>
      </c>
      <c r="P107" t="s">
        <v>219</v>
      </c>
      <c r="Q107" t="s">
        <v>502</v>
      </c>
      <c r="R107" t="s">
        <v>2346</v>
      </c>
      <c r="S107" t="s">
        <v>1203</v>
      </c>
      <c r="T107" t="s">
        <v>768</v>
      </c>
      <c r="U107" t="s">
        <v>324</v>
      </c>
      <c r="V107" t="s">
        <v>963</v>
      </c>
      <c r="W107" t="s">
        <v>228</v>
      </c>
      <c r="X107" t="s">
        <v>1023</v>
      </c>
      <c r="Y107" t="s">
        <v>484</v>
      </c>
      <c r="Z107" t="s">
        <v>354</v>
      </c>
      <c r="AA107" t="s">
        <v>988</v>
      </c>
      <c r="AB107" t="s">
        <v>980</v>
      </c>
      <c r="AC107" t="s">
        <v>485</v>
      </c>
      <c r="AD107" t="s">
        <v>772</v>
      </c>
      <c r="AE107" t="s">
        <v>1062</v>
      </c>
      <c r="AF107" t="s">
        <v>1063</v>
      </c>
      <c r="AG107" t="s">
        <v>148</v>
      </c>
      <c r="AH107" t="s">
        <v>172</v>
      </c>
      <c r="AI107" t="s">
        <v>1126</v>
      </c>
      <c r="AJ107" t="s">
        <v>228</v>
      </c>
      <c r="AK107" t="s">
        <v>1078</v>
      </c>
      <c r="AL107" t="s">
        <v>766</v>
      </c>
      <c r="AM107" t="s">
        <v>1079</v>
      </c>
      <c r="AN107" t="s">
        <v>146</v>
      </c>
      <c r="AO107" t="s">
        <v>321</v>
      </c>
      <c r="AP107" t="s">
        <v>1080</v>
      </c>
      <c r="AQ107" t="s">
        <v>230</v>
      </c>
      <c r="AR107" t="s">
        <v>951</v>
      </c>
      <c r="AS107" t="s">
        <v>917</v>
      </c>
      <c r="AT107" t="s">
        <v>231</v>
      </c>
      <c r="AU107" t="s">
        <v>1117</v>
      </c>
      <c r="AV107" t="s">
        <v>1037</v>
      </c>
      <c r="AW107" t="s">
        <v>963</v>
      </c>
      <c r="AX107" t="s">
        <v>485</v>
      </c>
      <c r="AY107" t="s">
        <v>232</v>
      </c>
      <c r="AZ107" t="s">
        <v>1045</v>
      </c>
      <c r="BA107" t="s">
        <v>322</v>
      </c>
      <c r="BB107" t="s">
        <v>980</v>
      </c>
      <c r="BC107" t="s">
        <v>756</v>
      </c>
      <c r="BD107" t="s">
        <v>757</v>
      </c>
      <c r="BE107" t="s">
        <v>233</v>
      </c>
      <c r="BF107" t="s">
        <v>1047</v>
      </c>
      <c r="BG107" t="s">
        <v>2339</v>
      </c>
      <c r="BH107" t="s">
        <v>234</v>
      </c>
      <c r="BI107" t="s">
        <v>239</v>
      </c>
      <c r="BJ107" t="s">
        <v>241</v>
      </c>
      <c r="BK107" t="s">
        <v>805</v>
      </c>
      <c r="BL107" t="s">
        <v>806</v>
      </c>
    </row>
    <row r="108" spans="1:97">
      <c r="A108" s="40">
        <v>101</v>
      </c>
      <c r="B108" s="40" t="s">
        <v>549</v>
      </c>
      <c r="C108" s="2" t="s">
        <v>550</v>
      </c>
      <c r="D108" s="2" t="s">
        <v>17</v>
      </c>
      <c r="E108" s="2"/>
      <c r="F108" s="2">
        <v>60</v>
      </c>
      <c r="G108" s="2">
        <v>50</v>
      </c>
      <c r="H108" s="2">
        <v>70</v>
      </c>
      <c r="I108" s="2">
        <v>80</v>
      </c>
      <c r="J108" s="2">
        <v>80</v>
      </c>
      <c r="K108" s="2">
        <v>140</v>
      </c>
      <c r="L108" s="2">
        <v>480</v>
      </c>
      <c r="M108" s="2" t="s">
        <v>1199</v>
      </c>
      <c r="N108" s="2" t="s">
        <v>1061</v>
      </c>
      <c r="O108" t="s">
        <v>219</v>
      </c>
      <c r="P108" t="s">
        <v>502</v>
      </c>
      <c r="Q108" t="s">
        <v>1203</v>
      </c>
      <c r="R108" t="s">
        <v>1140</v>
      </c>
      <c r="S108" t="s">
        <v>2375</v>
      </c>
      <c r="T108" t="s">
        <v>219</v>
      </c>
      <c r="U108" t="s">
        <v>502</v>
      </c>
      <c r="V108" t="s">
        <v>2346</v>
      </c>
      <c r="W108" t="s">
        <v>1203</v>
      </c>
      <c r="X108" t="s">
        <v>768</v>
      </c>
      <c r="Y108" t="s">
        <v>324</v>
      </c>
      <c r="Z108" t="s">
        <v>963</v>
      </c>
      <c r="AA108" t="s">
        <v>228</v>
      </c>
      <c r="AB108" t="s">
        <v>1023</v>
      </c>
      <c r="AC108" t="s">
        <v>484</v>
      </c>
      <c r="AD108" t="s">
        <v>354</v>
      </c>
      <c r="AE108" t="s">
        <v>988</v>
      </c>
      <c r="AF108" t="s">
        <v>980</v>
      </c>
      <c r="AG108" t="s">
        <v>485</v>
      </c>
      <c r="AH108" t="s">
        <v>772</v>
      </c>
      <c r="AI108" t="s">
        <v>1062</v>
      </c>
      <c r="AJ108" t="s">
        <v>1063</v>
      </c>
      <c r="AK108" t="s">
        <v>148</v>
      </c>
      <c r="AL108" t="s">
        <v>172</v>
      </c>
      <c r="AM108" t="s">
        <v>1126</v>
      </c>
      <c r="AN108" t="s">
        <v>247</v>
      </c>
      <c r="AO108" t="s">
        <v>228</v>
      </c>
      <c r="AP108" t="s">
        <v>1078</v>
      </c>
      <c r="AQ108" t="s">
        <v>766</v>
      </c>
      <c r="AR108" t="s">
        <v>1079</v>
      </c>
      <c r="AS108" t="s">
        <v>146</v>
      </c>
      <c r="AT108" t="s">
        <v>321</v>
      </c>
      <c r="AU108" t="s">
        <v>1080</v>
      </c>
      <c r="AV108" t="s">
        <v>230</v>
      </c>
      <c r="AW108" t="s">
        <v>951</v>
      </c>
      <c r="AX108" t="s">
        <v>917</v>
      </c>
      <c r="AY108" t="s">
        <v>231</v>
      </c>
      <c r="AZ108" t="s">
        <v>1117</v>
      </c>
      <c r="BA108" t="s">
        <v>1037</v>
      </c>
      <c r="BB108" t="s">
        <v>963</v>
      </c>
      <c r="BC108" t="s">
        <v>485</v>
      </c>
      <c r="BD108" t="s">
        <v>976</v>
      </c>
      <c r="BE108" t="s">
        <v>232</v>
      </c>
      <c r="BF108" t="s">
        <v>1045</v>
      </c>
      <c r="BG108" t="s">
        <v>322</v>
      </c>
      <c r="BH108" t="s">
        <v>980</v>
      </c>
      <c r="BI108" t="s">
        <v>756</v>
      </c>
      <c r="BJ108" t="s">
        <v>757</v>
      </c>
      <c r="BK108" t="s">
        <v>233</v>
      </c>
      <c r="BL108" t="s">
        <v>1047</v>
      </c>
      <c r="BM108" t="s">
        <v>2339</v>
      </c>
      <c r="BN108" t="s">
        <v>234</v>
      </c>
      <c r="BO108" t="s">
        <v>239</v>
      </c>
      <c r="BP108" t="s">
        <v>241</v>
      </c>
      <c r="BQ108" t="s">
        <v>805</v>
      </c>
      <c r="BR108" t="s">
        <v>806</v>
      </c>
    </row>
    <row r="109" spans="1:97">
      <c r="A109" s="40">
        <v>102</v>
      </c>
      <c r="B109" s="40" t="s">
        <v>551</v>
      </c>
      <c r="C109" s="2" t="s">
        <v>552</v>
      </c>
      <c r="D109" s="2" t="s">
        <v>21</v>
      </c>
      <c r="E109" s="2" t="s">
        <v>9</v>
      </c>
      <c r="F109" s="2">
        <v>60</v>
      </c>
      <c r="G109" s="2">
        <v>40</v>
      </c>
      <c r="H109" s="2">
        <v>80</v>
      </c>
      <c r="I109" s="2">
        <v>60</v>
      </c>
      <c r="J109" s="2">
        <v>45</v>
      </c>
      <c r="K109" s="2">
        <v>40</v>
      </c>
      <c r="L109" s="2">
        <v>325</v>
      </c>
      <c r="M109" s="2" t="s">
        <v>1177</v>
      </c>
      <c r="N109" s="2" t="s">
        <v>1061</v>
      </c>
      <c r="O109" t="s">
        <v>388</v>
      </c>
      <c r="P109" t="s">
        <v>553</v>
      </c>
      <c r="Q109" t="s">
        <v>953</v>
      </c>
      <c r="R109" t="s">
        <v>380</v>
      </c>
      <c r="S109" t="s">
        <v>142</v>
      </c>
      <c r="T109" t="s">
        <v>1190</v>
      </c>
      <c r="U109" t="s">
        <v>288</v>
      </c>
      <c r="V109" t="s">
        <v>221</v>
      </c>
      <c r="W109" t="s">
        <v>222</v>
      </c>
      <c r="X109" t="s">
        <v>287</v>
      </c>
      <c r="Y109" t="s">
        <v>1017</v>
      </c>
      <c r="Z109" t="s">
        <v>992</v>
      </c>
      <c r="AA109" t="s">
        <v>229</v>
      </c>
      <c r="AB109" t="s">
        <v>1154</v>
      </c>
      <c r="AC109" t="s">
        <v>1139</v>
      </c>
      <c r="AD109" t="s">
        <v>1062</v>
      </c>
      <c r="AE109" t="s">
        <v>227</v>
      </c>
      <c r="AF109" t="s">
        <v>1063</v>
      </c>
      <c r="AG109" t="s">
        <v>148</v>
      </c>
      <c r="AH109" t="s">
        <v>172</v>
      </c>
      <c r="AI109" t="s">
        <v>752</v>
      </c>
      <c r="AJ109" t="s">
        <v>228</v>
      </c>
      <c r="AK109" t="s">
        <v>1078</v>
      </c>
      <c r="AL109" t="s">
        <v>1079</v>
      </c>
      <c r="AM109" t="s">
        <v>229</v>
      </c>
      <c r="AN109" t="s">
        <v>1080</v>
      </c>
      <c r="AO109" t="s">
        <v>9</v>
      </c>
      <c r="AP109" t="s">
        <v>230</v>
      </c>
      <c r="AQ109" t="s">
        <v>380</v>
      </c>
      <c r="AR109" t="s">
        <v>1081</v>
      </c>
      <c r="AS109" t="s">
        <v>917</v>
      </c>
      <c r="AT109" t="s">
        <v>231</v>
      </c>
      <c r="AU109" t="s">
        <v>1082</v>
      </c>
      <c r="AV109" t="s">
        <v>1117</v>
      </c>
      <c r="AW109" t="s">
        <v>1037</v>
      </c>
      <c r="AX109" t="s">
        <v>970</v>
      </c>
      <c r="AY109" t="s">
        <v>485</v>
      </c>
      <c r="AZ109" t="s">
        <v>232</v>
      </c>
      <c r="BA109" t="s">
        <v>145</v>
      </c>
      <c r="BB109" t="s">
        <v>785</v>
      </c>
      <c r="BC109" t="s">
        <v>2369</v>
      </c>
      <c r="BD109" t="s">
        <v>293</v>
      </c>
      <c r="BE109" t="s">
        <v>977</v>
      </c>
      <c r="BF109" t="s">
        <v>756</v>
      </c>
      <c r="BG109" t="s">
        <v>757</v>
      </c>
      <c r="BH109" t="s">
        <v>233</v>
      </c>
      <c r="BI109" t="s">
        <v>1012</v>
      </c>
      <c r="BJ109" t="s">
        <v>1087</v>
      </c>
      <c r="BK109" t="s">
        <v>2339</v>
      </c>
      <c r="BL109" t="s">
        <v>234</v>
      </c>
      <c r="BM109" t="s">
        <v>751</v>
      </c>
      <c r="BN109" t="s">
        <v>171</v>
      </c>
      <c r="BO109" t="s">
        <v>750</v>
      </c>
      <c r="BP109" t="s">
        <v>784</v>
      </c>
      <c r="BQ109" t="s">
        <v>170</v>
      </c>
      <c r="BR109" t="s">
        <v>1087</v>
      </c>
      <c r="BS109" t="s">
        <v>1085</v>
      </c>
      <c r="BT109" t="s">
        <v>941</v>
      </c>
      <c r="BU109" t="s">
        <v>911</v>
      </c>
      <c r="BV109" t="s">
        <v>992</v>
      </c>
      <c r="BW109" t="s">
        <v>987</v>
      </c>
      <c r="BX109" t="s">
        <v>998</v>
      </c>
      <c r="BY109" t="s">
        <v>1086</v>
      </c>
      <c r="BZ109" t="s">
        <v>2367</v>
      </c>
      <c r="CA109" t="s">
        <v>239</v>
      </c>
      <c r="CB109" t="s">
        <v>241</v>
      </c>
      <c r="CC109" t="s">
        <v>805</v>
      </c>
      <c r="CD109" t="s">
        <v>806</v>
      </c>
    </row>
    <row r="110" spans="1:97">
      <c r="A110" s="40">
        <v>103</v>
      </c>
      <c r="B110" s="40" t="s">
        <v>554</v>
      </c>
      <c r="C110" s="2" t="s">
        <v>555</v>
      </c>
      <c r="D110" s="2" t="s">
        <v>21</v>
      </c>
      <c r="E110" s="2" t="s">
        <v>9</v>
      </c>
      <c r="F110" s="2">
        <v>95</v>
      </c>
      <c r="G110" s="2">
        <v>95</v>
      </c>
      <c r="H110" s="2">
        <v>85</v>
      </c>
      <c r="I110" s="2">
        <v>125</v>
      </c>
      <c r="J110" s="2">
        <v>65</v>
      </c>
      <c r="K110" s="2">
        <v>55</v>
      </c>
      <c r="L110" s="2">
        <v>520</v>
      </c>
      <c r="M110" s="2" t="s">
        <v>1159</v>
      </c>
      <c r="N110" s="2" t="s">
        <v>1061</v>
      </c>
      <c r="O110" t="s">
        <v>493</v>
      </c>
      <c r="P110" t="s">
        <v>287</v>
      </c>
      <c r="Q110" t="s">
        <v>388</v>
      </c>
      <c r="R110" t="s">
        <v>553</v>
      </c>
      <c r="S110" t="s">
        <v>1004</v>
      </c>
      <c r="T110" t="s">
        <v>1151</v>
      </c>
      <c r="U110" t="s">
        <v>556</v>
      </c>
      <c r="V110" t="s">
        <v>1218</v>
      </c>
      <c r="W110" t="s">
        <v>1086</v>
      </c>
      <c r="X110" t="s">
        <v>1062</v>
      </c>
      <c r="Y110" t="s">
        <v>227</v>
      </c>
      <c r="Z110" t="s">
        <v>1063</v>
      </c>
      <c r="AA110" t="s">
        <v>1151</v>
      </c>
      <c r="AB110" t="s">
        <v>148</v>
      </c>
      <c r="AC110" t="s">
        <v>172</v>
      </c>
      <c r="AD110" t="s">
        <v>752</v>
      </c>
      <c r="AE110" t="s">
        <v>247</v>
      </c>
      <c r="AF110" t="s">
        <v>228</v>
      </c>
      <c r="AG110" t="s">
        <v>1078</v>
      </c>
      <c r="AH110" t="s">
        <v>1079</v>
      </c>
      <c r="AI110" t="s">
        <v>229</v>
      </c>
      <c r="AJ110" t="s">
        <v>1080</v>
      </c>
      <c r="AK110" t="s">
        <v>9</v>
      </c>
      <c r="AL110" t="s">
        <v>230</v>
      </c>
      <c r="AM110" t="s">
        <v>380</v>
      </c>
      <c r="AN110" t="s">
        <v>1081</v>
      </c>
      <c r="AO110" t="s">
        <v>917</v>
      </c>
      <c r="AP110" t="s">
        <v>231</v>
      </c>
      <c r="AQ110" t="s">
        <v>1082</v>
      </c>
      <c r="AR110" t="s">
        <v>1117</v>
      </c>
      <c r="AS110" t="s">
        <v>1037</v>
      </c>
      <c r="AT110" t="s">
        <v>970</v>
      </c>
      <c r="AU110" t="s">
        <v>485</v>
      </c>
      <c r="AV110" t="s">
        <v>976</v>
      </c>
      <c r="AW110" t="s">
        <v>232</v>
      </c>
      <c r="AX110" t="s">
        <v>145</v>
      </c>
      <c r="AY110" t="s">
        <v>785</v>
      </c>
      <c r="AZ110" t="s">
        <v>2369</v>
      </c>
      <c r="BA110" t="s">
        <v>293</v>
      </c>
      <c r="BB110" t="s">
        <v>977</v>
      </c>
      <c r="BC110" t="s">
        <v>756</v>
      </c>
      <c r="BD110" t="s">
        <v>757</v>
      </c>
      <c r="BE110" t="s">
        <v>233</v>
      </c>
      <c r="BF110" t="s">
        <v>1012</v>
      </c>
      <c r="BG110" t="s">
        <v>1087</v>
      </c>
      <c r="BH110" t="s">
        <v>2339</v>
      </c>
      <c r="BI110" t="s">
        <v>234</v>
      </c>
      <c r="BJ110" t="s">
        <v>751</v>
      </c>
      <c r="BK110" t="s">
        <v>171</v>
      </c>
      <c r="BL110" t="s">
        <v>750</v>
      </c>
      <c r="BM110" t="s">
        <v>784</v>
      </c>
      <c r="BN110" t="s">
        <v>170</v>
      </c>
      <c r="BO110" t="s">
        <v>1087</v>
      </c>
      <c r="BP110" t="s">
        <v>1085</v>
      </c>
      <c r="BQ110" t="s">
        <v>941</v>
      </c>
      <c r="BR110" t="s">
        <v>911</v>
      </c>
      <c r="BS110" t="s">
        <v>992</v>
      </c>
      <c r="BT110" t="s">
        <v>987</v>
      </c>
      <c r="BU110" t="s">
        <v>998</v>
      </c>
      <c r="BV110" t="s">
        <v>1086</v>
      </c>
      <c r="BW110" t="s">
        <v>2367</v>
      </c>
      <c r="BX110" t="s">
        <v>239</v>
      </c>
      <c r="BY110" t="s">
        <v>241</v>
      </c>
      <c r="BZ110" t="s">
        <v>953</v>
      </c>
      <c r="CA110" t="s">
        <v>380</v>
      </c>
      <c r="CB110" t="s">
        <v>142</v>
      </c>
      <c r="CC110" t="s">
        <v>1190</v>
      </c>
      <c r="CD110" t="s">
        <v>288</v>
      </c>
      <c r="CE110" t="s">
        <v>221</v>
      </c>
      <c r="CF110" t="s">
        <v>222</v>
      </c>
      <c r="CG110" t="s">
        <v>1017</v>
      </c>
      <c r="CH110" t="s">
        <v>992</v>
      </c>
      <c r="CI110" t="s">
        <v>229</v>
      </c>
      <c r="CJ110" t="s">
        <v>1154</v>
      </c>
      <c r="CK110" t="s">
        <v>1139</v>
      </c>
      <c r="CL110" t="s">
        <v>805</v>
      </c>
      <c r="CM110" t="s">
        <v>806</v>
      </c>
    </row>
    <row r="111" spans="1:97">
      <c r="A111" s="40">
        <v>104</v>
      </c>
      <c r="B111" s="40" t="s">
        <v>557</v>
      </c>
      <c r="C111" s="2" t="s">
        <v>558</v>
      </c>
      <c r="D111" s="2" t="s">
        <v>22</v>
      </c>
      <c r="E111" s="2"/>
      <c r="F111" s="2">
        <v>50</v>
      </c>
      <c r="G111" s="2">
        <v>50</v>
      </c>
      <c r="H111" s="2">
        <v>95</v>
      </c>
      <c r="I111" s="2">
        <v>40</v>
      </c>
      <c r="J111" s="2">
        <v>50</v>
      </c>
      <c r="K111" s="2">
        <v>35</v>
      </c>
      <c r="L111" s="2">
        <v>320</v>
      </c>
      <c r="M111" s="2" t="s">
        <v>1137</v>
      </c>
      <c r="N111" s="2" t="s">
        <v>1061</v>
      </c>
      <c r="O111" t="s">
        <v>220</v>
      </c>
      <c r="P111" t="s">
        <v>266</v>
      </c>
      <c r="Q111" t="s">
        <v>559</v>
      </c>
      <c r="R111" t="s">
        <v>420</v>
      </c>
      <c r="S111" t="s">
        <v>330</v>
      </c>
      <c r="T111" t="s">
        <v>302</v>
      </c>
      <c r="U111" t="s">
        <v>560</v>
      </c>
      <c r="V111" t="s">
        <v>304</v>
      </c>
      <c r="W111" t="s">
        <v>776</v>
      </c>
      <c r="X111" t="s">
        <v>373</v>
      </c>
      <c r="Y111" t="s">
        <v>974</v>
      </c>
      <c r="Z111" t="s">
        <v>1219</v>
      </c>
      <c r="AA111" t="s">
        <v>916</v>
      </c>
      <c r="AB111" t="s">
        <v>225</v>
      </c>
      <c r="AC111" t="s">
        <v>1036</v>
      </c>
      <c r="AD111" t="s">
        <v>1062</v>
      </c>
      <c r="AE111" t="s">
        <v>227</v>
      </c>
      <c r="AF111" t="s">
        <v>1063</v>
      </c>
      <c r="AG111" t="s">
        <v>148</v>
      </c>
      <c r="AH111" t="s">
        <v>172</v>
      </c>
      <c r="AI111" t="s">
        <v>752</v>
      </c>
      <c r="AJ111" t="s">
        <v>141</v>
      </c>
      <c r="AK111" t="s">
        <v>271</v>
      </c>
      <c r="AL111" t="s">
        <v>1078</v>
      </c>
      <c r="AM111" t="s">
        <v>1079</v>
      </c>
      <c r="AN111" t="s">
        <v>1109</v>
      </c>
      <c r="AO111" t="s">
        <v>136</v>
      </c>
      <c r="AP111" t="s">
        <v>1080</v>
      </c>
      <c r="AQ111" t="s">
        <v>256</v>
      </c>
      <c r="AR111" t="s">
        <v>1094</v>
      </c>
      <c r="AS111" t="s">
        <v>230</v>
      </c>
      <c r="AT111" t="s">
        <v>254</v>
      </c>
      <c r="AU111" t="s">
        <v>765</v>
      </c>
      <c r="AV111" t="s">
        <v>257</v>
      </c>
      <c r="AW111" t="s">
        <v>1095</v>
      </c>
      <c r="AX111" t="s">
        <v>1096</v>
      </c>
      <c r="AY111" t="s">
        <v>917</v>
      </c>
      <c r="AZ111" t="s">
        <v>231</v>
      </c>
      <c r="BA111" t="s">
        <v>1082</v>
      </c>
      <c r="BB111" t="s">
        <v>1117</v>
      </c>
      <c r="BC111" t="s">
        <v>1037</v>
      </c>
      <c r="BD111" t="s">
        <v>1083</v>
      </c>
      <c r="BE111" t="s">
        <v>776</v>
      </c>
      <c r="BF111" t="s">
        <v>974</v>
      </c>
      <c r="BG111" t="s">
        <v>1031</v>
      </c>
      <c r="BH111" t="s">
        <v>1036</v>
      </c>
      <c r="BI111" t="s">
        <v>145</v>
      </c>
      <c r="BJ111" t="s">
        <v>1021</v>
      </c>
      <c r="BK111" t="s">
        <v>143</v>
      </c>
      <c r="BL111" t="s">
        <v>756</v>
      </c>
      <c r="BM111" t="s">
        <v>757</v>
      </c>
      <c r="BN111" t="s">
        <v>233</v>
      </c>
      <c r="BO111" t="s">
        <v>760</v>
      </c>
      <c r="BP111" t="s">
        <v>2398</v>
      </c>
      <c r="BQ111" t="s">
        <v>2339</v>
      </c>
      <c r="BR111" t="s">
        <v>234</v>
      </c>
      <c r="BS111" t="s">
        <v>359</v>
      </c>
      <c r="BT111" t="s">
        <v>324</v>
      </c>
      <c r="BU111" t="s">
        <v>237</v>
      </c>
      <c r="BV111" t="s">
        <v>1099</v>
      </c>
      <c r="BW111" t="s">
        <v>786</v>
      </c>
      <c r="BX111" t="s">
        <v>1220</v>
      </c>
      <c r="BY111" t="s">
        <v>754</v>
      </c>
      <c r="BZ111" t="s">
        <v>170</v>
      </c>
      <c r="CA111" t="s">
        <v>985</v>
      </c>
      <c r="CB111" t="s">
        <v>1142</v>
      </c>
      <c r="CC111" t="s">
        <v>2395</v>
      </c>
      <c r="CD111" t="s">
        <v>239</v>
      </c>
      <c r="CE111" t="s">
        <v>241</v>
      </c>
      <c r="CF111" t="s">
        <v>805</v>
      </c>
      <c r="CG111" t="s">
        <v>806</v>
      </c>
    </row>
    <row r="112" spans="1:97">
      <c r="A112" s="40">
        <v>105</v>
      </c>
      <c r="B112" s="40" t="s">
        <v>561</v>
      </c>
      <c r="C112" s="2" t="s">
        <v>562</v>
      </c>
      <c r="D112" s="2" t="s">
        <v>22</v>
      </c>
      <c r="E112" s="2"/>
      <c r="F112" s="2">
        <v>60</v>
      </c>
      <c r="G112" s="2">
        <v>80</v>
      </c>
      <c r="H112" s="2">
        <v>110</v>
      </c>
      <c r="I112" s="2">
        <v>50</v>
      </c>
      <c r="J112" s="2">
        <v>80</v>
      </c>
      <c r="K112" s="2">
        <v>45</v>
      </c>
      <c r="L112" s="2">
        <v>425</v>
      </c>
      <c r="M112" s="2" t="s">
        <v>1108</v>
      </c>
      <c r="N112" s="2" t="s">
        <v>1061</v>
      </c>
      <c r="O112" t="s">
        <v>420</v>
      </c>
      <c r="P112" t="s">
        <v>266</v>
      </c>
      <c r="Q112" t="s">
        <v>220</v>
      </c>
      <c r="R112" t="s">
        <v>559</v>
      </c>
      <c r="S112" t="s">
        <v>266</v>
      </c>
      <c r="T112" t="s">
        <v>559</v>
      </c>
      <c r="U112" t="s">
        <v>420</v>
      </c>
      <c r="V112" t="s">
        <v>330</v>
      </c>
      <c r="W112" t="s">
        <v>302</v>
      </c>
      <c r="X112" t="s">
        <v>560</v>
      </c>
      <c r="Y112" t="s">
        <v>304</v>
      </c>
      <c r="Z112" t="s">
        <v>776</v>
      </c>
      <c r="AA112" t="s">
        <v>373</v>
      </c>
      <c r="AB112" t="s">
        <v>974</v>
      </c>
      <c r="AC112" t="s">
        <v>1219</v>
      </c>
      <c r="AD112" t="s">
        <v>916</v>
      </c>
      <c r="AE112" t="s">
        <v>225</v>
      </c>
      <c r="AF112" t="s">
        <v>1036</v>
      </c>
      <c r="AG112" t="s">
        <v>1062</v>
      </c>
      <c r="AH112" t="s">
        <v>227</v>
      </c>
      <c r="AI112" t="s">
        <v>1063</v>
      </c>
      <c r="AJ112" t="s">
        <v>148</v>
      </c>
      <c r="AK112" t="s">
        <v>172</v>
      </c>
      <c r="AL112" t="s">
        <v>752</v>
      </c>
      <c r="AM112" t="s">
        <v>141</v>
      </c>
      <c r="AN112" t="s">
        <v>271</v>
      </c>
      <c r="AO112" t="s">
        <v>247</v>
      </c>
      <c r="AP112" t="s">
        <v>1078</v>
      </c>
      <c r="AQ112" t="s">
        <v>1079</v>
      </c>
      <c r="AR112" t="s">
        <v>1109</v>
      </c>
      <c r="AS112" t="s">
        <v>136</v>
      </c>
      <c r="AT112" t="s">
        <v>1080</v>
      </c>
      <c r="AU112" t="s">
        <v>256</v>
      </c>
      <c r="AV112" t="s">
        <v>1094</v>
      </c>
      <c r="AW112" t="s">
        <v>230</v>
      </c>
      <c r="AX112" t="s">
        <v>254</v>
      </c>
      <c r="AY112" t="s">
        <v>765</v>
      </c>
      <c r="AZ112" t="s">
        <v>257</v>
      </c>
      <c r="BA112" t="s">
        <v>1095</v>
      </c>
      <c r="BB112" t="s">
        <v>1096</v>
      </c>
      <c r="BC112" t="s">
        <v>917</v>
      </c>
      <c r="BD112" t="s">
        <v>231</v>
      </c>
      <c r="BE112" t="s">
        <v>1082</v>
      </c>
      <c r="BF112" t="s">
        <v>1117</v>
      </c>
      <c r="BG112" t="s">
        <v>1037</v>
      </c>
      <c r="BH112" t="s">
        <v>1083</v>
      </c>
      <c r="BI112" t="s">
        <v>1102</v>
      </c>
      <c r="BJ112" t="s">
        <v>776</v>
      </c>
      <c r="BK112" t="s">
        <v>974</v>
      </c>
      <c r="BL112" t="s">
        <v>1031</v>
      </c>
      <c r="BM112" t="s">
        <v>1036</v>
      </c>
      <c r="BN112" t="s">
        <v>976</v>
      </c>
      <c r="BO112" t="s">
        <v>183</v>
      </c>
      <c r="BP112" t="s">
        <v>145</v>
      </c>
      <c r="BQ112" t="s">
        <v>1021</v>
      </c>
      <c r="BR112" t="s">
        <v>143</v>
      </c>
      <c r="BS112" t="s">
        <v>756</v>
      </c>
      <c r="BT112" t="s">
        <v>757</v>
      </c>
      <c r="BU112" t="s">
        <v>233</v>
      </c>
      <c r="BV112" t="s">
        <v>760</v>
      </c>
      <c r="BW112" t="s">
        <v>2398</v>
      </c>
      <c r="BX112" t="s">
        <v>2339</v>
      </c>
      <c r="BY112" t="s">
        <v>234</v>
      </c>
      <c r="BZ112" t="s">
        <v>359</v>
      </c>
      <c r="CA112" t="s">
        <v>324</v>
      </c>
      <c r="CB112" t="s">
        <v>237</v>
      </c>
      <c r="CC112" t="s">
        <v>1099</v>
      </c>
      <c r="CD112" t="s">
        <v>786</v>
      </c>
      <c r="CE112" t="s">
        <v>1220</v>
      </c>
      <c r="CF112" t="s">
        <v>754</v>
      </c>
      <c r="CG112" t="s">
        <v>170</v>
      </c>
      <c r="CH112" t="s">
        <v>985</v>
      </c>
      <c r="CI112" t="s">
        <v>1142</v>
      </c>
      <c r="CJ112" t="s">
        <v>2395</v>
      </c>
      <c r="CK112" t="s">
        <v>239</v>
      </c>
      <c r="CL112" t="s">
        <v>241</v>
      </c>
      <c r="CM112" t="s">
        <v>805</v>
      </c>
      <c r="CN112" t="s">
        <v>806</v>
      </c>
    </row>
    <row r="113" spans="1:105">
      <c r="A113" s="40">
        <v>106</v>
      </c>
      <c r="B113" s="40" t="s">
        <v>563</v>
      </c>
      <c r="C113" s="2" t="s">
        <v>564</v>
      </c>
      <c r="D113" s="2" t="s">
        <v>18</v>
      </c>
      <c r="E113" s="2"/>
      <c r="F113" s="2">
        <v>50</v>
      </c>
      <c r="G113" s="2">
        <v>120</v>
      </c>
      <c r="H113" s="2">
        <v>53</v>
      </c>
      <c r="I113" s="2">
        <v>35</v>
      </c>
      <c r="J113" s="2">
        <v>110</v>
      </c>
      <c r="K113" s="2">
        <v>87</v>
      </c>
      <c r="L113" s="2">
        <v>455</v>
      </c>
      <c r="M113" s="2" t="s">
        <v>1141</v>
      </c>
      <c r="N113" s="2" t="s">
        <v>1061</v>
      </c>
      <c r="O113" t="s">
        <v>359</v>
      </c>
      <c r="P113" t="s">
        <v>1128</v>
      </c>
      <c r="Q113" t="s">
        <v>437</v>
      </c>
      <c r="R113" t="s">
        <v>464</v>
      </c>
      <c r="S113" t="s">
        <v>565</v>
      </c>
      <c r="T113" t="s">
        <v>1094</v>
      </c>
      <c r="U113" t="s">
        <v>302</v>
      </c>
      <c r="V113" t="s">
        <v>971</v>
      </c>
      <c r="W113" t="s">
        <v>566</v>
      </c>
      <c r="X113" t="s">
        <v>792</v>
      </c>
      <c r="Y113" t="s">
        <v>771</v>
      </c>
      <c r="Z113" t="s">
        <v>1187</v>
      </c>
      <c r="AA113" t="s">
        <v>1222</v>
      </c>
      <c r="AB113" t="s">
        <v>754</v>
      </c>
      <c r="AC113" t="s">
        <v>567</v>
      </c>
      <c r="AD113" t="s">
        <v>1174</v>
      </c>
      <c r="AE113" t="s">
        <v>775</v>
      </c>
      <c r="AF113" t="s">
        <v>1062</v>
      </c>
      <c r="AG113" t="s">
        <v>227</v>
      </c>
      <c r="AH113" t="s">
        <v>1063</v>
      </c>
      <c r="AI113" t="s">
        <v>148</v>
      </c>
      <c r="AJ113" t="s">
        <v>1175</v>
      </c>
      <c r="AK113" t="s">
        <v>172</v>
      </c>
      <c r="AL113" t="s">
        <v>752</v>
      </c>
      <c r="AM113" t="s">
        <v>1078</v>
      </c>
      <c r="AN113" t="s">
        <v>766</v>
      </c>
      <c r="AO113" t="s">
        <v>1079</v>
      </c>
      <c r="AP113" t="s">
        <v>136</v>
      </c>
      <c r="AQ113" t="s">
        <v>1080</v>
      </c>
      <c r="AR113" t="s">
        <v>1094</v>
      </c>
      <c r="AS113" t="s">
        <v>230</v>
      </c>
      <c r="AT113" t="s">
        <v>1095</v>
      </c>
      <c r="AU113" t="s">
        <v>917</v>
      </c>
      <c r="AV113" t="s">
        <v>231</v>
      </c>
      <c r="AW113" t="s">
        <v>1082</v>
      </c>
      <c r="AX113" t="s">
        <v>1117</v>
      </c>
      <c r="AY113" t="s">
        <v>1172</v>
      </c>
      <c r="AZ113" t="s">
        <v>1037</v>
      </c>
      <c r="BA113" t="s">
        <v>1102</v>
      </c>
      <c r="BB113" t="s">
        <v>974</v>
      </c>
      <c r="BC113" t="s">
        <v>1036</v>
      </c>
      <c r="BD113" t="s">
        <v>183</v>
      </c>
      <c r="BE113" t="s">
        <v>1021</v>
      </c>
      <c r="BF113" t="s">
        <v>143</v>
      </c>
      <c r="BG113" t="s">
        <v>997</v>
      </c>
      <c r="BH113" t="s">
        <v>756</v>
      </c>
      <c r="BI113" t="s">
        <v>757</v>
      </c>
      <c r="BJ113" t="s">
        <v>233</v>
      </c>
      <c r="BK113" t="s">
        <v>760</v>
      </c>
      <c r="BL113" t="s">
        <v>2398</v>
      </c>
      <c r="BM113" t="s">
        <v>2339</v>
      </c>
      <c r="BN113" t="s">
        <v>234</v>
      </c>
      <c r="BO113" t="s">
        <v>259</v>
      </c>
      <c r="BP113" t="s">
        <v>566</v>
      </c>
      <c r="BQ113" t="s">
        <v>792</v>
      </c>
      <c r="BR113" t="s">
        <v>1223</v>
      </c>
      <c r="BS113" t="s">
        <v>754</v>
      </c>
      <c r="BT113" t="s">
        <v>773</v>
      </c>
      <c r="BU113" t="s">
        <v>173</v>
      </c>
      <c r="BV113" t="s">
        <v>925</v>
      </c>
      <c r="BW113" t="s">
        <v>971</v>
      </c>
      <c r="BX113" t="s">
        <v>1015</v>
      </c>
      <c r="BY113" t="s">
        <v>1186</v>
      </c>
      <c r="BZ113" t="s">
        <v>239</v>
      </c>
      <c r="CA113" t="s">
        <v>241</v>
      </c>
      <c r="CB113" t="s">
        <v>219</v>
      </c>
      <c r="CC113" t="s">
        <v>176</v>
      </c>
      <c r="CD113" t="s">
        <v>925</v>
      </c>
      <c r="CE113" t="s">
        <v>805</v>
      </c>
      <c r="CF113" t="s">
        <v>806</v>
      </c>
    </row>
    <row r="114" spans="1:105">
      <c r="A114" s="40">
        <v>107</v>
      </c>
      <c r="B114" s="40" t="s">
        <v>568</v>
      </c>
      <c r="C114" s="2" t="s">
        <v>569</v>
      </c>
      <c r="D114" s="2" t="s">
        <v>18</v>
      </c>
      <c r="E114" s="2"/>
      <c r="F114" s="2">
        <v>50</v>
      </c>
      <c r="G114" s="2">
        <v>105</v>
      </c>
      <c r="H114" s="2">
        <v>79</v>
      </c>
      <c r="I114" s="2">
        <v>35</v>
      </c>
      <c r="J114" s="2">
        <v>110</v>
      </c>
      <c r="K114" s="2">
        <v>76</v>
      </c>
      <c r="L114" s="2">
        <v>455</v>
      </c>
      <c r="M114" s="2" t="s">
        <v>1137</v>
      </c>
      <c r="N114" s="2" t="s">
        <v>1061</v>
      </c>
      <c r="O114" t="s">
        <v>570</v>
      </c>
      <c r="P114" t="s">
        <v>1128</v>
      </c>
      <c r="Q114" t="s">
        <v>306</v>
      </c>
      <c r="R114" t="s">
        <v>773</v>
      </c>
      <c r="S114" t="s">
        <v>1223</v>
      </c>
      <c r="T114" t="s">
        <v>1186</v>
      </c>
      <c r="U114" t="s">
        <v>971</v>
      </c>
      <c r="V114" t="s">
        <v>1015</v>
      </c>
      <c r="W114" t="s">
        <v>1035</v>
      </c>
      <c r="X114" t="s">
        <v>137</v>
      </c>
      <c r="Y114" t="s">
        <v>274</v>
      </c>
      <c r="Z114" t="s">
        <v>147</v>
      </c>
      <c r="AA114" t="s">
        <v>942</v>
      </c>
      <c r="AB114" t="s">
        <v>486</v>
      </c>
      <c r="AC114" t="s">
        <v>1220</v>
      </c>
      <c r="AD114" t="s">
        <v>920</v>
      </c>
      <c r="AE114" t="s">
        <v>259</v>
      </c>
      <c r="AF114" t="s">
        <v>1174</v>
      </c>
      <c r="AG114" t="s">
        <v>1062</v>
      </c>
      <c r="AH114" t="s">
        <v>227</v>
      </c>
      <c r="AI114" t="s">
        <v>1063</v>
      </c>
      <c r="AJ114" t="s">
        <v>148</v>
      </c>
      <c r="AK114" t="s">
        <v>1175</v>
      </c>
      <c r="AL114" t="s">
        <v>172</v>
      </c>
      <c r="AM114" t="s">
        <v>752</v>
      </c>
      <c r="AN114" t="s">
        <v>1078</v>
      </c>
      <c r="AO114" t="s">
        <v>766</v>
      </c>
      <c r="AP114" t="s">
        <v>1079</v>
      </c>
      <c r="AQ114" t="s">
        <v>136</v>
      </c>
      <c r="AR114" t="s">
        <v>1080</v>
      </c>
      <c r="AS114" t="s">
        <v>1094</v>
      </c>
      <c r="AT114" t="s">
        <v>230</v>
      </c>
      <c r="AU114" t="s">
        <v>1095</v>
      </c>
      <c r="AV114" t="s">
        <v>917</v>
      </c>
      <c r="AW114" t="s">
        <v>231</v>
      </c>
      <c r="AX114" t="s">
        <v>1082</v>
      </c>
      <c r="AY114" t="s">
        <v>1117</v>
      </c>
      <c r="AZ114" t="s">
        <v>1172</v>
      </c>
      <c r="BA114" t="s">
        <v>1037</v>
      </c>
      <c r="BB114" t="s">
        <v>1102</v>
      </c>
      <c r="BC114" t="s">
        <v>974</v>
      </c>
      <c r="BD114" t="s">
        <v>1036</v>
      </c>
      <c r="BE114" t="s">
        <v>183</v>
      </c>
      <c r="BF114" t="s">
        <v>1021</v>
      </c>
      <c r="BG114" t="s">
        <v>143</v>
      </c>
      <c r="BH114" t="s">
        <v>756</v>
      </c>
      <c r="BI114" t="s">
        <v>757</v>
      </c>
      <c r="BJ114" t="s">
        <v>233</v>
      </c>
      <c r="BK114" t="s">
        <v>760</v>
      </c>
      <c r="BL114" t="s">
        <v>2398</v>
      </c>
      <c r="BM114" t="s">
        <v>2339</v>
      </c>
      <c r="BN114" t="s">
        <v>234</v>
      </c>
      <c r="BO114" t="s">
        <v>259</v>
      </c>
      <c r="BP114" t="s">
        <v>566</v>
      </c>
      <c r="BQ114" t="s">
        <v>792</v>
      </c>
      <c r="BR114" t="s">
        <v>1223</v>
      </c>
      <c r="BS114" t="s">
        <v>754</v>
      </c>
      <c r="BT114" t="s">
        <v>773</v>
      </c>
      <c r="BU114" t="s">
        <v>173</v>
      </c>
      <c r="BV114" t="s">
        <v>925</v>
      </c>
      <c r="BW114" t="s">
        <v>971</v>
      </c>
      <c r="BX114" t="s">
        <v>1015</v>
      </c>
      <c r="BY114" t="s">
        <v>1186</v>
      </c>
      <c r="BZ114" t="s">
        <v>239</v>
      </c>
      <c r="CA114" t="s">
        <v>241</v>
      </c>
      <c r="CB114" t="s">
        <v>219</v>
      </c>
      <c r="CC114" t="s">
        <v>771</v>
      </c>
      <c r="CD114" t="s">
        <v>176</v>
      </c>
      <c r="CE114" t="s">
        <v>925</v>
      </c>
      <c r="CF114" t="s">
        <v>805</v>
      </c>
      <c r="CG114" t="s">
        <v>806</v>
      </c>
    </row>
    <row r="115" spans="1:105">
      <c r="A115" s="40">
        <v>108</v>
      </c>
      <c r="B115" s="40" t="s">
        <v>571</v>
      </c>
      <c r="C115" s="2" t="s">
        <v>572</v>
      </c>
      <c r="D115" s="2" t="s">
        <v>24</v>
      </c>
      <c r="E115" s="2"/>
      <c r="F115" s="2">
        <v>90</v>
      </c>
      <c r="G115" s="2">
        <v>55</v>
      </c>
      <c r="H115" s="2">
        <v>75</v>
      </c>
      <c r="I115" s="2">
        <v>60</v>
      </c>
      <c r="J115" s="2">
        <v>75</v>
      </c>
      <c r="K115" s="2">
        <v>30</v>
      </c>
      <c r="L115" s="2">
        <v>385</v>
      </c>
      <c r="M115" s="2" t="s">
        <v>1161</v>
      </c>
      <c r="N115" s="2" t="s">
        <v>1061</v>
      </c>
      <c r="O115" t="s">
        <v>511</v>
      </c>
      <c r="P115" t="s">
        <v>290</v>
      </c>
      <c r="Q115" t="s">
        <v>353</v>
      </c>
      <c r="R115" t="s">
        <v>928</v>
      </c>
      <c r="S115" t="s">
        <v>338</v>
      </c>
      <c r="T115" t="s">
        <v>493</v>
      </c>
      <c r="U115" t="s">
        <v>340</v>
      </c>
      <c r="V115" t="s">
        <v>341</v>
      </c>
      <c r="W115" t="s">
        <v>768</v>
      </c>
      <c r="X115" t="s">
        <v>1142</v>
      </c>
      <c r="Y115" t="s">
        <v>989</v>
      </c>
      <c r="Z115" t="s">
        <v>1106</v>
      </c>
      <c r="AA115" t="s">
        <v>324</v>
      </c>
      <c r="AB115" t="s">
        <v>1088</v>
      </c>
      <c r="AC115" t="s">
        <v>1189</v>
      </c>
      <c r="AD115" t="s">
        <v>1062</v>
      </c>
      <c r="AE115" t="s">
        <v>226</v>
      </c>
      <c r="AF115" t="s">
        <v>144</v>
      </c>
      <c r="AG115" t="s">
        <v>227</v>
      </c>
      <c r="AH115" t="s">
        <v>1063</v>
      </c>
      <c r="AI115" t="s">
        <v>148</v>
      </c>
      <c r="AJ115" t="s">
        <v>172</v>
      </c>
      <c r="AK115" t="s">
        <v>752</v>
      </c>
      <c r="AL115" t="s">
        <v>141</v>
      </c>
      <c r="AM115" t="s">
        <v>271</v>
      </c>
      <c r="AN115" t="s">
        <v>247</v>
      </c>
      <c r="AO115" t="s">
        <v>1078</v>
      </c>
      <c r="AP115" t="s">
        <v>766</v>
      </c>
      <c r="AQ115" t="s">
        <v>1079</v>
      </c>
      <c r="AR115" t="s">
        <v>229</v>
      </c>
      <c r="AS115" t="s">
        <v>146</v>
      </c>
      <c r="AT115" t="s">
        <v>321</v>
      </c>
      <c r="AU115" t="s">
        <v>136</v>
      </c>
      <c r="AV115" t="s">
        <v>1080</v>
      </c>
      <c r="AW115" t="s">
        <v>256</v>
      </c>
      <c r="AX115" t="s">
        <v>174</v>
      </c>
      <c r="AY115" t="s">
        <v>1094</v>
      </c>
      <c r="AZ115" t="s">
        <v>230</v>
      </c>
      <c r="BA115" t="s">
        <v>254</v>
      </c>
      <c r="BB115" t="s">
        <v>765</v>
      </c>
      <c r="BC115" t="s">
        <v>257</v>
      </c>
      <c r="BD115" t="s">
        <v>1095</v>
      </c>
      <c r="BE115" t="s">
        <v>917</v>
      </c>
      <c r="BF115" t="s">
        <v>231</v>
      </c>
      <c r="BG115" t="s">
        <v>1082</v>
      </c>
      <c r="BH115" t="s">
        <v>1117</v>
      </c>
      <c r="BI115" t="s">
        <v>1037</v>
      </c>
      <c r="BJ115" t="s">
        <v>974</v>
      </c>
      <c r="BK115" t="s">
        <v>1031</v>
      </c>
      <c r="BL115" t="s">
        <v>1036</v>
      </c>
      <c r="BM115" t="s">
        <v>976</v>
      </c>
      <c r="BN115" t="s">
        <v>145</v>
      </c>
      <c r="BO115" t="s">
        <v>785</v>
      </c>
      <c r="BP115" t="s">
        <v>1021</v>
      </c>
      <c r="BQ115" t="s">
        <v>143</v>
      </c>
      <c r="BR115" t="s">
        <v>1022</v>
      </c>
      <c r="BS115" t="s">
        <v>293</v>
      </c>
      <c r="BT115" t="s">
        <v>756</v>
      </c>
      <c r="BU115" t="s">
        <v>757</v>
      </c>
      <c r="BV115" t="s">
        <v>233</v>
      </c>
      <c r="BW115" t="s">
        <v>760</v>
      </c>
      <c r="BX115" t="s">
        <v>2398</v>
      </c>
      <c r="BY115" t="s">
        <v>2339</v>
      </c>
      <c r="BZ115" t="s">
        <v>234</v>
      </c>
      <c r="CA115" t="s">
        <v>364</v>
      </c>
      <c r="CB115" t="s">
        <v>235</v>
      </c>
      <c r="CC115" t="s">
        <v>753</v>
      </c>
      <c r="CD115" t="s">
        <v>751</v>
      </c>
      <c r="CE115" t="s">
        <v>1099</v>
      </c>
      <c r="CF115" t="s">
        <v>757</v>
      </c>
      <c r="CG115" t="s">
        <v>789</v>
      </c>
      <c r="CH115" t="s">
        <v>944</v>
      </c>
      <c r="CI115" t="s">
        <v>1105</v>
      </c>
      <c r="CJ115" t="s">
        <v>981</v>
      </c>
      <c r="CK115" t="s">
        <v>1019</v>
      </c>
      <c r="CL115" t="s">
        <v>2335</v>
      </c>
      <c r="CM115" t="s">
        <v>239</v>
      </c>
      <c r="CN115" t="s">
        <v>241</v>
      </c>
      <c r="CO115" t="s">
        <v>805</v>
      </c>
      <c r="CP115" t="s">
        <v>806</v>
      </c>
    </row>
    <row r="116" spans="1:105">
      <c r="A116" s="40">
        <v>109</v>
      </c>
      <c r="B116" s="40" t="s">
        <v>573</v>
      </c>
      <c r="C116" s="2" t="s">
        <v>574</v>
      </c>
      <c r="D116" s="2" t="s">
        <v>11</v>
      </c>
      <c r="E116" s="2"/>
      <c r="F116" s="2">
        <v>40</v>
      </c>
      <c r="G116" s="2">
        <v>65</v>
      </c>
      <c r="H116" s="2">
        <v>95</v>
      </c>
      <c r="I116" s="2">
        <v>60</v>
      </c>
      <c r="J116" s="2">
        <v>45</v>
      </c>
      <c r="K116" s="2">
        <v>35</v>
      </c>
      <c r="L116" s="2">
        <v>340</v>
      </c>
      <c r="M116" s="2" t="s">
        <v>1075</v>
      </c>
      <c r="N116" s="2" t="s">
        <v>1061</v>
      </c>
      <c r="O116" t="s">
        <v>219</v>
      </c>
      <c r="P116" t="s">
        <v>516</v>
      </c>
      <c r="Q116" t="s">
        <v>530</v>
      </c>
      <c r="R116" t="s">
        <v>251</v>
      </c>
      <c r="S116" t="s">
        <v>960</v>
      </c>
      <c r="T116" t="s">
        <v>1191</v>
      </c>
      <c r="U116" t="s">
        <v>238</v>
      </c>
      <c r="V116" t="s">
        <v>484</v>
      </c>
      <c r="W116" t="s">
        <v>272</v>
      </c>
      <c r="X116" t="s">
        <v>980</v>
      </c>
      <c r="Y116" t="s">
        <v>1081</v>
      </c>
      <c r="Z116" t="s">
        <v>485</v>
      </c>
      <c r="AA116" t="s">
        <v>793</v>
      </c>
      <c r="AB116" t="s">
        <v>931</v>
      </c>
      <c r="AC116" t="s">
        <v>1062</v>
      </c>
      <c r="AD116" t="s">
        <v>1063</v>
      </c>
      <c r="AE116" t="s">
        <v>148</v>
      </c>
      <c r="AF116" t="s">
        <v>1077</v>
      </c>
      <c r="AG116" t="s">
        <v>172</v>
      </c>
      <c r="AH116" t="s">
        <v>752</v>
      </c>
      <c r="AI116" t="s">
        <v>1126</v>
      </c>
      <c r="AJ116" t="s">
        <v>1078</v>
      </c>
      <c r="AK116" t="s">
        <v>766</v>
      </c>
      <c r="AL116" t="s">
        <v>1079</v>
      </c>
      <c r="AM116" t="s">
        <v>146</v>
      </c>
      <c r="AN116" t="s">
        <v>321</v>
      </c>
      <c r="AO116" t="s">
        <v>1080</v>
      </c>
      <c r="AP116" t="s">
        <v>174</v>
      </c>
      <c r="AQ116" t="s">
        <v>230</v>
      </c>
      <c r="AR116" t="s">
        <v>254</v>
      </c>
      <c r="AS116" t="s">
        <v>1081</v>
      </c>
      <c r="AT116" t="s">
        <v>257</v>
      </c>
      <c r="AU116" t="s">
        <v>951</v>
      </c>
      <c r="AV116" t="s">
        <v>917</v>
      </c>
      <c r="AW116" t="s">
        <v>231</v>
      </c>
      <c r="AX116" t="s">
        <v>1082</v>
      </c>
      <c r="AY116" t="s">
        <v>1117</v>
      </c>
      <c r="AZ116" t="s">
        <v>1037</v>
      </c>
      <c r="BA116" t="s">
        <v>1031</v>
      </c>
      <c r="BB116" t="s">
        <v>956</v>
      </c>
      <c r="BC116" t="s">
        <v>485</v>
      </c>
      <c r="BD116" t="s">
        <v>995</v>
      </c>
      <c r="BE116" t="s">
        <v>232</v>
      </c>
      <c r="BF116" t="s">
        <v>980</v>
      </c>
      <c r="BG116" t="s">
        <v>756</v>
      </c>
      <c r="BH116" t="s">
        <v>233</v>
      </c>
      <c r="BI116" t="s">
        <v>234</v>
      </c>
      <c r="BJ116" t="s">
        <v>292</v>
      </c>
      <c r="BK116" t="s">
        <v>324</v>
      </c>
      <c r="BL116" t="s">
        <v>529</v>
      </c>
      <c r="BM116" t="s">
        <v>751</v>
      </c>
      <c r="BN116" t="s">
        <v>778</v>
      </c>
      <c r="BO116" t="s">
        <v>793</v>
      </c>
      <c r="BP116" t="s">
        <v>794</v>
      </c>
      <c r="BQ116" t="s">
        <v>946</v>
      </c>
      <c r="BR116" t="s">
        <v>1133</v>
      </c>
      <c r="BS116" t="s">
        <v>948</v>
      </c>
      <c r="BT116" t="s">
        <v>923</v>
      </c>
      <c r="BU116" t="s">
        <v>239</v>
      </c>
      <c r="BV116" t="s">
        <v>241</v>
      </c>
      <c r="BW116" t="s">
        <v>805</v>
      </c>
      <c r="BX116" t="s">
        <v>806</v>
      </c>
    </row>
    <row r="117" spans="1:105">
      <c r="A117" s="40">
        <v>110</v>
      </c>
      <c r="B117" s="40" t="s">
        <v>575</v>
      </c>
      <c r="C117" s="2" t="s">
        <v>576</v>
      </c>
      <c r="D117" s="2" t="s">
        <v>11</v>
      </c>
      <c r="E117" s="2"/>
      <c r="F117" s="2">
        <v>65</v>
      </c>
      <c r="G117" s="2">
        <v>90</v>
      </c>
      <c r="H117" s="2">
        <v>120</v>
      </c>
      <c r="I117" s="2">
        <v>85</v>
      </c>
      <c r="J117" s="2">
        <v>70</v>
      </c>
      <c r="K117" s="2">
        <v>60</v>
      </c>
      <c r="L117" s="2">
        <v>490</v>
      </c>
      <c r="M117" s="2" t="s">
        <v>1074</v>
      </c>
      <c r="N117" s="2" t="s">
        <v>1061</v>
      </c>
      <c r="O117" t="s">
        <v>219</v>
      </c>
      <c r="P117" t="s">
        <v>251</v>
      </c>
      <c r="Q117" t="s">
        <v>530</v>
      </c>
      <c r="R117" t="s">
        <v>516</v>
      </c>
      <c r="S117" t="s">
        <v>530</v>
      </c>
      <c r="T117" t="s">
        <v>251</v>
      </c>
      <c r="U117" t="s">
        <v>960</v>
      </c>
      <c r="V117" t="s">
        <v>1191</v>
      </c>
      <c r="W117" t="s">
        <v>238</v>
      </c>
      <c r="X117" t="s">
        <v>484</v>
      </c>
      <c r="Y117" t="s">
        <v>272</v>
      </c>
      <c r="Z117" t="s">
        <v>965</v>
      </c>
      <c r="AA117" t="s">
        <v>1081</v>
      </c>
      <c r="AB117" t="s">
        <v>485</v>
      </c>
      <c r="AC117" t="s">
        <v>793</v>
      </c>
      <c r="AD117" t="s">
        <v>931</v>
      </c>
      <c r="AE117" t="s">
        <v>1062</v>
      </c>
      <c r="AF117" t="s">
        <v>1063</v>
      </c>
      <c r="AG117" t="s">
        <v>148</v>
      </c>
      <c r="AH117" t="s">
        <v>1077</v>
      </c>
      <c r="AI117" t="s">
        <v>172</v>
      </c>
      <c r="AJ117" t="s">
        <v>752</v>
      </c>
      <c r="AK117" t="s">
        <v>1126</v>
      </c>
      <c r="AL117" t="s">
        <v>247</v>
      </c>
      <c r="AM117" t="s">
        <v>1078</v>
      </c>
      <c r="AN117" t="s">
        <v>766</v>
      </c>
      <c r="AO117" t="s">
        <v>1079</v>
      </c>
      <c r="AP117" t="s">
        <v>146</v>
      </c>
      <c r="AQ117" t="s">
        <v>321</v>
      </c>
      <c r="AR117" t="s">
        <v>1080</v>
      </c>
      <c r="AS117" t="s">
        <v>174</v>
      </c>
      <c r="AT117" t="s">
        <v>230</v>
      </c>
      <c r="AU117" t="s">
        <v>254</v>
      </c>
      <c r="AV117" t="s">
        <v>1081</v>
      </c>
      <c r="AW117" t="s">
        <v>257</v>
      </c>
      <c r="AX117" t="s">
        <v>951</v>
      </c>
      <c r="AY117" t="s">
        <v>917</v>
      </c>
      <c r="AZ117" t="s">
        <v>231</v>
      </c>
      <c r="BA117" t="s">
        <v>1082</v>
      </c>
      <c r="BB117" t="s">
        <v>1117</v>
      </c>
      <c r="BC117" t="s">
        <v>1037</v>
      </c>
      <c r="BD117" t="s">
        <v>1031</v>
      </c>
      <c r="BE117" t="s">
        <v>956</v>
      </c>
      <c r="BF117" t="s">
        <v>485</v>
      </c>
      <c r="BG117" t="s">
        <v>995</v>
      </c>
      <c r="BH117" t="s">
        <v>976</v>
      </c>
      <c r="BI117" t="s">
        <v>232</v>
      </c>
      <c r="BJ117" t="s">
        <v>980</v>
      </c>
      <c r="BK117" t="s">
        <v>756</v>
      </c>
      <c r="BL117" t="s">
        <v>233</v>
      </c>
      <c r="BM117" t="s">
        <v>234</v>
      </c>
      <c r="BN117" t="s">
        <v>292</v>
      </c>
      <c r="BO117" t="s">
        <v>324</v>
      </c>
      <c r="BP117" t="s">
        <v>529</v>
      </c>
      <c r="BQ117" t="s">
        <v>751</v>
      </c>
      <c r="BR117" t="s">
        <v>778</v>
      </c>
      <c r="BS117" t="s">
        <v>793</v>
      </c>
      <c r="BT117" t="s">
        <v>794</v>
      </c>
      <c r="BU117" t="s">
        <v>946</v>
      </c>
      <c r="BV117" t="s">
        <v>1133</v>
      </c>
      <c r="BW117" t="s">
        <v>948</v>
      </c>
      <c r="BX117" t="s">
        <v>923</v>
      </c>
      <c r="BY117" t="s">
        <v>239</v>
      </c>
      <c r="BZ117" t="s">
        <v>241</v>
      </c>
      <c r="CA117" t="s">
        <v>980</v>
      </c>
      <c r="CB117" t="s">
        <v>805</v>
      </c>
      <c r="CC117" t="s">
        <v>806</v>
      </c>
    </row>
    <row r="118" spans="1:105">
      <c r="A118" s="40">
        <v>111</v>
      </c>
      <c r="B118" s="40" t="s">
        <v>577</v>
      </c>
      <c r="C118" s="2" t="s">
        <v>578</v>
      </c>
      <c r="D118" s="2" t="s">
        <v>22</v>
      </c>
      <c r="E118" s="2" t="s">
        <v>25</v>
      </c>
      <c r="F118" s="2">
        <v>80</v>
      </c>
      <c r="G118" s="2">
        <v>85</v>
      </c>
      <c r="H118" s="2">
        <v>95</v>
      </c>
      <c r="I118" s="2">
        <v>30</v>
      </c>
      <c r="J118" s="2">
        <v>30</v>
      </c>
      <c r="K118" s="2">
        <v>25</v>
      </c>
      <c r="L118" s="2">
        <v>345</v>
      </c>
      <c r="M118" s="2" t="s">
        <v>1221</v>
      </c>
      <c r="N118" s="2" t="s">
        <v>1061</v>
      </c>
      <c r="O118" t="s">
        <v>367</v>
      </c>
      <c r="P118" t="s">
        <v>266</v>
      </c>
      <c r="Q118" t="s">
        <v>493</v>
      </c>
      <c r="R118" t="s">
        <v>301</v>
      </c>
      <c r="S118" t="s">
        <v>1092</v>
      </c>
      <c r="T118" t="s">
        <v>1196</v>
      </c>
      <c r="U118" t="s">
        <v>1021</v>
      </c>
      <c r="V118" t="s">
        <v>1142</v>
      </c>
      <c r="W118" t="s">
        <v>223</v>
      </c>
      <c r="X118" t="s">
        <v>1132</v>
      </c>
      <c r="Y118" t="s">
        <v>183</v>
      </c>
      <c r="Z118" t="s">
        <v>136</v>
      </c>
      <c r="AA118" t="s">
        <v>368</v>
      </c>
      <c r="AB118" t="s">
        <v>797</v>
      </c>
      <c r="AC118" t="s">
        <v>1062</v>
      </c>
      <c r="AD118" t="s">
        <v>227</v>
      </c>
      <c r="AE118" t="s">
        <v>1063</v>
      </c>
      <c r="AF118" t="s">
        <v>246</v>
      </c>
      <c r="AG118" t="s">
        <v>148</v>
      </c>
      <c r="AH118" t="s">
        <v>172</v>
      </c>
      <c r="AI118" t="s">
        <v>752</v>
      </c>
      <c r="AJ118" t="s">
        <v>141</v>
      </c>
      <c r="AK118" t="s">
        <v>271</v>
      </c>
      <c r="AL118" t="s">
        <v>1078</v>
      </c>
      <c r="AM118" t="s">
        <v>766</v>
      </c>
      <c r="AN118" t="s">
        <v>1079</v>
      </c>
      <c r="AO118" t="s">
        <v>146</v>
      </c>
      <c r="AP118" t="s">
        <v>321</v>
      </c>
      <c r="AQ118" t="s">
        <v>136</v>
      </c>
      <c r="AR118" t="s">
        <v>1080</v>
      </c>
      <c r="AS118" t="s">
        <v>256</v>
      </c>
      <c r="AT118" t="s">
        <v>230</v>
      </c>
      <c r="AU118" t="s">
        <v>254</v>
      </c>
      <c r="AV118" t="s">
        <v>765</v>
      </c>
      <c r="AW118" t="s">
        <v>257</v>
      </c>
      <c r="AX118" t="s">
        <v>1095</v>
      </c>
      <c r="AY118" t="s">
        <v>917</v>
      </c>
      <c r="AZ118" t="s">
        <v>231</v>
      </c>
      <c r="BA118" t="s">
        <v>1082</v>
      </c>
      <c r="BB118" t="s">
        <v>1117</v>
      </c>
      <c r="BC118" t="s">
        <v>1037</v>
      </c>
      <c r="BD118" t="s">
        <v>1031</v>
      </c>
      <c r="BE118" t="s">
        <v>995</v>
      </c>
      <c r="BF118" t="s">
        <v>1003</v>
      </c>
      <c r="BG118" t="s">
        <v>183</v>
      </c>
      <c r="BH118" t="s">
        <v>145</v>
      </c>
      <c r="BI118" t="s">
        <v>1021</v>
      </c>
      <c r="BJ118" t="s">
        <v>143</v>
      </c>
      <c r="BK118" t="s">
        <v>997</v>
      </c>
      <c r="BL118" t="s">
        <v>756</v>
      </c>
      <c r="BM118" t="s">
        <v>757</v>
      </c>
      <c r="BN118" t="s">
        <v>233</v>
      </c>
      <c r="BO118" t="s">
        <v>760</v>
      </c>
      <c r="BP118" t="s">
        <v>2339</v>
      </c>
      <c r="BQ118" t="s">
        <v>234</v>
      </c>
      <c r="BR118" t="s">
        <v>259</v>
      </c>
      <c r="BS118" t="s">
        <v>237</v>
      </c>
      <c r="BT118" t="s">
        <v>751</v>
      </c>
      <c r="BU118" t="s">
        <v>775</v>
      </c>
      <c r="BV118" t="s">
        <v>789</v>
      </c>
      <c r="BW118" t="s">
        <v>761</v>
      </c>
      <c r="BX118" t="s">
        <v>777</v>
      </c>
      <c r="BY118" t="s">
        <v>1143</v>
      </c>
      <c r="BZ118" t="s">
        <v>1559</v>
      </c>
      <c r="CA118" t="s">
        <v>180</v>
      </c>
      <c r="CB118" t="s">
        <v>1010</v>
      </c>
      <c r="CC118" t="s">
        <v>983</v>
      </c>
      <c r="CD118" t="s">
        <v>182</v>
      </c>
      <c r="CE118" t="s">
        <v>1002</v>
      </c>
      <c r="CF118" t="s">
        <v>2400</v>
      </c>
      <c r="CG118" t="s">
        <v>239</v>
      </c>
      <c r="CH118" t="s">
        <v>241</v>
      </c>
      <c r="CI118" t="s">
        <v>805</v>
      </c>
      <c r="CJ118" t="s">
        <v>806</v>
      </c>
    </row>
    <row r="119" spans="1:105">
      <c r="A119" s="40">
        <v>112</v>
      </c>
      <c r="B119" s="40" t="s">
        <v>579</v>
      </c>
      <c r="C119" s="2" t="s">
        <v>580</v>
      </c>
      <c r="D119" s="2" t="s">
        <v>22</v>
      </c>
      <c r="E119" s="2" t="s">
        <v>25</v>
      </c>
      <c r="F119" s="2">
        <v>105</v>
      </c>
      <c r="G119" s="2">
        <v>130</v>
      </c>
      <c r="H119" s="2">
        <v>120</v>
      </c>
      <c r="I119" s="2">
        <v>45</v>
      </c>
      <c r="J119" s="2">
        <v>45</v>
      </c>
      <c r="K119" s="2">
        <v>40</v>
      </c>
      <c r="L119" s="2">
        <v>485</v>
      </c>
      <c r="M119" s="2" t="s">
        <v>1430</v>
      </c>
      <c r="N119" s="2" t="s">
        <v>1061</v>
      </c>
      <c r="O119" t="s">
        <v>493</v>
      </c>
      <c r="P119" t="s">
        <v>367</v>
      </c>
      <c r="Q119" t="s">
        <v>301</v>
      </c>
      <c r="R119" t="s">
        <v>266</v>
      </c>
      <c r="S119" t="s">
        <v>493</v>
      </c>
      <c r="T119" t="s">
        <v>301</v>
      </c>
      <c r="U119" t="s">
        <v>1092</v>
      </c>
      <c r="V119" t="s">
        <v>1196</v>
      </c>
      <c r="W119" t="s">
        <v>1021</v>
      </c>
      <c r="X119" t="s">
        <v>1142</v>
      </c>
      <c r="Y119" t="s">
        <v>223</v>
      </c>
      <c r="Z119" t="s">
        <v>981</v>
      </c>
      <c r="AA119" t="s">
        <v>1132</v>
      </c>
      <c r="AB119" t="s">
        <v>183</v>
      </c>
      <c r="AC119" t="s">
        <v>136</v>
      </c>
      <c r="AD119" t="s">
        <v>368</v>
      </c>
      <c r="AE119" t="s">
        <v>797</v>
      </c>
      <c r="AF119" t="s">
        <v>1062</v>
      </c>
      <c r="AG119" t="s">
        <v>226</v>
      </c>
      <c r="AH119" t="s">
        <v>144</v>
      </c>
      <c r="AI119" t="s">
        <v>227</v>
      </c>
      <c r="AJ119" t="s">
        <v>1063</v>
      </c>
      <c r="AK119" t="s">
        <v>246</v>
      </c>
      <c r="AL119" t="s">
        <v>148</v>
      </c>
      <c r="AM119" t="s">
        <v>172</v>
      </c>
      <c r="AN119" t="s">
        <v>752</v>
      </c>
      <c r="AO119" t="s">
        <v>141</v>
      </c>
      <c r="AP119" t="s">
        <v>271</v>
      </c>
      <c r="AQ119" t="s">
        <v>247</v>
      </c>
      <c r="AR119" t="s">
        <v>1078</v>
      </c>
      <c r="AS119" t="s">
        <v>766</v>
      </c>
      <c r="AT119" t="s">
        <v>1079</v>
      </c>
      <c r="AU119" t="s">
        <v>1109</v>
      </c>
      <c r="AV119" t="s">
        <v>146</v>
      </c>
      <c r="AW119" t="s">
        <v>321</v>
      </c>
      <c r="AX119" t="s">
        <v>136</v>
      </c>
      <c r="AY119" t="s">
        <v>1080</v>
      </c>
      <c r="AZ119" t="s">
        <v>256</v>
      </c>
      <c r="BA119" t="s">
        <v>1094</v>
      </c>
      <c r="BB119" t="s">
        <v>230</v>
      </c>
      <c r="BC119" t="s">
        <v>254</v>
      </c>
      <c r="BD119" t="s">
        <v>765</v>
      </c>
      <c r="BE119" t="s">
        <v>257</v>
      </c>
      <c r="BF119" t="s">
        <v>1095</v>
      </c>
      <c r="BG119" t="s">
        <v>917</v>
      </c>
      <c r="BH119" t="s">
        <v>231</v>
      </c>
      <c r="BI119" t="s">
        <v>1082</v>
      </c>
      <c r="BJ119" t="s">
        <v>1117</v>
      </c>
      <c r="BK119" t="s">
        <v>1037</v>
      </c>
      <c r="BL119" t="s">
        <v>1102</v>
      </c>
      <c r="BM119" t="s">
        <v>974</v>
      </c>
      <c r="BN119" t="s">
        <v>1031</v>
      </c>
      <c r="BO119" t="s">
        <v>1005</v>
      </c>
      <c r="BP119" t="s">
        <v>995</v>
      </c>
      <c r="BQ119" t="s">
        <v>976</v>
      </c>
      <c r="BR119" t="s">
        <v>1003</v>
      </c>
      <c r="BS119" t="s">
        <v>183</v>
      </c>
      <c r="BT119" t="s">
        <v>145</v>
      </c>
      <c r="BU119" t="s">
        <v>1021</v>
      </c>
      <c r="BV119" t="s">
        <v>143</v>
      </c>
      <c r="BW119" t="s">
        <v>1022</v>
      </c>
      <c r="BX119" t="s">
        <v>997</v>
      </c>
      <c r="BY119" t="s">
        <v>756</v>
      </c>
      <c r="BZ119" t="s">
        <v>757</v>
      </c>
      <c r="CA119" t="s">
        <v>233</v>
      </c>
      <c r="CB119" t="s">
        <v>760</v>
      </c>
      <c r="CC119" t="s">
        <v>2398</v>
      </c>
      <c r="CD119" t="s">
        <v>2339</v>
      </c>
      <c r="CE119" t="s">
        <v>234</v>
      </c>
      <c r="CF119" t="s">
        <v>259</v>
      </c>
      <c r="CG119" t="s">
        <v>237</v>
      </c>
      <c r="CH119" t="s">
        <v>751</v>
      </c>
      <c r="CI119" t="s">
        <v>775</v>
      </c>
      <c r="CJ119" t="s">
        <v>789</v>
      </c>
      <c r="CK119" t="s">
        <v>761</v>
      </c>
      <c r="CL119" t="s">
        <v>777</v>
      </c>
      <c r="CM119" t="s">
        <v>1143</v>
      </c>
      <c r="CN119" t="s">
        <v>1559</v>
      </c>
      <c r="CO119" t="s">
        <v>180</v>
      </c>
      <c r="CP119" t="s">
        <v>1010</v>
      </c>
      <c r="CQ119" t="s">
        <v>983</v>
      </c>
      <c r="CR119" t="s">
        <v>182</v>
      </c>
      <c r="CS119" t="s">
        <v>1002</v>
      </c>
      <c r="CT119" t="s">
        <v>2400</v>
      </c>
      <c r="CU119" t="s">
        <v>239</v>
      </c>
      <c r="CV119" t="s">
        <v>241</v>
      </c>
      <c r="CW119" t="s">
        <v>805</v>
      </c>
      <c r="CX119" t="s">
        <v>806</v>
      </c>
    </row>
    <row r="120" spans="1:105">
      <c r="A120" s="40">
        <v>113</v>
      </c>
      <c r="B120" s="40" t="s">
        <v>581</v>
      </c>
      <c r="C120" s="2" t="s">
        <v>582</v>
      </c>
      <c r="D120" s="2" t="s">
        <v>24</v>
      </c>
      <c r="E120" s="2"/>
      <c r="F120" s="2">
        <v>250</v>
      </c>
      <c r="G120" s="2">
        <v>5</v>
      </c>
      <c r="H120" s="2">
        <v>5</v>
      </c>
      <c r="I120" s="2">
        <v>35</v>
      </c>
      <c r="J120" s="2">
        <v>105</v>
      </c>
      <c r="K120" s="2">
        <v>50</v>
      </c>
      <c r="L120" s="2">
        <v>450</v>
      </c>
      <c r="M120" s="2" t="s">
        <v>2416</v>
      </c>
      <c r="N120" s="2" t="s">
        <v>1061</v>
      </c>
      <c r="O120" t="s">
        <v>376</v>
      </c>
      <c r="P120" t="s">
        <v>220</v>
      </c>
      <c r="Q120" t="s">
        <v>353</v>
      </c>
      <c r="R120" t="s">
        <v>266</v>
      </c>
      <c r="S120" t="s">
        <v>1106</v>
      </c>
      <c r="T120" t="s">
        <v>348</v>
      </c>
      <c r="U120" t="s">
        <v>583</v>
      </c>
      <c r="V120" t="s">
        <v>1139</v>
      </c>
      <c r="W120" t="s">
        <v>378</v>
      </c>
      <c r="X120" t="s">
        <v>223</v>
      </c>
      <c r="Y120" t="s">
        <v>377</v>
      </c>
      <c r="Z120" t="s">
        <v>974</v>
      </c>
      <c r="AA120" t="s">
        <v>1200</v>
      </c>
      <c r="AB120" t="s">
        <v>556</v>
      </c>
      <c r="AC120" t="s">
        <v>228</v>
      </c>
      <c r="AD120" t="s">
        <v>982</v>
      </c>
      <c r="AE120" t="s">
        <v>225</v>
      </c>
      <c r="AF120" t="s">
        <v>1062</v>
      </c>
      <c r="AG120" t="s">
        <v>227</v>
      </c>
      <c r="AH120" t="s">
        <v>1063</v>
      </c>
      <c r="AI120" t="s">
        <v>912</v>
      </c>
      <c r="AJ120" t="s">
        <v>148</v>
      </c>
      <c r="AK120" t="s">
        <v>1104</v>
      </c>
      <c r="AL120" t="s">
        <v>172</v>
      </c>
      <c r="AM120" t="s">
        <v>752</v>
      </c>
      <c r="AN120" t="s">
        <v>141</v>
      </c>
      <c r="AO120" t="s">
        <v>271</v>
      </c>
      <c r="AP120" t="s">
        <v>247</v>
      </c>
      <c r="AQ120" t="s">
        <v>228</v>
      </c>
      <c r="AR120" t="s">
        <v>1078</v>
      </c>
      <c r="AS120" t="s">
        <v>766</v>
      </c>
      <c r="AT120" t="s">
        <v>759</v>
      </c>
      <c r="AU120" t="s">
        <v>1079</v>
      </c>
      <c r="AV120" t="s">
        <v>229</v>
      </c>
      <c r="AW120" t="s">
        <v>146</v>
      </c>
      <c r="AX120" t="s">
        <v>321</v>
      </c>
      <c r="AY120" t="s">
        <v>136</v>
      </c>
      <c r="AZ120" t="s">
        <v>1080</v>
      </c>
      <c r="BA120" t="s">
        <v>9</v>
      </c>
      <c r="BB120" t="s">
        <v>174</v>
      </c>
      <c r="BC120" t="s">
        <v>1094</v>
      </c>
      <c r="BD120" t="s">
        <v>230</v>
      </c>
      <c r="BE120" t="s">
        <v>254</v>
      </c>
      <c r="BF120" t="s">
        <v>765</v>
      </c>
      <c r="BG120" t="s">
        <v>257</v>
      </c>
      <c r="BH120" t="s">
        <v>1095</v>
      </c>
      <c r="BI120" t="s">
        <v>917</v>
      </c>
      <c r="BJ120" t="s">
        <v>231</v>
      </c>
      <c r="BK120" t="s">
        <v>1082</v>
      </c>
      <c r="BL120" t="s">
        <v>1037</v>
      </c>
      <c r="BM120" t="s">
        <v>1083</v>
      </c>
      <c r="BN120" t="s">
        <v>974</v>
      </c>
      <c r="BO120" t="s">
        <v>963</v>
      </c>
      <c r="BP120" t="s">
        <v>1031</v>
      </c>
      <c r="BQ120" t="s">
        <v>1036</v>
      </c>
      <c r="BR120" t="s">
        <v>976</v>
      </c>
      <c r="BS120" t="s">
        <v>232</v>
      </c>
      <c r="BT120" t="s">
        <v>322</v>
      </c>
      <c r="BU120" t="s">
        <v>785</v>
      </c>
      <c r="BV120" t="s">
        <v>1021</v>
      </c>
      <c r="BW120" t="s">
        <v>143</v>
      </c>
      <c r="BX120" t="s">
        <v>293</v>
      </c>
      <c r="BY120" t="s">
        <v>977</v>
      </c>
      <c r="BZ120" t="s">
        <v>756</v>
      </c>
      <c r="CA120" t="s">
        <v>757</v>
      </c>
      <c r="CB120" t="s">
        <v>233</v>
      </c>
      <c r="CC120" t="s">
        <v>1047</v>
      </c>
      <c r="CD120" t="s">
        <v>760</v>
      </c>
      <c r="CE120" t="s">
        <v>2398</v>
      </c>
      <c r="CF120" t="s">
        <v>2342</v>
      </c>
      <c r="CG120" t="s">
        <v>2339</v>
      </c>
      <c r="CH120" t="s">
        <v>234</v>
      </c>
      <c r="CI120" t="s">
        <v>259</v>
      </c>
      <c r="CJ120" t="s">
        <v>436</v>
      </c>
      <c r="CK120" t="s">
        <v>379</v>
      </c>
      <c r="CL120" t="s">
        <v>754</v>
      </c>
      <c r="CM120" t="s">
        <v>795</v>
      </c>
      <c r="CN120" t="s">
        <v>780</v>
      </c>
      <c r="CO120" t="s">
        <v>925</v>
      </c>
      <c r="CP120" t="s">
        <v>1153</v>
      </c>
      <c r="CQ120" t="s">
        <v>978</v>
      </c>
      <c r="CR120" t="s">
        <v>992</v>
      </c>
      <c r="CS120" t="s">
        <v>986</v>
      </c>
      <c r="CT120" t="s">
        <v>990</v>
      </c>
      <c r="CU120" t="s">
        <v>239</v>
      </c>
      <c r="CV120" t="s">
        <v>241</v>
      </c>
      <c r="CW120" t="s">
        <v>781</v>
      </c>
      <c r="CX120" t="s">
        <v>964</v>
      </c>
      <c r="CY120" t="s">
        <v>782</v>
      </c>
      <c r="CZ120" t="s">
        <v>805</v>
      </c>
      <c r="DA120" t="s">
        <v>806</v>
      </c>
    </row>
    <row r="121" spans="1:105">
      <c r="A121" s="40">
        <v>114</v>
      </c>
      <c r="B121" s="40" t="s">
        <v>584</v>
      </c>
      <c r="C121" s="2" t="s">
        <v>585</v>
      </c>
      <c r="D121" s="2" t="s">
        <v>21</v>
      </c>
      <c r="E121" s="2"/>
      <c r="F121" s="2">
        <v>65</v>
      </c>
      <c r="G121" s="2">
        <v>55</v>
      </c>
      <c r="H121" s="2">
        <v>115</v>
      </c>
      <c r="I121" s="2">
        <v>100</v>
      </c>
      <c r="J121" s="2">
        <v>40</v>
      </c>
      <c r="K121" s="2">
        <v>60</v>
      </c>
      <c r="L121" s="2">
        <v>435</v>
      </c>
      <c r="M121" s="2" t="s">
        <v>1074</v>
      </c>
      <c r="N121" s="2" t="s">
        <v>1061</v>
      </c>
      <c r="O121" t="s">
        <v>477</v>
      </c>
      <c r="P121" t="s">
        <v>1085</v>
      </c>
      <c r="Q121" t="s">
        <v>222</v>
      </c>
      <c r="R121" t="s">
        <v>149</v>
      </c>
      <c r="S121" t="s">
        <v>402</v>
      </c>
      <c r="T121" t="s">
        <v>221</v>
      </c>
      <c r="U121" t="s">
        <v>240</v>
      </c>
      <c r="V121" t="s">
        <v>215</v>
      </c>
      <c r="W121" t="s">
        <v>403</v>
      </c>
      <c r="X121" t="s">
        <v>928</v>
      </c>
      <c r="Y121" t="s">
        <v>288</v>
      </c>
      <c r="Z121" t="s">
        <v>992</v>
      </c>
      <c r="AA121" t="s">
        <v>171</v>
      </c>
      <c r="AB121" t="s">
        <v>170</v>
      </c>
      <c r="AC121" t="s">
        <v>341</v>
      </c>
      <c r="AD121" t="s">
        <v>950</v>
      </c>
      <c r="AE121" t="s">
        <v>2367</v>
      </c>
      <c r="AF121" t="s">
        <v>1189</v>
      </c>
      <c r="AG121" t="s">
        <v>1088</v>
      </c>
      <c r="AH121" t="s">
        <v>1062</v>
      </c>
      <c r="AI121" t="s">
        <v>226</v>
      </c>
      <c r="AJ121" t="s">
        <v>1063</v>
      </c>
      <c r="AK121" t="s">
        <v>148</v>
      </c>
      <c r="AL121" t="s">
        <v>172</v>
      </c>
      <c r="AM121" t="s">
        <v>752</v>
      </c>
      <c r="AN121" t="s">
        <v>247</v>
      </c>
      <c r="AO121" t="s">
        <v>1078</v>
      </c>
      <c r="AP121" t="s">
        <v>1079</v>
      </c>
      <c r="AQ121" t="s">
        <v>229</v>
      </c>
      <c r="AR121" t="s">
        <v>1080</v>
      </c>
      <c r="AS121" t="s">
        <v>230</v>
      </c>
      <c r="AT121" t="s">
        <v>380</v>
      </c>
      <c r="AU121" t="s">
        <v>1081</v>
      </c>
      <c r="AV121" t="s">
        <v>917</v>
      </c>
      <c r="AW121" t="s">
        <v>231</v>
      </c>
      <c r="AX121" t="s">
        <v>1082</v>
      </c>
      <c r="AY121" t="s">
        <v>1117</v>
      </c>
      <c r="AZ121" t="s">
        <v>1037</v>
      </c>
      <c r="BA121" t="s">
        <v>970</v>
      </c>
      <c r="BB121" t="s">
        <v>976</v>
      </c>
      <c r="BC121" t="s">
        <v>232</v>
      </c>
      <c r="BD121" t="s">
        <v>145</v>
      </c>
      <c r="BE121" t="s">
        <v>785</v>
      </c>
      <c r="BF121" t="s">
        <v>2369</v>
      </c>
      <c r="BG121" t="s">
        <v>977</v>
      </c>
      <c r="BH121" t="s">
        <v>756</v>
      </c>
      <c r="BI121" t="s">
        <v>757</v>
      </c>
      <c r="BJ121" t="s">
        <v>233</v>
      </c>
      <c r="BK121" t="s">
        <v>760</v>
      </c>
      <c r="BL121" t="s">
        <v>2339</v>
      </c>
      <c r="BM121" t="s">
        <v>234</v>
      </c>
      <c r="BN121" t="s">
        <v>403</v>
      </c>
      <c r="BO121" t="s">
        <v>142</v>
      </c>
      <c r="BP121" t="s">
        <v>287</v>
      </c>
      <c r="BQ121" t="s">
        <v>235</v>
      </c>
      <c r="BR121" t="s">
        <v>770</v>
      </c>
      <c r="BS121" t="s">
        <v>171</v>
      </c>
      <c r="BT121" t="s">
        <v>1087</v>
      </c>
      <c r="BU121" t="s">
        <v>916</v>
      </c>
      <c r="BV121" t="s">
        <v>992</v>
      </c>
      <c r="BW121" t="s">
        <v>998</v>
      </c>
      <c r="BX121" t="s">
        <v>1086</v>
      </c>
      <c r="BY121" t="s">
        <v>1114</v>
      </c>
      <c r="BZ121" t="s">
        <v>239</v>
      </c>
      <c r="CA121" t="s">
        <v>241</v>
      </c>
      <c r="CB121" t="s">
        <v>805</v>
      </c>
      <c r="CC121" t="s">
        <v>806</v>
      </c>
    </row>
    <row r="122" spans="1:105">
      <c r="A122" s="40">
        <v>115</v>
      </c>
      <c r="B122" s="40" t="s">
        <v>586</v>
      </c>
      <c r="C122" s="2" t="s">
        <v>587</v>
      </c>
      <c r="D122" s="2" t="s">
        <v>24</v>
      </c>
      <c r="E122" s="2"/>
      <c r="F122" s="2">
        <v>105</v>
      </c>
      <c r="G122" s="2">
        <v>95</v>
      </c>
      <c r="H122" s="2">
        <v>80</v>
      </c>
      <c r="I122" s="2">
        <v>40</v>
      </c>
      <c r="J122" s="2">
        <v>80</v>
      </c>
      <c r="K122" s="2">
        <v>90</v>
      </c>
      <c r="L122" s="2">
        <v>490</v>
      </c>
      <c r="M122" s="2" t="s">
        <v>1201</v>
      </c>
      <c r="N122" s="2" t="s">
        <v>1061</v>
      </c>
      <c r="O122" t="s">
        <v>570</v>
      </c>
      <c r="P122" t="s">
        <v>330</v>
      </c>
      <c r="Q122" t="s">
        <v>176</v>
      </c>
      <c r="R122" t="s">
        <v>266</v>
      </c>
      <c r="S122" t="s">
        <v>258</v>
      </c>
      <c r="T122" t="s">
        <v>965</v>
      </c>
      <c r="U122" t="s">
        <v>304</v>
      </c>
      <c r="V122" t="s">
        <v>486</v>
      </c>
      <c r="W122" t="s">
        <v>1142</v>
      </c>
      <c r="X122" t="s">
        <v>588</v>
      </c>
      <c r="Y122" t="s">
        <v>777</v>
      </c>
      <c r="Z122" t="s">
        <v>754</v>
      </c>
      <c r="AA122" t="s">
        <v>764</v>
      </c>
      <c r="AB122" t="s">
        <v>1008</v>
      </c>
      <c r="AC122" t="s">
        <v>775</v>
      </c>
      <c r="AD122" t="s">
        <v>1062</v>
      </c>
      <c r="AE122" t="s">
        <v>226</v>
      </c>
      <c r="AF122" t="s">
        <v>144</v>
      </c>
      <c r="AG122" t="s">
        <v>227</v>
      </c>
      <c r="AH122" t="s">
        <v>1063</v>
      </c>
      <c r="AI122" t="s">
        <v>246</v>
      </c>
      <c r="AJ122" t="s">
        <v>148</v>
      </c>
      <c r="AK122" t="s">
        <v>1104</v>
      </c>
      <c r="AL122" t="s">
        <v>172</v>
      </c>
      <c r="AM122" t="s">
        <v>752</v>
      </c>
      <c r="AN122" t="s">
        <v>141</v>
      </c>
      <c r="AO122" t="s">
        <v>271</v>
      </c>
      <c r="AP122" t="s">
        <v>247</v>
      </c>
      <c r="AQ122" t="s">
        <v>1078</v>
      </c>
      <c r="AR122" t="s">
        <v>766</v>
      </c>
      <c r="AS122" t="s">
        <v>759</v>
      </c>
      <c r="AT122" t="s">
        <v>1079</v>
      </c>
      <c r="AU122" t="s">
        <v>229</v>
      </c>
      <c r="AV122" t="s">
        <v>146</v>
      </c>
      <c r="AW122" t="s">
        <v>321</v>
      </c>
      <c r="AX122" t="s">
        <v>136</v>
      </c>
      <c r="AY122" t="s">
        <v>1080</v>
      </c>
      <c r="AZ122" t="s">
        <v>256</v>
      </c>
      <c r="BA122" t="s">
        <v>174</v>
      </c>
      <c r="BB122" t="s">
        <v>1094</v>
      </c>
      <c r="BC122" t="s">
        <v>230</v>
      </c>
      <c r="BD122" t="s">
        <v>254</v>
      </c>
      <c r="BE122" t="s">
        <v>765</v>
      </c>
      <c r="BF122" t="s">
        <v>257</v>
      </c>
      <c r="BG122" t="s">
        <v>1095</v>
      </c>
      <c r="BH122" t="s">
        <v>1096</v>
      </c>
      <c r="BI122" t="s">
        <v>917</v>
      </c>
      <c r="BJ122" t="s">
        <v>231</v>
      </c>
      <c r="BK122" t="s">
        <v>1082</v>
      </c>
      <c r="BL122" t="s">
        <v>1117</v>
      </c>
      <c r="BM122" t="s">
        <v>1037</v>
      </c>
      <c r="BN122" t="s">
        <v>1102</v>
      </c>
      <c r="BO122" t="s">
        <v>974</v>
      </c>
      <c r="BP122" t="s">
        <v>1031</v>
      </c>
      <c r="BQ122" t="s">
        <v>1005</v>
      </c>
      <c r="BR122" t="s">
        <v>1036</v>
      </c>
      <c r="BS122" t="s">
        <v>976</v>
      </c>
      <c r="BT122" t="s">
        <v>1021</v>
      </c>
      <c r="BU122" t="s">
        <v>143</v>
      </c>
      <c r="BV122" t="s">
        <v>756</v>
      </c>
      <c r="BW122" t="s">
        <v>757</v>
      </c>
      <c r="BX122" t="s">
        <v>233</v>
      </c>
      <c r="BY122" t="s">
        <v>760</v>
      </c>
      <c r="BZ122" t="s">
        <v>2398</v>
      </c>
      <c r="CA122" t="s">
        <v>2339</v>
      </c>
      <c r="CB122" t="s">
        <v>234</v>
      </c>
      <c r="CC122" t="s">
        <v>493</v>
      </c>
      <c r="CD122" t="s">
        <v>225</v>
      </c>
      <c r="CE122" t="s">
        <v>340</v>
      </c>
      <c r="CF122" t="s">
        <v>259</v>
      </c>
      <c r="CG122" t="s">
        <v>302</v>
      </c>
      <c r="CH122" t="s">
        <v>771</v>
      </c>
      <c r="CI122" t="s">
        <v>953</v>
      </c>
      <c r="CJ122" t="s">
        <v>920</v>
      </c>
      <c r="CK122" t="s">
        <v>916</v>
      </c>
      <c r="CL122" t="s">
        <v>1143</v>
      </c>
      <c r="CM122" t="s">
        <v>981</v>
      </c>
      <c r="CN122" t="s">
        <v>1013</v>
      </c>
      <c r="CO122" t="s">
        <v>1180</v>
      </c>
      <c r="CP122" t="s">
        <v>239</v>
      </c>
      <c r="CQ122" t="s">
        <v>241</v>
      </c>
      <c r="CR122" t="s">
        <v>805</v>
      </c>
      <c r="CS122" t="s">
        <v>806</v>
      </c>
    </row>
    <row r="123" spans="1:105">
      <c r="A123" s="40">
        <v>115.1</v>
      </c>
      <c r="B123" s="40" t="s">
        <v>2289</v>
      </c>
      <c r="C123" s="2" t="s">
        <v>2290</v>
      </c>
      <c r="D123" s="2" t="s">
        <v>24</v>
      </c>
      <c r="E123" s="2"/>
      <c r="F123" s="2">
        <v>105</v>
      </c>
      <c r="G123" s="2">
        <v>125</v>
      </c>
      <c r="H123" s="2">
        <v>100</v>
      </c>
      <c r="I123" s="2">
        <v>60</v>
      </c>
      <c r="J123" s="2">
        <v>100</v>
      </c>
      <c r="K123" s="2">
        <v>100</v>
      </c>
      <c r="L123" s="2">
        <v>590</v>
      </c>
      <c r="M123" s="2" t="s">
        <v>2417</v>
      </c>
      <c r="N123" s="2" t="s">
        <v>1061</v>
      </c>
      <c r="O123" t="s">
        <v>1062</v>
      </c>
      <c r="P123" t="s">
        <v>1063</v>
      </c>
      <c r="Q123" t="s">
        <v>757</v>
      </c>
      <c r="R123" t="s">
        <v>2398</v>
      </c>
      <c r="S123" t="s">
        <v>2339</v>
      </c>
      <c r="T123" t="s">
        <v>234</v>
      </c>
      <c r="U123" t="s">
        <v>493</v>
      </c>
      <c r="V123" t="s">
        <v>225</v>
      </c>
      <c r="W123" t="s">
        <v>340</v>
      </c>
      <c r="X123" t="s">
        <v>259</v>
      </c>
      <c r="Y123" t="s">
        <v>302</v>
      </c>
      <c r="Z123" t="s">
        <v>771</v>
      </c>
      <c r="AA123" t="s">
        <v>953</v>
      </c>
      <c r="AB123" t="s">
        <v>920</v>
      </c>
      <c r="AC123" t="s">
        <v>916</v>
      </c>
      <c r="AD123" t="s">
        <v>1143</v>
      </c>
      <c r="AE123" t="s">
        <v>981</v>
      </c>
      <c r="AF123" t="s">
        <v>1013</v>
      </c>
      <c r="AG123" t="s">
        <v>1180</v>
      </c>
      <c r="AH123" t="s">
        <v>239</v>
      </c>
      <c r="AI123" t="s">
        <v>241</v>
      </c>
      <c r="AJ123" t="s">
        <v>805</v>
      </c>
      <c r="AK123" t="s">
        <v>806</v>
      </c>
    </row>
    <row r="124" spans="1:105">
      <c r="A124" s="40">
        <v>116</v>
      </c>
      <c r="B124" s="40" t="s">
        <v>589</v>
      </c>
      <c r="C124" s="2" t="s">
        <v>590</v>
      </c>
      <c r="D124" s="2" t="s">
        <v>27</v>
      </c>
      <c r="E124" s="2"/>
      <c r="F124" s="2">
        <v>30</v>
      </c>
      <c r="G124" s="2">
        <v>40</v>
      </c>
      <c r="H124" s="2">
        <v>70</v>
      </c>
      <c r="I124" s="2">
        <v>70</v>
      </c>
      <c r="J124" s="2">
        <v>25</v>
      </c>
      <c r="K124" s="2">
        <v>60</v>
      </c>
      <c r="L124" s="2">
        <v>295</v>
      </c>
      <c r="M124" s="2" t="s">
        <v>1120</v>
      </c>
      <c r="N124" s="2" t="s">
        <v>1061</v>
      </c>
      <c r="O124" t="s">
        <v>267</v>
      </c>
      <c r="P124" t="s">
        <v>251</v>
      </c>
      <c r="Q124" t="s">
        <v>330</v>
      </c>
      <c r="R124" t="s">
        <v>269</v>
      </c>
      <c r="S124" t="s">
        <v>302</v>
      </c>
      <c r="T124" t="s">
        <v>446</v>
      </c>
      <c r="U124" t="s">
        <v>306</v>
      </c>
      <c r="V124" t="s">
        <v>796</v>
      </c>
      <c r="W124" t="s">
        <v>961</v>
      </c>
      <c r="X124" t="s">
        <v>140</v>
      </c>
      <c r="Y124" t="s">
        <v>915</v>
      </c>
      <c r="Z124" t="s">
        <v>967</v>
      </c>
      <c r="AA124" t="s">
        <v>1062</v>
      </c>
      <c r="AB124" t="s">
        <v>144</v>
      </c>
      <c r="AC124" t="s">
        <v>270</v>
      </c>
      <c r="AD124" t="s">
        <v>914</v>
      </c>
      <c r="AE124" t="s">
        <v>1063</v>
      </c>
      <c r="AF124" t="s">
        <v>148</v>
      </c>
      <c r="AG124" t="s">
        <v>1104</v>
      </c>
      <c r="AH124" t="s">
        <v>172</v>
      </c>
      <c r="AI124" t="s">
        <v>141</v>
      </c>
      <c r="AJ124" t="s">
        <v>271</v>
      </c>
      <c r="AK124" t="s">
        <v>1078</v>
      </c>
      <c r="AL124" t="s">
        <v>766</v>
      </c>
      <c r="AM124" t="s">
        <v>1079</v>
      </c>
      <c r="AN124" t="s">
        <v>1080</v>
      </c>
      <c r="AO124" t="s">
        <v>230</v>
      </c>
      <c r="AP124" t="s">
        <v>917</v>
      </c>
      <c r="AQ124" t="s">
        <v>231</v>
      </c>
      <c r="AR124" t="s">
        <v>1082</v>
      </c>
      <c r="AS124" t="s">
        <v>1037</v>
      </c>
      <c r="AT124" t="s">
        <v>1038</v>
      </c>
      <c r="AU124" t="s">
        <v>756</v>
      </c>
      <c r="AV124" t="s">
        <v>757</v>
      </c>
      <c r="AW124" t="s">
        <v>233</v>
      </c>
      <c r="AX124" t="s">
        <v>973</v>
      </c>
      <c r="AY124" t="s">
        <v>2339</v>
      </c>
      <c r="AZ124" t="s">
        <v>234</v>
      </c>
      <c r="BA124" t="s">
        <v>332</v>
      </c>
      <c r="BB124" t="s">
        <v>340</v>
      </c>
      <c r="BC124" t="s">
        <v>478</v>
      </c>
      <c r="BD124" t="s">
        <v>252</v>
      </c>
      <c r="BE124" t="s">
        <v>382</v>
      </c>
      <c r="BF124" t="s">
        <v>770</v>
      </c>
      <c r="BG124" t="s">
        <v>1225</v>
      </c>
      <c r="BH124" t="s">
        <v>764</v>
      </c>
      <c r="BI124" t="s">
        <v>762</v>
      </c>
      <c r="BJ124" t="s">
        <v>216</v>
      </c>
      <c r="BK124" t="s">
        <v>1105</v>
      </c>
      <c r="BL124" t="s">
        <v>954</v>
      </c>
      <c r="BM124" t="s">
        <v>1191</v>
      </c>
      <c r="BN124" t="s">
        <v>239</v>
      </c>
      <c r="BO124" t="s">
        <v>241</v>
      </c>
      <c r="BP124" t="s">
        <v>805</v>
      </c>
      <c r="BQ124" t="s">
        <v>806</v>
      </c>
    </row>
    <row r="125" spans="1:105">
      <c r="A125" s="40">
        <v>117</v>
      </c>
      <c r="B125" s="40" t="s">
        <v>591</v>
      </c>
      <c r="C125" s="2" t="s">
        <v>592</v>
      </c>
      <c r="D125" s="2" t="s">
        <v>27</v>
      </c>
      <c r="E125" s="2"/>
      <c r="F125" s="2">
        <v>55</v>
      </c>
      <c r="G125" s="2">
        <v>65</v>
      </c>
      <c r="H125" s="2">
        <v>95</v>
      </c>
      <c r="I125" s="2">
        <v>95</v>
      </c>
      <c r="J125" s="2">
        <v>45</v>
      </c>
      <c r="K125" s="2">
        <v>85</v>
      </c>
      <c r="L125" s="2">
        <v>440</v>
      </c>
      <c r="M125" s="2" t="s">
        <v>1162</v>
      </c>
      <c r="N125" s="2" t="s">
        <v>1061</v>
      </c>
      <c r="O125" t="s">
        <v>330</v>
      </c>
      <c r="P125" t="s">
        <v>269</v>
      </c>
      <c r="Q125" t="s">
        <v>251</v>
      </c>
      <c r="R125" t="s">
        <v>267</v>
      </c>
      <c r="S125" t="s">
        <v>251</v>
      </c>
      <c r="T125" t="s">
        <v>330</v>
      </c>
      <c r="U125" t="s">
        <v>269</v>
      </c>
      <c r="V125" t="s">
        <v>302</v>
      </c>
      <c r="W125" t="s">
        <v>446</v>
      </c>
      <c r="X125" t="s">
        <v>306</v>
      </c>
      <c r="Y125" t="s">
        <v>796</v>
      </c>
      <c r="Z125" t="s">
        <v>961</v>
      </c>
      <c r="AA125" t="s">
        <v>140</v>
      </c>
      <c r="AB125" t="s">
        <v>915</v>
      </c>
      <c r="AC125" t="s">
        <v>967</v>
      </c>
      <c r="AD125" t="s">
        <v>1062</v>
      </c>
      <c r="AE125" t="s">
        <v>144</v>
      </c>
      <c r="AF125" t="s">
        <v>270</v>
      </c>
      <c r="AG125" t="s">
        <v>914</v>
      </c>
      <c r="AH125" t="s">
        <v>1063</v>
      </c>
      <c r="AI125" t="s">
        <v>148</v>
      </c>
      <c r="AJ125" t="s">
        <v>1104</v>
      </c>
      <c r="AK125" t="s">
        <v>172</v>
      </c>
      <c r="AL125" t="s">
        <v>141</v>
      </c>
      <c r="AM125" t="s">
        <v>271</v>
      </c>
      <c r="AN125" t="s">
        <v>247</v>
      </c>
      <c r="AO125" t="s">
        <v>1078</v>
      </c>
      <c r="AP125" t="s">
        <v>766</v>
      </c>
      <c r="AQ125" t="s">
        <v>1079</v>
      </c>
      <c r="AR125" t="s">
        <v>1080</v>
      </c>
      <c r="AS125" t="s">
        <v>230</v>
      </c>
      <c r="AT125" t="s">
        <v>917</v>
      </c>
      <c r="AU125" t="s">
        <v>231</v>
      </c>
      <c r="AV125" t="s">
        <v>1082</v>
      </c>
      <c r="AW125" t="s">
        <v>1037</v>
      </c>
      <c r="AX125" t="s">
        <v>1038</v>
      </c>
      <c r="AY125" t="s">
        <v>976</v>
      </c>
      <c r="AZ125" t="s">
        <v>756</v>
      </c>
      <c r="BA125" t="s">
        <v>757</v>
      </c>
      <c r="BB125" t="s">
        <v>233</v>
      </c>
      <c r="BC125" t="s">
        <v>973</v>
      </c>
      <c r="BD125" t="s">
        <v>2339</v>
      </c>
      <c r="BE125" t="s">
        <v>234</v>
      </c>
      <c r="BF125" t="s">
        <v>332</v>
      </c>
      <c r="BG125" t="s">
        <v>340</v>
      </c>
      <c r="BH125" t="s">
        <v>478</v>
      </c>
      <c r="BI125" t="s">
        <v>252</v>
      </c>
      <c r="BJ125" t="s">
        <v>382</v>
      </c>
      <c r="BK125" t="s">
        <v>770</v>
      </c>
      <c r="BL125" t="s">
        <v>1225</v>
      </c>
      <c r="BM125" t="s">
        <v>764</v>
      </c>
      <c r="BN125" t="s">
        <v>762</v>
      </c>
      <c r="BO125" t="s">
        <v>216</v>
      </c>
      <c r="BP125" t="s">
        <v>1105</v>
      </c>
      <c r="BQ125" t="s">
        <v>954</v>
      </c>
      <c r="BR125" t="s">
        <v>1191</v>
      </c>
      <c r="BS125" t="s">
        <v>239</v>
      </c>
      <c r="BT125" t="s">
        <v>241</v>
      </c>
      <c r="BU125" t="s">
        <v>805</v>
      </c>
      <c r="BV125" t="s">
        <v>806</v>
      </c>
    </row>
    <row r="126" spans="1:105">
      <c r="A126" s="40">
        <v>118</v>
      </c>
      <c r="B126" s="40" t="s">
        <v>593</v>
      </c>
      <c r="C126" s="2" t="s">
        <v>594</v>
      </c>
      <c r="D126" s="2" t="s">
        <v>27</v>
      </c>
      <c r="E126" s="2"/>
      <c r="F126" s="2">
        <v>45</v>
      </c>
      <c r="G126" s="2">
        <v>67</v>
      </c>
      <c r="H126" s="2">
        <v>60</v>
      </c>
      <c r="I126" s="2">
        <v>35</v>
      </c>
      <c r="J126" s="2">
        <v>50</v>
      </c>
      <c r="K126" s="2">
        <v>63</v>
      </c>
      <c r="L126" s="2">
        <v>320</v>
      </c>
      <c r="M126" s="2" t="s">
        <v>1120</v>
      </c>
      <c r="N126" s="2" t="s">
        <v>1061</v>
      </c>
      <c r="O126" t="s">
        <v>266</v>
      </c>
      <c r="P126" t="s">
        <v>329</v>
      </c>
      <c r="Q126" t="s">
        <v>955</v>
      </c>
      <c r="R126" t="s">
        <v>290</v>
      </c>
      <c r="S126" t="s">
        <v>367</v>
      </c>
      <c r="T126" t="s">
        <v>954</v>
      </c>
      <c r="U126" t="s">
        <v>770</v>
      </c>
      <c r="V126" t="s">
        <v>178</v>
      </c>
      <c r="W126" t="s">
        <v>301</v>
      </c>
      <c r="X126" t="s">
        <v>270</v>
      </c>
      <c r="Y126" t="s">
        <v>368</v>
      </c>
      <c r="Z126" t="s">
        <v>306</v>
      </c>
      <c r="AA126" t="s">
        <v>1170</v>
      </c>
      <c r="AB126" t="s">
        <v>797</v>
      </c>
      <c r="AC126" t="s">
        <v>1062</v>
      </c>
      <c r="AD126" t="s">
        <v>144</v>
      </c>
      <c r="AE126" t="s">
        <v>270</v>
      </c>
      <c r="AF126" t="s">
        <v>914</v>
      </c>
      <c r="AG126" t="s">
        <v>1063</v>
      </c>
      <c r="AH126" t="s">
        <v>148</v>
      </c>
      <c r="AI126" t="s">
        <v>1104</v>
      </c>
      <c r="AJ126" t="s">
        <v>172</v>
      </c>
      <c r="AK126" t="s">
        <v>141</v>
      </c>
      <c r="AL126" t="s">
        <v>271</v>
      </c>
      <c r="AM126" t="s">
        <v>1078</v>
      </c>
      <c r="AN126" t="s">
        <v>766</v>
      </c>
      <c r="AO126" t="s">
        <v>1079</v>
      </c>
      <c r="AP126" t="s">
        <v>1080</v>
      </c>
      <c r="AQ126" t="s">
        <v>230</v>
      </c>
      <c r="AR126" t="s">
        <v>917</v>
      </c>
      <c r="AS126" t="s">
        <v>231</v>
      </c>
      <c r="AT126" t="s">
        <v>1082</v>
      </c>
      <c r="AU126" t="s">
        <v>1037</v>
      </c>
      <c r="AV126" t="s">
        <v>1038</v>
      </c>
      <c r="AW126" t="s">
        <v>997</v>
      </c>
      <c r="AX126" t="s">
        <v>756</v>
      </c>
      <c r="AY126" t="s">
        <v>757</v>
      </c>
      <c r="AZ126" t="s">
        <v>233</v>
      </c>
      <c r="BA126" t="s">
        <v>2339</v>
      </c>
      <c r="BB126" t="s">
        <v>234</v>
      </c>
      <c r="BC126" t="s">
        <v>364</v>
      </c>
      <c r="BD126" t="s">
        <v>140</v>
      </c>
      <c r="BE126" t="s">
        <v>292</v>
      </c>
      <c r="BF126" t="s">
        <v>272</v>
      </c>
      <c r="BG126" t="s">
        <v>237</v>
      </c>
      <c r="BH126" t="s">
        <v>755</v>
      </c>
      <c r="BI126" t="s">
        <v>757</v>
      </c>
      <c r="BJ126" t="s">
        <v>933</v>
      </c>
      <c r="BK126" t="s">
        <v>216</v>
      </c>
      <c r="BL126" t="s">
        <v>1144</v>
      </c>
      <c r="BM126" t="s">
        <v>179</v>
      </c>
      <c r="BN126" t="s">
        <v>239</v>
      </c>
      <c r="BO126" t="s">
        <v>241</v>
      </c>
      <c r="BP126" t="s">
        <v>805</v>
      </c>
      <c r="BQ126" t="s">
        <v>806</v>
      </c>
    </row>
    <row r="127" spans="1:105">
      <c r="A127" s="40">
        <v>119</v>
      </c>
      <c r="B127" s="40" t="s">
        <v>595</v>
      </c>
      <c r="C127" s="2" t="s">
        <v>596</v>
      </c>
      <c r="D127" s="2" t="s">
        <v>27</v>
      </c>
      <c r="E127" s="2"/>
      <c r="F127" s="2">
        <v>80</v>
      </c>
      <c r="G127" s="2">
        <v>92</v>
      </c>
      <c r="H127" s="2">
        <v>65</v>
      </c>
      <c r="I127" s="2">
        <v>65</v>
      </c>
      <c r="J127" s="2">
        <v>80</v>
      </c>
      <c r="K127" s="2">
        <v>68</v>
      </c>
      <c r="L127" s="2">
        <v>450</v>
      </c>
      <c r="M127" s="2" t="s">
        <v>1112</v>
      </c>
      <c r="N127" s="2" t="s">
        <v>1061</v>
      </c>
      <c r="O127" t="s">
        <v>266</v>
      </c>
      <c r="P127" t="s">
        <v>290</v>
      </c>
      <c r="Q127" t="s">
        <v>329</v>
      </c>
      <c r="R127" t="s">
        <v>955</v>
      </c>
      <c r="S127" t="s">
        <v>997</v>
      </c>
      <c r="T127" t="s">
        <v>290</v>
      </c>
      <c r="U127" t="s">
        <v>367</v>
      </c>
      <c r="V127" t="s">
        <v>954</v>
      </c>
      <c r="W127" t="s">
        <v>770</v>
      </c>
      <c r="X127" t="s">
        <v>178</v>
      </c>
      <c r="Y127" t="s">
        <v>301</v>
      </c>
      <c r="Z127" t="s">
        <v>270</v>
      </c>
      <c r="AA127" t="s">
        <v>368</v>
      </c>
      <c r="AB127" t="s">
        <v>306</v>
      </c>
      <c r="AC127" t="s">
        <v>1170</v>
      </c>
      <c r="AD127" t="s">
        <v>797</v>
      </c>
      <c r="AE127" t="s">
        <v>1062</v>
      </c>
      <c r="AF127" t="s">
        <v>144</v>
      </c>
      <c r="AG127" t="s">
        <v>270</v>
      </c>
      <c r="AH127" t="s">
        <v>914</v>
      </c>
      <c r="AI127" t="s">
        <v>1063</v>
      </c>
      <c r="AJ127" t="s">
        <v>148</v>
      </c>
      <c r="AK127" t="s">
        <v>1104</v>
      </c>
      <c r="AL127" t="s">
        <v>172</v>
      </c>
      <c r="AM127" t="s">
        <v>141</v>
      </c>
      <c r="AN127" t="s">
        <v>271</v>
      </c>
      <c r="AO127" t="s">
        <v>247</v>
      </c>
      <c r="AP127" t="s">
        <v>1078</v>
      </c>
      <c r="AQ127" t="s">
        <v>766</v>
      </c>
      <c r="AR127" t="s">
        <v>1079</v>
      </c>
      <c r="AS127" t="s">
        <v>1080</v>
      </c>
      <c r="AT127" t="s">
        <v>230</v>
      </c>
      <c r="AU127" t="s">
        <v>917</v>
      </c>
      <c r="AV127" t="s">
        <v>231</v>
      </c>
      <c r="AW127" t="s">
        <v>1082</v>
      </c>
      <c r="AX127" t="s">
        <v>1037</v>
      </c>
      <c r="AY127" t="s">
        <v>1038</v>
      </c>
      <c r="AZ127" t="s">
        <v>976</v>
      </c>
      <c r="BA127" t="s">
        <v>997</v>
      </c>
      <c r="BB127" t="s">
        <v>756</v>
      </c>
      <c r="BC127" t="s">
        <v>757</v>
      </c>
      <c r="BD127" t="s">
        <v>233</v>
      </c>
      <c r="BE127" t="s">
        <v>2339</v>
      </c>
      <c r="BF127" t="s">
        <v>234</v>
      </c>
      <c r="BG127" t="s">
        <v>364</v>
      </c>
      <c r="BH127" t="s">
        <v>140</v>
      </c>
      <c r="BI127" t="s">
        <v>292</v>
      </c>
      <c r="BJ127" t="s">
        <v>272</v>
      </c>
      <c r="BK127" t="s">
        <v>237</v>
      </c>
      <c r="BL127" t="s">
        <v>755</v>
      </c>
      <c r="BM127" t="s">
        <v>757</v>
      </c>
      <c r="BN127" t="s">
        <v>933</v>
      </c>
      <c r="BO127" t="s">
        <v>216</v>
      </c>
      <c r="BP127" t="s">
        <v>1144</v>
      </c>
      <c r="BQ127" t="s">
        <v>179</v>
      </c>
      <c r="BR127" t="s">
        <v>239</v>
      </c>
      <c r="BS127" t="s">
        <v>241</v>
      </c>
      <c r="BT127" t="s">
        <v>805</v>
      </c>
      <c r="BU127" t="s">
        <v>806</v>
      </c>
    </row>
    <row r="128" spans="1:105">
      <c r="A128" s="40">
        <v>120</v>
      </c>
      <c r="B128" s="40" t="s">
        <v>597</v>
      </c>
      <c r="C128" s="2" t="s">
        <v>598</v>
      </c>
      <c r="D128" s="2" t="s">
        <v>27</v>
      </c>
      <c r="E128" s="2"/>
      <c r="F128" s="2">
        <v>30</v>
      </c>
      <c r="G128" s="2">
        <v>45</v>
      </c>
      <c r="H128" s="2">
        <v>55</v>
      </c>
      <c r="I128" s="2">
        <v>70</v>
      </c>
      <c r="J128" s="2">
        <v>55</v>
      </c>
      <c r="K128" s="2">
        <v>85</v>
      </c>
      <c r="L128" s="2">
        <v>340</v>
      </c>
      <c r="M128" s="2" t="s">
        <v>1120</v>
      </c>
      <c r="N128" s="2" t="s">
        <v>1061</v>
      </c>
      <c r="O128" t="s">
        <v>219</v>
      </c>
      <c r="P128" t="s">
        <v>284</v>
      </c>
      <c r="Q128" t="s">
        <v>269</v>
      </c>
      <c r="R128" t="s">
        <v>173</v>
      </c>
      <c r="S128" t="s">
        <v>459</v>
      </c>
      <c r="T128" t="s">
        <v>1226</v>
      </c>
      <c r="U128" t="s">
        <v>354</v>
      </c>
      <c r="V128" t="s">
        <v>446</v>
      </c>
      <c r="W128" t="s">
        <v>378</v>
      </c>
      <c r="X128" t="s">
        <v>980</v>
      </c>
      <c r="Y128" t="s">
        <v>228</v>
      </c>
      <c r="Z128" t="s">
        <v>961</v>
      </c>
      <c r="AA128" t="s">
        <v>1227</v>
      </c>
      <c r="AB128" t="s">
        <v>1169</v>
      </c>
      <c r="AC128" t="s">
        <v>1149</v>
      </c>
      <c r="AD128" t="s">
        <v>140</v>
      </c>
      <c r="AE128" t="s">
        <v>1062</v>
      </c>
      <c r="AF128" t="s">
        <v>144</v>
      </c>
      <c r="AG128" t="s">
        <v>270</v>
      </c>
      <c r="AH128" t="s">
        <v>914</v>
      </c>
      <c r="AI128" t="s">
        <v>1063</v>
      </c>
      <c r="AJ128" t="s">
        <v>148</v>
      </c>
      <c r="AK128" t="s">
        <v>1104</v>
      </c>
      <c r="AL128" t="s">
        <v>172</v>
      </c>
      <c r="AM128" t="s">
        <v>141</v>
      </c>
      <c r="AN128" t="s">
        <v>271</v>
      </c>
      <c r="AO128" t="s">
        <v>228</v>
      </c>
      <c r="AP128" t="s">
        <v>1078</v>
      </c>
      <c r="AQ128" t="s">
        <v>766</v>
      </c>
      <c r="AR128" t="s">
        <v>1079</v>
      </c>
      <c r="AS128" t="s">
        <v>146</v>
      </c>
      <c r="AT128" t="s">
        <v>321</v>
      </c>
      <c r="AU128" t="s">
        <v>1080</v>
      </c>
      <c r="AV128" t="s">
        <v>9</v>
      </c>
      <c r="AW128" t="s">
        <v>230</v>
      </c>
      <c r="AX128" t="s">
        <v>380</v>
      </c>
      <c r="AY128" t="s">
        <v>917</v>
      </c>
      <c r="AZ128" t="s">
        <v>231</v>
      </c>
      <c r="BA128" t="s">
        <v>1037</v>
      </c>
      <c r="BB128" t="s">
        <v>1038</v>
      </c>
      <c r="BC128" t="s">
        <v>232</v>
      </c>
      <c r="BD128" t="s">
        <v>322</v>
      </c>
      <c r="BE128" t="s">
        <v>980</v>
      </c>
      <c r="BF128" t="s">
        <v>785</v>
      </c>
      <c r="BG128" t="s">
        <v>756</v>
      </c>
      <c r="BH128" t="s">
        <v>757</v>
      </c>
      <c r="BI128" t="s">
        <v>233</v>
      </c>
      <c r="BJ128" t="s">
        <v>973</v>
      </c>
      <c r="BK128" t="s">
        <v>2342</v>
      </c>
      <c r="BL128" t="s">
        <v>2339</v>
      </c>
      <c r="BM128" t="s">
        <v>234</v>
      </c>
      <c r="BN128" t="s">
        <v>239</v>
      </c>
      <c r="BO128" t="s">
        <v>241</v>
      </c>
      <c r="BP128" t="s">
        <v>805</v>
      </c>
      <c r="BQ128" t="s">
        <v>806</v>
      </c>
    </row>
    <row r="129" spans="1:107">
      <c r="A129" s="40">
        <v>121</v>
      </c>
      <c r="B129" s="40" t="s">
        <v>599</v>
      </c>
      <c r="C129" s="2" t="s">
        <v>600</v>
      </c>
      <c r="D129" s="2" t="s">
        <v>27</v>
      </c>
      <c r="E129" s="2" t="s">
        <v>9</v>
      </c>
      <c r="F129" s="2">
        <v>60</v>
      </c>
      <c r="G129" s="2">
        <v>75</v>
      </c>
      <c r="H129" s="2">
        <v>85</v>
      </c>
      <c r="I129" s="2">
        <v>100</v>
      </c>
      <c r="J129" s="2">
        <v>85</v>
      </c>
      <c r="K129" s="2">
        <v>115</v>
      </c>
      <c r="L129" s="2">
        <v>520</v>
      </c>
      <c r="M129" s="2" t="s">
        <v>1075</v>
      </c>
      <c r="N129" s="2" t="s">
        <v>1061</v>
      </c>
      <c r="O129" t="s">
        <v>269</v>
      </c>
      <c r="P129" t="s">
        <v>459</v>
      </c>
      <c r="Q129" t="s">
        <v>354</v>
      </c>
      <c r="R129" t="s">
        <v>173</v>
      </c>
      <c r="S129" t="s">
        <v>387</v>
      </c>
      <c r="T129" t="s">
        <v>1062</v>
      </c>
      <c r="U129" t="s">
        <v>144</v>
      </c>
      <c r="V129" t="s">
        <v>270</v>
      </c>
      <c r="W129" t="s">
        <v>914</v>
      </c>
      <c r="X129" t="s">
        <v>1063</v>
      </c>
      <c r="Y129" t="s">
        <v>1151</v>
      </c>
      <c r="Z129" t="s">
        <v>148</v>
      </c>
      <c r="AA129" t="s">
        <v>1104</v>
      </c>
      <c r="AB129" t="s">
        <v>172</v>
      </c>
      <c r="AC129" t="s">
        <v>141</v>
      </c>
      <c r="AD129" t="s">
        <v>271</v>
      </c>
      <c r="AE129" t="s">
        <v>247</v>
      </c>
      <c r="AF129" t="s">
        <v>228</v>
      </c>
      <c r="AG129" t="s">
        <v>1078</v>
      </c>
      <c r="AH129" t="s">
        <v>766</v>
      </c>
      <c r="AI129" t="s">
        <v>1079</v>
      </c>
      <c r="AJ129" t="s">
        <v>146</v>
      </c>
      <c r="AK129" t="s">
        <v>321</v>
      </c>
      <c r="AL129" t="s">
        <v>1080</v>
      </c>
      <c r="AM129" t="s">
        <v>9</v>
      </c>
      <c r="AN129" t="s">
        <v>230</v>
      </c>
      <c r="AO129" t="s">
        <v>380</v>
      </c>
      <c r="AP129" t="s">
        <v>917</v>
      </c>
      <c r="AQ129" t="s">
        <v>231</v>
      </c>
      <c r="AR129" t="s">
        <v>1037</v>
      </c>
      <c r="AS129" t="s">
        <v>1038</v>
      </c>
      <c r="AT129" t="s">
        <v>976</v>
      </c>
      <c r="AU129" t="s">
        <v>232</v>
      </c>
      <c r="AV129" t="s">
        <v>322</v>
      </c>
      <c r="AW129" t="s">
        <v>980</v>
      </c>
      <c r="AX129" t="s">
        <v>785</v>
      </c>
      <c r="AY129" t="s">
        <v>293</v>
      </c>
      <c r="AZ129" t="s">
        <v>977</v>
      </c>
      <c r="BA129" t="s">
        <v>756</v>
      </c>
      <c r="BB129" t="s">
        <v>757</v>
      </c>
      <c r="BC129" t="s">
        <v>233</v>
      </c>
      <c r="BD129" t="s">
        <v>973</v>
      </c>
      <c r="BE129" t="s">
        <v>1012</v>
      </c>
      <c r="BF129" t="s">
        <v>2342</v>
      </c>
      <c r="BG129" t="s">
        <v>2339</v>
      </c>
      <c r="BH129" t="s">
        <v>234</v>
      </c>
      <c r="BI129" t="s">
        <v>239</v>
      </c>
      <c r="BJ129" t="s">
        <v>241</v>
      </c>
      <c r="BK129" t="s">
        <v>219</v>
      </c>
      <c r="BL129" t="s">
        <v>284</v>
      </c>
      <c r="BM129" t="s">
        <v>1226</v>
      </c>
      <c r="BN129" t="s">
        <v>446</v>
      </c>
      <c r="BO129" t="s">
        <v>378</v>
      </c>
      <c r="BP129" t="s">
        <v>980</v>
      </c>
      <c r="BQ129" t="s">
        <v>228</v>
      </c>
      <c r="BR129" t="s">
        <v>961</v>
      </c>
      <c r="BS129" t="s">
        <v>1227</v>
      </c>
      <c r="BT129" t="s">
        <v>1169</v>
      </c>
      <c r="BU129" t="s">
        <v>1149</v>
      </c>
      <c r="BV129" t="s">
        <v>140</v>
      </c>
      <c r="BW129" t="s">
        <v>805</v>
      </c>
      <c r="BX129" t="s">
        <v>806</v>
      </c>
    </row>
    <row r="130" spans="1:107">
      <c r="A130" s="40">
        <v>122</v>
      </c>
      <c r="B130" s="40" t="s">
        <v>804</v>
      </c>
      <c r="C130" s="2" t="s">
        <v>802</v>
      </c>
      <c r="D130" s="2" t="s">
        <v>9</v>
      </c>
      <c r="E130" s="2" t="s">
        <v>894</v>
      </c>
      <c r="F130" s="2">
        <v>40</v>
      </c>
      <c r="G130" s="2">
        <v>45</v>
      </c>
      <c r="H130" s="2">
        <v>65</v>
      </c>
      <c r="I130" s="2">
        <v>100</v>
      </c>
      <c r="J130" s="2">
        <v>120</v>
      </c>
      <c r="K130" s="2">
        <v>90</v>
      </c>
      <c r="L130" s="2">
        <v>460</v>
      </c>
      <c r="M130" s="2" t="s">
        <v>2414</v>
      </c>
      <c r="N130" s="2" t="s">
        <v>1061</v>
      </c>
      <c r="O130" t="s">
        <v>287</v>
      </c>
      <c r="P130" t="s">
        <v>455</v>
      </c>
      <c r="Q130" t="s">
        <v>930</v>
      </c>
      <c r="R130" t="s">
        <v>998</v>
      </c>
      <c r="S130" t="s">
        <v>1183</v>
      </c>
      <c r="T130" t="s">
        <v>1187</v>
      </c>
      <c r="U130" t="s">
        <v>1035</v>
      </c>
      <c r="V130" t="s">
        <v>2379</v>
      </c>
      <c r="W130" t="s">
        <v>964</v>
      </c>
      <c r="X130" t="s">
        <v>437</v>
      </c>
      <c r="Y130" t="s">
        <v>348</v>
      </c>
      <c r="Z130" t="s">
        <v>381</v>
      </c>
      <c r="AA130" t="s">
        <v>529</v>
      </c>
      <c r="AB130" t="s">
        <v>779</v>
      </c>
      <c r="AC130" t="s">
        <v>228</v>
      </c>
      <c r="AD130" t="s">
        <v>380</v>
      </c>
      <c r="AE130" t="s">
        <v>292</v>
      </c>
      <c r="AF130" t="s">
        <v>233</v>
      </c>
      <c r="AG130" t="s">
        <v>937</v>
      </c>
      <c r="AH130" t="s">
        <v>952</v>
      </c>
      <c r="AI130" t="s">
        <v>9</v>
      </c>
      <c r="AJ130" t="s">
        <v>938</v>
      </c>
      <c r="AK130" t="s">
        <v>788</v>
      </c>
      <c r="AL130" t="s">
        <v>759</v>
      </c>
      <c r="AM130" t="s">
        <v>1062</v>
      </c>
      <c r="AN130" t="s">
        <v>1063</v>
      </c>
      <c r="AO130" t="s">
        <v>1151</v>
      </c>
      <c r="AP130" t="s">
        <v>912</v>
      </c>
      <c r="AQ130" t="s">
        <v>148</v>
      </c>
      <c r="AR130" t="s">
        <v>172</v>
      </c>
      <c r="AS130" t="s">
        <v>752</v>
      </c>
      <c r="AT130" t="s">
        <v>1126</v>
      </c>
      <c r="AU130" t="s">
        <v>247</v>
      </c>
      <c r="AV130" t="s">
        <v>228</v>
      </c>
      <c r="AW130" t="s">
        <v>1078</v>
      </c>
      <c r="AX130" t="s">
        <v>766</v>
      </c>
      <c r="AY130" t="s">
        <v>759</v>
      </c>
      <c r="AZ130" t="s">
        <v>1079</v>
      </c>
      <c r="BA130" t="s">
        <v>229</v>
      </c>
      <c r="BB130" t="s">
        <v>146</v>
      </c>
      <c r="BC130" t="s">
        <v>321</v>
      </c>
      <c r="BD130" t="s">
        <v>1080</v>
      </c>
      <c r="BE130" t="s">
        <v>9</v>
      </c>
      <c r="BF130" t="s">
        <v>174</v>
      </c>
      <c r="BG130" t="s">
        <v>1094</v>
      </c>
      <c r="BH130" t="s">
        <v>230</v>
      </c>
      <c r="BI130" t="s">
        <v>380</v>
      </c>
      <c r="BJ130" t="s">
        <v>1096</v>
      </c>
      <c r="BK130" t="s">
        <v>951</v>
      </c>
      <c r="BL130" t="s">
        <v>917</v>
      </c>
      <c r="BM130" t="s">
        <v>231</v>
      </c>
      <c r="BN130" t="s">
        <v>1082</v>
      </c>
      <c r="BO130" t="s">
        <v>1117</v>
      </c>
      <c r="BP130" t="s">
        <v>1037</v>
      </c>
      <c r="BQ130" t="s">
        <v>1102</v>
      </c>
      <c r="BR130" t="s">
        <v>970</v>
      </c>
      <c r="BS130" t="s">
        <v>974</v>
      </c>
      <c r="BT130" t="s">
        <v>963</v>
      </c>
      <c r="BU130" t="s">
        <v>995</v>
      </c>
      <c r="BV130" t="s">
        <v>976</v>
      </c>
      <c r="BW130" t="s">
        <v>232</v>
      </c>
      <c r="BX130" t="s">
        <v>322</v>
      </c>
      <c r="BY130" t="s">
        <v>785</v>
      </c>
      <c r="BZ130" t="s">
        <v>2369</v>
      </c>
      <c r="CA130" t="s">
        <v>293</v>
      </c>
      <c r="CB130" t="s">
        <v>977</v>
      </c>
      <c r="CC130" t="s">
        <v>756</v>
      </c>
      <c r="CD130" t="s">
        <v>757</v>
      </c>
      <c r="CE130" t="s">
        <v>233</v>
      </c>
      <c r="CF130" t="s">
        <v>1012</v>
      </c>
      <c r="CG130" t="s">
        <v>2398</v>
      </c>
      <c r="CH130" t="s">
        <v>2342</v>
      </c>
      <c r="CI130" t="s">
        <v>2339</v>
      </c>
      <c r="CJ130" t="s">
        <v>234</v>
      </c>
      <c r="CK130" t="s">
        <v>388</v>
      </c>
      <c r="CL130" t="s">
        <v>381</v>
      </c>
      <c r="CM130" t="s">
        <v>387</v>
      </c>
      <c r="CN130" t="s">
        <v>769</v>
      </c>
      <c r="CO130" t="s">
        <v>781</v>
      </c>
      <c r="CP130" t="s">
        <v>790</v>
      </c>
      <c r="CQ130" t="s">
        <v>176</v>
      </c>
      <c r="CR130" t="s">
        <v>952</v>
      </c>
      <c r="CS130" t="s">
        <v>949</v>
      </c>
      <c r="CT130" t="s">
        <v>1016</v>
      </c>
      <c r="CU130" t="s">
        <v>982</v>
      </c>
      <c r="CV130" t="s">
        <v>991</v>
      </c>
      <c r="CW130" t="s">
        <v>1033</v>
      </c>
      <c r="CX130" t="s">
        <v>1032</v>
      </c>
      <c r="CY130" t="s">
        <v>239</v>
      </c>
      <c r="CZ130" t="s">
        <v>241</v>
      </c>
      <c r="DA130" t="s">
        <v>950</v>
      </c>
      <c r="DB130" t="s">
        <v>805</v>
      </c>
      <c r="DC130" t="s">
        <v>806</v>
      </c>
    </row>
    <row r="131" spans="1:107">
      <c r="A131" s="40">
        <v>123</v>
      </c>
      <c r="B131" s="40" t="s">
        <v>601</v>
      </c>
      <c r="C131" s="2" t="s">
        <v>602</v>
      </c>
      <c r="D131" s="2" t="s">
        <v>14</v>
      </c>
      <c r="E131" s="2" t="s">
        <v>20</v>
      </c>
      <c r="F131" s="2">
        <v>70</v>
      </c>
      <c r="G131" s="2">
        <v>110</v>
      </c>
      <c r="H131" s="2">
        <v>80</v>
      </c>
      <c r="I131" s="2">
        <v>55</v>
      </c>
      <c r="J131" s="2">
        <v>80</v>
      </c>
      <c r="K131" s="2">
        <v>105</v>
      </c>
      <c r="L131" s="2">
        <v>500</v>
      </c>
      <c r="M131" s="2" t="s">
        <v>1177</v>
      </c>
      <c r="N131" s="2" t="s">
        <v>1061</v>
      </c>
      <c r="O131" t="s">
        <v>330</v>
      </c>
      <c r="P131" t="s">
        <v>310</v>
      </c>
      <c r="Q131" t="s">
        <v>1015</v>
      </c>
      <c r="R131" t="s">
        <v>302</v>
      </c>
      <c r="S131" t="s">
        <v>773</v>
      </c>
      <c r="T131" t="s">
        <v>776</v>
      </c>
      <c r="U131" t="s">
        <v>306</v>
      </c>
      <c r="V131" t="s">
        <v>264</v>
      </c>
      <c r="W131" t="s">
        <v>758</v>
      </c>
      <c r="X131" t="s">
        <v>253</v>
      </c>
      <c r="Y131" t="s">
        <v>332</v>
      </c>
      <c r="Z131" t="s">
        <v>230</v>
      </c>
      <c r="AA131" t="s">
        <v>1018</v>
      </c>
      <c r="AB131" t="s">
        <v>993</v>
      </c>
      <c r="AC131" t="s">
        <v>965</v>
      </c>
      <c r="AD131" t="s">
        <v>1101</v>
      </c>
      <c r="AE131" t="s">
        <v>145</v>
      </c>
      <c r="AF131" t="s">
        <v>971</v>
      </c>
      <c r="AG131" t="s">
        <v>1062</v>
      </c>
      <c r="AH131" t="s">
        <v>226</v>
      </c>
      <c r="AI131" t="s">
        <v>1063</v>
      </c>
      <c r="AJ131" t="s">
        <v>148</v>
      </c>
      <c r="AK131" t="s">
        <v>172</v>
      </c>
      <c r="AL131" t="s">
        <v>752</v>
      </c>
      <c r="AM131" t="s">
        <v>247</v>
      </c>
      <c r="AN131" t="s">
        <v>228</v>
      </c>
      <c r="AO131" t="s">
        <v>1078</v>
      </c>
      <c r="AP131" t="s">
        <v>766</v>
      </c>
      <c r="AQ131" t="s">
        <v>1119</v>
      </c>
      <c r="AR131" t="s">
        <v>759</v>
      </c>
      <c r="AS131" t="s">
        <v>1079</v>
      </c>
      <c r="AT131" t="s">
        <v>1080</v>
      </c>
      <c r="AU131" t="s">
        <v>1094</v>
      </c>
      <c r="AV131" t="s">
        <v>230</v>
      </c>
      <c r="AW131" t="s">
        <v>1096</v>
      </c>
      <c r="AX131" t="s">
        <v>917</v>
      </c>
      <c r="AY131" t="s">
        <v>231</v>
      </c>
      <c r="AZ131" t="s">
        <v>1082</v>
      </c>
      <c r="BA131" t="s">
        <v>1117</v>
      </c>
      <c r="BB131" t="s">
        <v>1037</v>
      </c>
      <c r="BC131" t="s">
        <v>1125</v>
      </c>
      <c r="BD131" t="s">
        <v>776</v>
      </c>
      <c r="BE131" t="s">
        <v>976</v>
      </c>
      <c r="BF131" t="s">
        <v>145</v>
      </c>
      <c r="BG131" t="s">
        <v>1042</v>
      </c>
      <c r="BH131" t="s">
        <v>1018</v>
      </c>
      <c r="BI131" t="s">
        <v>756</v>
      </c>
      <c r="BJ131" t="s">
        <v>757</v>
      </c>
      <c r="BK131" t="s">
        <v>1014</v>
      </c>
      <c r="BL131" t="s">
        <v>233</v>
      </c>
      <c r="BM131" t="s">
        <v>760</v>
      </c>
      <c r="BN131" t="s">
        <v>2339</v>
      </c>
      <c r="BO131" t="s">
        <v>234</v>
      </c>
      <c r="BP131" t="s">
        <v>332</v>
      </c>
      <c r="BQ131" t="s">
        <v>259</v>
      </c>
      <c r="BR131" t="s">
        <v>775</v>
      </c>
      <c r="BS131" t="s">
        <v>754</v>
      </c>
      <c r="BT131" t="s">
        <v>1125</v>
      </c>
      <c r="BU131" t="s">
        <v>788</v>
      </c>
      <c r="BV131" t="s">
        <v>1113</v>
      </c>
      <c r="BW131" t="s">
        <v>993</v>
      </c>
      <c r="BX131" t="s">
        <v>1115</v>
      </c>
      <c r="BY131" t="s">
        <v>1124</v>
      </c>
      <c r="BZ131" t="s">
        <v>1035</v>
      </c>
      <c r="CA131" t="s">
        <v>239</v>
      </c>
      <c r="CB131" t="s">
        <v>241</v>
      </c>
      <c r="CC131" t="s">
        <v>805</v>
      </c>
      <c r="CD131" t="s">
        <v>806</v>
      </c>
    </row>
    <row r="132" spans="1:107">
      <c r="A132" s="40">
        <v>124</v>
      </c>
      <c r="B132" s="40" t="s">
        <v>603</v>
      </c>
      <c r="C132" s="2" t="s">
        <v>604</v>
      </c>
      <c r="D132" s="2" t="s">
        <v>23</v>
      </c>
      <c r="E132" s="2" t="s">
        <v>9</v>
      </c>
      <c r="F132" s="2">
        <v>65</v>
      </c>
      <c r="G132" s="2">
        <v>50</v>
      </c>
      <c r="H132" s="2">
        <v>35</v>
      </c>
      <c r="I132" s="2">
        <v>115</v>
      </c>
      <c r="J132" s="2">
        <v>95</v>
      </c>
      <c r="K132" s="2">
        <v>95</v>
      </c>
      <c r="L132" s="2">
        <v>455</v>
      </c>
      <c r="M132" s="2" t="s">
        <v>1752</v>
      </c>
      <c r="N132" s="2" t="s">
        <v>1061</v>
      </c>
      <c r="O132" t="s">
        <v>376</v>
      </c>
      <c r="P132" t="s">
        <v>511</v>
      </c>
      <c r="Q132" t="s">
        <v>605</v>
      </c>
      <c r="R132" t="s">
        <v>1228</v>
      </c>
      <c r="S132" t="s">
        <v>2344</v>
      </c>
      <c r="T132" t="s">
        <v>511</v>
      </c>
      <c r="U132" t="s">
        <v>605</v>
      </c>
      <c r="V132" t="s">
        <v>1228</v>
      </c>
      <c r="W132" t="s">
        <v>348</v>
      </c>
      <c r="X132" t="s">
        <v>274</v>
      </c>
      <c r="Y132" t="s">
        <v>1229</v>
      </c>
      <c r="Z132" t="s">
        <v>787</v>
      </c>
      <c r="AA132" t="s">
        <v>918</v>
      </c>
      <c r="AB132" t="s">
        <v>1016</v>
      </c>
      <c r="AC132" t="s">
        <v>1214</v>
      </c>
      <c r="AD132" t="s">
        <v>364</v>
      </c>
      <c r="AE132" t="s">
        <v>1189</v>
      </c>
      <c r="AF132" t="s">
        <v>786</v>
      </c>
      <c r="AG132" t="s">
        <v>271</v>
      </c>
      <c r="AH132" t="s">
        <v>1062</v>
      </c>
      <c r="AI132" t="s">
        <v>1063</v>
      </c>
      <c r="AJ132" t="s">
        <v>1151</v>
      </c>
      <c r="AK132" t="s">
        <v>912</v>
      </c>
      <c r="AL132" t="s">
        <v>148</v>
      </c>
      <c r="AM132" t="s">
        <v>1104</v>
      </c>
      <c r="AN132" t="s">
        <v>172</v>
      </c>
      <c r="AO132" t="s">
        <v>1126</v>
      </c>
      <c r="AP132" t="s">
        <v>141</v>
      </c>
      <c r="AQ132" t="s">
        <v>271</v>
      </c>
      <c r="AR132" t="s">
        <v>247</v>
      </c>
      <c r="AS132" t="s">
        <v>228</v>
      </c>
      <c r="AT132" t="s">
        <v>1078</v>
      </c>
      <c r="AU132" t="s">
        <v>766</v>
      </c>
      <c r="AV132" t="s">
        <v>1079</v>
      </c>
      <c r="AW132" t="s">
        <v>1080</v>
      </c>
      <c r="AX132" t="s">
        <v>9</v>
      </c>
      <c r="AY132" t="s">
        <v>174</v>
      </c>
      <c r="AZ132" t="s">
        <v>1094</v>
      </c>
      <c r="BA132" t="s">
        <v>230</v>
      </c>
      <c r="BB132" t="s">
        <v>380</v>
      </c>
      <c r="BC132" t="s">
        <v>951</v>
      </c>
      <c r="BD132" t="s">
        <v>917</v>
      </c>
      <c r="BE132" t="s">
        <v>231</v>
      </c>
      <c r="BF132" t="s">
        <v>1082</v>
      </c>
      <c r="BG132" t="s">
        <v>1117</v>
      </c>
      <c r="BH132" t="s">
        <v>1037</v>
      </c>
      <c r="BI132" t="s">
        <v>1083</v>
      </c>
      <c r="BJ132" t="s">
        <v>1102</v>
      </c>
      <c r="BK132" t="s">
        <v>970</v>
      </c>
      <c r="BL132" t="s">
        <v>974</v>
      </c>
      <c r="BM132" t="s">
        <v>995</v>
      </c>
      <c r="BN132" t="s">
        <v>976</v>
      </c>
      <c r="BO132" t="s">
        <v>232</v>
      </c>
      <c r="BP132" t="s">
        <v>785</v>
      </c>
      <c r="BQ132" t="s">
        <v>1027</v>
      </c>
      <c r="BR132" t="s">
        <v>293</v>
      </c>
      <c r="BS132" t="s">
        <v>977</v>
      </c>
      <c r="BT132" t="s">
        <v>756</v>
      </c>
      <c r="BU132" t="s">
        <v>757</v>
      </c>
      <c r="BV132" t="s">
        <v>233</v>
      </c>
      <c r="BW132" t="s">
        <v>1012</v>
      </c>
      <c r="BX132" t="s">
        <v>2398</v>
      </c>
      <c r="BY132" t="s">
        <v>2339</v>
      </c>
      <c r="BZ132" t="s">
        <v>234</v>
      </c>
      <c r="CA132" t="s">
        <v>274</v>
      </c>
      <c r="CB132" t="s">
        <v>437</v>
      </c>
      <c r="CC132" t="s">
        <v>176</v>
      </c>
      <c r="CD132" t="s">
        <v>957</v>
      </c>
      <c r="CE132" t="s">
        <v>1184</v>
      </c>
      <c r="CF132" t="s">
        <v>1016</v>
      </c>
      <c r="CG132" t="s">
        <v>991</v>
      </c>
      <c r="CH132" t="s">
        <v>962</v>
      </c>
      <c r="CI132" t="s">
        <v>239</v>
      </c>
      <c r="CJ132" t="s">
        <v>241</v>
      </c>
      <c r="CK132" t="s">
        <v>782</v>
      </c>
      <c r="CL132" t="s">
        <v>287</v>
      </c>
      <c r="CM132" t="s">
        <v>377</v>
      </c>
      <c r="CN132" t="s">
        <v>987</v>
      </c>
      <c r="CO132" t="s">
        <v>9</v>
      </c>
      <c r="CP132" t="s">
        <v>964</v>
      </c>
      <c r="CQ132" t="s">
        <v>805</v>
      </c>
      <c r="CR132" t="s">
        <v>806</v>
      </c>
    </row>
    <row r="133" spans="1:107">
      <c r="A133" s="40">
        <v>125</v>
      </c>
      <c r="B133" s="40" t="s">
        <v>606</v>
      </c>
      <c r="C133" s="2" t="s">
        <v>607</v>
      </c>
      <c r="D133" s="2" t="s">
        <v>17</v>
      </c>
      <c r="E133" s="2"/>
      <c r="F133" s="2">
        <v>65</v>
      </c>
      <c r="G133" s="2">
        <v>83</v>
      </c>
      <c r="H133" s="2">
        <v>57</v>
      </c>
      <c r="I133" s="2">
        <v>95</v>
      </c>
      <c r="J133" s="2">
        <v>85</v>
      </c>
      <c r="K133" s="2">
        <v>105</v>
      </c>
      <c r="L133" s="2">
        <v>490</v>
      </c>
      <c r="M133" s="2" t="s">
        <v>1074</v>
      </c>
      <c r="N133" s="2" t="s">
        <v>1061</v>
      </c>
      <c r="O133" t="s">
        <v>330</v>
      </c>
      <c r="P133" t="s">
        <v>346</v>
      </c>
      <c r="Q133" t="s">
        <v>310</v>
      </c>
      <c r="R133" t="s">
        <v>346</v>
      </c>
      <c r="S133" t="s">
        <v>432</v>
      </c>
      <c r="T133" t="s">
        <v>354</v>
      </c>
      <c r="U133" t="s">
        <v>1230</v>
      </c>
      <c r="V133" t="s">
        <v>322</v>
      </c>
      <c r="W133" t="s">
        <v>1023</v>
      </c>
      <c r="X133" t="s">
        <v>228</v>
      </c>
      <c r="Y133" t="s">
        <v>147</v>
      </c>
      <c r="Z133" t="s">
        <v>1138</v>
      </c>
      <c r="AA133" t="s">
        <v>324</v>
      </c>
      <c r="AB133" t="s">
        <v>146</v>
      </c>
      <c r="AC133" t="s">
        <v>321</v>
      </c>
      <c r="AD133" t="s">
        <v>1062</v>
      </c>
      <c r="AE133" t="s">
        <v>227</v>
      </c>
      <c r="AF133" t="s">
        <v>1063</v>
      </c>
      <c r="AG133" t="s">
        <v>148</v>
      </c>
      <c r="AH133" t="s">
        <v>172</v>
      </c>
      <c r="AI133" t="s">
        <v>247</v>
      </c>
      <c r="AJ133" t="s">
        <v>228</v>
      </c>
      <c r="AK133" t="s">
        <v>1078</v>
      </c>
      <c r="AL133" t="s">
        <v>766</v>
      </c>
      <c r="AM133" t="s">
        <v>1079</v>
      </c>
      <c r="AN133" t="s">
        <v>146</v>
      </c>
      <c r="AO133" t="s">
        <v>321</v>
      </c>
      <c r="AP133" t="s">
        <v>1080</v>
      </c>
      <c r="AQ133" t="s">
        <v>9</v>
      </c>
      <c r="AR133" t="s">
        <v>1094</v>
      </c>
      <c r="AS133" t="s">
        <v>230</v>
      </c>
      <c r="AT133" t="s">
        <v>917</v>
      </c>
      <c r="AU133" t="s">
        <v>231</v>
      </c>
      <c r="AV133" t="s">
        <v>1082</v>
      </c>
      <c r="AW133" t="s">
        <v>1117</v>
      </c>
      <c r="AX133" t="s">
        <v>1172</v>
      </c>
      <c r="AY133" t="s">
        <v>1037</v>
      </c>
      <c r="AZ133" t="s">
        <v>1102</v>
      </c>
      <c r="BA133" t="s">
        <v>974</v>
      </c>
      <c r="BB133" t="s">
        <v>963</v>
      </c>
      <c r="BC133" t="s">
        <v>976</v>
      </c>
      <c r="BD133" t="s">
        <v>232</v>
      </c>
      <c r="BE133" t="s">
        <v>1045</v>
      </c>
      <c r="BF133" t="s">
        <v>322</v>
      </c>
      <c r="BG133" t="s">
        <v>756</v>
      </c>
      <c r="BH133" t="s">
        <v>757</v>
      </c>
      <c r="BI133" t="s">
        <v>233</v>
      </c>
      <c r="BJ133" t="s">
        <v>1047</v>
      </c>
      <c r="BK133" t="s">
        <v>760</v>
      </c>
      <c r="BL133" t="s">
        <v>2398</v>
      </c>
      <c r="BM133" t="s">
        <v>2339</v>
      </c>
      <c r="BN133" t="s">
        <v>234</v>
      </c>
      <c r="BO133" t="s">
        <v>435</v>
      </c>
      <c r="BP133" t="s">
        <v>137</v>
      </c>
      <c r="BQ133" t="s">
        <v>274</v>
      </c>
      <c r="BR133" t="s">
        <v>464</v>
      </c>
      <c r="BS133" t="s">
        <v>437</v>
      </c>
      <c r="BT133" t="s">
        <v>455</v>
      </c>
      <c r="BU133" t="s">
        <v>1179</v>
      </c>
      <c r="BV133" t="s">
        <v>1171</v>
      </c>
      <c r="BW133" t="s">
        <v>920</v>
      </c>
      <c r="BX133" t="s">
        <v>981</v>
      </c>
      <c r="BY133" t="s">
        <v>971</v>
      </c>
      <c r="BZ133" t="s">
        <v>239</v>
      </c>
      <c r="CA133" t="s">
        <v>241</v>
      </c>
      <c r="CB133" t="s">
        <v>805</v>
      </c>
      <c r="CC133" t="s">
        <v>806</v>
      </c>
    </row>
    <row r="134" spans="1:107">
      <c r="A134" s="40">
        <v>126</v>
      </c>
      <c r="B134" s="40" t="s">
        <v>608</v>
      </c>
      <c r="C134" s="2" t="s">
        <v>609</v>
      </c>
      <c r="D134" s="2" t="s">
        <v>19</v>
      </c>
      <c r="E134" s="2"/>
      <c r="F134" s="2">
        <v>65</v>
      </c>
      <c r="G134" s="2">
        <v>95</v>
      </c>
      <c r="H134" s="2">
        <v>57</v>
      </c>
      <c r="I134" s="2">
        <v>100</v>
      </c>
      <c r="J134" s="2">
        <v>85</v>
      </c>
      <c r="K134" s="2">
        <v>93</v>
      </c>
      <c r="L134" s="2">
        <v>495</v>
      </c>
      <c r="M134" s="2" t="s">
        <v>1177</v>
      </c>
      <c r="N134" s="2" t="s">
        <v>1061</v>
      </c>
      <c r="O134" t="s">
        <v>330</v>
      </c>
      <c r="P134" t="s">
        <v>250</v>
      </c>
      <c r="Q134" t="s">
        <v>530</v>
      </c>
      <c r="R134" t="s">
        <v>250</v>
      </c>
      <c r="S134" t="s">
        <v>251</v>
      </c>
      <c r="T134" t="s">
        <v>774</v>
      </c>
      <c r="U134" t="s">
        <v>255</v>
      </c>
      <c r="V134" t="s">
        <v>1191</v>
      </c>
      <c r="W134" t="s">
        <v>1026</v>
      </c>
      <c r="X134" t="s">
        <v>387</v>
      </c>
      <c r="Y134" t="s">
        <v>137</v>
      </c>
      <c r="Z134" t="s">
        <v>1231</v>
      </c>
      <c r="AA134" t="s">
        <v>752</v>
      </c>
      <c r="AB134" t="s">
        <v>254</v>
      </c>
      <c r="AC134" t="s">
        <v>257</v>
      </c>
      <c r="AD134" t="s">
        <v>1062</v>
      </c>
      <c r="AE134" t="s">
        <v>227</v>
      </c>
      <c r="AF134" t="s">
        <v>1063</v>
      </c>
      <c r="AG134" t="s">
        <v>148</v>
      </c>
      <c r="AH134" t="s">
        <v>172</v>
      </c>
      <c r="AI134" t="s">
        <v>752</v>
      </c>
      <c r="AJ134" t="s">
        <v>247</v>
      </c>
      <c r="AK134" t="s">
        <v>1078</v>
      </c>
      <c r="AL134" t="s">
        <v>1079</v>
      </c>
      <c r="AM134" t="s">
        <v>1080</v>
      </c>
      <c r="AN134" t="s">
        <v>9</v>
      </c>
      <c r="AO134" t="s">
        <v>1094</v>
      </c>
      <c r="AP134" t="s">
        <v>230</v>
      </c>
      <c r="AQ134" t="s">
        <v>254</v>
      </c>
      <c r="AR134" t="s">
        <v>257</v>
      </c>
      <c r="AS134" t="s">
        <v>917</v>
      </c>
      <c r="AT134" t="s">
        <v>1097</v>
      </c>
      <c r="AU134" t="s">
        <v>231</v>
      </c>
      <c r="AV134" t="s">
        <v>1082</v>
      </c>
      <c r="AW134" t="s">
        <v>1117</v>
      </c>
      <c r="AX134" t="s">
        <v>1172</v>
      </c>
      <c r="AY134" t="s">
        <v>1037</v>
      </c>
      <c r="AZ134" t="s">
        <v>1098</v>
      </c>
      <c r="BA134" t="s">
        <v>1102</v>
      </c>
      <c r="BB134" t="s">
        <v>974</v>
      </c>
      <c r="BC134" t="s">
        <v>1031</v>
      </c>
      <c r="BD134" t="s">
        <v>956</v>
      </c>
      <c r="BE134" t="s">
        <v>976</v>
      </c>
      <c r="BF134" t="s">
        <v>756</v>
      </c>
      <c r="BG134" t="s">
        <v>757</v>
      </c>
      <c r="BH134" t="s">
        <v>233</v>
      </c>
      <c r="BI134" t="s">
        <v>760</v>
      </c>
      <c r="BJ134" t="s">
        <v>2398</v>
      </c>
      <c r="BK134" t="s">
        <v>2339</v>
      </c>
      <c r="BL134" t="s">
        <v>234</v>
      </c>
      <c r="BM134" t="s">
        <v>435</v>
      </c>
      <c r="BN134" t="s">
        <v>486</v>
      </c>
      <c r="BO134" t="s">
        <v>147</v>
      </c>
      <c r="BP134" t="s">
        <v>324</v>
      </c>
      <c r="BQ134" t="s">
        <v>455</v>
      </c>
      <c r="BR134" t="s">
        <v>302</v>
      </c>
      <c r="BS134" t="s">
        <v>1223</v>
      </c>
      <c r="BT134" t="s">
        <v>1099</v>
      </c>
      <c r="BU134" t="s">
        <v>1179</v>
      </c>
      <c r="BV134" t="s">
        <v>761</v>
      </c>
      <c r="BW134" t="s">
        <v>1171</v>
      </c>
      <c r="BX134" t="s">
        <v>998</v>
      </c>
      <c r="BY134" t="s">
        <v>972</v>
      </c>
      <c r="BZ134" t="s">
        <v>2335</v>
      </c>
      <c r="CA134" t="s">
        <v>239</v>
      </c>
      <c r="CB134" t="s">
        <v>241</v>
      </c>
      <c r="CC134" t="s">
        <v>805</v>
      </c>
      <c r="CD134" t="s">
        <v>806</v>
      </c>
    </row>
    <row r="135" spans="1:107">
      <c r="A135" s="40">
        <v>127</v>
      </c>
      <c r="B135" s="40" t="s">
        <v>610</v>
      </c>
      <c r="C135" s="2" t="s">
        <v>611</v>
      </c>
      <c r="D135" s="2" t="s">
        <v>14</v>
      </c>
      <c r="E135" s="2"/>
      <c r="F135" s="2">
        <v>65</v>
      </c>
      <c r="G135" s="2">
        <v>125</v>
      </c>
      <c r="H135" s="2">
        <v>100</v>
      </c>
      <c r="I135" s="2">
        <v>55</v>
      </c>
      <c r="J135" s="2">
        <v>70</v>
      </c>
      <c r="K135" s="2">
        <v>85</v>
      </c>
      <c r="L135" s="2">
        <v>500</v>
      </c>
      <c r="M135" s="2" t="s">
        <v>1177</v>
      </c>
      <c r="N135" s="2" t="s">
        <v>1061</v>
      </c>
      <c r="O135" t="s">
        <v>542</v>
      </c>
      <c r="P135" t="s">
        <v>302</v>
      </c>
      <c r="Q135" t="s">
        <v>240</v>
      </c>
      <c r="R135" t="s">
        <v>436</v>
      </c>
      <c r="S135" t="s">
        <v>284</v>
      </c>
      <c r="T135" t="s">
        <v>1128</v>
      </c>
      <c r="U135" t="s">
        <v>1094</v>
      </c>
      <c r="V135" t="s">
        <v>1185</v>
      </c>
      <c r="W135" t="s">
        <v>451</v>
      </c>
      <c r="X135" t="s">
        <v>1018</v>
      </c>
      <c r="Y135" t="s">
        <v>2032</v>
      </c>
      <c r="Z135" t="s">
        <v>373</v>
      </c>
      <c r="AA135" t="s">
        <v>145</v>
      </c>
      <c r="AB135" t="s">
        <v>947</v>
      </c>
      <c r="AC135" t="s">
        <v>543</v>
      </c>
      <c r="AD135" t="s">
        <v>1062</v>
      </c>
      <c r="AE135" t="s">
        <v>226</v>
      </c>
      <c r="AF135" t="s">
        <v>227</v>
      </c>
      <c r="AG135" t="s">
        <v>1063</v>
      </c>
      <c r="AH135" t="s">
        <v>148</v>
      </c>
      <c r="AI135" t="s">
        <v>1175</v>
      </c>
      <c r="AJ135" t="s">
        <v>172</v>
      </c>
      <c r="AK135" t="s">
        <v>752</v>
      </c>
      <c r="AL135" t="s">
        <v>247</v>
      </c>
      <c r="AM135" t="s">
        <v>1078</v>
      </c>
      <c r="AN135" t="s">
        <v>766</v>
      </c>
      <c r="AO135" t="s">
        <v>1079</v>
      </c>
      <c r="AP135" t="s">
        <v>1109</v>
      </c>
      <c r="AQ135" t="s">
        <v>136</v>
      </c>
      <c r="AR135" t="s">
        <v>1080</v>
      </c>
      <c r="AS135" t="s">
        <v>256</v>
      </c>
      <c r="AT135" t="s">
        <v>1094</v>
      </c>
      <c r="AU135" t="s">
        <v>230</v>
      </c>
      <c r="AV135" t="s">
        <v>1095</v>
      </c>
      <c r="AW135" t="s">
        <v>917</v>
      </c>
      <c r="AX135" t="s">
        <v>231</v>
      </c>
      <c r="AY135" t="s">
        <v>1082</v>
      </c>
      <c r="AZ135" t="s">
        <v>1117</v>
      </c>
      <c r="BA135" t="s">
        <v>1037</v>
      </c>
      <c r="BB135" t="s">
        <v>1102</v>
      </c>
      <c r="BC135" t="s">
        <v>776</v>
      </c>
      <c r="BD135" t="s">
        <v>974</v>
      </c>
      <c r="BE135" t="s">
        <v>976</v>
      </c>
      <c r="BF135" t="s">
        <v>183</v>
      </c>
      <c r="BG135" t="s">
        <v>145</v>
      </c>
      <c r="BH135" t="s">
        <v>1042</v>
      </c>
      <c r="BI135" t="s">
        <v>1021</v>
      </c>
      <c r="BJ135" t="s">
        <v>143</v>
      </c>
      <c r="BK135" t="s">
        <v>1018</v>
      </c>
      <c r="BL135" t="s">
        <v>756</v>
      </c>
      <c r="BM135" t="s">
        <v>757</v>
      </c>
      <c r="BN135" t="s">
        <v>233</v>
      </c>
      <c r="BO135" t="s">
        <v>760</v>
      </c>
      <c r="BP135" t="s">
        <v>2339</v>
      </c>
      <c r="BQ135" t="s">
        <v>234</v>
      </c>
      <c r="BR135" t="s">
        <v>301</v>
      </c>
      <c r="BS135" t="s">
        <v>310</v>
      </c>
      <c r="BT135" t="s">
        <v>770</v>
      </c>
      <c r="BU135" t="s">
        <v>774</v>
      </c>
      <c r="BV135" t="s">
        <v>947</v>
      </c>
      <c r="BW135" t="s">
        <v>971</v>
      </c>
      <c r="BX135" t="s">
        <v>1174</v>
      </c>
      <c r="BY135" t="s">
        <v>989</v>
      </c>
      <c r="BZ135" t="s">
        <v>1110</v>
      </c>
      <c r="CA135" t="s">
        <v>239</v>
      </c>
      <c r="CB135" t="s">
        <v>241</v>
      </c>
      <c r="CC135" t="s">
        <v>805</v>
      </c>
      <c r="CD135" t="s">
        <v>806</v>
      </c>
    </row>
    <row r="136" spans="1:107">
      <c r="A136" s="40">
        <v>127.1</v>
      </c>
      <c r="B136" s="40" t="s">
        <v>2291</v>
      </c>
      <c r="C136" s="2" t="s">
        <v>2292</v>
      </c>
      <c r="D136" s="2" t="s">
        <v>14</v>
      </c>
      <c r="E136" s="2" t="s">
        <v>20</v>
      </c>
      <c r="F136" s="2">
        <v>65</v>
      </c>
      <c r="G136" s="2">
        <v>155</v>
      </c>
      <c r="H136" s="2">
        <v>120</v>
      </c>
      <c r="I136" s="2">
        <v>65</v>
      </c>
      <c r="J136" s="2">
        <v>90</v>
      </c>
      <c r="K136" s="2">
        <v>105</v>
      </c>
      <c r="L136" s="2">
        <v>600</v>
      </c>
      <c r="M136" s="2" t="s">
        <v>2418</v>
      </c>
      <c r="N136" s="2" t="s">
        <v>1061</v>
      </c>
      <c r="O136" t="s">
        <v>1062</v>
      </c>
      <c r="P136" t="s">
        <v>1063</v>
      </c>
      <c r="Q136" t="s">
        <v>757</v>
      </c>
      <c r="R136" t="s">
        <v>2339</v>
      </c>
      <c r="S136" t="s">
        <v>234</v>
      </c>
      <c r="T136" t="s">
        <v>301</v>
      </c>
      <c r="U136" t="s">
        <v>310</v>
      </c>
      <c r="V136" t="s">
        <v>770</v>
      </c>
      <c r="W136" t="s">
        <v>774</v>
      </c>
      <c r="X136" t="s">
        <v>947</v>
      </c>
      <c r="Y136" t="s">
        <v>971</v>
      </c>
      <c r="Z136" t="s">
        <v>1174</v>
      </c>
      <c r="AA136" t="s">
        <v>989</v>
      </c>
      <c r="AB136" t="s">
        <v>1110</v>
      </c>
      <c r="AC136" t="s">
        <v>239</v>
      </c>
      <c r="AD136" t="s">
        <v>241</v>
      </c>
      <c r="AE136" t="s">
        <v>805</v>
      </c>
      <c r="AF136" t="s">
        <v>806</v>
      </c>
    </row>
    <row r="137" spans="1:107">
      <c r="A137" s="40">
        <v>128</v>
      </c>
      <c r="B137" s="40" t="s">
        <v>612</v>
      </c>
      <c r="C137" s="2" t="s">
        <v>613</v>
      </c>
      <c r="D137" s="2" t="s">
        <v>24</v>
      </c>
      <c r="E137" s="2"/>
      <c r="F137" s="2">
        <v>75</v>
      </c>
      <c r="G137" s="2">
        <v>100</v>
      </c>
      <c r="H137" s="2">
        <v>95</v>
      </c>
      <c r="I137" s="2">
        <v>40</v>
      </c>
      <c r="J137" s="2">
        <v>70</v>
      </c>
      <c r="K137" s="2">
        <v>110</v>
      </c>
      <c r="L137" s="2">
        <v>490</v>
      </c>
      <c r="M137" s="2" t="s">
        <v>1112</v>
      </c>
      <c r="N137" s="2" t="s">
        <v>1061</v>
      </c>
      <c r="O137" t="s">
        <v>219</v>
      </c>
      <c r="P137" t="s">
        <v>266</v>
      </c>
      <c r="Q137" t="s">
        <v>304</v>
      </c>
      <c r="R137" t="s">
        <v>367</v>
      </c>
      <c r="S137" t="s">
        <v>1092</v>
      </c>
      <c r="T137" t="s">
        <v>773</v>
      </c>
      <c r="U137" t="s">
        <v>231</v>
      </c>
      <c r="V137" t="s">
        <v>995</v>
      </c>
      <c r="W137" t="s">
        <v>1049</v>
      </c>
      <c r="X137" t="s">
        <v>1019</v>
      </c>
      <c r="Y137" t="s">
        <v>223</v>
      </c>
      <c r="Z137" t="s">
        <v>756</v>
      </c>
      <c r="AA137" t="s">
        <v>373</v>
      </c>
      <c r="AB137" t="s">
        <v>976</v>
      </c>
      <c r="AC137" t="s">
        <v>1062</v>
      </c>
      <c r="AD137" t="s">
        <v>144</v>
      </c>
      <c r="AE137" t="s">
        <v>227</v>
      </c>
      <c r="AF137" t="s">
        <v>1063</v>
      </c>
      <c r="AG137" t="s">
        <v>148</v>
      </c>
      <c r="AH137" t="s">
        <v>172</v>
      </c>
      <c r="AI137" t="s">
        <v>752</v>
      </c>
      <c r="AJ137" t="s">
        <v>141</v>
      </c>
      <c r="AK137" t="s">
        <v>271</v>
      </c>
      <c r="AL137" t="s">
        <v>247</v>
      </c>
      <c r="AM137" t="s">
        <v>1078</v>
      </c>
      <c r="AN137" t="s">
        <v>766</v>
      </c>
      <c r="AO137" t="s">
        <v>1079</v>
      </c>
      <c r="AP137" t="s">
        <v>229</v>
      </c>
      <c r="AQ137" t="s">
        <v>146</v>
      </c>
      <c r="AR137" t="s">
        <v>321</v>
      </c>
      <c r="AS137" t="s">
        <v>136</v>
      </c>
      <c r="AT137" t="s">
        <v>1080</v>
      </c>
      <c r="AU137" t="s">
        <v>230</v>
      </c>
      <c r="AV137" t="s">
        <v>254</v>
      </c>
      <c r="AW137" t="s">
        <v>765</v>
      </c>
      <c r="AX137" t="s">
        <v>257</v>
      </c>
      <c r="AY137" t="s">
        <v>1095</v>
      </c>
      <c r="AZ137" t="s">
        <v>917</v>
      </c>
      <c r="BA137" t="s">
        <v>231</v>
      </c>
      <c r="BB137" t="s">
        <v>1082</v>
      </c>
      <c r="BC137" t="s">
        <v>1037</v>
      </c>
      <c r="BD137" t="s">
        <v>1031</v>
      </c>
      <c r="BE137" t="s">
        <v>995</v>
      </c>
      <c r="BF137" t="s">
        <v>1036</v>
      </c>
      <c r="BG137" t="s">
        <v>976</v>
      </c>
      <c r="BH137" t="s">
        <v>183</v>
      </c>
      <c r="BI137" t="s">
        <v>1021</v>
      </c>
      <c r="BJ137" t="s">
        <v>143</v>
      </c>
      <c r="BK137" t="s">
        <v>756</v>
      </c>
      <c r="BL137" t="s">
        <v>757</v>
      </c>
      <c r="BM137" t="s">
        <v>233</v>
      </c>
      <c r="BN137" t="s">
        <v>1047</v>
      </c>
      <c r="BO137" t="s">
        <v>760</v>
      </c>
      <c r="BP137" t="s">
        <v>2339</v>
      </c>
      <c r="BQ137" t="s">
        <v>234</v>
      </c>
      <c r="BR137" t="s">
        <v>239</v>
      </c>
      <c r="BS137" t="s">
        <v>241</v>
      </c>
      <c r="BT137" t="s">
        <v>805</v>
      </c>
      <c r="BU137" t="s">
        <v>806</v>
      </c>
    </row>
    <row r="138" spans="1:107">
      <c r="A138" s="40">
        <v>129</v>
      </c>
      <c r="B138" s="40" t="s">
        <v>614</v>
      </c>
      <c r="C138" s="2" t="s">
        <v>615</v>
      </c>
      <c r="D138" s="2" t="s">
        <v>27</v>
      </c>
      <c r="E138" s="2"/>
      <c r="F138" s="2">
        <v>20</v>
      </c>
      <c r="G138" s="2">
        <v>10</v>
      </c>
      <c r="H138" s="2">
        <v>55</v>
      </c>
      <c r="I138" s="2">
        <v>15</v>
      </c>
      <c r="J138" s="2">
        <v>20</v>
      </c>
      <c r="K138" s="2">
        <v>80</v>
      </c>
      <c r="L138" s="2">
        <v>200</v>
      </c>
      <c r="M138" s="2" t="s">
        <v>1064</v>
      </c>
      <c r="N138" s="2" t="s">
        <v>1061</v>
      </c>
      <c r="O138" t="s">
        <v>382</v>
      </c>
      <c r="P138" t="s">
        <v>219</v>
      </c>
      <c r="Q138" t="s">
        <v>770</v>
      </c>
      <c r="R138" t="s">
        <v>1062</v>
      </c>
      <c r="S138" t="s">
        <v>1063</v>
      </c>
      <c r="T138" t="s">
        <v>234</v>
      </c>
      <c r="U138" t="s">
        <v>239</v>
      </c>
      <c r="V138" t="s">
        <v>241</v>
      </c>
      <c r="W138" t="s">
        <v>805</v>
      </c>
      <c r="X138" t="s">
        <v>806</v>
      </c>
    </row>
    <row r="139" spans="1:107">
      <c r="A139" s="40">
        <v>130</v>
      </c>
      <c r="B139" s="40" t="s">
        <v>616</v>
      </c>
      <c r="C139" s="2" t="s">
        <v>617</v>
      </c>
      <c r="D139" s="2" t="s">
        <v>27</v>
      </c>
      <c r="E139" s="2" t="s">
        <v>20</v>
      </c>
      <c r="F139" s="2">
        <v>95</v>
      </c>
      <c r="G139" s="2">
        <v>125</v>
      </c>
      <c r="H139" s="2">
        <v>79</v>
      </c>
      <c r="I139" s="2">
        <v>60</v>
      </c>
      <c r="J139" s="2">
        <v>100</v>
      </c>
      <c r="K139" s="2">
        <v>81</v>
      </c>
      <c r="L139" s="2">
        <v>540</v>
      </c>
      <c r="M139" s="2" t="s">
        <v>1103</v>
      </c>
      <c r="N139" s="2" t="s">
        <v>1061</v>
      </c>
      <c r="O139" t="s">
        <v>373</v>
      </c>
      <c r="P139" t="s">
        <v>258</v>
      </c>
      <c r="Q139" t="s">
        <v>252</v>
      </c>
      <c r="R139" t="s">
        <v>330</v>
      </c>
      <c r="S139" t="s">
        <v>796</v>
      </c>
      <c r="T139" t="s">
        <v>983</v>
      </c>
      <c r="U139" t="s">
        <v>179</v>
      </c>
      <c r="V139" t="s">
        <v>766</v>
      </c>
      <c r="W139" t="s">
        <v>140</v>
      </c>
      <c r="X139" t="s">
        <v>915</v>
      </c>
      <c r="Y139" t="s">
        <v>247</v>
      </c>
      <c r="Z139" t="s">
        <v>1062</v>
      </c>
      <c r="AA139" t="s">
        <v>144</v>
      </c>
      <c r="AB139" t="s">
        <v>227</v>
      </c>
      <c r="AC139" t="s">
        <v>270</v>
      </c>
      <c r="AD139" t="s">
        <v>914</v>
      </c>
      <c r="AE139" t="s">
        <v>1063</v>
      </c>
      <c r="AF139" t="s">
        <v>246</v>
      </c>
      <c r="AG139" t="s">
        <v>148</v>
      </c>
      <c r="AH139" t="s">
        <v>1104</v>
      </c>
      <c r="AI139" t="s">
        <v>172</v>
      </c>
      <c r="AJ139" t="s">
        <v>1126</v>
      </c>
      <c r="AK139" t="s">
        <v>141</v>
      </c>
      <c r="AL139" t="s">
        <v>271</v>
      </c>
      <c r="AM139" t="s">
        <v>247</v>
      </c>
      <c r="AN139" t="s">
        <v>1078</v>
      </c>
      <c r="AO139" t="s">
        <v>766</v>
      </c>
      <c r="AP139" t="s">
        <v>1079</v>
      </c>
      <c r="AQ139" t="s">
        <v>146</v>
      </c>
      <c r="AR139" t="s">
        <v>321</v>
      </c>
      <c r="AS139" t="s">
        <v>136</v>
      </c>
      <c r="AT139" t="s">
        <v>1080</v>
      </c>
      <c r="AU139" t="s">
        <v>230</v>
      </c>
      <c r="AV139" t="s">
        <v>254</v>
      </c>
      <c r="AW139" t="s">
        <v>765</v>
      </c>
      <c r="AX139" t="s">
        <v>257</v>
      </c>
      <c r="AY139" t="s">
        <v>951</v>
      </c>
      <c r="AZ139" t="s">
        <v>917</v>
      </c>
      <c r="BA139" t="s">
        <v>231</v>
      </c>
      <c r="BB139" t="s">
        <v>1082</v>
      </c>
      <c r="BC139" t="s">
        <v>1037</v>
      </c>
      <c r="BD139" t="s">
        <v>1038</v>
      </c>
      <c r="BE139" t="s">
        <v>1031</v>
      </c>
      <c r="BF139" t="s">
        <v>995</v>
      </c>
      <c r="BG139" t="s">
        <v>976</v>
      </c>
      <c r="BH139" t="s">
        <v>183</v>
      </c>
      <c r="BI139" t="s">
        <v>322</v>
      </c>
      <c r="BJ139" t="s">
        <v>1021</v>
      </c>
      <c r="BK139" t="s">
        <v>1022</v>
      </c>
      <c r="BL139" t="s">
        <v>756</v>
      </c>
      <c r="BM139" t="s">
        <v>757</v>
      </c>
      <c r="BN139" t="s">
        <v>233</v>
      </c>
      <c r="BO139" t="s">
        <v>760</v>
      </c>
      <c r="BP139" t="s">
        <v>1157</v>
      </c>
      <c r="BQ139" t="s">
        <v>2339</v>
      </c>
      <c r="BR139" t="s">
        <v>234</v>
      </c>
      <c r="BS139" t="s">
        <v>239</v>
      </c>
      <c r="BT139" t="s">
        <v>241</v>
      </c>
      <c r="BU139" t="s">
        <v>382</v>
      </c>
      <c r="BV139" t="s">
        <v>219</v>
      </c>
      <c r="BW139" t="s">
        <v>770</v>
      </c>
      <c r="BX139" t="s">
        <v>805</v>
      </c>
      <c r="BY139" t="s">
        <v>806</v>
      </c>
    </row>
    <row r="140" spans="1:107">
      <c r="A140" s="40">
        <v>130.1</v>
      </c>
      <c r="B140" s="40" t="s">
        <v>2293</v>
      </c>
      <c r="C140" s="2" t="s">
        <v>2294</v>
      </c>
      <c r="D140" s="2" t="s">
        <v>27</v>
      </c>
      <c r="E140" s="2" t="s">
        <v>15</v>
      </c>
      <c r="F140" s="2">
        <v>95</v>
      </c>
      <c r="G140" s="2">
        <v>155</v>
      </c>
      <c r="H140" s="2">
        <v>109</v>
      </c>
      <c r="I140" s="2">
        <v>70</v>
      </c>
      <c r="J140" s="2">
        <v>130</v>
      </c>
      <c r="K140" s="2">
        <v>81</v>
      </c>
      <c r="L140" s="2">
        <v>640</v>
      </c>
      <c r="M140" s="2" t="s">
        <v>1064</v>
      </c>
      <c r="N140" s="2" t="s">
        <v>1061</v>
      </c>
      <c r="O140" t="s">
        <v>1062</v>
      </c>
      <c r="P140" t="s">
        <v>1063</v>
      </c>
      <c r="Q140" t="s">
        <v>757</v>
      </c>
      <c r="R140" t="s">
        <v>1157</v>
      </c>
      <c r="S140" t="s">
        <v>2339</v>
      </c>
      <c r="T140" t="s">
        <v>234</v>
      </c>
      <c r="U140" t="s">
        <v>239</v>
      </c>
      <c r="V140" t="s">
        <v>241</v>
      </c>
      <c r="W140" t="s">
        <v>805</v>
      </c>
      <c r="X140" t="s">
        <v>806</v>
      </c>
    </row>
    <row r="141" spans="1:107">
      <c r="A141" s="40">
        <v>131</v>
      </c>
      <c r="B141" s="40" t="s">
        <v>618</v>
      </c>
      <c r="C141" s="2" t="s">
        <v>134</v>
      </c>
      <c r="D141" s="2" t="s">
        <v>27</v>
      </c>
      <c r="E141" s="2" t="s">
        <v>23</v>
      </c>
      <c r="F141" s="2">
        <v>130</v>
      </c>
      <c r="G141" s="2">
        <v>85</v>
      </c>
      <c r="H141" s="2">
        <v>80</v>
      </c>
      <c r="I141" s="2">
        <v>85</v>
      </c>
      <c r="J141" s="2">
        <v>95</v>
      </c>
      <c r="K141" s="2">
        <v>60</v>
      </c>
      <c r="L141" s="2">
        <v>535</v>
      </c>
      <c r="M141" s="2" t="s">
        <v>1141</v>
      </c>
      <c r="N141" s="2" t="s">
        <v>1061</v>
      </c>
      <c r="O141" t="s">
        <v>220</v>
      </c>
      <c r="P141" t="s">
        <v>377</v>
      </c>
      <c r="Q141" t="s">
        <v>269</v>
      </c>
      <c r="R141" t="s">
        <v>273</v>
      </c>
      <c r="S141" t="s">
        <v>387</v>
      </c>
      <c r="T141" t="s">
        <v>984</v>
      </c>
      <c r="U141" t="s">
        <v>954</v>
      </c>
      <c r="V141" t="s">
        <v>364</v>
      </c>
      <c r="W141" t="s">
        <v>766</v>
      </c>
      <c r="X141" t="s">
        <v>786</v>
      </c>
      <c r="Y141" t="s">
        <v>141</v>
      </c>
      <c r="Z141" t="s">
        <v>961</v>
      </c>
      <c r="AA141" t="s">
        <v>759</v>
      </c>
      <c r="AB141" t="s">
        <v>140</v>
      </c>
      <c r="AC141" t="s">
        <v>1210</v>
      </c>
      <c r="AD141" t="s">
        <v>1062</v>
      </c>
      <c r="AE141" t="s">
        <v>144</v>
      </c>
      <c r="AF141" t="s">
        <v>227</v>
      </c>
      <c r="AG141" t="s">
        <v>270</v>
      </c>
      <c r="AH141" t="s">
        <v>914</v>
      </c>
      <c r="AI141" t="s">
        <v>1063</v>
      </c>
      <c r="AJ141" t="s">
        <v>246</v>
      </c>
      <c r="AK141" t="s">
        <v>148</v>
      </c>
      <c r="AL141" t="s">
        <v>1104</v>
      </c>
      <c r="AM141" t="s">
        <v>172</v>
      </c>
      <c r="AN141" t="s">
        <v>141</v>
      </c>
      <c r="AO141" t="s">
        <v>271</v>
      </c>
      <c r="AP141" t="s">
        <v>247</v>
      </c>
      <c r="AQ141" t="s">
        <v>1078</v>
      </c>
      <c r="AR141" t="s">
        <v>766</v>
      </c>
      <c r="AS141" t="s">
        <v>759</v>
      </c>
      <c r="AT141" t="s">
        <v>1079</v>
      </c>
      <c r="AU141" t="s">
        <v>146</v>
      </c>
      <c r="AV141" t="s">
        <v>321</v>
      </c>
      <c r="AW141" t="s">
        <v>1080</v>
      </c>
      <c r="AX141" t="s">
        <v>9</v>
      </c>
      <c r="AY141" t="s">
        <v>230</v>
      </c>
      <c r="AZ141" t="s">
        <v>917</v>
      </c>
      <c r="BA141" t="s">
        <v>231</v>
      </c>
      <c r="BB141" t="s">
        <v>1082</v>
      </c>
      <c r="BC141" t="s">
        <v>1037</v>
      </c>
      <c r="BD141" t="s">
        <v>1083</v>
      </c>
      <c r="BE141" t="s">
        <v>976</v>
      </c>
      <c r="BF141" t="s">
        <v>1021</v>
      </c>
      <c r="BG141" t="s">
        <v>1027</v>
      </c>
      <c r="BH141" t="s">
        <v>293</v>
      </c>
      <c r="BI141" t="s">
        <v>756</v>
      </c>
      <c r="BJ141" t="s">
        <v>757</v>
      </c>
      <c r="BK141" t="s">
        <v>233</v>
      </c>
      <c r="BL141" t="s">
        <v>760</v>
      </c>
      <c r="BM141" t="s">
        <v>2339</v>
      </c>
      <c r="BN141" t="s">
        <v>234</v>
      </c>
      <c r="BO141" t="s">
        <v>368</v>
      </c>
      <c r="BP141" t="s">
        <v>419</v>
      </c>
      <c r="BQ141" t="s">
        <v>751</v>
      </c>
      <c r="BR141" t="s">
        <v>771</v>
      </c>
      <c r="BS141" t="s">
        <v>757</v>
      </c>
      <c r="BT141" t="s">
        <v>170</v>
      </c>
      <c r="BU141" t="s">
        <v>790</v>
      </c>
      <c r="BV141" t="s">
        <v>767</v>
      </c>
      <c r="BW141" t="s">
        <v>1106</v>
      </c>
      <c r="BX141" t="s">
        <v>950</v>
      </c>
      <c r="BY141" t="s">
        <v>915</v>
      </c>
      <c r="BZ141" t="s">
        <v>967</v>
      </c>
      <c r="CA141" t="s">
        <v>1214</v>
      </c>
      <c r="CB141" t="s">
        <v>2363</v>
      </c>
      <c r="CC141" t="s">
        <v>239</v>
      </c>
      <c r="CD141" t="s">
        <v>241</v>
      </c>
      <c r="CE141" t="s">
        <v>805</v>
      </c>
      <c r="CF141" t="s">
        <v>806</v>
      </c>
    </row>
    <row r="142" spans="1:107">
      <c r="A142" s="40">
        <v>132</v>
      </c>
      <c r="B142" s="40" t="s">
        <v>619</v>
      </c>
      <c r="C142" s="2" t="s">
        <v>620</v>
      </c>
      <c r="D142" s="2" t="s">
        <v>24</v>
      </c>
      <c r="E142" s="2"/>
      <c r="F142" s="2">
        <v>48</v>
      </c>
      <c r="G142" s="2">
        <v>48</v>
      </c>
      <c r="H142" s="2">
        <v>48</v>
      </c>
      <c r="I142" s="2">
        <v>48</v>
      </c>
      <c r="J142" s="2">
        <v>48</v>
      </c>
      <c r="K142" s="2">
        <v>48</v>
      </c>
      <c r="L142" s="2">
        <v>288</v>
      </c>
      <c r="M142" s="2" t="s">
        <v>1072</v>
      </c>
      <c r="N142" s="2" t="s">
        <v>1061</v>
      </c>
      <c r="O142" t="s">
        <v>621</v>
      </c>
      <c r="P142" t="s">
        <v>1062</v>
      </c>
      <c r="Q142" t="s">
        <v>1063</v>
      </c>
      <c r="R142" t="s">
        <v>234</v>
      </c>
      <c r="S142" t="s">
        <v>239</v>
      </c>
      <c r="T142" t="s">
        <v>241</v>
      </c>
      <c r="U142" t="s">
        <v>805</v>
      </c>
      <c r="V142" t="s">
        <v>806</v>
      </c>
    </row>
    <row r="143" spans="1:107">
      <c r="A143" s="40">
        <v>133</v>
      </c>
      <c r="B143" s="40" t="s">
        <v>622</v>
      </c>
      <c r="C143" s="2" t="s">
        <v>623</v>
      </c>
      <c r="D143" s="2" t="s">
        <v>24</v>
      </c>
      <c r="E143" s="2"/>
      <c r="F143" s="2">
        <v>55</v>
      </c>
      <c r="G143" s="2">
        <v>55</v>
      </c>
      <c r="H143" s="2">
        <v>50</v>
      </c>
      <c r="I143" s="2">
        <v>45</v>
      </c>
      <c r="J143" s="2">
        <v>65</v>
      </c>
      <c r="K143" s="2">
        <v>55</v>
      </c>
      <c r="L143" s="2">
        <v>325</v>
      </c>
      <c r="M143" s="2" t="s">
        <v>1120</v>
      </c>
      <c r="N143" s="2" t="s">
        <v>1061</v>
      </c>
      <c r="O143" t="s">
        <v>219</v>
      </c>
      <c r="P143" t="s">
        <v>266</v>
      </c>
      <c r="Q143" t="s">
        <v>925</v>
      </c>
      <c r="R143" t="s">
        <v>309</v>
      </c>
      <c r="S143" t="s">
        <v>220</v>
      </c>
      <c r="T143" t="s">
        <v>2333</v>
      </c>
      <c r="U143" t="s">
        <v>310</v>
      </c>
      <c r="V143" t="s">
        <v>258</v>
      </c>
      <c r="W143" t="s">
        <v>913</v>
      </c>
      <c r="X143" t="s">
        <v>223</v>
      </c>
      <c r="Y143" t="s">
        <v>781</v>
      </c>
      <c r="Z143" t="s">
        <v>788</v>
      </c>
      <c r="AA143" t="s">
        <v>225</v>
      </c>
      <c r="AB143" t="s">
        <v>986</v>
      </c>
      <c r="AC143" t="s">
        <v>1013</v>
      </c>
      <c r="AD143" t="s">
        <v>1062</v>
      </c>
      <c r="AE143" t="s">
        <v>1063</v>
      </c>
      <c r="AF143" t="s">
        <v>148</v>
      </c>
      <c r="AG143" t="s">
        <v>172</v>
      </c>
      <c r="AH143" t="s">
        <v>752</v>
      </c>
      <c r="AI143" t="s">
        <v>1078</v>
      </c>
      <c r="AJ143" t="s">
        <v>766</v>
      </c>
      <c r="AK143" t="s">
        <v>1079</v>
      </c>
      <c r="AL143" t="s">
        <v>1080</v>
      </c>
      <c r="AM143" t="s">
        <v>256</v>
      </c>
      <c r="AN143" t="s">
        <v>174</v>
      </c>
      <c r="AO143" t="s">
        <v>230</v>
      </c>
      <c r="AP143" t="s">
        <v>917</v>
      </c>
      <c r="AQ143" t="s">
        <v>231</v>
      </c>
      <c r="AR143" t="s">
        <v>1082</v>
      </c>
      <c r="AS143" t="s">
        <v>1037</v>
      </c>
      <c r="AT143" t="s">
        <v>1083</v>
      </c>
      <c r="AU143" t="s">
        <v>1036</v>
      </c>
      <c r="AV143" t="s">
        <v>756</v>
      </c>
      <c r="AW143" t="s">
        <v>757</v>
      </c>
      <c r="AX143" t="s">
        <v>233</v>
      </c>
      <c r="AY143" t="s">
        <v>2339</v>
      </c>
      <c r="AZ143" t="s">
        <v>234</v>
      </c>
      <c r="BA143" t="s">
        <v>751</v>
      </c>
      <c r="BB143" t="s">
        <v>770</v>
      </c>
      <c r="BC143" t="s">
        <v>1220</v>
      </c>
      <c r="BD143" t="s">
        <v>754</v>
      </c>
      <c r="BE143" t="s">
        <v>781</v>
      </c>
      <c r="BF143" t="s">
        <v>957</v>
      </c>
      <c r="BG143" t="s">
        <v>958</v>
      </c>
      <c r="BH143" t="s">
        <v>918</v>
      </c>
      <c r="BI143" t="s">
        <v>950</v>
      </c>
      <c r="BJ143" t="s">
        <v>913</v>
      </c>
      <c r="BK143" t="s">
        <v>992</v>
      </c>
      <c r="BL143" t="s">
        <v>1043</v>
      </c>
      <c r="BM143" t="s">
        <v>1041</v>
      </c>
      <c r="BN143" t="s">
        <v>239</v>
      </c>
      <c r="BO143" t="s">
        <v>241</v>
      </c>
      <c r="BP143" t="s">
        <v>805</v>
      </c>
      <c r="BQ143" t="s">
        <v>806</v>
      </c>
    </row>
    <row r="144" spans="1:107">
      <c r="A144" s="40">
        <v>134</v>
      </c>
      <c r="B144" s="40" t="s">
        <v>624</v>
      </c>
      <c r="C144" s="2" t="s">
        <v>625</v>
      </c>
      <c r="D144" s="2" t="s">
        <v>27</v>
      </c>
      <c r="E144" s="2"/>
      <c r="F144" s="2">
        <v>130</v>
      </c>
      <c r="G144" s="2">
        <v>65</v>
      </c>
      <c r="H144" s="2">
        <v>60</v>
      </c>
      <c r="I144" s="2">
        <v>110</v>
      </c>
      <c r="J144" s="2">
        <v>95</v>
      </c>
      <c r="K144" s="2">
        <v>65</v>
      </c>
      <c r="L144" s="2">
        <v>525</v>
      </c>
      <c r="M144" s="2" t="s">
        <v>1173</v>
      </c>
      <c r="N144" s="2" t="s">
        <v>1061</v>
      </c>
      <c r="O144" t="s">
        <v>219</v>
      </c>
      <c r="P144" t="s">
        <v>266</v>
      </c>
      <c r="Q144" t="s">
        <v>925</v>
      </c>
      <c r="R144" t="s">
        <v>309</v>
      </c>
      <c r="S144" t="s">
        <v>269</v>
      </c>
      <c r="T144" t="s">
        <v>310</v>
      </c>
      <c r="U144" t="s">
        <v>954</v>
      </c>
      <c r="V144" t="s">
        <v>478</v>
      </c>
      <c r="W144" t="s">
        <v>178</v>
      </c>
      <c r="X144" t="s">
        <v>517</v>
      </c>
      <c r="Y144" t="s">
        <v>272</v>
      </c>
      <c r="Z144" t="s">
        <v>1105</v>
      </c>
      <c r="AA144" t="s">
        <v>986</v>
      </c>
      <c r="AB144" t="s">
        <v>140</v>
      </c>
      <c r="AC144" t="s">
        <v>1062</v>
      </c>
      <c r="AD144" t="s">
        <v>144</v>
      </c>
      <c r="AE144" t="s">
        <v>227</v>
      </c>
      <c r="AF144" t="s">
        <v>270</v>
      </c>
      <c r="AG144" t="s">
        <v>914</v>
      </c>
      <c r="AH144" t="s">
        <v>1063</v>
      </c>
      <c r="AI144" t="s">
        <v>246</v>
      </c>
      <c r="AJ144" t="s">
        <v>148</v>
      </c>
      <c r="AK144" t="s">
        <v>1104</v>
      </c>
      <c r="AL144" t="s">
        <v>172</v>
      </c>
      <c r="AM144" t="s">
        <v>752</v>
      </c>
      <c r="AN144" t="s">
        <v>141</v>
      </c>
      <c r="AO144" t="s">
        <v>271</v>
      </c>
      <c r="AP144" t="s">
        <v>247</v>
      </c>
      <c r="AQ144" t="s">
        <v>1078</v>
      </c>
      <c r="AR144" t="s">
        <v>766</v>
      </c>
      <c r="AS144" t="s">
        <v>1079</v>
      </c>
      <c r="AT144" t="s">
        <v>1080</v>
      </c>
      <c r="AU144" t="s">
        <v>256</v>
      </c>
      <c r="AV144" t="s">
        <v>174</v>
      </c>
      <c r="AW144" t="s">
        <v>230</v>
      </c>
      <c r="AX144" t="s">
        <v>917</v>
      </c>
      <c r="AY144" t="s">
        <v>231</v>
      </c>
      <c r="AZ144" t="s">
        <v>1082</v>
      </c>
      <c r="BA144" t="s">
        <v>1037</v>
      </c>
      <c r="BB144" t="s">
        <v>1083</v>
      </c>
      <c r="BC144" t="s">
        <v>1038</v>
      </c>
      <c r="BD144" t="s">
        <v>1036</v>
      </c>
      <c r="BE144" t="s">
        <v>976</v>
      </c>
      <c r="BF144" t="s">
        <v>756</v>
      </c>
      <c r="BG144" t="s">
        <v>757</v>
      </c>
      <c r="BH144" t="s">
        <v>233</v>
      </c>
      <c r="BI144" t="s">
        <v>760</v>
      </c>
      <c r="BJ144" t="s">
        <v>2339</v>
      </c>
      <c r="BK144" t="s">
        <v>234</v>
      </c>
      <c r="BL144" t="s">
        <v>751</v>
      </c>
      <c r="BM144" t="s">
        <v>770</v>
      </c>
      <c r="BN144" t="s">
        <v>1220</v>
      </c>
      <c r="BO144" t="s">
        <v>754</v>
      </c>
      <c r="BP144" t="s">
        <v>781</v>
      </c>
      <c r="BQ144" t="s">
        <v>957</v>
      </c>
      <c r="BR144" t="s">
        <v>958</v>
      </c>
      <c r="BS144" t="s">
        <v>918</v>
      </c>
      <c r="BT144" t="s">
        <v>950</v>
      </c>
      <c r="BU144" t="s">
        <v>913</v>
      </c>
      <c r="BV144" t="s">
        <v>992</v>
      </c>
      <c r="BW144" t="s">
        <v>1043</v>
      </c>
      <c r="BX144" t="s">
        <v>1041</v>
      </c>
      <c r="BY144" t="s">
        <v>239</v>
      </c>
      <c r="BZ144" t="s">
        <v>241</v>
      </c>
      <c r="CA144" t="s">
        <v>220</v>
      </c>
      <c r="CB144" t="s">
        <v>2333</v>
      </c>
      <c r="CC144" t="s">
        <v>258</v>
      </c>
      <c r="CD144" t="s">
        <v>913</v>
      </c>
      <c r="CE144" t="s">
        <v>223</v>
      </c>
      <c r="CF144" t="s">
        <v>781</v>
      </c>
      <c r="CG144" t="s">
        <v>788</v>
      </c>
      <c r="CH144" t="s">
        <v>225</v>
      </c>
      <c r="CI144" t="s">
        <v>1013</v>
      </c>
      <c r="CJ144" t="s">
        <v>805</v>
      </c>
      <c r="CK144" t="s">
        <v>806</v>
      </c>
    </row>
    <row r="145" spans="1:195">
      <c r="A145" s="40">
        <v>135</v>
      </c>
      <c r="B145" s="40" t="s">
        <v>626</v>
      </c>
      <c r="C145" s="2" t="s">
        <v>627</v>
      </c>
      <c r="D145" s="2" t="s">
        <v>17</v>
      </c>
      <c r="E145" s="2"/>
      <c r="F145" s="2">
        <v>65</v>
      </c>
      <c r="G145" s="2">
        <v>65</v>
      </c>
      <c r="H145" s="2">
        <v>60</v>
      </c>
      <c r="I145" s="2">
        <v>110</v>
      </c>
      <c r="J145" s="2">
        <v>95</v>
      </c>
      <c r="K145" s="2">
        <v>130</v>
      </c>
      <c r="L145" s="2">
        <v>525</v>
      </c>
      <c r="M145" s="2" t="s">
        <v>1168</v>
      </c>
      <c r="N145" s="2" t="s">
        <v>1061</v>
      </c>
      <c r="O145" t="s">
        <v>219</v>
      </c>
      <c r="P145" t="s">
        <v>266</v>
      </c>
      <c r="Q145" t="s">
        <v>925</v>
      </c>
      <c r="R145" t="s">
        <v>309</v>
      </c>
      <c r="S145" t="s">
        <v>346</v>
      </c>
      <c r="T145" t="s">
        <v>310</v>
      </c>
      <c r="U145" t="s">
        <v>359</v>
      </c>
      <c r="V145" t="s">
        <v>1010</v>
      </c>
      <c r="W145" t="s">
        <v>305</v>
      </c>
      <c r="X145" t="s">
        <v>306</v>
      </c>
      <c r="Y145" t="s">
        <v>322</v>
      </c>
      <c r="Z145" t="s">
        <v>1138</v>
      </c>
      <c r="AA145" t="s">
        <v>986</v>
      </c>
      <c r="AB145" t="s">
        <v>321</v>
      </c>
      <c r="AC145" t="s">
        <v>1062</v>
      </c>
      <c r="AD145" t="s">
        <v>227</v>
      </c>
      <c r="AE145" t="s">
        <v>1063</v>
      </c>
      <c r="AF145" t="s">
        <v>246</v>
      </c>
      <c r="AG145" t="s">
        <v>148</v>
      </c>
      <c r="AH145" t="s">
        <v>172</v>
      </c>
      <c r="AI145" t="s">
        <v>752</v>
      </c>
      <c r="AJ145" t="s">
        <v>247</v>
      </c>
      <c r="AK145" t="s">
        <v>228</v>
      </c>
      <c r="AL145" t="s">
        <v>1078</v>
      </c>
      <c r="AM145" t="s">
        <v>766</v>
      </c>
      <c r="AN145" t="s">
        <v>1079</v>
      </c>
      <c r="AO145" t="s">
        <v>146</v>
      </c>
      <c r="AP145" t="s">
        <v>321</v>
      </c>
      <c r="AQ145" t="s">
        <v>1080</v>
      </c>
      <c r="AR145" t="s">
        <v>256</v>
      </c>
      <c r="AS145" t="s">
        <v>174</v>
      </c>
      <c r="AT145" t="s">
        <v>230</v>
      </c>
      <c r="AU145" t="s">
        <v>917</v>
      </c>
      <c r="AV145" t="s">
        <v>231</v>
      </c>
      <c r="AW145" t="s">
        <v>1082</v>
      </c>
      <c r="AX145" t="s">
        <v>1037</v>
      </c>
      <c r="AY145" t="s">
        <v>1083</v>
      </c>
      <c r="AZ145" t="s">
        <v>963</v>
      </c>
      <c r="BA145" t="s">
        <v>1036</v>
      </c>
      <c r="BB145" t="s">
        <v>976</v>
      </c>
      <c r="BC145" t="s">
        <v>232</v>
      </c>
      <c r="BD145" t="s">
        <v>1045</v>
      </c>
      <c r="BE145" t="s">
        <v>322</v>
      </c>
      <c r="BF145" t="s">
        <v>756</v>
      </c>
      <c r="BG145" t="s">
        <v>757</v>
      </c>
      <c r="BH145" t="s">
        <v>233</v>
      </c>
      <c r="BI145" t="s">
        <v>1047</v>
      </c>
      <c r="BJ145" t="s">
        <v>760</v>
      </c>
      <c r="BK145" t="s">
        <v>2339</v>
      </c>
      <c r="BL145" t="s">
        <v>234</v>
      </c>
      <c r="BM145" t="s">
        <v>751</v>
      </c>
      <c r="BN145" t="s">
        <v>770</v>
      </c>
      <c r="BO145" t="s">
        <v>1220</v>
      </c>
      <c r="BP145" t="s">
        <v>754</v>
      </c>
      <c r="BQ145" t="s">
        <v>781</v>
      </c>
      <c r="BR145" t="s">
        <v>957</v>
      </c>
      <c r="BS145" t="s">
        <v>958</v>
      </c>
      <c r="BT145" t="s">
        <v>918</v>
      </c>
      <c r="BU145" t="s">
        <v>950</v>
      </c>
      <c r="BV145" t="s">
        <v>913</v>
      </c>
      <c r="BW145" t="s">
        <v>992</v>
      </c>
      <c r="BX145" t="s">
        <v>1043</v>
      </c>
      <c r="BY145" t="s">
        <v>1041</v>
      </c>
      <c r="BZ145" t="s">
        <v>239</v>
      </c>
      <c r="CA145" t="s">
        <v>241</v>
      </c>
      <c r="CB145" t="s">
        <v>220</v>
      </c>
      <c r="CC145" t="s">
        <v>2333</v>
      </c>
      <c r="CD145" t="s">
        <v>258</v>
      </c>
      <c r="CE145" t="s">
        <v>913</v>
      </c>
      <c r="CF145" t="s">
        <v>223</v>
      </c>
      <c r="CG145" t="s">
        <v>781</v>
      </c>
      <c r="CH145" t="s">
        <v>788</v>
      </c>
      <c r="CI145" t="s">
        <v>225</v>
      </c>
      <c r="CJ145" t="s">
        <v>1013</v>
      </c>
      <c r="CK145" t="s">
        <v>805</v>
      </c>
      <c r="CL145" t="s">
        <v>806</v>
      </c>
    </row>
    <row r="146" spans="1:195">
      <c r="A146" s="40">
        <v>136</v>
      </c>
      <c r="B146" s="40" t="s">
        <v>628</v>
      </c>
      <c r="C146" s="2" t="s">
        <v>629</v>
      </c>
      <c r="D146" s="2" t="s">
        <v>19</v>
      </c>
      <c r="E146" s="2"/>
      <c r="F146" s="2">
        <v>65</v>
      </c>
      <c r="G146" s="2">
        <v>130</v>
      </c>
      <c r="H146" s="2">
        <v>60</v>
      </c>
      <c r="I146" s="2">
        <v>95</v>
      </c>
      <c r="J146" s="2">
        <v>110</v>
      </c>
      <c r="K146" s="2">
        <v>65</v>
      </c>
      <c r="L146" s="2">
        <v>525</v>
      </c>
      <c r="M146" s="2" t="s">
        <v>1090</v>
      </c>
      <c r="N146" s="2" t="s">
        <v>1061</v>
      </c>
      <c r="O146" t="s">
        <v>219</v>
      </c>
      <c r="P146" t="s">
        <v>266</v>
      </c>
      <c r="Q146" t="s">
        <v>925</v>
      </c>
      <c r="R146" t="s">
        <v>309</v>
      </c>
      <c r="S146" t="s">
        <v>250</v>
      </c>
      <c r="T146" t="s">
        <v>310</v>
      </c>
      <c r="U146" t="s">
        <v>258</v>
      </c>
      <c r="V146" t="s">
        <v>182</v>
      </c>
      <c r="W146" t="s">
        <v>255</v>
      </c>
      <c r="X146" t="s">
        <v>1092</v>
      </c>
      <c r="Y146" t="s">
        <v>530</v>
      </c>
      <c r="Z146" t="s">
        <v>1231</v>
      </c>
      <c r="AA146" t="s">
        <v>986</v>
      </c>
      <c r="AB146" t="s">
        <v>257</v>
      </c>
      <c r="AC146" t="s">
        <v>1062</v>
      </c>
      <c r="AD146" t="s">
        <v>227</v>
      </c>
      <c r="AE146" t="s">
        <v>1063</v>
      </c>
      <c r="AF146" t="s">
        <v>246</v>
      </c>
      <c r="AG146" t="s">
        <v>148</v>
      </c>
      <c r="AH146" t="s">
        <v>172</v>
      </c>
      <c r="AI146" t="s">
        <v>752</v>
      </c>
      <c r="AJ146" t="s">
        <v>247</v>
      </c>
      <c r="AK146" t="s">
        <v>1078</v>
      </c>
      <c r="AL146" t="s">
        <v>766</v>
      </c>
      <c r="AM146" t="s">
        <v>1079</v>
      </c>
      <c r="AN146" t="s">
        <v>1080</v>
      </c>
      <c r="AO146" t="s">
        <v>256</v>
      </c>
      <c r="AP146" t="s">
        <v>174</v>
      </c>
      <c r="AQ146" t="s">
        <v>230</v>
      </c>
      <c r="AR146" t="s">
        <v>254</v>
      </c>
      <c r="AS146" t="s">
        <v>257</v>
      </c>
      <c r="AT146" t="s">
        <v>917</v>
      </c>
      <c r="AU146" t="s">
        <v>1097</v>
      </c>
      <c r="AV146" t="s">
        <v>231</v>
      </c>
      <c r="AW146" t="s">
        <v>1082</v>
      </c>
      <c r="AX146" t="s">
        <v>1037</v>
      </c>
      <c r="AY146" t="s">
        <v>1083</v>
      </c>
      <c r="AZ146" t="s">
        <v>1098</v>
      </c>
      <c r="BA146" t="s">
        <v>1031</v>
      </c>
      <c r="BB146" t="s">
        <v>956</v>
      </c>
      <c r="BC146" t="s">
        <v>1036</v>
      </c>
      <c r="BD146" t="s">
        <v>976</v>
      </c>
      <c r="BE146" t="s">
        <v>756</v>
      </c>
      <c r="BF146" t="s">
        <v>757</v>
      </c>
      <c r="BG146" t="s">
        <v>233</v>
      </c>
      <c r="BH146" t="s">
        <v>760</v>
      </c>
      <c r="BI146" t="s">
        <v>2339</v>
      </c>
      <c r="BJ146" t="s">
        <v>234</v>
      </c>
      <c r="BK146" t="s">
        <v>751</v>
      </c>
      <c r="BL146" t="s">
        <v>770</v>
      </c>
      <c r="BM146" t="s">
        <v>1220</v>
      </c>
      <c r="BN146" t="s">
        <v>754</v>
      </c>
      <c r="BO146" t="s">
        <v>781</v>
      </c>
      <c r="BP146" t="s">
        <v>957</v>
      </c>
      <c r="BQ146" t="s">
        <v>958</v>
      </c>
      <c r="BR146" t="s">
        <v>918</v>
      </c>
      <c r="BS146" t="s">
        <v>950</v>
      </c>
      <c r="BT146" t="s">
        <v>913</v>
      </c>
      <c r="BU146" t="s">
        <v>992</v>
      </c>
      <c r="BV146" t="s">
        <v>1043</v>
      </c>
      <c r="BW146" t="s">
        <v>1041</v>
      </c>
      <c r="BX146" t="s">
        <v>239</v>
      </c>
      <c r="BY146" t="s">
        <v>241</v>
      </c>
      <c r="BZ146" t="s">
        <v>220</v>
      </c>
      <c r="CA146" t="s">
        <v>2333</v>
      </c>
      <c r="CB146" t="s">
        <v>913</v>
      </c>
      <c r="CC146" t="s">
        <v>223</v>
      </c>
      <c r="CD146" t="s">
        <v>781</v>
      </c>
      <c r="CE146" t="s">
        <v>788</v>
      </c>
      <c r="CF146" t="s">
        <v>225</v>
      </c>
      <c r="CG146" t="s">
        <v>1013</v>
      </c>
      <c r="CH146" t="s">
        <v>805</v>
      </c>
      <c r="CI146" t="s">
        <v>806</v>
      </c>
    </row>
    <row r="147" spans="1:195">
      <c r="A147" s="40">
        <v>137</v>
      </c>
      <c r="B147" s="40" t="s">
        <v>630</v>
      </c>
      <c r="C147" s="2" t="s">
        <v>631</v>
      </c>
      <c r="D147" s="2" t="s">
        <v>24</v>
      </c>
      <c r="E147" s="2"/>
      <c r="F147" s="2">
        <v>65</v>
      </c>
      <c r="G147" s="2">
        <v>60</v>
      </c>
      <c r="H147" s="2">
        <v>70</v>
      </c>
      <c r="I147" s="2">
        <v>85</v>
      </c>
      <c r="J147" s="2">
        <v>75</v>
      </c>
      <c r="K147" s="2">
        <v>40</v>
      </c>
      <c r="L147" s="2">
        <v>395</v>
      </c>
      <c r="M147" s="2" t="s">
        <v>1071</v>
      </c>
      <c r="N147" s="2" t="s">
        <v>1061</v>
      </c>
      <c r="O147" t="s">
        <v>219</v>
      </c>
      <c r="P147" t="s">
        <v>632</v>
      </c>
      <c r="Q147" t="s">
        <v>633</v>
      </c>
      <c r="R147" t="s">
        <v>1233</v>
      </c>
      <c r="S147" t="s">
        <v>292</v>
      </c>
      <c r="T147" t="s">
        <v>306</v>
      </c>
      <c r="U147" t="s">
        <v>459</v>
      </c>
      <c r="V147" t="s">
        <v>988</v>
      </c>
      <c r="W147" t="s">
        <v>216</v>
      </c>
      <c r="X147" t="s">
        <v>937</v>
      </c>
      <c r="Y147" t="s">
        <v>1138</v>
      </c>
      <c r="Z147" t="s">
        <v>1204</v>
      </c>
      <c r="AA147" t="s">
        <v>333</v>
      </c>
      <c r="AB147" t="s">
        <v>929</v>
      </c>
      <c r="AC147" t="s">
        <v>1207</v>
      </c>
      <c r="AD147" t="s">
        <v>1062</v>
      </c>
      <c r="AE147" t="s">
        <v>1063</v>
      </c>
      <c r="AF147" t="s">
        <v>1151</v>
      </c>
      <c r="AG147" t="s">
        <v>148</v>
      </c>
      <c r="AH147" t="s">
        <v>172</v>
      </c>
      <c r="AI147" t="s">
        <v>752</v>
      </c>
      <c r="AJ147" t="s">
        <v>141</v>
      </c>
      <c r="AK147" t="s">
        <v>271</v>
      </c>
      <c r="AL147" t="s">
        <v>247</v>
      </c>
      <c r="AM147" t="s">
        <v>1078</v>
      </c>
      <c r="AN147" t="s">
        <v>766</v>
      </c>
      <c r="AO147" t="s">
        <v>1079</v>
      </c>
      <c r="AP147" t="s">
        <v>229</v>
      </c>
      <c r="AQ147" t="s">
        <v>146</v>
      </c>
      <c r="AR147" t="s">
        <v>321</v>
      </c>
      <c r="AS147" t="s">
        <v>1080</v>
      </c>
      <c r="AT147" t="s">
        <v>9</v>
      </c>
      <c r="AU147" t="s">
        <v>174</v>
      </c>
      <c r="AV147" t="s">
        <v>230</v>
      </c>
      <c r="AW147" t="s">
        <v>1096</v>
      </c>
      <c r="AX147" t="s">
        <v>917</v>
      </c>
      <c r="AY147" t="s">
        <v>231</v>
      </c>
      <c r="AZ147" t="s">
        <v>1117</v>
      </c>
      <c r="BA147" t="s">
        <v>1037</v>
      </c>
      <c r="BB147" t="s">
        <v>963</v>
      </c>
      <c r="BC147" t="s">
        <v>976</v>
      </c>
      <c r="BD147" t="s">
        <v>232</v>
      </c>
      <c r="BE147" t="s">
        <v>322</v>
      </c>
      <c r="BF147" t="s">
        <v>785</v>
      </c>
      <c r="BG147" t="s">
        <v>293</v>
      </c>
      <c r="BH147" t="s">
        <v>756</v>
      </c>
      <c r="BI147" t="s">
        <v>233</v>
      </c>
      <c r="BJ147" t="s">
        <v>1012</v>
      </c>
      <c r="BK147" t="s">
        <v>234</v>
      </c>
      <c r="BL147" t="s">
        <v>239</v>
      </c>
      <c r="BM147" t="s">
        <v>241</v>
      </c>
      <c r="BN147" t="s">
        <v>805</v>
      </c>
      <c r="BO147" t="s">
        <v>806</v>
      </c>
    </row>
    <row r="148" spans="1:195">
      <c r="A148" s="40">
        <v>138</v>
      </c>
      <c r="B148" s="40" t="s">
        <v>634</v>
      </c>
      <c r="C148" s="2" t="s">
        <v>635</v>
      </c>
      <c r="D148" s="2" t="s">
        <v>25</v>
      </c>
      <c r="E148" s="2" t="s">
        <v>27</v>
      </c>
      <c r="F148" s="2">
        <v>35</v>
      </c>
      <c r="G148" s="2">
        <v>40</v>
      </c>
      <c r="H148" s="2">
        <v>100</v>
      </c>
      <c r="I148" s="2">
        <v>90</v>
      </c>
      <c r="J148" s="2">
        <v>55</v>
      </c>
      <c r="K148" s="2">
        <v>35</v>
      </c>
      <c r="L148" s="2">
        <v>355</v>
      </c>
      <c r="M148" s="2" t="s">
        <v>1089</v>
      </c>
      <c r="N148" s="2" t="s">
        <v>1061</v>
      </c>
      <c r="O148" t="s">
        <v>268</v>
      </c>
      <c r="P148" t="s">
        <v>477</v>
      </c>
      <c r="Q148" t="s">
        <v>258</v>
      </c>
      <c r="R148" t="s">
        <v>269</v>
      </c>
      <c r="S148" t="s">
        <v>768</v>
      </c>
      <c r="T148" t="s">
        <v>330</v>
      </c>
      <c r="U148" t="s">
        <v>1144</v>
      </c>
      <c r="V148" t="s">
        <v>961</v>
      </c>
      <c r="W148" t="s">
        <v>1078</v>
      </c>
      <c r="X148" t="s">
        <v>170</v>
      </c>
      <c r="Y148" t="s">
        <v>950</v>
      </c>
      <c r="Z148" t="s">
        <v>1196</v>
      </c>
      <c r="AA148" t="s">
        <v>1213</v>
      </c>
      <c r="AB148" t="s">
        <v>140</v>
      </c>
      <c r="AC148" t="s">
        <v>1062</v>
      </c>
      <c r="AD148" t="s">
        <v>144</v>
      </c>
      <c r="AE148" t="s">
        <v>270</v>
      </c>
      <c r="AF148" t="s">
        <v>914</v>
      </c>
      <c r="AG148" t="s">
        <v>1063</v>
      </c>
      <c r="AH148" t="s">
        <v>148</v>
      </c>
      <c r="AI148" t="s">
        <v>1104</v>
      </c>
      <c r="AJ148" t="s">
        <v>172</v>
      </c>
      <c r="AK148" t="s">
        <v>141</v>
      </c>
      <c r="AL148" t="s">
        <v>271</v>
      </c>
      <c r="AM148" t="s">
        <v>1078</v>
      </c>
      <c r="AN148" t="s">
        <v>766</v>
      </c>
      <c r="AO148" t="s">
        <v>1079</v>
      </c>
      <c r="AP148" t="s">
        <v>1109</v>
      </c>
      <c r="AQ148" t="s">
        <v>1080</v>
      </c>
      <c r="AR148" t="s">
        <v>230</v>
      </c>
      <c r="AS148" t="s">
        <v>765</v>
      </c>
      <c r="AT148" t="s">
        <v>1095</v>
      </c>
      <c r="AU148" t="s">
        <v>917</v>
      </c>
      <c r="AV148" t="s">
        <v>231</v>
      </c>
      <c r="AW148" t="s">
        <v>1082</v>
      </c>
      <c r="AX148" t="s">
        <v>1117</v>
      </c>
      <c r="AY148" t="s">
        <v>1037</v>
      </c>
      <c r="AZ148" t="s">
        <v>1038</v>
      </c>
      <c r="BA148" t="s">
        <v>1003</v>
      </c>
      <c r="BB148" t="s">
        <v>980</v>
      </c>
      <c r="BC148" t="s">
        <v>143</v>
      </c>
      <c r="BD148" t="s">
        <v>756</v>
      </c>
      <c r="BE148" t="s">
        <v>757</v>
      </c>
      <c r="BF148" t="s">
        <v>233</v>
      </c>
      <c r="BG148" t="s">
        <v>760</v>
      </c>
      <c r="BH148" t="s">
        <v>2339</v>
      </c>
      <c r="BI148" t="s">
        <v>234</v>
      </c>
      <c r="BJ148" t="s">
        <v>341</v>
      </c>
      <c r="BK148" t="s">
        <v>290</v>
      </c>
      <c r="BL148" t="s">
        <v>446</v>
      </c>
      <c r="BM148" t="s">
        <v>478</v>
      </c>
      <c r="BN148" t="s">
        <v>272</v>
      </c>
      <c r="BO148" t="s">
        <v>347</v>
      </c>
      <c r="BP148" t="s">
        <v>1215</v>
      </c>
      <c r="BQ148" t="s">
        <v>767</v>
      </c>
      <c r="BR148" t="s">
        <v>928</v>
      </c>
      <c r="BS148" t="s">
        <v>1105</v>
      </c>
      <c r="BT148" t="s">
        <v>954</v>
      </c>
      <c r="BU148" t="s">
        <v>1189</v>
      </c>
      <c r="BV148" t="s">
        <v>1011</v>
      </c>
      <c r="BW148" t="s">
        <v>1227</v>
      </c>
      <c r="BX148" t="s">
        <v>239</v>
      </c>
      <c r="BY148" t="s">
        <v>241</v>
      </c>
      <c r="BZ148" t="s">
        <v>805</v>
      </c>
      <c r="CA148" t="s">
        <v>806</v>
      </c>
    </row>
    <row r="149" spans="1:195">
      <c r="A149" s="40">
        <v>139</v>
      </c>
      <c r="B149" s="40" t="s">
        <v>636</v>
      </c>
      <c r="C149" s="2" t="s">
        <v>637</v>
      </c>
      <c r="D149" s="2" t="s">
        <v>25</v>
      </c>
      <c r="E149" s="2" t="s">
        <v>27</v>
      </c>
      <c r="F149" s="2">
        <v>70</v>
      </c>
      <c r="G149" s="2">
        <v>60</v>
      </c>
      <c r="H149" s="2">
        <v>125</v>
      </c>
      <c r="I149" s="2">
        <v>115</v>
      </c>
      <c r="J149" s="2">
        <v>70</v>
      </c>
      <c r="K149" s="2">
        <v>55</v>
      </c>
      <c r="L149" s="2">
        <v>495</v>
      </c>
      <c r="M149" s="2" t="s">
        <v>1141</v>
      </c>
      <c r="N149" s="2" t="s">
        <v>1061</v>
      </c>
      <c r="O149" t="s">
        <v>258</v>
      </c>
      <c r="P149" t="s">
        <v>268</v>
      </c>
      <c r="Q149" t="s">
        <v>477</v>
      </c>
      <c r="R149" t="s">
        <v>258</v>
      </c>
      <c r="S149" t="s">
        <v>269</v>
      </c>
      <c r="T149" t="s">
        <v>768</v>
      </c>
      <c r="U149" t="s">
        <v>330</v>
      </c>
      <c r="V149" t="s">
        <v>1144</v>
      </c>
      <c r="W149" t="s">
        <v>961</v>
      </c>
      <c r="X149" t="s">
        <v>1078</v>
      </c>
      <c r="Y149" t="s">
        <v>170</v>
      </c>
      <c r="Z149" t="s">
        <v>525</v>
      </c>
      <c r="AA149" t="s">
        <v>950</v>
      </c>
      <c r="AB149" t="s">
        <v>1196</v>
      </c>
      <c r="AC149" t="s">
        <v>1213</v>
      </c>
      <c r="AD149" t="s">
        <v>140</v>
      </c>
      <c r="AE149" t="s">
        <v>1062</v>
      </c>
      <c r="AF149" t="s">
        <v>144</v>
      </c>
      <c r="AG149" t="s">
        <v>270</v>
      </c>
      <c r="AH149" t="s">
        <v>914</v>
      </c>
      <c r="AI149" t="s">
        <v>1063</v>
      </c>
      <c r="AJ149" t="s">
        <v>148</v>
      </c>
      <c r="AK149" t="s">
        <v>1104</v>
      </c>
      <c r="AL149" t="s">
        <v>172</v>
      </c>
      <c r="AM149" t="s">
        <v>141</v>
      </c>
      <c r="AN149" t="s">
        <v>271</v>
      </c>
      <c r="AO149" t="s">
        <v>247</v>
      </c>
      <c r="AP149" t="s">
        <v>1078</v>
      </c>
      <c r="AQ149" t="s">
        <v>766</v>
      </c>
      <c r="AR149" t="s">
        <v>1079</v>
      </c>
      <c r="AS149" t="s">
        <v>1109</v>
      </c>
      <c r="AT149" t="s">
        <v>1080</v>
      </c>
      <c r="AU149" t="s">
        <v>230</v>
      </c>
      <c r="AV149" t="s">
        <v>765</v>
      </c>
      <c r="AW149" t="s">
        <v>1095</v>
      </c>
      <c r="AX149" t="s">
        <v>917</v>
      </c>
      <c r="AY149" t="s">
        <v>231</v>
      </c>
      <c r="AZ149" t="s">
        <v>1082</v>
      </c>
      <c r="BA149" t="s">
        <v>1117</v>
      </c>
      <c r="BB149" t="s">
        <v>1037</v>
      </c>
      <c r="BC149" t="s">
        <v>1038</v>
      </c>
      <c r="BD149" t="s">
        <v>976</v>
      </c>
      <c r="BE149" t="s">
        <v>1003</v>
      </c>
      <c r="BF149" t="s">
        <v>183</v>
      </c>
      <c r="BG149" t="s">
        <v>980</v>
      </c>
      <c r="BH149" t="s">
        <v>143</v>
      </c>
      <c r="BI149" t="s">
        <v>756</v>
      </c>
      <c r="BJ149" t="s">
        <v>757</v>
      </c>
      <c r="BK149" t="s">
        <v>233</v>
      </c>
      <c r="BL149" t="s">
        <v>760</v>
      </c>
      <c r="BM149" t="s">
        <v>2339</v>
      </c>
      <c r="BN149" t="s">
        <v>234</v>
      </c>
      <c r="BO149" t="s">
        <v>341</v>
      </c>
      <c r="BP149" t="s">
        <v>290</v>
      </c>
      <c r="BQ149" t="s">
        <v>446</v>
      </c>
      <c r="BR149" t="s">
        <v>478</v>
      </c>
      <c r="BS149" t="s">
        <v>272</v>
      </c>
      <c r="BT149" t="s">
        <v>347</v>
      </c>
      <c r="BU149" t="s">
        <v>1215</v>
      </c>
      <c r="BV149" t="s">
        <v>767</v>
      </c>
      <c r="BW149" t="s">
        <v>928</v>
      </c>
      <c r="BX149" t="s">
        <v>1105</v>
      </c>
      <c r="BY149" t="s">
        <v>954</v>
      </c>
      <c r="BZ149" t="s">
        <v>1189</v>
      </c>
      <c r="CA149" t="s">
        <v>1011</v>
      </c>
      <c r="CB149" t="s">
        <v>1227</v>
      </c>
      <c r="CC149" t="s">
        <v>239</v>
      </c>
      <c r="CD149" t="s">
        <v>241</v>
      </c>
      <c r="CE149" t="s">
        <v>805</v>
      </c>
      <c r="CF149" t="s">
        <v>806</v>
      </c>
    </row>
    <row r="150" spans="1:195">
      <c r="A150" s="40">
        <v>140</v>
      </c>
      <c r="B150" s="40" t="s">
        <v>638</v>
      </c>
      <c r="C150" s="2" t="s">
        <v>639</v>
      </c>
      <c r="D150" s="2" t="s">
        <v>25</v>
      </c>
      <c r="E150" s="2" t="s">
        <v>27</v>
      </c>
      <c r="F150" s="2">
        <v>30</v>
      </c>
      <c r="G150" s="2">
        <v>80</v>
      </c>
      <c r="H150" s="2">
        <v>90</v>
      </c>
      <c r="I150" s="2">
        <v>55</v>
      </c>
      <c r="J150" s="2">
        <v>45</v>
      </c>
      <c r="K150" s="2">
        <v>55</v>
      </c>
      <c r="L150" s="2">
        <v>355</v>
      </c>
      <c r="M150" s="2" t="s">
        <v>1162</v>
      </c>
      <c r="N150" s="2" t="s">
        <v>1061</v>
      </c>
      <c r="O150" t="s">
        <v>249</v>
      </c>
      <c r="P150" t="s">
        <v>284</v>
      </c>
      <c r="Q150" t="s">
        <v>402</v>
      </c>
      <c r="R150" t="s">
        <v>330</v>
      </c>
      <c r="S150" t="s">
        <v>1144</v>
      </c>
      <c r="T150" t="s">
        <v>309</v>
      </c>
      <c r="U150" t="s">
        <v>754</v>
      </c>
      <c r="V150" t="s">
        <v>959</v>
      </c>
      <c r="W150" t="s">
        <v>403</v>
      </c>
      <c r="X150" t="s">
        <v>1202</v>
      </c>
      <c r="Y150" t="s">
        <v>170</v>
      </c>
      <c r="Z150" t="s">
        <v>1189</v>
      </c>
      <c r="AA150" t="s">
        <v>1062</v>
      </c>
      <c r="AB150" t="s">
        <v>144</v>
      </c>
      <c r="AC150" t="s">
        <v>270</v>
      </c>
      <c r="AD150" t="s">
        <v>1063</v>
      </c>
      <c r="AE150" t="s">
        <v>1030</v>
      </c>
      <c r="AF150" t="s">
        <v>148</v>
      </c>
      <c r="AG150" t="s">
        <v>1104</v>
      </c>
      <c r="AH150" t="s">
        <v>172</v>
      </c>
      <c r="AI150" t="s">
        <v>141</v>
      </c>
      <c r="AJ150" t="s">
        <v>271</v>
      </c>
      <c r="AK150" t="s">
        <v>1078</v>
      </c>
      <c r="AL150" t="s">
        <v>766</v>
      </c>
      <c r="AM150" t="s">
        <v>1079</v>
      </c>
      <c r="AN150" t="s">
        <v>1109</v>
      </c>
      <c r="AO150" t="s">
        <v>1080</v>
      </c>
      <c r="AP150" t="s">
        <v>256</v>
      </c>
      <c r="AQ150" t="s">
        <v>230</v>
      </c>
      <c r="AR150" t="s">
        <v>765</v>
      </c>
      <c r="AS150" t="s">
        <v>1095</v>
      </c>
      <c r="AT150" t="s">
        <v>917</v>
      </c>
      <c r="AU150" t="s">
        <v>231</v>
      </c>
      <c r="AV150" t="s">
        <v>1082</v>
      </c>
      <c r="AW150" t="s">
        <v>1117</v>
      </c>
      <c r="AX150" t="s">
        <v>1037</v>
      </c>
      <c r="AY150" t="s">
        <v>1038</v>
      </c>
      <c r="AZ150" t="s">
        <v>1003</v>
      </c>
      <c r="BA150" t="s">
        <v>143</v>
      </c>
      <c r="BB150" t="s">
        <v>756</v>
      </c>
      <c r="BC150" t="s">
        <v>757</v>
      </c>
      <c r="BD150" t="s">
        <v>233</v>
      </c>
      <c r="BE150" t="s">
        <v>760</v>
      </c>
      <c r="BF150" t="s">
        <v>2339</v>
      </c>
      <c r="BG150" t="s">
        <v>234</v>
      </c>
      <c r="BH150" t="s">
        <v>446</v>
      </c>
      <c r="BI150" t="s">
        <v>478</v>
      </c>
      <c r="BJ150" t="s">
        <v>324</v>
      </c>
      <c r="BK150" t="s">
        <v>387</v>
      </c>
      <c r="BL150" t="s">
        <v>770</v>
      </c>
      <c r="BM150" t="s">
        <v>771</v>
      </c>
      <c r="BN150" t="s">
        <v>769</v>
      </c>
      <c r="BO150" t="s">
        <v>171</v>
      </c>
      <c r="BP150" t="s">
        <v>173</v>
      </c>
      <c r="BQ150" t="s">
        <v>928</v>
      </c>
      <c r="BR150" t="s">
        <v>1144</v>
      </c>
      <c r="BS150" t="s">
        <v>239</v>
      </c>
      <c r="BT150" t="s">
        <v>241</v>
      </c>
      <c r="BU150" t="s">
        <v>805</v>
      </c>
      <c r="BV150" t="s">
        <v>806</v>
      </c>
    </row>
    <row r="151" spans="1:195">
      <c r="A151" s="40">
        <v>141</v>
      </c>
      <c r="B151" s="40" t="s">
        <v>640</v>
      </c>
      <c r="C151" s="2" t="s">
        <v>641</v>
      </c>
      <c r="D151" s="2" t="s">
        <v>25</v>
      </c>
      <c r="E151" s="2" t="s">
        <v>27</v>
      </c>
      <c r="F151" s="2">
        <v>60</v>
      </c>
      <c r="G151" s="2">
        <v>115</v>
      </c>
      <c r="H151" s="2">
        <v>105</v>
      </c>
      <c r="I151" s="2">
        <v>65</v>
      </c>
      <c r="J151" s="2">
        <v>70</v>
      </c>
      <c r="K151" s="2">
        <v>80</v>
      </c>
      <c r="L151" s="2">
        <v>495</v>
      </c>
      <c r="M151" s="2" t="s">
        <v>1173</v>
      </c>
      <c r="N151" s="2" t="s">
        <v>1061</v>
      </c>
      <c r="O151" t="s">
        <v>249</v>
      </c>
      <c r="P151" t="s">
        <v>330</v>
      </c>
      <c r="Q151" t="s">
        <v>402</v>
      </c>
      <c r="R151" t="s">
        <v>284</v>
      </c>
      <c r="S151" t="s">
        <v>971</v>
      </c>
      <c r="T151" t="s">
        <v>402</v>
      </c>
      <c r="U151" t="s">
        <v>330</v>
      </c>
      <c r="V151" t="s">
        <v>1144</v>
      </c>
      <c r="W151" t="s">
        <v>309</v>
      </c>
      <c r="X151" t="s">
        <v>754</v>
      </c>
      <c r="Y151" t="s">
        <v>959</v>
      </c>
      <c r="Z151" t="s">
        <v>403</v>
      </c>
      <c r="AA151" t="s">
        <v>253</v>
      </c>
      <c r="AB151" t="s">
        <v>1202</v>
      </c>
      <c r="AC151" t="s">
        <v>170</v>
      </c>
      <c r="AD151" t="s">
        <v>1189</v>
      </c>
      <c r="AE151" t="s">
        <v>993</v>
      </c>
      <c r="AF151" t="s">
        <v>1062</v>
      </c>
      <c r="AG151" t="s">
        <v>226</v>
      </c>
      <c r="AH151" t="s">
        <v>144</v>
      </c>
      <c r="AI151" t="s">
        <v>270</v>
      </c>
      <c r="AJ151" t="s">
        <v>914</v>
      </c>
      <c r="AK151" t="s">
        <v>1063</v>
      </c>
      <c r="AL151" t="s">
        <v>1030</v>
      </c>
      <c r="AM151" t="s">
        <v>148</v>
      </c>
      <c r="AN151" t="s">
        <v>1104</v>
      </c>
      <c r="AO151" t="s">
        <v>172</v>
      </c>
      <c r="AP151" t="s">
        <v>141</v>
      </c>
      <c r="AQ151" t="s">
        <v>271</v>
      </c>
      <c r="AR151" t="s">
        <v>247</v>
      </c>
      <c r="AS151" t="s">
        <v>1078</v>
      </c>
      <c r="AT151" t="s">
        <v>766</v>
      </c>
      <c r="AU151" t="s">
        <v>1079</v>
      </c>
      <c r="AV151" t="s">
        <v>1109</v>
      </c>
      <c r="AW151" t="s">
        <v>1080</v>
      </c>
      <c r="AX151" t="s">
        <v>256</v>
      </c>
      <c r="AY151" t="s">
        <v>1094</v>
      </c>
      <c r="AZ151" t="s">
        <v>230</v>
      </c>
      <c r="BA151" t="s">
        <v>765</v>
      </c>
      <c r="BB151" t="s">
        <v>1095</v>
      </c>
      <c r="BC151" t="s">
        <v>1096</v>
      </c>
      <c r="BD151" t="s">
        <v>917</v>
      </c>
      <c r="BE151" t="s">
        <v>231</v>
      </c>
      <c r="BF151" t="s">
        <v>1082</v>
      </c>
      <c r="BG151" t="s">
        <v>1117</v>
      </c>
      <c r="BH151" t="s">
        <v>1037</v>
      </c>
      <c r="BI151" t="s">
        <v>1038</v>
      </c>
      <c r="BJ151" t="s">
        <v>976</v>
      </c>
      <c r="BK151" t="s">
        <v>1003</v>
      </c>
      <c r="BL151" t="s">
        <v>183</v>
      </c>
      <c r="BM151" t="s">
        <v>145</v>
      </c>
      <c r="BN151" t="s">
        <v>143</v>
      </c>
      <c r="BO151" t="s">
        <v>1018</v>
      </c>
      <c r="BP151" t="s">
        <v>756</v>
      </c>
      <c r="BQ151" t="s">
        <v>757</v>
      </c>
      <c r="BR151" t="s">
        <v>233</v>
      </c>
      <c r="BS151" t="s">
        <v>760</v>
      </c>
      <c r="BT151" t="s">
        <v>1087</v>
      </c>
      <c r="BU151" t="s">
        <v>2339</v>
      </c>
      <c r="BV151" t="s">
        <v>234</v>
      </c>
      <c r="BW151" t="s">
        <v>446</v>
      </c>
      <c r="BX151" t="s">
        <v>478</v>
      </c>
      <c r="BY151" t="s">
        <v>324</v>
      </c>
      <c r="BZ151" t="s">
        <v>387</v>
      </c>
      <c r="CA151" t="s">
        <v>770</v>
      </c>
      <c r="CB151" t="s">
        <v>771</v>
      </c>
      <c r="CC151" t="s">
        <v>769</v>
      </c>
      <c r="CD151" t="s">
        <v>171</v>
      </c>
      <c r="CE151" t="s">
        <v>173</v>
      </c>
      <c r="CF151" t="s">
        <v>928</v>
      </c>
      <c r="CG151" t="s">
        <v>1144</v>
      </c>
      <c r="CH151" t="s">
        <v>239</v>
      </c>
      <c r="CI151" t="s">
        <v>241</v>
      </c>
      <c r="CJ151" t="s">
        <v>805</v>
      </c>
      <c r="CK151" t="s">
        <v>806</v>
      </c>
    </row>
    <row r="152" spans="1:195">
      <c r="A152" s="40">
        <v>142</v>
      </c>
      <c r="B152" s="40" t="s">
        <v>642</v>
      </c>
      <c r="C152" s="2" t="s">
        <v>643</v>
      </c>
      <c r="D152" s="2" t="s">
        <v>25</v>
      </c>
      <c r="E152" s="2" t="s">
        <v>20</v>
      </c>
      <c r="F152" s="2">
        <v>80</v>
      </c>
      <c r="G152" s="2">
        <v>105</v>
      </c>
      <c r="H152" s="2">
        <v>65</v>
      </c>
      <c r="I152" s="2">
        <v>60</v>
      </c>
      <c r="J152" s="2">
        <v>75</v>
      </c>
      <c r="K152" s="2">
        <v>130</v>
      </c>
      <c r="L152" s="2">
        <v>515</v>
      </c>
      <c r="M152" s="2" t="s">
        <v>1159</v>
      </c>
      <c r="N152" s="2" t="s">
        <v>1061</v>
      </c>
      <c r="O152" t="s">
        <v>264</v>
      </c>
      <c r="P152" t="s">
        <v>258</v>
      </c>
      <c r="Q152" t="s">
        <v>290</v>
      </c>
      <c r="R152" t="s">
        <v>1092</v>
      </c>
      <c r="S152" t="s">
        <v>1010</v>
      </c>
      <c r="T152" t="s">
        <v>983</v>
      </c>
      <c r="U152" t="s">
        <v>182</v>
      </c>
      <c r="V152" t="s">
        <v>246</v>
      </c>
      <c r="W152" t="s">
        <v>306</v>
      </c>
      <c r="X152" t="s">
        <v>170</v>
      </c>
      <c r="Y152" t="s">
        <v>777</v>
      </c>
      <c r="Z152" t="s">
        <v>223</v>
      </c>
      <c r="AA152" t="s">
        <v>1039</v>
      </c>
      <c r="AB152" t="s">
        <v>985</v>
      </c>
      <c r="AC152" t="s">
        <v>247</v>
      </c>
      <c r="AD152" t="s">
        <v>143</v>
      </c>
      <c r="AE152" t="s">
        <v>976</v>
      </c>
      <c r="AF152" t="s">
        <v>1062</v>
      </c>
      <c r="AG152" t="s">
        <v>138</v>
      </c>
      <c r="AH152" t="s">
        <v>227</v>
      </c>
      <c r="AI152" t="s">
        <v>1063</v>
      </c>
      <c r="AJ152" t="s">
        <v>1030</v>
      </c>
      <c r="AK152" t="s">
        <v>1093</v>
      </c>
      <c r="AL152" t="s">
        <v>246</v>
      </c>
      <c r="AM152" t="s">
        <v>148</v>
      </c>
      <c r="AN152" t="s">
        <v>172</v>
      </c>
      <c r="AO152" t="s">
        <v>752</v>
      </c>
      <c r="AP152" t="s">
        <v>1126</v>
      </c>
      <c r="AQ152" t="s">
        <v>247</v>
      </c>
      <c r="AR152" t="s">
        <v>1078</v>
      </c>
      <c r="AS152" t="s">
        <v>766</v>
      </c>
      <c r="AT152" t="s">
        <v>1119</v>
      </c>
      <c r="AU152" t="s">
        <v>1079</v>
      </c>
      <c r="AV152" t="s">
        <v>1109</v>
      </c>
      <c r="AW152" t="s">
        <v>136</v>
      </c>
      <c r="AX152" t="s">
        <v>1080</v>
      </c>
      <c r="AY152" t="s">
        <v>230</v>
      </c>
      <c r="AZ152" t="s">
        <v>254</v>
      </c>
      <c r="BA152" t="s">
        <v>765</v>
      </c>
      <c r="BB152" t="s">
        <v>257</v>
      </c>
      <c r="BC152" t="s">
        <v>1095</v>
      </c>
      <c r="BD152" t="s">
        <v>1096</v>
      </c>
      <c r="BE152" t="s">
        <v>951</v>
      </c>
      <c r="BF152" t="s">
        <v>917</v>
      </c>
      <c r="BG152" t="s">
        <v>231</v>
      </c>
      <c r="BH152" t="s">
        <v>1082</v>
      </c>
      <c r="BI152" t="s">
        <v>1117</v>
      </c>
      <c r="BJ152" t="s">
        <v>1037</v>
      </c>
      <c r="BK152" t="s">
        <v>1125</v>
      </c>
      <c r="BL152" t="s">
        <v>1039</v>
      </c>
      <c r="BM152" t="s">
        <v>1031</v>
      </c>
      <c r="BN152" t="s">
        <v>995</v>
      </c>
      <c r="BO152" t="s">
        <v>976</v>
      </c>
      <c r="BP152" t="s">
        <v>1003</v>
      </c>
      <c r="BQ152" t="s">
        <v>183</v>
      </c>
      <c r="BR152" t="s">
        <v>1021</v>
      </c>
      <c r="BS152" t="s">
        <v>143</v>
      </c>
      <c r="BT152" t="s">
        <v>756</v>
      </c>
      <c r="BU152" t="s">
        <v>757</v>
      </c>
      <c r="BV152" t="s">
        <v>233</v>
      </c>
      <c r="BW152" t="s">
        <v>760</v>
      </c>
      <c r="BX152" t="s">
        <v>2339</v>
      </c>
      <c r="BY152" t="s">
        <v>234</v>
      </c>
      <c r="BZ152" t="s">
        <v>291</v>
      </c>
      <c r="CA152" t="s">
        <v>751</v>
      </c>
      <c r="CB152" t="s">
        <v>771</v>
      </c>
      <c r="CC152" t="s">
        <v>1125</v>
      </c>
      <c r="CD152" t="s">
        <v>762</v>
      </c>
      <c r="CE152" t="s">
        <v>773</v>
      </c>
      <c r="CF152" t="s">
        <v>1119</v>
      </c>
      <c r="CG152" t="s">
        <v>1009</v>
      </c>
      <c r="CH152" t="s">
        <v>960</v>
      </c>
      <c r="CI152" t="s">
        <v>1187</v>
      </c>
      <c r="CJ152" t="s">
        <v>239</v>
      </c>
      <c r="CK152" t="s">
        <v>241</v>
      </c>
      <c r="CL152" t="s">
        <v>805</v>
      </c>
      <c r="CM152" t="s">
        <v>806</v>
      </c>
      <c r="EC152" t="s">
        <v>241</v>
      </c>
      <c r="ED152" t="s">
        <v>805</v>
      </c>
      <c r="EE152" t="s">
        <v>806</v>
      </c>
      <c r="EG152" t="s">
        <v>914</v>
      </c>
      <c r="EH152" t="s">
        <v>968</v>
      </c>
      <c r="EI152" t="s">
        <v>916</v>
      </c>
      <c r="EJ152" t="s">
        <v>137</v>
      </c>
      <c r="EK152" t="s">
        <v>758</v>
      </c>
      <c r="EL152" t="s">
        <v>975</v>
      </c>
      <c r="EM152" t="s">
        <v>978</v>
      </c>
      <c r="EN152" t="s">
        <v>979</v>
      </c>
      <c r="EO152" t="s">
        <v>420</v>
      </c>
      <c r="EP152" t="s">
        <v>795</v>
      </c>
      <c r="EQ152" t="s">
        <v>924</v>
      </c>
      <c r="ER152" t="s">
        <v>925</v>
      </c>
      <c r="ES152" t="s">
        <v>274</v>
      </c>
      <c r="ET152" t="s">
        <v>769</v>
      </c>
      <c r="EU152" t="s">
        <v>177</v>
      </c>
      <c r="EV152" t="s">
        <v>985</v>
      </c>
      <c r="EW152" t="s">
        <v>928</v>
      </c>
      <c r="EX152" t="s">
        <v>986</v>
      </c>
      <c r="EY152" t="s">
        <v>432</v>
      </c>
      <c r="EZ152" t="s">
        <v>929</v>
      </c>
      <c r="FA152" t="s">
        <v>988</v>
      </c>
      <c r="FB152" t="s">
        <v>755</v>
      </c>
      <c r="FC152" t="s">
        <v>994</v>
      </c>
      <c r="FD152" t="s">
        <v>764</v>
      </c>
      <c r="FE152" t="s">
        <v>794</v>
      </c>
      <c r="FF152" t="s">
        <v>938</v>
      </c>
      <c r="FG152" t="s">
        <v>768</v>
      </c>
      <c r="FH152" t="s">
        <v>1004</v>
      </c>
      <c r="FI152" t="s">
        <v>216</v>
      </c>
      <c r="FJ152" t="s">
        <v>316</v>
      </c>
      <c r="FK152" t="s">
        <v>753</v>
      </c>
      <c r="FL152" t="s">
        <v>778</v>
      </c>
      <c r="FM152" t="s">
        <v>281</v>
      </c>
      <c r="FN152" t="s">
        <v>1008</v>
      </c>
      <c r="FO152" t="s">
        <v>320</v>
      </c>
      <c r="FP152" t="s">
        <v>947</v>
      </c>
      <c r="FQ152" t="s">
        <v>354</v>
      </c>
      <c r="FR152" t="s">
        <v>750</v>
      </c>
      <c r="FS152" t="s">
        <v>1009</v>
      </c>
      <c r="FT152" t="s">
        <v>147</v>
      </c>
      <c r="FU152" t="s">
        <v>952</v>
      </c>
      <c r="FV152" t="s">
        <v>796</v>
      </c>
      <c r="FW152" t="s">
        <v>953</v>
      </c>
      <c r="FX152" t="s">
        <v>1015</v>
      </c>
      <c r="FY152" t="s">
        <v>1017</v>
      </c>
      <c r="FZ152" t="s">
        <v>1019</v>
      </c>
      <c r="GA152" t="s">
        <v>241</v>
      </c>
      <c r="GB152" t="s">
        <v>805</v>
      </c>
      <c r="GC152" t="s">
        <v>806</v>
      </c>
      <c r="GE152" t="s">
        <v>147</v>
      </c>
      <c r="GF152" t="s">
        <v>952</v>
      </c>
      <c r="GG152" t="s">
        <v>953</v>
      </c>
      <c r="GH152" t="s">
        <v>1048</v>
      </c>
      <c r="GI152" t="s">
        <v>1017</v>
      </c>
      <c r="GJ152" t="s">
        <v>1019</v>
      </c>
      <c r="GK152" t="s">
        <v>241</v>
      </c>
      <c r="GL152" t="s">
        <v>805</v>
      </c>
      <c r="GM152" t="s">
        <v>806</v>
      </c>
    </row>
    <row r="153" spans="1:195">
      <c r="A153" s="40">
        <v>142.1</v>
      </c>
      <c r="B153" s="40" t="s">
        <v>2295</v>
      </c>
      <c r="C153" s="2" t="s">
        <v>2296</v>
      </c>
      <c r="D153" s="2" t="s">
        <v>25</v>
      </c>
      <c r="E153" s="2" t="s">
        <v>20</v>
      </c>
      <c r="F153" s="2">
        <v>80</v>
      </c>
      <c r="G153" s="2">
        <v>135</v>
      </c>
      <c r="H153" s="2">
        <v>85</v>
      </c>
      <c r="I153" s="2">
        <v>70</v>
      </c>
      <c r="J153" s="2">
        <v>95</v>
      </c>
      <c r="K153" s="2">
        <v>150</v>
      </c>
      <c r="L153" s="2">
        <v>615</v>
      </c>
      <c r="M153" s="2" t="s">
        <v>2419</v>
      </c>
      <c r="N153" s="2" t="s">
        <v>1061</v>
      </c>
      <c r="O153" t="s">
        <v>1062</v>
      </c>
      <c r="P153" t="s">
        <v>1063</v>
      </c>
      <c r="Q153" t="s">
        <v>1119</v>
      </c>
      <c r="R153" t="s">
        <v>1125</v>
      </c>
      <c r="S153" t="s">
        <v>757</v>
      </c>
      <c r="T153" t="s">
        <v>2339</v>
      </c>
      <c r="U153" t="s">
        <v>234</v>
      </c>
      <c r="V153" t="s">
        <v>291</v>
      </c>
      <c r="W153" t="s">
        <v>751</v>
      </c>
      <c r="X153" t="s">
        <v>771</v>
      </c>
      <c r="Y153" t="s">
        <v>1125</v>
      </c>
      <c r="Z153" t="s">
        <v>762</v>
      </c>
      <c r="AA153" t="s">
        <v>773</v>
      </c>
      <c r="AB153" t="s">
        <v>1119</v>
      </c>
      <c r="AC153" t="s">
        <v>1009</v>
      </c>
      <c r="AD153" t="s">
        <v>960</v>
      </c>
      <c r="AE153" t="s">
        <v>1187</v>
      </c>
      <c r="AF153" t="s">
        <v>239</v>
      </c>
      <c r="AG153" t="s">
        <v>241</v>
      </c>
      <c r="AH153" t="s">
        <v>805</v>
      </c>
      <c r="AI153" t="s">
        <v>806</v>
      </c>
    </row>
    <row r="154" spans="1:195">
      <c r="A154" s="40">
        <v>143</v>
      </c>
      <c r="B154" s="40" t="s">
        <v>644</v>
      </c>
      <c r="C154" s="2" t="s">
        <v>645</v>
      </c>
      <c r="D154" s="2" t="s">
        <v>24</v>
      </c>
      <c r="E154" s="2"/>
      <c r="F154" s="2">
        <v>160</v>
      </c>
      <c r="G154" s="2">
        <v>110</v>
      </c>
      <c r="H154" s="2">
        <v>65</v>
      </c>
      <c r="I154" s="2">
        <v>65</v>
      </c>
      <c r="J154" s="2">
        <v>110</v>
      </c>
      <c r="K154" s="2">
        <v>30</v>
      </c>
      <c r="L154" s="2">
        <v>540</v>
      </c>
      <c r="M154" s="2" t="s">
        <v>1147</v>
      </c>
      <c r="N154" s="2" t="s">
        <v>1061</v>
      </c>
      <c r="O154" t="s">
        <v>219</v>
      </c>
      <c r="P154" t="s">
        <v>353</v>
      </c>
      <c r="Q154" t="s">
        <v>235</v>
      </c>
      <c r="R154" t="s">
        <v>511</v>
      </c>
      <c r="S154" t="s">
        <v>1099</v>
      </c>
      <c r="T154" t="s">
        <v>958</v>
      </c>
      <c r="U154" t="s">
        <v>1142</v>
      </c>
      <c r="V154" t="s">
        <v>231</v>
      </c>
      <c r="W154" t="s">
        <v>753</v>
      </c>
      <c r="X154" t="s">
        <v>757</v>
      </c>
      <c r="Y154" t="s">
        <v>364</v>
      </c>
      <c r="Z154" t="s">
        <v>911</v>
      </c>
      <c r="AA154" t="s">
        <v>768</v>
      </c>
      <c r="AB154" t="s">
        <v>777</v>
      </c>
      <c r="AC154" t="s">
        <v>184</v>
      </c>
      <c r="AD154" t="s">
        <v>976</v>
      </c>
      <c r="AE154" t="s">
        <v>1062</v>
      </c>
      <c r="AF154" t="s">
        <v>144</v>
      </c>
      <c r="AG154" t="s">
        <v>227</v>
      </c>
      <c r="AH154" t="s">
        <v>1063</v>
      </c>
      <c r="AI154" t="s">
        <v>148</v>
      </c>
      <c r="AJ154" t="s">
        <v>172</v>
      </c>
      <c r="AK154" t="s">
        <v>752</v>
      </c>
      <c r="AL154" t="s">
        <v>141</v>
      </c>
      <c r="AM154" t="s">
        <v>271</v>
      </c>
      <c r="AN154" t="s">
        <v>247</v>
      </c>
      <c r="AO154" t="s">
        <v>1078</v>
      </c>
      <c r="AP154" t="s">
        <v>766</v>
      </c>
      <c r="AQ154" t="s">
        <v>1079</v>
      </c>
      <c r="AR154" t="s">
        <v>229</v>
      </c>
      <c r="AS154" t="s">
        <v>1109</v>
      </c>
      <c r="AT154" t="s">
        <v>146</v>
      </c>
      <c r="AU154" t="s">
        <v>321</v>
      </c>
      <c r="AV154" t="s">
        <v>136</v>
      </c>
      <c r="AW154" t="s">
        <v>1080</v>
      </c>
      <c r="AX154" t="s">
        <v>9</v>
      </c>
      <c r="AY154" t="s">
        <v>174</v>
      </c>
      <c r="AZ154" t="s">
        <v>1094</v>
      </c>
      <c r="BA154" t="s">
        <v>230</v>
      </c>
      <c r="BB154" t="s">
        <v>254</v>
      </c>
      <c r="BC154" t="s">
        <v>765</v>
      </c>
      <c r="BD154" t="s">
        <v>257</v>
      </c>
      <c r="BE154" t="s">
        <v>1095</v>
      </c>
      <c r="BF154" t="s">
        <v>917</v>
      </c>
      <c r="BG154" t="s">
        <v>231</v>
      </c>
      <c r="BH154" t="s">
        <v>1082</v>
      </c>
      <c r="BI154" t="s">
        <v>1037</v>
      </c>
      <c r="BJ154" t="s">
        <v>1102</v>
      </c>
      <c r="BK154" t="s">
        <v>974</v>
      </c>
      <c r="BL154" t="s">
        <v>1031</v>
      </c>
      <c r="BM154" t="s">
        <v>1036</v>
      </c>
      <c r="BN154" t="s">
        <v>976</v>
      </c>
      <c r="BO154" t="s">
        <v>1021</v>
      </c>
      <c r="BP154" t="s">
        <v>143</v>
      </c>
      <c r="BQ154" t="s">
        <v>756</v>
      </c>
      <c r="BR154" t="s">
        <v>757</v>
      </c>
      <c r="BS154" t="s">
        <v>233</v>
      </c>
      <c r="BT154" t="s">
        <v>1047</v>
      </c>
      <c r="BU154" t="s">
        <v>760</v>
      </c>
      <c r="BV154" t="s">
        <v>2398</v>
      </c>
      <c r="BW154" t="s">
        <v>2339</v>
      </c>
      <c r="BX154" t="s">
        <v>234</v>
      </c>
      <c r="BY154" t="s">
        <v>291</v>
      </c>
      <c r="BZ154" t="s">
        <v>225</v>
      </c>
      <c r="CA154" t="s">
        <v>259</v>
      </c>
      <c r="CB154" t="s">
        <v>419</v>
      </c>
      <c r="CC154" t="s">
        <v>484</v>
      </c>
      <c r="CD154" t="s">
        <v>511</v>
      </c>
      <c r="CE154" t="s">
        <v>751</v>
      </c>
      <c r="CF154" t="s">
        <v>781</v>
      </c>
      <c r="CG154" t="s">
        <v>773</v>
      </c>
      <c r="CH154" t="s">
        <v>992</v>
      </c>
      <c r="CI154" t="s">
        <v>1019</v>
      </c>
      <c r="CJ154" t="s">
        <v>1150</v>
      </c>
      <c r="CK154" t="s">
        <v>2335</v>
      </c>
      <c r="CL154" t="s">
        <v>239</v>
      </c>
      <c r="CM154" t="s">
        <v>241</v>
      </c>
      <c r="CN154" t="s">
        <v>379</v>
      </c>
      <c r="CO154" t="s">
        <v>934</v>
      </c>
      <c r="CP154" t="s">
        <v>937</v>
      </c>
      <c r="CQ154" t="s">
        <v>324</v>
      </c>
      <c r="CR154" t="s">
        <v>946</v>
      </c>
      <c r="CS154" t="s">
        <v>948</v>
      </c>
      <c r="CT154" t="s">
        <v>974</v>
      </c>
      <c r="CU154" t="s">
        <v>992</v>
      </c>
      <c r="CV154" t="s">
        <v>945</v>
      </c>
      <c r="CW154" t="s">
        <v>986</v>
      </c>
      <c r="CX154" t="s">
        <v>805</v>
      </c>
      <c r="CY154" t="s">
        <v>806</v>
      </c>
    </row>
    <row r="155" spans="1:195">
      <c r="A155" s="40">
        <v>144</v>
      </c>
      <c r="B155" s="40" t="s">
        <v>646</v>
      </c>
      <c r="C155" s="2" t="s">
        <v>647</v>
      </c>
      <c r="D155" s="2" t="s">
        <v>23</v>
      </c>
      <c r="E155" s="2" t="s">
        <v>20</v>
      </c>
      <c r="F155" s="2">
        <v>90</v>
      </c>
      <c r="G155" s="2">
        <v>85</v>
      </c>
      <c r="H155" s="2">
        <v>100</v>
      </c>
      <c r="I155" s="2">
        <v>95</v>
      </c>
      <c r="J155" s="2">
        <v>125</v>
      </c>
      <c r="K155" s="2">
        <v>85</v>
      </c>
      <c r="L155" s="2">
        <v>580</v>
      </c>
      <c r="M155" s="2" t="s">
        <v>1208</v>
      </c>
      <c r="N155" s="2" t="s">
        <v>1061</v>
      </c>
      <c r="O155" t="s">
        <v>289</v>
      </c>
      <c r="P155" t="s">
        <v>1228</v>
      </c>
      <c r="Q155" t="s">
        <v>2363</v>
      </c>
      <c r="R155" t="s">
        <v>273</v>
      </c>
      <c r="S155" t="s">
        <v>984</v>
      </c>
      <c r="T155" t="s">
        <v>792</v>
      </c>
      <c r="U155" t="s">
        <v>170</v>
      </c>
      <c r="V155" t="s">
        <v>306</v>
      </c>
      <c r="W155" t="s">
        <v>141</v>
      </c>
      <c r="X155" t="s">
        <v>380</v>
      </c>
      <c r="Y155" t="s">
        <v>1119</v>
      </c>
      <c r="Z155" t="s">
        <v>1009</v>
      </c>
      <c r="AA155" t="s">
        <v>271</v>
      </c>
      <c r="AB155" t="s">
        <v>1210</v>
      </c>
      <c r="AC155" t="s">
        <v>1104</v>
      </c>
      <c r="AD155" t="s">
        <v>1122</v>
      </c>
      <c r="AE155" t="s">
        <v>1062</v>
      </c>
      <c r="AF155" t="s">
        <v>138</v>
      </c>
      <c r="AG155" t="s">
        <v>1063</v>
      </c>
      <c r="AH155" t="s">
        <v>246</v>
      </c>
      <c r="AI155" t="s">
        <v>148</v>
      </c>
      <c r="AJ155" t="s">
        <v>1104</v>
      </c>
      <c r="AK155" t="s">
        <v>172</v>
      </c>
      <c r="AL155" t="s">
        <v>752</v>
      </c>
      <c r="AM155" t="s">
        <v>141</v>
      </c>
      <c r="AN155" t="s">
        <v>271</v>
      </c>
      <c r="AO155" t="s">
        <v>247</v>
      </c>
      <c r="AP155" t="s">
        <v>1078</v>
      </c>
      <c r="AQ155" t="s">
        <v>766</v>
      </c>
      <c r="AR155" t="s">
        <v>1119</v>
      </c>
      <c r="AS155" t="s">
        <v>1079</v>
      </c>
      <c r="AT155" t="s">
        <v>1080</v>
      </c>
      <c r="AU155" t="s">
        <v>230</v>
      </c>
      <c r="AV155" t="s">
        <v>380</v>
      </c>
      <c r="AW155" t="s">
        <v>765</v>
      </c>
      <c r="AX155" t="s">
        <v>1096</v>
      </c>
      <c r="AY155" t="s">
        <v>917</v>
      </c>
      <c r="AZ155" t="s">
        <v>231</v>
      </c>
      <c r="BA155" t="s">
        <v>1037</v>
      </c>
      <c r="BB155" t="s">
        <v>1125</v>
      </c>
      <c r="BC155" t="s">
        <v>1039</v>
      </c>
      <c r="BD155" t="s">
        <v>976</v>
      </c>
      <c r="BE155" t="s">
        <v>1027</v>
      </c>
      <c r="BF155" t="s">
        <v>756</v>
      </c>
      <c r="BG155" t="s">
        <v>757</v>
      </c>
      <c r="BH155" t="s">
        <v>1014</v>
      </c>
      <c r="BI155" t="s">
        <v>233</v>
      </c>
      <c r="BJ155" t="s">
        <v>760</v>
      </c>
      <c r="BK155" t="s">
        <v>2339</v>
      </c>
      <c r="BL155" t="s">
        <v>234</v>
      </c>
      <c r="BM155" t="s">
        <v>239</v>
      </c>
      <c r="BN155" t="s">
        <v>241</v>
      </c>
      <c r="BO155" t="s">
        <v>805</v>
      </c>
      <c r="BP155" t="s">
        <v>806</v>
      </c>
    </row>
    <row r="156" spans="1:195">
      <c r="A156" s="40">
        <v>145</v>
      </c>
      <c r="B156" s="40" t="s">
        <v>648</v>
      </c>
      <c r="C156" s="2" t="s">
        <v>649</v>
      </c>
      <c r="D156" s="2" t="s">
        <v>17</v>
      </c>
      <c r="E156" s="2" t="s">
        <v>20</v>
      </c>
      <c r="F156" s="2">
        <v>90</v>
      </c>
      <c r="G156" s="2">
        <v>90</v>
      </c>
      <c r="H156" s="2">
        <v>85</v>
      </c>
      <c r="I156" s="2">
        <v>125</v>
      </c>
      <c r="J156" s="2">
        <v>90</v>
      </c>
      <c r="K156" s="2">
        <v>100</v>
      </c>
      <c r="L156" s="2">
        <v>580</v>
      </c>
      <c r="M156" s="2" t="s">
        <v>1199</v>
      </c>
      <c r="N156" s="2" t="s">
        <v>1061</v>
      </c>
      <c r="O156" t="s">
        <v>329</v>
      </c>
      <c r="P156" t="s">
        <v>346</v>
      </c>
      <c r="Q156" t="s">
        <v>322</v>
      </c>
      <c r="R156" t="s">
        <v>1220</v>
      </c>
      <c r="S156" t="s">
        <v>996</v>
      </c>
      <c r="T156" t="s">
        <v>170</v>
      </c>
      <c r="U156" t="s">
        <v>1140</v>
      </c>
      <c r="V156" t="s">
        <v>306</v>
      </c>
      <c r="W156" t="s">
        <v>1138</v>
      </c>
      <c r="X156" t="s">
        <v>1119</v>
      </c>
      <c r="Y156" t="s">
        <v>228</v>
      </c>
      <c r="Z156" t="s">
        <v>331</v>
      </c>
      <c r="AA156" t="s">
        <v>321</v>
      </c>
      <c r="AB156" t="s">
        <v>766</v>
      </c>
      <c r="AC156" t="s">
        <v>1207</v>
      </c>
      <c r="AD156" t="s">
        <v>1062</v>
      </c>
      <c r="AE156" t="s">
        <v>138</v>
      </c>
      <c r="AF156" t="s">
        <v>1063</v>
      </c>
      <c r="AG156" t="s">
        <v>246</v>
      </c>
      <c r="AH156" t="s">
        <v>148</v>
      </c>
      <c r="AI156" t="s">
        <v>172</v>
      </c>
      <c r="AJ156" t="s">
        <v>752</v>
      </c>
      <c r="AK156" t="s">
        <v>247</v>
      </c>
      <c r="AL156" t="s">
        <v>228</v>
      </c>
      <c r="AM156" t="s">
        <v>1078</v>
      </c>
      <c r="AN156" t="s">
        <v>766</v>
      </c>
      <c r="AO156" t="s">
        <v>1119</v>
      </c>
      <c r="AP156" t="s">
        <v>1079</v>
      </c>
      <c r="AQ156" t="s">
        <v>146</v>
      </c>
      <c r="AR156" t="s">
        <v>321</v>
      </c>
      <c r="AS156" t="s">
        <v>1080</v>
      </c>
      <c r="AT156" t="s">
        <v>230</v>
      </c>
      <c r="AU156" t="s">
        <v>765</v>
      </c>
      <c r="AV156" t="s">
        <v>1096</v>
      </c>
      <c r="AW156" t="s">
        <v>917</v>
      </c>
      <c r="AX156" t="s">
        <v>231</v>
      </c>
      <c r="AY156" t="s">
        <v>1037</v>
      </c>
      <c r="AZ156" t="s">
        <v>1125</v>
      </c>
      <c r="BA156" t="s">
        <v>963</v>
      </c>
      <c r="BB156" t="s">
        <v>1039</v>
      </c>
      <c r="BC156" t="s">
        <v>976</v>
      </c>
      <c r="BD156" t="s">
        <v>232</v>
      </c>
      <c r="BE156" t="s">
        <v>1045</v>
      </c>
      <c r="BF156" t="s">
        <v>322</v>
      </c>
      <c r="BG156" t="s">
        <v>756</v>
      </c>
      <c r="BH156" t="s">
        <v>757</v>
      </c>
      <c r="BI156" t="s">
        <v>1014</v>
      </c>
      <c r="BJ156" t="s">
        <v>233</v>
      </c>
      <c r="BK156" t="s">
        <v>1047</v>
      </c>
      <c r="BL156" t="s">
        <v>760</v>
      </c>
      <c r="BM156" t="s">
        <v>2339</v>
      </c>
      <c r="BN156" t="s">
        <v>234</v>
      </c>
      <c r="BO156" t="s">
        <v>239</v>
      </c>
      <c r="BP156" t="s">
        <v>241</v>
      </c>
      <c r="BQ156" t="s">
        <v>805</v>
      </c>
      <c r="BR156" t="s">
        <v>806</v>
      </c>
    </row>
    <row r="157" spans="1:195">
      <c r="A157" s="40">
        <v>146</v>
      </c>
      <c r="B157" s="40" t="s">
        <v>650</v>
      </c>
      <c r="C157" s="2" t="s">
        <v>651</v>
      </c>
      <c r="D157" s="2" t="s">
        <v>19</v>
      </c>
      <c r="E157" s="2" t="s">
        <v>20</v>
      </c>
      <c r="F157" s="2">
        <v>90</v>
      </c>
      <c r="G157" s="2">
        <v>100</v>
      </c>
      <c r="H157" s="2">
        <v>90</v>
      </c>
      <c r="I157" s="2">
        <v>125</v>
      </c>
      <c r="J157" s="2">
        <v>85</v>
      </c>
      <c r="K157" s="2">
        <v>90</v>
      </c>
      <c r="L157" s="2">
        <v>580</v>
      </c>
      <c r="M157" s="2" t="s">
        <v>1199</v>
      </c>
      <c r="N157" s="2" t="s">
        <v>1061</v>
      </c>
      <c r="O157" t="s">
        <v>264</v>
      </c>
      <c r="P157" t="s">
        <v>250</v>
      </c>
      <c r="Q157" t="s">
        <v>255</v>
      </c>
      <c r="R157" t="s">
        <v>306</v>
      </c>
      <c r="S157" t="s">
        <v>754</v>
      </c>
      <c r="T157" t="s">
        <v>170</v>
      </c>
      <c r="U157" t="s">
        <v>254</v>
      </c>
      <c r="V157" t="s">
        <v>759</v>
      </c>
      <c r="W157" t="s">
        <v>1101</v>
      </c>
      <c r="X157" t="s">
        <v>1119</v>
      </c>
      <c r="Y157" t="s">
        <v>924</v>
      </c>
      <c r="Z157" t="s">
        <v>229</v>
      </c>
      <c r="AA157" t="s">
        <v>316</v>
      </c>
      <c r="AB157" t="s">
        <v>752</v>
      </c>
      <c r="AC157" t="s">
        <v>1122</v>
      </c>
      <c r="AD157" t="s">
        <v>1062</v>
      </c>
      <c r="AE157" t="s">
        <v>138</v>
      </c>
      <c r="AF157" t="s">
        <v>1063</v>
      </c>
      <c r="AG157" t="s">
        <v>246</v>
      </c>
      <c r="AH157" t="s">
        <v>148</v>
      </c>
      <c r="AI157" t="s">
        <v>172</v>
      </c>
      <c r="AJ157" t="s">
        <v>752</v>
      </c>
      <c r="AK157" t="s">
        <v>247</v>
      </c>
      <c r="AL157" t="s">
        <v>1078</v>
      </c>
      <c r="AM157" t="s">
        <v>766</v>
      </c>
      <c r="AN157" t="s">
        <v>1119</v>
      </c>
      <c r="AO157" t="s">
        <v>759</v>
      </c>
      <c r="AP157" t="s">
        <v>1079</v>
      </c>
      <c r="AQ157" t="s">
        <v>229</v>
      </c>
      <c r="AR157" t="s">
        <v>1080</v>
      </c>
      <c r="AS157" t="s">
        <v>230</v>
      </c>
      <c r="AT157" t="s">
        <v>254</v>
      </c>
      <c r="AU157" t="s">
        <v>765</v>
      </c>
      <c r="AV157" t="s">
        <v>257</v>
      </c>
      <c r="AW157" t="s">
        <v>1096</v>
      </c>
      <c r="AX157" t="s">
        <v>917</v>
      </c>
      <c r="AY157" t="s">
        <v>1097</v>
      </c>
      <c r="AZ157" t="s">
        <v>231</v>
      </c>
      <c r="BA157" t="s">
        <v>1037</v>
      </c>
      <c r="BB157" t="s">
        <v>1098</v>
      </c>
      <c r="BC157" t="s">
        <v>1125</v>
      </c>
      <c r="BD157" t="s">
        <v>1039</v>
      </c>
      <c r="BE157" t="s">
        <v>1031</v>
      </c>
      <c r="BF157" t="s">
        <v>956</v>
      </c>
      <c r="BG157" t="s">
        <v>976</v>
      </c>
      <c r="BH157" t="s">
        <v>756</v>
      </c>
      <c r="BI157" t="s">
        <v>757</v>
      </c>
      <c r="BJ157" t="s">
        <v>1014</v>
      </c>
      <c r="BK157" t="s">
        <v>233</v>
      </c>
      <c r="BL157" t="s">
        <v>760</v>
      </c>
      <c r="BM157" t="s">
        <v>2339</v>
      </c>
      <c r="BN157" t="s">
        <v>234</v>
      </c>
      <c r="BO157" t="s">
        <v>239</v>
      </c>
      <c r="BP157" t="s">
        <v>241</v>
      </c>
      <c r="BQ157" t="s">
        <v>805</v>
      </c>
      <c r="BR157" t="s">
        <v>806</v>
      </c>
    </row>
    <row r="158" spans="1:195">
      <c r="A158" s="40">
        <v>147</v>
      </c>
      <c r="B158" s="40" t="s">
        <v>652</v>
      </c>
      <c r="C158" s="2" t="s">
        <v>653</v>
      </c>
      <c r="D158" s="2" t="s">
        <v>16</v>
      </c>
      <c r="E158" s="2"/>
      <c r="F158" s="2">
        <v>41</v>
      </c>
      <c r="G158" s="2">
        <v>64</v>
      </c>
      <c r="H158" s="2">
        <v>45</v>
      </c>
      <c r="I158" s="2">
        <v>50</v>
      </c>
      <c r="J158" s="2">
        <v>50</v>
      </c>
      <c r="K158" s="2">
        <v>50</v>
      </c>
      <c r="L158" s="2">
        <v>300</v>
      </c>
      <c r="M158" s="2" t="s">
        <v>1103</v>
      </c>
      <c r="N158" s="2" t="s">
        <v>1061</v>
      </c>
      <c r="O158" t="s">
        <v>338</v>
      </c>
      <c r="P158" t="s">
        <v>330</v>
      </c>
      <c r="Q158" t="s">
        <v>322</v>
      </c>
      <c r="R158" t="s">
        <v>796</v>
      </c>
      <c r="S158" t="s">
        <v>252</v>
      </c>
      <c r="T158" t="s">
        <v>341</v>
      </c>
      <c r="U158" t="s">
        <v>306</v>
      </c>
      <c r="V158" t="s">
        <v>1022</v>
      </c>
      <c r="W158" t="s">
        <v>179</v>
      </c>
      <c r="X158" t="s">
        <v>180</v>
      </c>
      <c r="Y158" t="s">
        <v>759</v>
      </c>
      <c r="Z158" t="s">
        <v>915</v>
      </c>
      <c r="AA158" t="s">
        <v>764</v>
      </c>
      <c r="AB158" t="s">
        <v>247</v>
      </c>
      <c r="AC158" t="s">
        <v>1062</v>
      </c>
      <c r="AD158" t="s">
        <v>144</v>
      </c>
      <c r="AE158" t="s">
        <v>270</v>
      </c>
      <c r="AF158" t="s">
        <v>1063</v>
      </c>
      <c r="AG158" t="s">
        <v>148</v>
      </c>
      <c r="AH158" t="s">
        <v>1104</v>
      </c>
      <c r="AI158" t="s">
        <v>172</v>
      </c>
      <c r="AJ158" t="s">
        <v>752</v>
      </c>
      <c r="AK158" t="s">
        <v>141</v>
      </c>
      <c r="AL158" t="s">
        <v>271</v>
      </c>
      <c r="AM158" t="s">
        <v>247</v>
      </c>
      <c r="AN158" t="s">
        <v>228</v>
      </c>
      <c r="AO158" t="s">
        <v>1078</v>
      </c>
      <c r="AP158" t="s">
        <v>766</v>
      </c>
      <c r="AQ158" t="s">
        <v>759</v>
      </c>
      <c r="AR158" t="s">
        <v>1079</v>
      </c>
      <c r="AS158" t="s">
        <v>146</v>
      </c>
      <c r="AT158" t="s">
        <v>321</v>
      </c>
      <c r="AU158" t="s">
        <v>1080</v>
      </c>
      <c r="AV158" t="s">
        <v>230</v>
      </c>
      <c r="AW158" t="s">
        <v>254</v>
      </c>
      <c r="AX158" t="s">
        <v>257</v>
      </c>
      <c r="AY158" t="s">
        <v>917</v>
      </c>
      <c r="AZ158" t="s">
        <v>231</v>
      </c>
      <c r="BA158" t="s">
        <v>1082</v>
      </c>
      <c r="BB158" t="s">
        <v>1037</v>
      </c>
      <c r="BC158" t="s">
        <v>1031</v>
      </c>
      <c r="BD158" t="s">
        <v>322</v>
      </c>
      <c r="BE158" t="s">
        <v>1022</v>
      </c>
      <c r="BF158" t="s">
        <v>756</v>
      </c>
      <c r="BG158" t="s">
        <v>757</v>
      </c>
      <c r="BH158" t="s">
        <v>233</v>
      </c>
      <c r="BI158" t="s">
        <v>2339</v>
      </c>
      <c r="BJ158" t="s">
        <v>234</v>
      </c>
      <c r="BK158" t="s">
        <v>290</v>
      </c>
      <c r="BL158" t="s">
        <v>273</v>
      </c>
      <c r="BM158" t="s">
        <v>272</v>
      </c>
      <c r="BN158" t="s">
        <v>762</v>
      </c>
      <c r="BO158" t="s">
        <v>761</v>
      </c>
      <c r="BP158" t="s">
        <v>791</v>
      </c>
      <c r="BQ158" t="s">
        <v>915</v>
      </c>
      <c r="BR158" t="s">
        <v>954</v>
      </c>
      <c r="BS158" t="s">
        <v>967</v>
      </c>
      <c r="BT158" t="s">
        <v>180</v>
      </c>
      <c r="BU158" t="s">
        <v>959</v>
      </c>
      <c r="BV158" t="s">
        <v>239</v>
      </c>
      <c r="BW158" t="s">
        <v>241</v>
      </c>
      <c r="BX158" t="s">
        <v>805</v>
      </c>
      <c r="BY158" t="s">
        <v>806</v>
      </c>
    </row>
    <row r="159" spans="1:195">
      <c r="A159" s="40">
        <v>148</v>
      </c>
      <c r="B159" s="40" t="s">
        <v>654</v>
      </c>
      <c r="C159" s="2" t="s">
        <v>655</v>
      </c>
      <c r="D159" s="2" t="s">
        <v>16</v>
      </c>
      <c r="E159" s="2"/>
      <c r="F159" s="2">
        <v>61</v>
      </c>
      <c r="G159" s="2">
        <v>84</v>
      </c>
      <c r="H159" s="2">
        <v>65</v>
      </c>
      <c r="I159" s="2">
        <v>70</v>
      </c>
      <c r="J159" s="2">
        <v>70</v>
      </c>
      <c r="K159" s="2">
        <v>70</v>
      </c>
      <c r="L159" s="2">
        <v>420</v>
      </c>
      <c r="M159" s="2" t="s">
        <v>1089</v>
      </c>
      <c r="N159" s="2" t="s">
        <v>1061</v>
      </c>
      <c r="O159" t="s">
        <v>338</v>
      </c>
      <c r="P159" t="s">
        <v>330</v>
      </c>
      <c r="Q159" t="s">
        <v>322</v>
      </c>
      <c r="R159" t="s">
        <v>796</v>
      </c>
      <c r="S159" t="s">
        <v>322</v>
      </c>
      <c r="T159" t="s">
        <v>796</v>
      </c>
      <c r="U159" t="s">
        <v>252</v>
      </c>
      <c r="V159" t="s">
        <v>341</v>
      </c>
      <c r="W159" t="s">
        <v>306</v>
      </c>
      <c r="X159" t="s">
        <v>1022</v>
      </c>
      <c r="Y159" t="s">
        <v>179</v>
      </c>
      <c r="Z159" t="s">
        <v>180</v>
      </c>
      <c r="AA159" t="s">
        <v>759</v>
      </c>
      <c r="AB159" t="s">
        <v>915</v>
      </c>
      <c r="AC159" t="s">
        <v>764</v>
      </c>
      <c r="AD159" t="s">
        <v>247</v>
      </c>
      <c r="AE159" t="s">
        <v>1062</v>
      </c>
      <c r="AF159" t="s">
        <v>144</v>
      </c>
      <c r="AG159" t="s">
        <v>270</v>
      </c>
      <c r="AH159" t="s">
        <v>1063</v>
      </c>
      <c r="AI159" t="s">
        <v>148</v>
      </c>
      <c r="AJ159" t="s">
        <v>1104</v>
      </c>
      <c r="AK159" t="s">
        <v>172</v>
      </c>
      <c r="AL159" t="s">
        <v>752</v>
      </c>
      <c r="AM159" t="s">
        <v>141</v>
      </c>
      <c r="AN159" t="s">
        <v>271</v>
      </c>
      <c r="AO159" t="s">
        <v>247</v>
      </c>
      <c r="AP159" t="s">
        <v>228</v>
      </c>
      <c r="AQ159" t="s">
        <v>1078</v>
      </c>
      <c r="AR159" t="s">
        <v>766</v>
      </c>
      <c r="AS159" t="s">
        <v>759</v>
      </c>
      <c r="AT159" t="s">
        <v>1079</v>
      </c>
      <c r="AU159" t="s">
        <v>146</v>
      </c>
      <c r="AV159" t="s">
        <v>321</v>
      </c>
      <c r="AW159" t="s">
        <v>1080</v>
      </c>
      <c r="AX159" t="s">
        <v>230</v>
      </c>
      <c r="AY159" t="s">
        <v>254</v>
      </c>
      <c r="AZ159" t="s">
        <v>257</v>
      </c>
      <c r="BA159" t="s">
        <v>917</v>
      </c>
      <c r="BB159" t="s">
        <v>231</v>
      </c>
      <c r="BC159" t="s">
        <v>1082</v>
      </c>
      <c r="BD159" t="s">
        <v>1037</v>
      </c>
      <c r="BE159" t="s">
        <v>1031</v>
      </c>
      <c r="BF159" t="s">
        <v>322</v>
      </c>
      <c r="BG159" t="s">
        <v>1022</v>
      </c>
      <c r="BH159" t="s">
        <v>756</v>
      </c>
      <c r="BI159" t="s">
        <v>757</v>
      </c>
      <c r="BJ159" t="s">
        <v>233</v>
      </c>
      <c r="BK159" t="s">
        <v>2339</v>
      </c>
      <c r="BL159" t="s">
        <v>234</v>
      </c>
      <c r="BM159" t="s">
        <v>290</v>
      </c>
      <c r="BN159" t="s">
        <v>273</v>
      </c>
      <c r="BO159" t="s">
        <v>272</v>
      </c>
      <c r="BP159" t="s">
        <v>762</v>
      </c>
      <c r="BQ159" t="s">
        <v>761</v>
      </c>
      <c r="BR159" t="s">
        <v>791</v>
      </c>
      <c r="BS159" t="s">
        <v>915</v>
      </c>
      <c r="BT159" t="s">
        <v>954</v>
      </c>
      <c r="BU159" t="s">
        <v>967</v>
      </c>
      <c r="BV159" t="s">
        <v>180</v>
      </c>
      <c r="BW159" t="s">
        <v>959</v>
      </c>
      <c r="BX159" t="s">
        <v>239</v>
      </c>
      <c r="BY159" t="s">
        <v>241</v>
      </c>
      <c r="BZ159" t="s">
        <v>805</v>
      </c>
      <c r="CA159" t="s">
        <v>806</v>
      </c>
    </row>
    <row r="160" spans="1:195">
      <c r="A160" s="40">
        <v>149</v>
      </c>
      <c r="B160" s="40" t="s">
        <v>656</v>
      </c>
      <c r="C160" s="2" t="s">
        <v>135</v>
      </c>
      <c r="D160" s="2" t="s">
        <v>16</v>
      </c>
      <c r="E160" s="2" t="s">
        <v>20</v>
      </c>
      <c r="F160" s="2">
        <v>91</v>
      </c>
      <c r="G160" s="2">
        <v>134</v>
      </c>
      <c r="H160" s="2">
        <v>95</v>
      </c>
      <c r="I160" s="2">
        <v>100</v>
      </c>
      <c r="J160" s="2">
        <v>100</v>
      </c>
      <c r="K160" s="2">
        <v>80</v>
      </c>
      <c r="L160" s="2">
        <v>600</v>
      </c>
      <c r="M160" s="2" t="s">
        <v>2414</v>
      </c>
      <c r="N160" s="2" t="s">
        <v>1061</v>
      </c>
      <c r="O160" t="s">
        <v>137</v>
      </c>
      <c r="P160" t="s">
        <v>147</v>
      </c>
      <c r="Q160" t="s">
        <v>338</v>
      </c>
      <c r="R160" t="s">
        <v>330</v>
      </c>
      <c r="S160" t="s">
        <v>322</v>
      </c>
      <c r="T160" t="s">
        <v>796</v>
      </c>
      <c r="U160" t="s">
        <v>1119</v>
      </c>
      <c r="V160" t="s">
        <v>322</v>
      </c>
      <c r="W160" t="s">
        <v>796</v>
      </c>
      <c r="X160" t="s">
        <v>252</v>
      </c>
      <c r="Y160" t="s">
        <v>341</v>
      </c>
      <c r="Z160" t="s">
        <v>306</v>
      </c>
      <c r="AA160" t="s">
        <v>1022</v>
      </c>
      <c r="AB160" t="s">
        <v>179</v>
      </c>
      <c r="AC160" t="s">
        <v>180</v>
      </c>
      <c r="AD160" t="s">
        <v>759</v>
      </c>
      <c r="AE160" t="s">
        <v>264</v>
      </c>
      <c r="AF160" t="s">
        <v>915</v>
      </c>
      <c r="AG160" t="s">
        <v>764</v>
      </c>
      <c r="AH160" t="s">
        <v>247</v>
      </c>
      <c r="AI160" t="s">
        <v>1122</v>
      </c>
      <c r="AJ160" t="s">
        <v>1062</v>
      </c>
      <c r="AK160" t="s">
        <v>226</v>
      </c>
      <c r="AL160" t="s">
        <v>138</v>
      </c>
      <c r="AM160" t="s">
        <v>144</v>
      </c>
      <c r="AN160" t="s">
        <v>227</v>
      </c>
      <c r="AO160" t="s">
        <v>270</v>
      </c>
      <c r="AP160" t="s">
        <v>914</v>
      </c>
      <c r="AQ160" t="s">
        <v>1063</v>
      </c>
      <c r="AR160" t="s">
        <v>1030</v>
      </c>
      <c r="AS160" t="s">
        <v>1093</v>
      </c>
      <c r="AT160" t="s">
        <v>246</v>
      </c>
      <c r="AU160" t="s">
        <v>148</v>
      </c>
      <c r="AV160" t="s">
        <v>1104</v>
      </c>
      <c r="AW160" t="s">
        <v>172</v>
      </c>
      <c r="AX160" t="s">
        <v>752</v>
      </c>
      <c r="AY160" t="s">
        <v>141</v>
      </c>
      <c r="AZ160" t="s">
        <v>271</v>
      </c>
      <c r="BA160" t="s">
        <v>247</v>
      </c>
      <c r="BB160" t="s">
        <v>228</v>
      </c>
      <c r="BC160" t="s">
        <v>1078</v>
      </c>
      <c r="BD160" t="s">
        <v>766</v>
      </c>
      <c r="BE160" t="s">
        <v>1119</v>
      </c>
      <c r="BF160" t="s">
        <v>759</v>
      </c>
      <c r="BG160" t="s">
        <v>1079</v>
      </c>
      <c r="BH160" t="s">
        <v>146</v>
      </c>
      <c r="BI160" t="s">
        <v>321</v>
      </c>
      <c r="BJ160" t="s">
        <v>136</v>
      </c>
      <c r="BK160" t="s">
        <v>1080</v>
      </c>
      <c r="BL160" t="s">
        <v>1094</v>
      </c>
      <c r="BM160" t="s">
        <v>230</v>
      </c>
      <c r="BN160" t="s">
        <v>254</v>
      </c>
      <c r="BO160" t="s">
        <v>765</v>
      </c>
      <c r="BP160" t="s">
        <v>257</v>
      </c>
      <c r="BQ160" t="s">
        <v>1095</v>
      </c>
      <c r="BR160" t="s">
        <v>1096</v>
      </c>
      <c r="BS160" t="s">
        <v>917</v>
      </c>
      <c r="BT160" t="s">
        <v>231</v>
      </c>
      <c r="BU160" t="s">
        <v>1082</v>
      </c>
      <c r="BV160" t="s">
        <v>1037</v>
      </c>
      <c r="BW160" t="s">
        <v>1125</v>
      </c>
      <c r="BX160" t="s">
        <v>1102</v>
      </c>
      <c r="BY160" t="s">
        <v>974</v>
      </c>
      <c r="BZ160" t="s">
        <v>1039</v>
      </c>
      <c r="CA160" t="s">
        <v>1031</v>
      </c>
      <c r="CB160" t="s">
        <v>976</v>
      </c>
      <c r="CC160" t="s">
        <v>183</v>
      </c>
      <c r="CD160" t="s">
        <v>322</v>
      </c>
      <c r="CE160" t="s">
        <v>1021</v>
      </c>
      <c r="CF160" t="s">
        <v>143</v>
      </c>
      <c r="CG160" t="s">
        <v>1022</v>
      </c>
      <c r="CH160" t="s">
        <v>756</v>
      </c>
      <c r="CI160" t="s">
        <v>757</v>
      </c>
      <c r="CJ160" t="s">
        <v>233</v>
      </c>
      <c r="CK160" t="s">
        <v>760</v>
      </c>
      <c r="CL160" t="s">
        <v>2398</v>
      </c>
      <c r="CM160" t="s">
        <v>2339</v>
      </c>
      <c r="CN160" t="s">
        <v>234</v>
      </c>
      <c r="CO160" t="s">
        <v>290</v>
      </c>
      <c r="CP160" t="s">
        <v>273</v>
      </c>
      <c r="CQ160" t="s">
        <v>272</v>
      </c>
      <c r="CR160" t="s">
        <v>762</v>
      </c>
      <c r="CS160" t="s">
        <v>761</v>
      </c>
      <c r="CT160" t="s">
        <v>791</v>
      </c>
      <c r="CU160" t="s">
        <v>915</v>
      </c>
      <c r="CV160" t="s">
        <v>954</v>
      </c>
      <c r="CW160" t="s">
        <v>967</v>
      </c>
      <c r="CX160" t="s">
        <v>180</v>
      </c>
      <c r="CY160" t="s">
        <v>959</v>
      </c>
      <c r="CZ160" t="s">
        <v>239</v>
      </c>
      <c r="DA160" t="s">
        <v>241</v>
      </c>
      <c r="DB160" t="s">
        <v>805</v>
      </c>
      <c r="DC160" t="s">
        <v>806</v>
      </c>
    </row>
    <row r="161" spans="1:131">
      <c r="A161" s="40">
        <v>150</v>
      </c>
      <c r="B161" s="40" t="s">
        <v>657</v>
      </c>
      <c r="C161" s="2" t="s">
        <v>658</v>
      </c>
      <c r="D161" s="2" t="s">
        <v>9</v>
      </c>
      <c r="E161" s="2"/>
      <c r="F161" s="2">
        <v>106</v>
      </c>
      <c r="G161" s="2">
        <v>110</v>
      </c>
      <c r="H161" s="2">
        <v>90</v>
      </c>
      <c r="I161" s="2">
        <v>154</v>
      </c>
      <c r="J161" s="2">
        <v>90</v>
      </c>
      <c r="K161" s="2">
        <v>130</v>
      </c>
      <c r="L161" s="2">
        <v>680</v>
      </c>
      <c r="M161" s="2" t="s">
        <v>1224</v>
      </c>
      <c r="N161" s="2" t="s">
        <v>1061</v>
      </c>
      <c r="O161" t="s">
        <v>340</v>
      </c>
      <c r="P161" t="s">
        <v>287</v>
      </c>
      <c r="Q161" t="s">
        <v>455</v>
      </c>
      <c r="R161" t="s">
        <v>354</v>
      </c>
      <c r="S161" t="s">
        <v>790</v>
      </c>
      <c r="T161" t="s">
        <v>785</v>
      </c>
      <c r="U161" t="s">
        <v>1184</v>
      </c>
      <c r="V161" t="s">
        <v>273</v>
      </c>
      <c r="W161" t="s">
        <v>1000</v>
      </c>
      <c r="X161" t="s">
        <v>235</v>
      </c>
      <c r="Y161" t="s">
        <v>998</v>
      </c>
      <c r="Z161" t="s">
        <v>1183</v>
      </c>
      <c r="AA161" t="s">
        <v>9</v>
      </c>
      <c r="AB161" t="s">
        <v>989</v>
      </c>
      <c r="AC161" t="s">
        <v>459</v>
      </c>
      <c r="AD161" t="s">
        <v>759</v>
      </c>
      <c r="AE161" t="s">
        <v>1234</v>
      </c>
      <c r="AF161" t="s">
        <v>1235</v>
      </c>
      <c r="AG161" t="s">
        <v>1062</v>
      </c>
      <c r="AH161" t="s">
        <v>227</v>
      </c>
      <c r="AI161" t="s">
        <v>1063</v>
      </c>
      <c r="AJ161" t="s">
        <v>1151</v>
      </c>
      <c r="AK161" t="s">
        <v>912</v>
      </c>
      <c r="AL161" t="s">
        <v>148</v>
      </c>
      <c r="AM161" t="s">
        <v>1104</v>
      </c>
      <c r="AN161" t="s">
        <v>1175</v>
      </c>
      <c r="AO161" t="s">
        <v>172</v>
      </c>
      <c r="AP161" t="s">
        <v>752</v>
      </c>
      <c r="AQ161" t="s">
        <v>1126</v>
      </c>
      <c r="AR161" t="s">
        <v>141</v>
      </c>
      <c r="AS161" t="s">
        <v>271</v>
      </c>
      <c r="AT161" t="s">
        <v>247</v>
      </c>
      <c r="AU161" t="s">
        <v>228</v>
      </c>
      <c r="AV161" t="s">
        <v>1078</v>
      </c>
      <c r="AW161" t="s">
        <v>766</v>
      </c>
      <c r="AX161" t="s">
        <v>759</v>
      </c>
      <c r="AY161" t="s">
        <v>1079</v>
      </c>
      <c r="AZ161" t="s">
        <v>229</v>
      </c>
      <c r="BA161" t="s">
        <v>146</v>
      </c>
      <c r="BB161" t="s">
        <v>321</v>
      </c>
      <c r="BC161" t="s">
        <v>136</v>
      </c>
      <c r="BD161" t="s">
        <v>1080</v>
      </c>
      <c r="BE161" t="s">
        <v>9</v>
      </c>
      <c r="BF161" t="s">
        <v>174</v>
      </c>
      <c r="BG161" t="s">
        <v>1094</v>
      </c>
      <c r="BH161" t="s">
        <v>230</v>
      </c>
      <c r="BI161" t="s">
        <v>380</v>
      </c>
      <c r="BJ161" t="s">
        <v>254</v>
      </c>
      <c r="BK161" t="s">
        <v>765</v>
      </c>
      <c r="BL161" t="s">
        <v>257</v>
      </c>
      <c r="BM161" t="s">
        <v>1095</v>
      </c>
      <c r="BN161" t="s">
        <v>1096</v>
      </c>
      <c r="BO161" t="s">
        <v>951</v>
      </c>
      <c r="BP161" t="s">
        <v>917</v>
      </c>
      <c r="BQ161" t="s">
        <v>231</v>
      </c>
      <c r="BR161" t="s">
        <v>1172</v>
      </c>
      <c r="BS161" t="s">
        <v>1037</v>
      </c>
      <c r="BT161" t="s">
        <v>1102</v>
      </c>
      <c r="BU161" t="s">
        <v>970</v>
      </c>
      <c r="BV161" t="s">
        <v>974</v>
      </c>
      <c r="BW161" t="s">
        <v>963</v>
      </c>
      <c r="BX161" t="s">
        <v>1031</v>
      </c>
      <c r="BY161" t="s">
        <v>956</v>
      </c>
      <c r="BZ161" t="s">
        <v>969</v>
      </c>
      <c r="CA161" t="s">
        <v>976</v>
      </c>
      <c r="CB161" t="s">
        <v>232</v>
      </c>
      <c r="CC161" t="s">
        <v>183</v>
      </c>
      <c r="CD161" t="s">
        <v>322</v>
      </c>
      <c r="CE161" t="s">
        <v>785</v>
      </c>
      <c r="CF161" t="s">
        <v>1021</v>
      </c>
      <c r="CG161" t="s">
        <v>143</v>
      </c>
      <c r="CH161" t="s">
        <v>997</v>
      </c>
      <c r="CI161" t="s">
        <v>293</v>
      </c>
      <c r="CJ161" t="s">
        <v>977</v>
      </c>
      <c r="CK161" t="s">
        <v>756</v>
      </c>
      <c r="CL161" t="s">
        <v>757</v>
      </c>
      <c r="CM161" t="s">
        <v>233</v>
      </c>
      <c r="CN161" t="s">
        <v>1012</v>
      </c>
      <c r="CO161" t="s">
        <v>760</v>
      </c>
      <c r="CP161" t="s">
        <v>2398</v>
      </c>
      <c r="CQ161" t="s">
        <v>2339</v>
      </c>
      <c r="CR161" t="s">
        <v>234</v>
      </c>
      <c r="CS161" t="s">
        <v>239</v>
      </c>
      <c r="CT161" t="s">
        <v>241</v>
      </c>
      <c r="CU161" t="s">
        <v>805</v>
      </c>
      <c r="CV161" t="s">
        <v>806</v>
      </c>
    </row>
    <row r="162" spans="1:131">
      <c r="A162" s="40">
        <v>150.1</v>
      </c>
      <c r="B162" s="40" t="s">
        <v>2297</v>
      </c>
      <c r="C162" s="2" t="s">
        <v>2298</v>
      </c>
      <c r="D162" s="2" t="s">
        <v>9</v>
      </c>
      <c r="E162" s="2" t="s">
        <v>18</v>
      </c>
      <c r="F162" s="2">
        <v>106</v>
      </c>
      <c r="G162" s="2">
        <v>190</v>
      </c>
      <c r="H162" s="2">
        <v>100</v>
      </c>
      <c r="I162" s="2">
        <v>154</v>
      </c>
      <c r="J162" s="2">
        <v>100</v>
      </c>
      <c r="K162" s="2">
        <v>130</v>
      </c>
      <c r="L162" s="2">
        <v>780</v>
      </c>
      <c r="M162" s="2" t="s">
        <v>1064</v>
      </c>
      <c r="N162" s="2" t="s">
        <v>1061</v>
      </c>
      <c r="O162" t="s">
        <v>1062</v>
      </c>
      <c r="P162" t="s">
        <v>1063</v>
      </c>
      <c r="Q162" t="s">
        <v>757</v>
      </c>
      <c r="R162" t="s">
        <v>2398</v>
      </c>
      <c r="S162" t="s">
        <v>2339</v>
      </c>
      <c r="T162" t="s">
        <v>234</v>
      </c>
      <c r="U162" t="s">
        <v>239</v>
      </c>
      <c r="V162" t="s">
        <v>241</v>
      </c>
      <c r="W162" t="s">
        <v>805</v>
      </c>
      <c r="X162" t="s">
        <v>806</v>
      </c>
    </row>
    <row r="163" spans="1:131">
      <c r="A163" s="40">
        <v>151</v>
      </c>
      <c r="B163" s="40" t="s">
        <v>659</v>
      </c>
      <c r="C163" s="2" t="s">
        <v>660</v>
      </c>
      <c r="D163" s="2" t="s">
        <v>9</v>
      </c>
      <c r="E163" s="2"/>
      <c r="F163" s="2">
        <v>100</v>
      </c>
      <c r="G163" s="2">
        <v>100</v>
      </c>
      <c r="H163" s="2">
        <v>100</v>
      </c>
      <c r="I163" s="2">
        <v>100</v>
      </c>
      <c r="J163" s="2">
        <v>100</v>
      </c>
      <c r="K163" s="2">
        <v>100</v>
      </c>
      <c r="L163" s="2">
        <v>600</v>
      </c>
      <c r="M163" s="2" t="s">
        <v>2420</v>
      </c>
      <c r="N163" s="2" t="s">
        <v>1061</v>
      </c>
      <c r="O163" t="s">
        <v>376</v>
      </c>
      <c r="P163" t="s">
        <v>621</v>
      </c>
      <c r="Q163" t="s">
        <v>1227</v>
      </c>
      <c r="R163" t="s">
        <v>486</v>
      </c>
      <c r="S163" t="s">
        <v>379</v>
      </c>
      <c r="T163" t="s">
        <v>9</v>
      </c>
      <c r="U163" t="s">
        <v>455</v>
      </c>
      <c r="V163" t="s">
        <v>170</v>
      </c>
      <c r="W163" t="s">
        <v>235</v>
      </c>
      <c r="X163" t="s">
        <v>989</v>
      </c>
      <c r="Y163" t="s">
        <v>788</v>
      </c>
      <c r="Z163" t="s">
        <v>991</v>
      </c>
      <c r="AA163" t="s">
        <v>1234</v>
      </c>
      <c r="AB163" t="s">
        <v>1062</v>
      </c>
      <c r="AC163" t="s">
        <v>226</v>
      </c>
      <c r="AD163" t="s">
        <v>138</v>
      </c>
      <c r="AE163" t="s">
        <v>144</v>
      </c>
      <c r="AF163" t="s">
        <v>227</v>
      </c>
      <c r="AG163" t="s">
        <v>270</v>
      </c>
      <c r="AH163" t="s">
        <v>914</v>
      </c>
      <c r="AI163" t="s">
        <v>1063</v>
      </c>
      <c r="AJ163" t="s">
        <v>1030</v>
      </c>
      <c r="AK163" t="s">
        <v>1093</v>
      </c>
      <c r="AL163" t="s">
        <v>1151</v>
      </c>
      <c r="AM163" t="s">
        <v>912</v>
      </c>
      <c r="AN163" t="s">
        <v>246</v>
      </c>
      <c r="AO163" t="s">
        <v>148</v>
      </c>
      <c r="AP163" t="s">
        <v>1104</v>
      </c>
      <c r="AQ163" t="s">
        <v>1175</v>
      </c>
      <c r="AR163" t="s">
        <v>1077</v>
      </c>
      <c r="AS163" t="s">
        <v>172</v>
      </c>
      <c r="AT163" t="s">
        <v>752</v>
      </c>
      <c r="AU163" t="s">
        <v>1126</v>
      </c>
      <c r="AV163" t="s">
        <v>141</v>
      </c>
      <c r="AW163" t="s">
        <v>271</v>
      </c>
      <c r="AX163" t="s">
        <v>247</v>
      </c>
      <c r="AY163" t="s">
        <v>228</v>
      </c>
      <c r="AZ163" t="s">
        <v>1078</v>
      </c>
      <c r="BA163" t="s">
        <v>766</v>
      </c>
      <c r="BB163" t="s">
        <v>759</v>
      </c>
      <c r="BC163" t="s">
        <v>1079</v>
      </c>
      <c r="BD163" t="s">
        <v>229</v>
      </c>
      <c r="BE163" t="s">
        <v>1109</v>
      </c>
      <c r="BF163" t="s">
        <v>146</v>
      </c>
      <c r="BG163" t="s">
        <v>321</v>
      </c>
      <c r="BH163" t="s">
        <v>136</v>
      </c>
      <c r="BI163" t="s">
        <v>1080</v>
      </c>
      <c r="BJ163" t="s">
        <v>256</v>
      </c>
      <c r="BK163" t="s">
        <v>9</v>
      </c>
      <c r="BL163" t="s">
        <v>174</v>
      </c>
      <c r="BM163" t="s">
        <v>1094</v>
      </c>
      <c r="BN163" t="s">
        <v>230</v>
      </c>
      <c r="BO163" t="s">
        <v>380</v>
      </c>
      <c r="BP163" t="s">
        <v>186</v>
      </c>
      <c r="BQ163" t="s">
        <v>254</v>
      </c>
      <c r="BR163" t="s">
        <v>1081</v>
      </c>
      <c r="BS163" t="s">
        <v>765</v>
      </c>
      <c r="BT163" t="s">
        <v>257</v>
      </c>
      <c r="BU163" t="s">
        <v>1095</v>
      </c>
      <c r="BV163" t="s">
        <v>1096</v>
      </c>
      <c r="BW163" t="s">
        <v>951</v>
      </c>
      <c r="BX163" t="s">
        <v>917</v>
      </c>
      <c r="BY163" t="s">
        <v>1097</v>
      </c>
      <c r="BZ163" t="s">
        <v>231</v>
      </c>
      <c r="CA163" t="s">
        <v>1082</v>
      </c>
      <c r="CB163" t="s">
        <v>1117</v>
      </c>
      <c r="CC163" t="s">
        <v>1172</v>
      </c>
      <c r="CD163" t="s">
        <v>1037</v>
      </c>
      <c r="CE163" t="s">
        <v>1083</v>
      </c>
      <c r="CF163" t="s">
        <v>1098</v>
      </c>
      <c r="CG163" t="s">
        <v>1102</v>
      </c>
      <c r="CH163" t="s">
        <v>970</v>
      </c>
      <c r="CI163" t="s">
        <v>776</v>
      </c>
      <c r="CJ163" t="s">
        <v>1038</v>
      </c>
      <c r="CK163" t="s">
        <v>974</v>
      </c>
      <c r="CL163" t="s">
        <v>963</v>
      </c>
      <c r="CM163" t="s">
        <v>1039</v>
      </c>
      <c r="CN163" t="s">
        <v>1031</v>
      </c>
      <c r="CO163" t="s">
        <v>1034</v>
      </c>
      <c r="CP163" t="s">
        <v>956</v>
      </c>
      <c r="CQ163" t="s">
        <v>1020</v>
      </c>
      <c r="CR163" t="s">
        <v>969</v>
      </c>
      <c r="CS163" t="s">
        <v>485</v>
      </c>
      <c r="CT163" t="s">
        <v>1005</v>
      </c>
      <c r="CU163" t="s">
        <v>995</v>
      </c>
      <c r="CV163" t="s">
        <v>1036</v>
      </c>
      <c r="CW163" t="s">
        <v>976</v>
      </c>
      <c r="CX163" t="s">
        <v>1003</v>
      </c>
      <c r="CY163" t="s">
        <v>232</v>
      </c>
      <c r="CZ163" t="s">
        <v>183</v>
      </c>
      <c r="DA163" t="s">
        <v>1045</v>
      </c>
      <c r="DB163" t="s">
        <v>322</v>
      </c>
      <c r="DC163" t="s">
        <v>980</v>
      </c>
      <c r="DD163" t="s">
        <v>145</v>
      </c>
      <c r="DE163" t="s">
        <v>1042</v>
      </c>
      <c r="DF163" t="s">
        <v>785</v>
      </c>
      <c r="DG163" t="s">
        <v>1021</v>
      </c>
      <c r="DH163" t="s">
        <v>1027</v>
      </c>
      <c r="DI163" t="s">
        <v>143</v>
      </c>
      <c r="DJ163" t="s">
        <v>1018</v>
      </c>
      <c r="DK163" t="s">
        <v>1022</v>
      </c>
      <c r="DL163" t="s">
        <v>997</v>
      </c>
      <c r="DM163" t="s">
        <v>293</v>
      </c>
      <c r="DN163" t="s">
        <v>977</v>
      </c>
      <c r="DO163" t="s">
        <v>756</v>
      </c>
      <c r="DP163" t="s">
        <v>1014</v>
      </c>
      <c r="DQ163" t="s">
        <v>233</v>
      </c>
      <c r="DR163" t="s">
        <v>973</v>
      </c>
      <c r="DS163" t="s">
        <v>1012</v>
      </c>
      <c r="DT163" t="s">
        <v>1047</v>
      </c>
      <c r="DU163" t="s">
        <v>760</v>
      </c>
      <c r="DV163" t="s">
        <v>1040</v>
      </c>
      <c r="DW163" t="s">
        <v>234</v>
      </c>
      <c r="DX163" t="s">
        <v>239</v>
      </c>
      <c r="DY163" t="s">
        <v>241</v>
      </c>
      <c r="DZ163" t="s">
        <v>805</v>
      </c>
      <c r="EA163" t="s">
        <v>806</v>
      </c>
    </row>
    <row r="164" spans="1:131">
      <c r="A164" s="40">
        <v>152</v>
      </c>
      <c r="B164" s="40" t="s">
        <v>1236</v>
      </c>
      <c r="C164" s="2" t="s">
        <v>1237</v>
      </c>
      <c r="D164" s="2" t="s">
        <v>21</v>
      </c>
      <c r="E164" s="2"/>
      <c r="F164" s="2">
        <v>45</v>
      </c>
      <c r="G164" s="2">
        <v>49</v>
      </c>
      <c r="H164" s="2">
        <v>65</v>
      </c>
      <c r="I164" s="2">
        <v>49</v>
      </c>
      <c r="J164" s="2">
        <v>65</v>
      </c>
      <c r="K164" s="2">
        <v>45</v>
      </c>
      <c r="L164" s="2">
        <v>318</v>
      </c>
      <c r="M164" s="2" t="s">
        <v>1188</v>
      </c>
      <c r="N164" s="2" t="s">
        <v>1061</v>
      </c>
      <c r="O164" t="s">
        <v>219</v>
      </c>
      <c r="P164" t="s">
        <v>220</v>
      </c>
      <c r="Q164" t="s">
        <v>224</v>
      </c>
      <c r="R164" t="s">
        <v>221</v>
      </c>
      <c r="S164" t="s">
        <v>750</v>
      </c>
      <c r="T164" t="s">
        <v>380</v>
      </c>
      <c r="U164" t="s">
        <v>930</v>
      </c>
      <c r="V164" t="s">
        <v>992</v>
      </c>
      <c r="W164" t="s">
        <v>1076</v>
      </c>
      <c r="X164" t="s">
        <v>228</v>
      </c>
      <c r="Y164" t="s">
        <v>364</v>
      </c>
      <c r="Z164" t="s">
        <v>759</v>
      </c>
      <c r="AA164" t="s">
        <v>1153</v>
      </c>
      <c r="AB164" t="s">
        <v>229</v>
      </c>
      <c r="AC164" t="s">
        <v>1062</v>
      </c>
      <c r="AD164" t="s">
        <v>226</v>
      </c>
      <c r="AE164" t="s">
        <v>1063</v>
      </c>
      <c r="AF164" t="s">
        <v>148</v>
      </c>
      <c r="AG164" t="s">
        <v>172</v>
      </c>
      <c r="AH164" t="s">
        <v>752</v>
      </c>
      <c r="AI164" t="s">
        <v>228</v>
      </c>
      <c r="AJ164" t="s">
        <v>1078</v>
      </c>
      <c r="AK164" t="s">
        <v>759</v>
      </c>
      <c r="AL164" t="s">
        <v>1079</v>
      </c>
      <c r="AM164" t="s">
        <v>229</v>
      </c>
      <c r="AN164" t="s">
        <v>1080</v>
      </c>
      <c r="AO164" t="s">
        <v>230</v>
      </c>
      <c r="AP164" t="s">
        <v>380</v>
      </c>
      <c r="AQ164" t="s">
        <v>917</v>
      </c>
      <c r="AR164" t="s">
        <v>231</v>
      </c>
      <c r="AS164" t="s">
        <v>1082</v>
      </c>
      <c r="AT164" t="s">
        <v>1037</v>
      </c>
      <c r="AU164" t="s">
        <v>1083</v>
      </c>
      <c r="AV164" t="s">
        <v>970</v>
      </c>
      <c r="AW164" t="s">
        <v>232</v>
      </c>
      <c r="AX164" t="s">
        <v>145</v>
      </c>
      <c r="AY164" t="s">
        <v>977</v>
      </c>
      <c r="AZ164" t="s">
        <v>756</v>
      </c>
      <c r="BA164" t="s">
        <v>233</v>
      </c>
      <c r="BB164" t="s">
        <v>234</v>
      </c>
      <c r="BC164" t="s">
        <v>149</v>
      </c>
      <c r="BD164" t="s">
        <v>364</v>
      </c>
      <c r="BE164" t="s">
        <v>259</v>
      </c>
      <c r="BF164" t="s">
        <v>142</v>
      </c>
      <c r="BG164" t="s">
        <v>770</v>
      </c>
      <c r="BH164" t="s">
        <v>170</v>
      </c>
      <c r="BI164" t="s">
        <v>1087</v>
      </c>
      <c r="BJ164" t="s">
        <v>1085</v>
      </c>
      <c r="BK164" t="s">
        <v>1106</v>
      </c>
      <c r="BL164" t="s">
        <v>1153</v>
      </c>
      <c r="BM164" t="s">
        <v>1084</v>
      </c>
      <c r="BN164" t="s">
        <v>1189</v>
      </c>
      <c r="BO164" t="s">
        <v>1086</v>
      </c>
      <c r="BP164" t="s">
        <v>1200</v>
      </c>
      <c r="BQ164" t="s">
        <v>239</v>
      </c>
      <c r="BR164" t="s">
        <v>241</v>
      </c>
      <c r="BS164" t="s">
        <v>805</v>
      </c>
      <c r="BT164" t="s">
        <v>806</v>
      </c>
    </row>
    <row r="165" spans="1:131">
      <c r="A165" s="40">
        <v>153</v>
      </c>
      <c r="B165" s="40" t="s">
        <v>1238</v>
      </c>
      <c r="C165" s="2" t="s">
        <v>1239</v>
      </c>
      <c r="D165" s="2" t="s">
        <v>21</v>
      </c>
      <c r="E165" s="2"/>
      <c r="F165" s="2">
        <v>60</v>
      </c>
      <c r="G165" s="2">
        <v>62</v>
      </c>
      <c r="H165" s="2">
        <v>80</v>
      </c>
      <c r="I165" s="2">
        <v>63</v>
      </c>
      <c r="J165" s="2">
        <v>80</v>
      </c>
      <c r="K165" s="2">
        <v>60</v>
      </c>
      <c r="L165" s="2">
        <v>405</v>
      </c>
      <c r="M165" s="2" t="s">
        <v>1075</v>
      </c>
      <c r="N165" s="2" t="s">
        <v>1061</v>
      </c>
      <c r="O165" t="s">
        <v>219</v>
      </c>
      <c r="P165" t="s">
        <v>220</v>
      </c>
      <c r="Q165" t="s">
        <v>224</v>
      </c>
      <c r="R165" t="s">
        <v>221</v>
      </c>
      <c r="S165" t="s">
        <v>224</v>
      </c>
      <c r="T165" t="s">
        <v>221</v>
      </c>
      <c r="U165" t="s">
        <v>750</v>
      </c>
      <c r="V165" t="s">
        <v>380</v>
      </c>
      <c r="W165" t="s">
        <v>930</v>
      </c>
      <c r="X165" t="s">
        <v>992</v>
      </c>
      <c r="Y165" t="s">
        <v>1076</v>
      </c>
      <c r="Z165" t="s">
        <v>228</v>
      </c>
      <c r="AA165" t="s">
        <v>364</v>
      </c>
      <c r="AB165" t="s">
        <v>759</v>
      </c>
      <c r="AC165" t="s">
        <v>1153</v>
      </c>
      <c r="AD165" t="s">
        <v>229</v>
      </c>
      <c r="AE165" t="s">
        <v>1062</v>
      </c>
      <c r="AF165" t="s">
        <v>226</v>
      </c>
      <c r="AG165" t="s">
        <v>227</v>
      </c>
      <c r="AH165" t="s">
        <v>1063</v>
      </c>
      <c r="AI165" t="s">
        <v>148</v>
      </c>
      <c r="AJ165" t="s">
        <v>172</v>
      </c>
      <c r="AK165" t="s">
        <v>752</v>
      </c>
      <c r="AL165" t="s">
        <v>228</v>
      </c>
      <c r="AM165" t="s">
        <v>1078</v>
      </c>
      <c r="AN165" t="s">
        <v>759</v>
      </c>
      <c r="AO165" t="s">
        <v>1079</v>
      </c>
      <c r="AP165" t="s">
        <v>229</v>
      </c>
      <c r="AQ165" t="s">
        <v>1080</v>
      </c>
      <c r="AR165" t="s">
        <v>230</v>
      </c>
      <c r="AS165" t="s">
        <v>380</v>
      </c>
      <c r="AT165" t="s">
        <v>917</v>
      </c>
      <c r="AU165" t="s">
        <v>231</v>
      </c>
      <c r="AV165" t="s">
        <v>1082</v>
      </c>
      <c r="AW165" t="s">
        <v>1037</v>
      </c>
      <c r="AX165" t="s">
        <v>1083</v>
      </c>
      <c r="AY165" t="s">
        <v>970</v>
      </c>
      <c r="AZ165" t="s">
        <v>232</v>
      </c>
      <c r="BA165" t="s">
        <v>145</v>
      </c>
      <c r="BB165" t="s">
        <v>977</v>
      </c>
      <c r="BC165" t="s">
        <v>756</v>
      </c>
      <c r="BD165" t="s">
        <v>233</v>
      </c>
      <c r="BE165" t="s">
        <v>760</v>
      </c>
      <c r="BF165" t="s">
        <v>234</v>
      </c>
      <c r="BG165" t="s">
        <v>149</v>
      </c>
      <c r="BH165" t="s">
        <v>364</v>
      </c>
      <c r="BI165" t="s">
        <v>259</v>
      </c>
      <c r="BJ165" t="s">
        <v>142</v>
      </c>
      <c r="BK165" t="s">
        <v>770</v>
      </c>
      <c r="BL165" t="s">
        <v>170</v>
      </c>
      <c r="BM165" t="s">
        <v>1087</v>
      </c>
      <c r="BN165" t="s">
        <v>1085</v>
      </c>
      <c r="BO165" t="s">
        <v>1106</v>
      </c>
      <c r="BP165" t="s">
        <v>1153</v>
      </c>
      <c r="BQ165" t="s">
        <v>1084</v>
      </c>
      <c r="BR165" t="s">
        <v>1189</v>
      </c>
      <c r="BS165" t="s">
        <v>1086</v>
      </c>
      <c r="BT165" t="s">
        <v>1200</v>
      </c>
      <c r="BU165" t="s">
        <v>239</v>
      </c>
      <c r="BV165" t="s">
        <v>241</v>
      </c>
      <c r="BW165" t="s">
        <v>805</v>
      </c>
      <c r="BX165" t="s">
        <v>806</v>
      </c>
    </row>
    <row r="166" spans="1:131">
      <c r="A166" s="40">
        <v>154</v>
      </c>
      <c r="B166" s="40" t="s">
        <v>1240</v>
      </c>
      <c r="C166" s="2" t="s">
        <v>1241</v>
      </c>
      <c r="D166" s="2" t="s">
        <v>21</v>
      </c>
      <c r="E166" s="2"/>
      <c r="F166" s="2">
        <v>80</v>
      </c>
      <c r="G166" s="2">
        <v>82</v>
      </c>
      <c r="H166" s="2">
        <v>100</v>
      </c>
      <c r="I166" s="2">
        <v>83</v>
      </c>
      <c r="J166" s="2">
        <v>100</v>
      </c>
      <c r="K166" s="2">
        <v>80</v>
      </c>
      <c r="L166" s="2">
        <v>525</v>
      </c>
      <c r="M166" s="2" t="s">
        <v>1177</v>
      </c>
      <c r="N166" s="2" t="s">
        <v>1061</v>
      </c>
      <c r="O166" t="s">
        <v>219</v>
      </c>
      <c r="P166" t="s">
        <v>220</v>
      </c>
      <c r="Q166" t="s">
        <v>224</v>
      </c>
      <c r="R166" t="s">
        <v>221</v>
      </c>
      <c r="S166" t="s">
        <v>224</v>
      </c>
      <c r="T166" t="s">
        <v>221</v>
      </c>
      <c r="U166" t="s">
        <v>750</v>
      </c>
      <c r="V166" t="s">
        <v>380</v>
      </c>
      <c r="W166" t="s">
        <v>930</v>
      </c>
      <c r="X166" t="s">
        <v>992</v>
      </c>
      <c r="Y166" t="s">
        <v>236</v>
      </c>
      <c r="Z166" t="s">
        <v>1076</v>
      </c>
      <c r="AA166" t="s">
        <v>228</v>
      </c>
      <c r="AB166" t="s">
        <v>364</v>
      </c>
      <c r="AC166" t="s">
        <v>759</v>
      </c>
      <c r="AD166" t="s">
        <v>1153</v>
      </c>
      <c r="AE166" t="s">
        <v>229</v>
      </c>
      <c r="AF166" t="s">
        <v>1062</v>
      </c>
      <c r="AG166" t="s">
        <v>226</v>
      </c>
      <c r="AH166" t="s">
        <v>227</v>
      </c>
      <c r="AI166" t="s">
        <v>1063</v>
      </c>
      <c r="AJ166" t="s">
        <v>148</v>
      </c>
      <c r="AK166" t="s">
        <v>172</v>
      </c>
      <c r="AL166" t="s">
        <v>752</v>
      </c>
      <c r="AM166" t="s">
        <v>247</v>
      </c>
      <c r="AN166" t="s">
        <v>228</v>
      </c>
      <c r="AO166" t="s">
        <v>1078</v>
      </c>
      <c r="AP166" t="s">
        <v>759</v>
      </c>
      <c r="AQ166" t="s">
        <v>1079</v>
      </c>
      <c r="AR166" t="s">
        <v>229</v>
      </c>
      <c r="AS166" t="s">
        <v>136</v>
      </c>
      <c r="AT166" t="s">
        <v>1080</v>
      </c>
      <c r="AU166" t="s">
        <v>230</v>
      </c>
      <c r="AV166" t="s">
        <v>380</v>
      </c>
      <c r="AW166" t="s">
        <v>917</v>
      </c>
      <c r="AX166" t="s">
        <v>231</v>
      </c>
      <c r="AY166" t="s">
        <v>1082</v>
      </c>
      <c r="AZ166" t="s">
        <v>1037</v>
      </c>
      <c r="BA166" t="s">
        <v>1083</v>
      </c>
      <c r="BB166" t="s">
        <v>970</v>
      </c>
      <c r="BC166" t="s">
        <v>976</v>
      </c>
      <c r="BD166" t="s">
        <v>232</v>
      </c>
      <c r="BE166" t="s">
        <v>145</v>
      </c>
      <c r="BF166" t="s">
        <v>1021</v>
      </c>
      <c r="BG166" t="s">
        <v>1022</v>
      </c>
      <c r="BH166" t="s">
        <v>977</v>
      </c>
      <c r="BI166" t="s">
        <v>756</v>
      </c>
      <c r="BJ166" t="s">
        <v>233</v>
      </c>
      <c r="BK166" t="s">
        <v>760</v>
      </c>
      <c r="BL166" t="s">
        <v>234</v>
      </c>
      <c r="BM166" t="s">
        <v>149</v>
      </c>
      <c r="BN166" t="s">
        <v>364</v>
      </c>
      <c r="BO166" t="s">
        <v>259</v>
      </c>
      <c r="BP166" t="s">
        <v>142</v>
      </c>
      <c r="BQ166" t="s">
        <v>770</v>
      </c>
      <c r="BR166" t="s">
        <v>170</v>
      </c>
      <c r="BS166" t="s">
        <v>1087</v>
      </c>
      <c r="BT166" t="s">
        <v>1085</v>
      </c>
      <c r="BU166" t="s">
        <v>1106</v>
      </c>
      <c r="BV166" t="s">
        <v>1153</v>
      </c>
      <c r="BW166" t="s">
        <v>1084</v>
      </c>
      <c r="BX166" t="s">
        <v>1189</v>
      </c>
      <c r="BY166" t="s">
        <v>1086</v>
      </c>
      <c r="BZ166" t="s">
        <v>1200</v>
      </c>
      <c r="CA166" t="s">
        <v>239</v>
      </c>
      <c r="CB166" t="s">
        <v>241</v>
      </c>
      <c r="CC166" t="s">
        <v>805</v>
      </c>
      <c r="CD166" t="s">
        <v>806</v>
      </c>
    </row>
    <row r="167" spans="1:131">
      <c r="A167" s="40">
        <v>155</v>
      </c>
      <c r="B167" s="40" t="s">
        <v>1242</v>
      </c>
      <c r="C167" s="2" t="s">
        <v>1243</v>
      </c>
      <c r="D167" s="2" t="s">
        <v>19</v>
      </c>
      <c r="E167" s="2"/>
      <c r="F167" s="2">
        <v>39</v>
      </c>
      <c r="G167" s="2">
        <v>52</v>
      </c>
      <c r="H167" s="2">
        <v>43</v>
      </c>
      <c r="I167" s="2">
        <v>60</v>
      </c>
      <c r="J167" s="2">
        <v>50</v>
      </c>
      <c r="K167" s="2">
        <v>65</v>
      </c>
      <c r="L167" s="2">
        <v>309</v>
      </c>
      <c r="M167" s="2" t="s">
        <v>1112</v>
      </c>
      <c r="N167" s="2" t="s">
        <v>1061</v>
      </c>
      <c r="O167" t="s">
        <v>219</v>
      </c>
      <c r="P167" t="s">
        <v>330</v>
      </c>
      <c r="Q167" t="s">
        <v>251</v>
      </c>
      <c r="R167" t="s">
        <v>250</v>
      </c>
      <c r="S167" t="s">
        <v>310</v>
      </c>
      <c r="T167" t="s">
        <v>1127</v>
      </c>
      <c r="U167" t="s">
        <v>353</v>
      </c>
      <c r="V167" t="s">
        <v>1097</v>
      </c>
      <c r="W167" t="s">
        <v>354</v>
      </c>
      <c r="X167" t="s">
        <v>1231</v>
      </c>
      <c r="Y167" t="s">
        <v>254</v>
      </c>
      <c r="Z167" t="s">
        <v>185</v>
      </c>
      <c r="AA167" t="s">
        <v>768</v>
      </c>
      <c r="AB167" t="s">
        <v>225</v>
      </c>
      <c r="AC167" t="s">
        <v>1244</v>
      </c>
      <c r="AD167" t="s">
        <v>1062</v>
      </c>
      <c r="AE167" t="s">
        <v>226</v>
      </c>
      <c r="AF167" t="s">
        <v>1063</v>
      </c>
      <c r="AG167" t="s">
        <v>148</v>
      </c>
      <c r="AH167" t="s">
        <v>172</v>
      </c>
      <c r="AI167" t="s">
        <v>752</v>
      </c>
      <c r="AJ167" t="s">
        <v>1078</v>
      </c>
      <c r="AK167" t="s">
        <v>1079</v>
      </c>
      <c r="AL167" t="s">
        <v>1080</v>
      </c>
      <c r="AM167" t="s">
        <v>256</v>
      </c>
      <c r="AN167" t="s">
        <v>230</v>
      </c>
      <c r="AO167" t="s">
        <v>254</v>
      </c>
      <c r="AP167" t="s">
        <v>257</v>
      </c>
      <c r="AQ167" t="s">
        <v>1096</v>
      </c>
      <c r="AR167" t="s">
        <v>917</v>
      </c>
      <c r="AS167" t="s">
        <v>1097</v>
      </c>
      <c r="AT167" t="s">
        <v>231</v>
      </c>
      <c r="AU167" t="s">
        <v>1082</v>
      </c>
      <c r="AV167" t="s">
        <v>1037</v>
      </c>
      <c r="AW167" t="s">
        <v>1098</v>
      </c>
      <c r="AX167" t="s">
        <v>1031</v>
      </c>
      <c r="AY167" t="s">
        <v>956</v>
      </c>
      <c r="AZ167" t="s">
        <v>756</v>
      </c>
      <c r="BA167" t="s">
        <v>233</v>
      </c>
      <c r="BB167" t="s">
        <v>1047</v>
      </c>
      <c r="BC167" t="s">
        <v>234</v>
      </c>
      <c r="BD167" t="s">
        <v>359</v>
      </c>
      <c r="BE167" t="s">
        <v>373</v>
      </c>
      <c r="BF167" t="s">
        <v>225</v>
      </c>
      <c r="BG167" t="s">
        <v>310</v>
      </c>
      <c r="BH167" t="s">
        <v>323</v>
      </c>
      <c r="BI167" t="s">
        <v>775</v>
      </c>
      <c r="BJ167" t="s">
        <v>771</v>
      </c>
      <c r="BK167" t="s">
        <v>1087</v>
      </c>
      <c r="BL167" t="s">
        <v>1143</v>
      </c>
      <c r="BM167" t="s">
        <v>1154</v>
      </c>
      <c r="BN167" t="s">
        <v>1155</v>
      </c>
      <c r="BO167" t="s">
        <v>913</v>
      </c>
      <c r="BP167" t="s">
        <v>972</v>
      </c>
      <c r="BQ167" t="s">
        <v>1026</v>
      </c>
      <c r="BR167" t="s">
        <v>239</v>
      </c>
      <c r="BS167" t="s">
        <v>241</v>
      </c>
      <c r="BT167" t="s">
        <v>805</v>
      </c>
      <c r="BU167" t="s">
        <v>806</v>
      </c>
    </row>
    <row r="168" spans="1:131">
      <c r="A168" s="40">
        <v>156</v>
      </c>
      <c r="B168" s="40" t="s">
        <v>1245</v>
      </c>
      <c r="C168" s="2" t="s">
        <v>1246</v>
      </c>
      <c r="D168" s="2" t="s">
        <v>19</v>
      </c>
      <c r="E168" s="2"/>
      <c r="F168" s="2">
        <v>58</v>
      </c>
      <c r="G168" s="2">
        <v>64</v>
      </c>
      <c r="H168" s="2">
        <v>58</v>
      </c>
      <c r="I168" s="2">
        <v>80</v>
      </c>
      <c r="J168" s="2">
        <v>65</v>
      </c>
      <c r="K168" s="2">
        <v>80</v>
      </c>
      <c r="L168" s="2">
        <v>405</v>
      </c>
      <c r="M168" s="2" t="s">
        <v>1145</v>
      </c>
      <c r="N168" s="2" t="s">
        <v>1061</v>
      </c>
      <c r="O168" t="s">
        <v>219</v>
      </c>
      <c r="P168" t="s">
        <v>330</v>
      </c>
      <c r="Q168" t="s">
        <v>251</v>
      </c>
      <c r="R168" t="s">
        <v>251</v>
      </c>
      <c r="S168" t="s">
        <v>250</v>
      </c>
      <c r="T168" t="s">
        <v>310</v>
      </c>
      <c r="U168" t="s">
        <v>1127</v>
      </c>
      <c r="V168" t="s">
        <v>353</v>
      </c>
      <c r="W168" t="s">
        <v>354</v>
      </c>
      <c r="X168" t="s">
        <v>1097</v>
      </c>
      <c r="Y168" t="s">
        <v>1231</v>
      </c>
      <c r="Z168" t="s">
        <v>254</v>
      </c>
      <c r="AA168" t="s">
        <v>185</v>
      </c>
      <c r="AB168" t="s">
        <v>768</v>
      </c>
      <c r="AC168" t="s">
        <v>225</v>
      </c>
      <c r="AD168" t="s">
        <v>1244</v>
      </c>
      <c r="AE168" t="s">
        <v>1062</v>
      </c>
      <c r="AF168" t="s">
        <v>226</v>
      </c>
      <c r="AG168" t="s">
        <v>227</v>
      </c>
      <c r="AH168" t="s">
        <v>1063</v>
      </c>
      <c r="AI168" t="s">
        <v>246</v>
      </c>
      <c r="AJ168" t="s">
        <v>148</v>
      </c>
      <c r="AK168" t="s">
        <v>172</v>
      </c>
      <c r="AL168" t="s">
        <v>752</v>
      </c>
      <c r="AM168" t="s">
        <v>1078</v>
      </c>
      <c r="AN168" t="s">
        <v>1079</v>
      </c>
      <c r="AO168" t="s">
        <v>1080</v>
      </c>
      <c r="AP168" t="s">
        <v>256</v>
      </c>
      <c r="AQ168" t="s">
        <v>1094</v>
      </c>
      <c r="AR168" t="s">
        <v>230</v>
      </c>
      <c r="AS168" t="s">
        <v>254</v>
      </c>
      <c r="AT168" t="s">
        <v>257</v>
      </c>
      <c r="AU168" t="s">
        <v>1096</v>
      </c>
      <c r="AV168" t="s">
        <v>917</v>
      </c>
      <c r="AW168" t="s">
        <v>1097</v>
      </c>
      <c r="AX168" t="s">
        <v>231</v>
      </c>
      <c r="AY168" t="s">
        <v>1082</v>
      </c>
      <c r="AZ168" t="s">
        <v>1037</v>
      </c>
      <c r="BA168" t="s">
        <v>1098</v>
      </c>
      <c r="BB168" t="s">
        <v>1031</v>
      </c>
      <c r="BC168" t="s">
        <v>956</v>
      </c>
      <c r="BD168" t="s">
        <v>756</v>
      </c>
      <c r="BE168" t="s">
        <v>233</v>
      </c>
      <c r="BF168" t="s">
        <v>1047</v>
      </c>
      <c r="BG168" t="s">
        <v>760</v>
      </c>
      <c r="BH168" t="s">
        <v>234</v>
      </c>
      <c r="BI168" t="s">
        <v>359</v>
      </c>
      <c r="BJ168" t="s">
        <v>373</v>
      </c>
      <c r="BK168" t="s">
        <v>225</v>
      </c>
      <c r="BL168" t="s">
        <v>310</v>
      </c>
      <c r="BM168" t="s">
        <v>323</v>
      </c>
      <c r="BN168" t="s">
        <v>775</v>
      </c>
      <c r="BO168" t="s">
        <v>771</v>
      </c>
      <c r="BP168" t="s">
        <v>1087</v>
      </c>
      <c r="BQ168" t="s">
        <v>1143</v>
      </c>
      <c r="BR168" t="s">
        <v>1154</v>
      </c>
      <c r="BS168" t="s">
        <v>1155</v>
      </c>
      <c r="BT168" t="s">
        <v>913</v>
      </c>
      <c r="BU168" t="s">
        <v>972</v>
      </c>
      <c r="BV168" t="s">
        <v>1026</v>
      </c>
      <c r="BW168" t="s">
        <v>239</v>
      </c>
      <c r="BX168" t="s">
        <v>241</v>
      </c>
      <c r="BY168" t="s">
        <v>805</v>
      </c>
      <c r="BZ168" t="s">
        <v>806</v>
      </c>
    </row>
    <row r="169" spans="1:131">
      <c r="A169" s="40">
        <v>157</v>
      </c>
      <c r="B169" s="40" t="s">
        <v>1247</v>
      </c>
      <c r="C169" s="2" t="s">
        <v>1248</v>
      </c>
      <c r="D169" s="2" t="s">
        <v>19</v>
      </c>
      <c r="E169" s="2"/>
      <c r="F169" s="2">
        <v>78</v>
      </c>
      <c r="G169" s="2">
        <v>84</v>
      </c>
      <c r="H169" s="2">
        <v>78</v>
      </c>
      <c r="I169" s="2">
        <v>109</v>
      </c>
      <c r="J169" s="2">
        <v>85</v>
      </c>
      <c r="K169" s="2">
        <v>100</v>
      </c>
      <c r="L169" s="2">
        <v>534</v>
      </c>
      <c r="M169" s="2" t="s">
        <v>1159</v>
      </c>
      <c r="N169" s="2" t="s">
        <v>1061</v>
      </c>
      <c r="O169" t="s">
        <v>219</v>
      </c>
      <c r="P169" t="s">
        <v>330</v>
      </c>
      <c r="Q169" t="s">
        <v>250</v>
      </c>
      <c r="R169" t="s">
        <v>251</v>
      </c>
      <c r="S169" t="s">
        <v>980</v>
      </c>
      <c r="T169" t="s">
        <v>251</v>
      </c>
      <c r="U169" t="s">
        <v>250</v>
      </c>
      <c r="V169" t="s">
        <v>310</v>
      </c>
      <c r="W169" t="s">
        <v>1127</v>
      </c>
      <c r="X169" t="s">
        <v>353</v>
      </c>
      <c r="Y169" t="s">
        <v>354</v>
      </c>
      <c r="Z169" t="s">
        <v>1097</v>
      </c>
      <c r="AA169" t="s">
        <v>1231</v>
      </c>
      <c r="AB169" t="s">
        <v>254</v>
      </c>
      <c r="AC169" t="s">
        <v>185</v>
      </c>
      <c r="AD169" t="s">
        <v>768</v>
      </c>
      <c r="AE169" t="s">
        <v>225</v>
      </c>
      <c r="AF169" t="s">
        <v>1244</v>
      </c>
      <c r="AG169" t="s">
        <v>1062</v>
      </c>
      <c r="AH169" t="s">
        <v>226</v>
      </c>
      <c r="AI169" t="s">
        <v>227</v>
      </c>
      <c r="AJ169" t="s">
        <v>1063</v>
      </c>
      <c r="AK169" t="s">
        <v>246</v>
      </c>
      <c r="AL169" t="s">
        <v>148</v>
      </c>
      <c r="AM169" t="s">
        <v>172</v>
      </c>
      <c r="AN169" t="s">
        <v>752</v>
      </c>
      <c r="AO169" t="s">
        <v>247</v>
      </c>
      <c r="AP169" t="s">
        <v>1078</v>
      </c>
      <c r="AQ169" t="s">
        <v>1079</v>
      </c>
      <c r="AR169" t="s">
        <v>229</v>
      </c>
      <c r="AS169" t="s">
        <v>136</v>
      </c>
      <c r="AT169" t="s">
        <v>1080</v>
      </c>
      <c r="AU169" t="s">
        <v>256</v>
      </c>
      <c r="AV169" t="s">
        <v>1094</v>
      </c>
      <c r="AW169" t="s">
        <v>230</v>
      </c>
      <c r="AX169" t="s">
        <v>254</v>
      </c>
      <c r="AY169" t="s">
        <v>257</v>
      </c>
      <c r="AZ169" t="s">
        <v>1095</v>
      </c>
      <c r="BA169" t="s">
        <v>1096</v>
      </c>
      <c r="BB169" t="s">
        <v>917</v>
      </c>
      <c r="BC169" t="s">
        <v>1097</v>
      </c>
      <c r="BD169" t="s">
        <v>231</v>
      </c>
      <c r="BE169" t="s">
        <v>1082</v>
      </c>
      <c r="BF169" t="s">
        <v>1037</v>
      </c>
      <c r="BG169" t="s">
        <v>1098</v>
      </c>
      <c r="BH169" t="s">
        <v>1102</v>
      </c>
      <c r="BI169" t="s">
        <v>974</v>
      </c>
      <c r="BJ169" t="s">
        <v>1031</v>
      </c>
      <c r="BK169" t="s">
        <v>956</v>
      </c>
      <c r="BL169" t="s">
        <v>1005</v>
      </c>
      <c r="BM169" t="s">
        <v>976</v>
      </c>
      <c r="BN169" t="s">
        <v>980</v>
      </c>
      <c r="BO169" t="s">
        <v>1021</v>
      </c>
      <c r="BP169" t="s">
        <v>143</v>
      </c>
      <c r="BQ169" t="s">
        <v>756</v>
      </c>
      <c r="BR169" t="s">
        <v>233</v>
      </c>
      <c r="BS169" t="s">
        <v>1047</v>
      </c>
      <c r="BT169" t="s">
        <v>760</v>
      </c>
      <c r="BU169" t="s">
        <v>234</v>
      </c>
      <c r="BV169" t="s">
        <v>359</v>
      </c>
      <c r="BW169" t="s">
        <v>373</v>
      </c>
      <c r="BX169" t="s">
        <v>225</v>
      </c>
      <c r="BY169" t="s">
        <v>310</v>
      </c>
      <c r="BZ169" t="s">
        <v>323</v>
      </c>
      <c r="CA169" t="s">
        <v>775</v>
      </c>
      <c r="CB169" t="s">
        <v>771</v>
      </c>
      <c r="CC169" t="s">
        <v>1087</v>
      </c>
      <c r="CD169" t="s">
        <v>1143</v>
      </c>
      <c r="CE169" t="s">
        <v>1154</v>
      </c>
      <c r="CF169" t="s">
        <v>1155</v>
      </c>
      <c r="CG169" t="s">
        <v>913</v>
      </c>
      <c r="CH169" t="s">
        <v>972</v>
      </c>
      <c r="CI169" t="s">
        <v>1026</v>
      </c>
      <c r="CJ169" t="s">
        <v>239</v>
      </c>
      <c r="CK169" t="s">
        <v>241</v>
      </c>
      <c r="CL169" t="s">
        <v>805</v>
      </c>
      <c r="CM169" t="s">
        <v>806</v>
      </c>
    </row>
    <row r="170" spans="1:131">
      <c r="A170" s="40">
        <v>158</v>
      </c>
      <c r="B170" s="40" t="s">
        <v>1249</v>
      </c>
      <c r="C170" s="2" t="s">
        <v>1250</v>
      </c>
      <c r="D170" s="2" t="s">
        <v>27</v>
      </c>
      <c r="E170" s="2"/>
      <c r="F170" s="2">
        <v>50</v>
      </c>
      <c r="G170" s="2">
        <v>65</v>
      </c>
      <c r="H170" s="2">
        <v>64</v>
      </c>
      <c r="I170" s="2">
        <v>44</v>
      </c>
      <c r="J170" s="2">
        <v>48</v>
      </c>
      <c r="K170" s="2">
        <v>43</v>
      </c>
      <c r="L170" s="2">
        <v>314</v>
      </c>
      <c r="M170" s="2" t="s">
        <v>1074</v>
      </c>
      <c r="N170" s="2" t="s">
        <v>1061</v>
      </c>
      <c r="O170" t="s">
        <v>249</v>
      </c>
      <c r="P170" t="s">
        <v>330</v>
      </c>
      <c r="Q170" t="s">
        <v>269</v>
      </c>
      <c r="R170" t="s">
        <v>304</v>
      </c>
      <c r="S170" t="s">
        <v>258</v>
      </c>
      <c r="T170" t="s">
        <v>1092</v>
      </c>
      <c r="U170" t="s">
        <v>983</v>
      </c>
      <c r="V170" t="s">
        <v>770</v>
      </c>
      <c r="W170" t="s">
        <v>777</v>
      </c>
      <c r="X170" t="s">
        <v>1142</v>
      </c>
      <c r="Y170" t="s">
        <v>253</v>
      </c>
      <c r="Z170" t="s">
        <v>324</v>
      </c>
      <c r="AA170" t="s">
        <v>373</v>
      </c>
      <c r="AB170" t="s">
        <v>179</v>
      </c>
      <c r="AC170" t="s">
        <v>947</v>
      </c>
      <c r="AD170" t="s">
        <v>140</v>
      </c>
      <c r="AE170" t="s">
        <v>1062</v>
      </c>
      <c r="AF170" t="s">
        <v>226</v>
      </c>
      <c r="AG170" t="s">
        <v>144</v>
      </c>
      <c r="AH170" t="s">
        <v>270</v>
      </c>
      <c r="AI170" t="s">
        <v>914</v>
      </c>
      <c r="AJ170" t="s">
        <v>1063</v>
      </c>
      <c r="AK170" t="s">
        <v>1030</v>
      </c>
      <c r="AL170" t="s">
        <v>1093</v>
      </c>
      <c r="AM170" t="s">
        <v>148</v>
      </c>
      <c r="AN170" t="s">
        <v>1104</v>
      </c>
      <c r="AO170" t="s">
        <v>172</v>
      </c>
      <c r="AP170" t="s">
        <v>141</v>
      </c>
      <c r="AQ170" t="s">
        <v>271</v>
      </c>
      <c r="AR170" t="s">
        <v>1078</v>
      </c>
      <c r="AS170" t="s">
        <v>766</v>
      </c>
      <c r="AT170" t="s">
        <v>1079</v>
      </c>
      <c r="AU170" t="s">
        <v>1080</v>
      </c>
      <c r="AV170" t="s">
        <v>256</v>
      </c>
      <c r="AW170" t="s">
        <v>1094</v>
      </c>
      <c r="AX170" t="s">
        <v>230</v>
      </c>
      <c r="AY170" t="s">
        <v>1095</v>
      </c>
      <c r="AZ170" t="s">
        <v>1096</v>
      </c>
      <c r="BA170" t="s">
        <v>917</v>
      </c>
      <c r="BB170" t="s">
        <v>231</v>
      </c>
      <c r="BC170" t="s">
        <v>1082</v>
      </c>
      <c r="BD170" t="s">
        <v>1037</v>
      </c>
      <c r="BE170" t="s">
        <v>1038</v>
      </c>
      <c r="BF170" t="s">
        <v>974</v>
      </c>
      <c r="BG170" t="s">
        <v>1005</v>
      </c>
      <c r="BH170" t="s">
        <v>145</v>
      </c>
      <c r="BI170" t="s">
        <v>143</v>
      </c>
      <c r="BJ170" t="s">
        <v>756</v>
      </c>
      <c r="BK170" t="s">
        <v>233</v>
      </c>
      <c r="BL170" t="s">
        <v>234</v>
      </c>
      <c r="BM170" t="s">
        <v>274</v>
      </c>
      <c r="BN170" t="s">
        <v>373</v>
      </c>
      <c r="BO170" t="s">
        <v>140</v>
      </c>
      <c r="BP170" t="s">
        <v>783</v>
      </c>
      <c r="BQ170" t="s">
        <v>777</v>
      </c>
      <c r="BR170" t="s">
        <v>170</v>
      </c>
      <c r="BS170" t="s">
        <v>933</v>
      </c>
      <c r="BT170" t="s">
        <v>918</v>
      </c>
      <c r="BU170" t="s">
        <v>911</v>
      </c>
      <c r="BV170" t="s">
        <v>955</v>
      </c>
      <c r="BW170" t="s">
        <v>915</v>
      </c>
      <c r="BX170" t="s">
        <v>954</v>
      </c>
      <c r="BY170" t="s">
        <v>959</v>
      </c>
      <c r="BZ170" t="s">
        <v>239</v>
      </c>
      <c r="CA170" t="s">
        <v>241</v>
      </c>
      <c r="CB170" t="s">
        <v>805</v>
      </c>
      <c r="CC170" t="s">
        <v>806</v>
      </c>
    </row>
    <row r="171" spans="1:131">
      <c r="A171" s="40">
        <v>159</v>
      </c>
      <c r="B171" s="40" t="s">
        <v>1251</v>
      </c>
      <c r="C171" s="2" t="s">
        <v>1252</v>
      </c>
      <c r="D171" s="2" t="s">
        <v>27</v>
      </c>
      <c r="E171" s="2"/>
      <c r="F171" s="2">
        <v>65</v>
      </c>
      <c r="G171" s="2">
        <v>80</v>
      </c>
      <c r="H171" s="2">
        <v>80</v>
      </c>
      <c r="I171" s="2">
        <v>59</v>
      </c>
      <c r="J171" s="2">
        <v>63</v>
      </c>
      <c r="K171" s="2">
        <v>58</v>
      </c>
      <c r="L171" s="2">
        <v>405</v>
      </c>
      <c r="M171" s="2" t="s">
        <v>1137</v>
      </c>
      <c r="N171" s="2" t="s">
        <v>1061</v>
      </c>
      <c r="O171" t="s">
        <v>249</v>
      </c>
      <c r="P171" t="s">
        <v>330</v>
      </c>
      <c r="Q171" t="s">
        <v>269</v>
      </c>
      <c r="R171" t="s">
        <v>269</v>
      </c>
      <c r="S171" t="s">
        <v>304</v>
      </c>
      <c r="T171" t="s">
        <v>258</v>
      </c>
      <c r="U171" t="s">
        <v>1092</v>
      </c>
      <c r="V171" t="s">
        <v>983</v>
      </c>
      <c r="W171" t="s">
        <v>770</v>
      </c>
      <c r="X171" t="s">
        <v>777</v>
      </c>
      <c r="Y171" t="s">
        <v>1142</v>
      </c>
      <c r="Z171" t="s">
        <v>253</v>
      </c>
      <c r="AA171" t="s">
        <v>324</v>
      </c>
      <c r="AB171" t="s">
        <v>373</v>
      </c>
      <c r="AC171" t="s">
        <v>179</v>
      </c>
      <c r="AD171" t="s">
        <v>947</v>
      </c>
      <c r="AE171" t="s">
        <v>140</v>
      </c>
      <c r="AF171" t="s">
        <v>1062</v>
      </c>
      <c r="AG171" t="s">
        <v>226</v>
      </c>
      <c r="AH171" t="s">
        <v>144</v>
      </c>
      <c r="AI171" t="s">
        <v>227</v>
      </c>
      <c r="AJ171" t="s">
        <v>270</v>
      </c>
      <c r="AK171" t="s">
        <v>914</v>
      </c>
      <c r="AL171" t="s">
        <v>1063</v>
      </c>
      <c r="AM171" t="s">
        <v>1030</v>
      </c>
      <c r="AN171" t="s">
        <v>1093</v>
      </c>
      <c r="AO171" t="s">
        <v>246</v>
      </c>
      <c r="AP171" t="s">
        <v>148</v>
      </c>
      <c r="AQ171" t="s">
        <v>1104</v>
      </c>
      <c r="AR171" t="s">
        <v>172</v>
      </c>
      <c r="AS171" t="s">
        <v>141</v>
      </c>
      <c r="AT171" t="s">
        <v>271</v>
      </c>
      <c r="AU171" t="s">
        <v>1078</v>
      </c>
      <c r="AV171" t="s">
        <v>766</v>
      </c>
      <c r="AW171" t="s">
        <v>1079</v>
      </c>
      <c r="AX171" t="s">
        <v>1080</v>
      </c>
      <c r="AY171" t="s">
        <v>256</v>
      </c>
      <c r="AZ171" t="s">
        <v>1094</v>
      </c>
      <c r="BA171" t="s">
        <v>230</v>
      </c>
      <c r="BB171" t="s">
        <v>1095</v>
      </c>
      <c r="BC171" t="s">
        <v>1096</v>
      </c>
      <c r="BD171" t="s">
        <v>917</v>
      </c>
      <c r="BE171" t="s">
        <v>231</v>
      </c>
      <c r="BF171" t="s">
        <v>1082</v>
      </c>
      <c r="BG171" t="s">
        <v>1037</v>
      </c>
      <c r="BH171" t="s">
        <v>1038</v>
      </c>
      <c r="BI171" t="s">
        <v>974</v>
      </c>
      <c r="BJ171" t="s">
        <v>1005</v>
      </c>
      <c r="BK171" t="s">
        <v>145</v>
      </c>
      <c r="BL171" t="s">
        <v>143</v>
      </c>
      <c r="BM171" t="s">
        <v>756</v>
      </c>
      <c r="BN171" t="s">
        <v>233</v>
      </c>
      <c r="BO171" t="s">
        <v>760</v>
      </c>
      <c r="BP171" t="s">
        <v>234</v>
      </c>
      <c r="BQ171" t="s">
        <v>274</v>
      </c>
      <c r="BR171" t="s">
        <v>373</v>
      </c>
      <c r="BS171" t="s">
        <v>140</v>
      </c>
      <c r="BT171" t="s">
        <v>783</v>
      </c>
      <c r="BU171" t="s">
        <v>777</v>
      </c>
      <c r="BV171" t="s">
        <v>170</v>
      </c>
      <c r="BW171" t="s">
        <v>933</v>
      </c>
      <c r="BX171" t="s">
        <v>918</v>
      </c>
      <c r="BY171" t="s">
        <v>911</v>
      </c>
      <c r="BZ171" t="s">
        <v>955</v>
      </c>
      <c r="CA171" t="s">
        <v>915</v>
      </c>
      <c r="CB171" t="s">
        <v>954</v>
      </c>
      <c r="CC171" t="s">
        <v>959</v>
      </c>
      <c r="CD171" t="s">
        <v>239</v>
      </c>
      <c r="CE171" t="s">
        <v>241</v>
      </c>
      <c r="CF171" t="s">
        <v>805</v>
      </c>
      <c r="CG171" t="s">
        <v>806</v>
      </c>
    </row>
    <row r="172" spans="1:131">
      <c r="A172" s="40">
        <v>160</v>
      </c>
      <c r="B172" s="40" t="s">
        <v>1253</v>
      </c>
      <c r="C172" s="2" t="s">
        <v>1254</v>
      </c>
      <c r="D172" s="2" t="s">
        <v>27</v>
      </c>
      <c r="E172" s="2"/>
      <c r="F172" s="2">
        <v>85</v>
      </c>
      <c r="G172" s="2">
        <v>105</v>
      </c>
      <c r="H172" s="2">
        <v>100</v>
      </c>
      <c r="I172" s="2">
        <v>79</v>
      </c>
      <c r="J172" s="2">
        <v>83</v>
      </c>
      <c r="K172" s="2">
        <v>78</v>
      </c>
      <c r="L172" s="2">
        <v>530</v>
      </c>
      <c r="M172" s="2" t="s">
        <v>1176</v>
      </c>
      <c r="N172" s="2" t="s">
        <v>1061</v>
      </c>
      <c r="O172" t="s">
        <v>249</v>
      </c>
      <c r="P172" t="s">
        <v>330</v>
      </c>
      <c r="Q172" t="s">
        <v>269</v>
      </c>
      <c r="R172" t="s">
        <v>304</v>
      </c>
      <c r="S172" t="s">
        <v>269</v>
      </c>
      <c r="T172" t="s">
        <v>304</v>
      </c>
      <c r="U172" t="s">
        <v>258</v>
      </c>
      <c r="V172" t="s">
        <v>1092</v>
      </c>
      <c r="W172" t="s">
        <v>983</v>
      </c>
      <c r="X172" t="s">
        <v>770</v>
      </c>
      <c r="Y172" t="s">
        <v>306</v>
      </c>
      <c r="Z172" t="s">
        <v>777</v>
      </c>
      <c r="AA172" t="s">
        <v>1142</v>
      </c>
      <c r="AB172" t="s">
        <v>253</v>
      </c>
      <c r="AC172" t="s">
        <v>324</v>
      </c>
      <c r="AD172" t="s">
        <v>373</v>
      </c>
      <c r="AE172" t="s">
        <v>179</v>
      </c>
      <c r="AF172" t="s">
        <v>947</v>
      </c>
      <c r="AG172" t="s">
        <v>140</v>
      </c>
      <c r="AH172" t="s">
        <v>1062</v>
      </c>
      <c r="AI172" t="s">
        <v>226</v>
      </c>
      <c r="AJ172" t="s">
        <v>144</v>
      </c>
      <c r="AK172" t="s">
        <v>227</v>
      </c>
      <c r="AL172" t="s">
        <v>270</v>
      </c>
      <c r="AM172" t="s">
        <v>914</v>
      </c>
      <c r="AN172" t="s">
        <v>1063</v>
      </c>
      <c r="AO172" t="s">
        <v>1030</v>
      </c>
      <c r="AP172" t="s">
        <v>1093</v>
      </c>
      <c r="AQ172" t="s">
        <v>246</v>
      </c>
      <c r="AR172" t="s">
        <v>148</v>
      </c>
      <c r="AS172" t="s">
        <v>1104</v>
      </c>
      <c r="AT172" t="s">
        <v>172</v>
      </c>
      <c r="AU172" t="s">
        <v>141</v>
      </c>
      <c r="AV172" t="s">
        <v>271</v>
      </c>
      <c r="AW172" t="s">
        <v>247</v>
      </c>
      <c r="AX172" t="s">
        <v>1078</v>
      </c>
      <c r="AY172" t="s">
        <v>766</v>
      </c>
      <c r="AZ172" t="s">
        <v>1079</v>
      </c>
      <c r="BA172" t="s">
        <v>136</v>
      </c>
      <c r="BB172" t="s">
        <v>1080</v>
      </c>
      <c r="BC172" t="s">
        <v>256</v>
      </c>
      <c r="BD172" t="s">
        <v>1094</v>
      </c>
      <c r="BE172" t="s">
        <v>230</v>
      </c>
      <c r="BF172" t="s">
        <v>1095</v>
      </c>
      <c r="BG172" t="s">
        <v>1096</v>
      </c>
      <c r="BH172" t="s">
        <v>917</v>
      </c>
      <c r="BI172" t="s">
        <v>231</v>
      </c>
      <c r="BJ172" t="s">
        <v>1082</v>
      </c>
      <c r="BK172" t="s">
        <v>1037</v>
      </c>
      <c r="BL172" t="s">
        <v>1102</v>
      </c>
      <c r="BM172" t="s">
        <v>1038</v>
      </c>
      <c r="BN172" t="s">
        <v>974</v>
      </c>
      <c r="BO172" t="s">
        <v>1005</v>
      </c>
      <c r="BP172" t="s">
        <v>976</v>
      </c>
      <c r="BQ172" t="s">
        <v>145</v>
      </c>
      <c r="BR172" t="s">
        <v>1021</v>
      </c>
      <c r="BS172" t="s">
        <v>143</v>
      </c>
      <c r="BT172" t="s">
        <v>1022</v>
      </c>
      <c r="BU172" t="s">
        <v>756</v>
      </c>
      <c r="BV172" t="s">
        <v>233</v>
      </c>
      <c r="BW172" t="s">
        <v>760</v>
      </c>
      <c r="BX172" t="s">
        <v>234</v>
      </c>
      <c r="BY172" t="s">
        <v>274</v>
      </c>
      <c r="BZ172" t="s">
        <v>373</v>
      </c>
      <c r="CA172" t="s">
        <v>140</v>
      </c>
      <c r="CB172" t="s">
        <v>783</v>
      </c>
      <c r="CC172" t="s">
        <v>777</v>
      </c>
      <c r="CD172" t="s">
        <v>170</v>
      </c>
      <c r="CE172" t="s">
        <v>933</v>
      </c>
      <c r="CF172" t="s">
        <v>918</v>
      </c>
      <c r="CG172" t="s">
        <v>911</v>
      </c>
      <c r="CH172" t="s">
        <v>955</v>
      </c>
      <c r="CI172" t="s">
        <v>915</v>
      </c>
      <c r="CJ172" t="s">
        <v>954</v>
      </c>
      <c r="CK172" t="s">
        <v>959</v>
      </c>
      <c r="CL172" t="s">
        <v>239</v>
      </c>
      <c r="CM172" t="s">
        <v>241</v>
      </c>
      <c r="CN172" t="s">
        <v>805</v>
      </c>
      <c r="CO172" t="s">
        <v>806</v>
      </c>
    </row>
    <row r="173" spans="1:131">
      <c r="A173" s="40">
        <v>161</v>
      </c>
      <c r="B173" s="40" t="s">
        <v>1256</v>
      </c>
      <c r="C173" s="2" t="s">
        <v>1257</v>
      </c>
      <c r="D173" s="2" t="s">
        <v>24</v>
      </c>
      <c r="E173" s="2"/>
      <c r="F173" s="2">
        <v>35</v>
      </c>
      <c r="G173" s="2">
        <v>46</v>
      </c>
      <c r="H173" s="2">
        <v>34</v>
      </c>
      <c r="I173" s="2">
        <v>35</v>
      </c>
      <c r="J173" s="2">
        <v>45</v>
      </c>
      <c r="K173" s="2">
        <v>20</v>
      </c>
      <c r="L173" s="2">
        <v>215</v>
      </c>
      <c r="M173" s="2" t="s">
        <v>1158</v>
      </c>
      <c r="N173" s="2" t="s">
        <v>1061</v>
      </c>
      <c r="O173" t="s">
        <v>249</v>
      </c>
      <c r="P173" t="s">
        <v>771</v>
      </c>
      <c r="Q173" t="s">
        <v>353</v>
      </c>
      <c r="R173" t="s">
        <v>310</v>
      </c>
      <c r="S173" t="s">
        <v>323</v>
      </c>
      <c r="T173" t="s">
        <v>925</v>
      </c>
      <c r="U173" t="s">
        <v>921</v>
      </c>
      <c r="V173" t="s">
        <v>341</v>
      </c>
      <c r="W173" t="s">
        <v>231</v>
      </c>
      <c r="X173" t="s">
        <v>1008</v>
      </c>
      <c r="Y173" t="s">
        <v>235</v>
      </c>
      <c r="Z173" t="s">
        <v>788</v>
      </c>
      <c r="AA173" t="s">
        <v>989</v>
      </c>
      <c r="AB173" t="s">
        <v>1160</v>
      </c>
      <c r="AC173" t="s">
        <v>1062</v>
      </c>
      <c r="AD173" t="s">
        <v>226</v>
      </c>
      <c r="AE173" t="s">
        <v>144</v>
      </c>
      <c r="AF173" t="s">
        <v>1063</v>
      </c>
      <c r="AG173" t="s">
        <v>1030</v>
      </c>
      <c r="AH173" t="s">
        <v>148</v>
      </c>
      <c r="AI173" t="s">
        <v>172</v>
      </c>
      <c r="AJ173" t="s">
        <v>752</v>
      </c>
      <c r="AK173" t="s">
        <v>141</v>
      </c>
      <c r="AL173" t="s">
        <v>1078</v>
      </c>
      <c r="AM173" t="s">
        <v>766</v>
      </c>
      <c r="AN173" t="s">
        <v>1079</v>
      </c>
      <c r="AO173" t="s">
        <v>229</v>
      </c>
      <c r="AP173" t="s">
        <v>146</v>
      </c>
      <c r="AQ173" t="s">
        <v>1080</v>
      </c>
      <c r="AR173" t="s">
        <v>256</v>
      </c>
      <c r="AS173" t="s">
        <v>174</v>
      </c>
      <c r="AT173" t="s">
        <v>1094</v>
      </c>
      <c r="AU173" t="s">
        <v>230</v>
      </c>
      <c r="AV173" t="s">
        <v>254</v>
      </c>
      <c r="AW173" t="s">
        <v>917</v>
      </c>
      <c r="AX173" t="s">
        <v>231</v>
      </c>
      <c r="AY173" t="s">
        <v>1082</v>
      </c>
      <c r="AZ173" t="s">
        <v>1117</v>
      </c>
      <c r="BA173" t="s">
        <v>1037</v>
      </c>
      <c r="BB173" t="s">
        <v>1083</v>
      </c>
      <c r="BC173" t="s">
        <v>974</v>
      </c>
      <c r="BD173" t="s">
        <v>963</v>
      </c>
      <c r="BE173" t="s">
        <v>1005</v>
      </c>
      <c r="BF173" t="s">
        <v>1036</v>
      </c>
      <c r="BG173" t="s">
        <v>977</v>
      </c>
      <c r="BH173" t="s">
        <v>756</v>
      </c>
      <c r="BI173" t="s">
        <v>757</v>
      </c>
      <c r="BJ173" t="s">
        <v>1014</v>
      </c>
      <c r="BK173" t="s">
        <v>233</v>
      </c>
      <c r="BL173" t="s">
        <v>2398</v>
      </c>
      <c r="BM173" t="s">
        <v>2339</v>
      </c>
      <c r="BN173" t="s">
        <v>234</v>
      </c>
      <c r="BO173" t="s">
        <v>225</v>
      </c>
      <c r="BP173" t="s">
        <v>302</v>
      </c>
      <c r="BQ173" t="s">
        <v>253</v>
      </c>
      <c r="BR173" t="s">
        <v>775</v>
      </c>
      <c r="BS173" t="s">
        <v>781</v>
      </c>
      <c r="BT173" t="s">
        <v>773</v>
      </c>
      <c r="BU173" t="s">
        <v>761</v>
      </c>
      <c r="BV173" t="s">
        <v>952</v>
      </c>
      <c r="BW173" t="s">
        <v>1166</v>
      </c>
      <c r="BX173" t="s">
        <v>913</v>
      </c>
      <c r="BY173" t="s">
        <v>992</v>
      </c>
      <c r="BZ173" t="s">
        <v>986</v>
      </c>
      <c r="CA173" t="s">
        <v>962</v>
      </c>
      <c r="CB173" t="s">
        <v>239</v>
      </c>
      <c r="CC173" t="s">
        <v>241</v>
      </c>
      <c r="CD173" t="s">
        <v>805</v>
      </c>
      <c r="CE173" t="s">
        <v>806</v>
      </c>
    </row>
    <row r="174" spans="1:131">
      <c r="A174" s="40">
        <v>162</v>
      </c>
      <c r="B174" s="40" t="s">
        <v>1258</v>
      </c>
      <c r="C174" s="2" t="s">
        <v>1259</v>
      </c>
      <c r="D174" s="2" t="s">
        <v>24</v>
      </c>
      <c r="E174" s="2"/>
      <c r="F174" s="2">
        <v>85</v>
      </c>
      <c r="G174" s="2">
        <v>76</v>
      </c>
      <c r="H174" s="2">
        <v>64</v>
      </c>
      <c r="I174" s="2">
        <v>45</v>
      </c>
      <c r="J174" s="2">
        <v>55</v>
      </c>
      <c r="K174" s="2">
        <v>90</v>
      </c>
      <c r="L174" s="2">
        <v>415</v>
      </c>
      <c r="M174" s="2" t="s">
        <v>1108</v>
      </c>
      <c r="N174" s="2" t="s">
        <v>1061</v>
      </c>
      <c r="O174" t="s">
        <v>249</v>
      </c>
      <c r="P174" t="s">
        <v>310</v>
      </c>
      <c r="Q174" t="s">
        <v>353</v>
      </c>
      <c r="R174" t="s">
        <v>771</v>
      </c>
      <c r="S174" t="s">
        <v>353</v>
      </c>
      <c r="T174" t="s">
        <v>310</v>
      </c>
      <c r="U174" t="s">
        <v>323</v>
      </c>
      <c r="V174" t="s">
        <v>925</v>
      </c>
      <c r="W174" t="s">
        <v>921</v>
      </c>
      <c r="X174" t="s">
        <v>341</v>
      </c>
      <c r="Y174" t="s">
        <v>231</v>
      </c>
      <c r="Z174" t="s">
        <v>1008</v>
      </c>
      <c r="AA174" t="s">
        <v>235</v>
      </c>
      <c r="AB174" t="s">
        <v>788</v>
      </c>
      <c r="AC174" t="s">
        <v>989</v>
      </c>
      <c r="AD174" t="s">
        <v>1160</v>
      </c>
      <c r="AE174" t="s">
        <v>1062</v>
      </c>
      <c r="AF174" t="s">
        <v>226</v>
      </c>
      <c r="AG174" t="s">
        <v>144</v>
      </c>
      <c r="AH174" t="s">
        <v>227</v>
      </c>
      <c r="AI174" t="s">
        <v>1063</v>
      </c>
      <c r="AJ174" t="s">
        <v>1030</v>
      </c>
      <c r="AK174" t="s">
        <v>148</v>
      </c>
      <c r="AL174" t="s">
        <v>172</v>
      </c>
      <c r="AM174" t="s">
        <v>752</v>
      </c>
      <c r="AN174" t="s">
        <v>141</v>
      </c>
      <c r="AO174" t="s">
        <v>271</v>
      </c>
      <c r="AP174" t="s">
        <v>247</v>
      </c>
      <c r="AQ174" t="s">
        <v>1078</v>
      </c>
      <c r="AR174" t="s">
        <v>766</v>
      </c>
      <c r="AS174" t="s">
        <v>1079</v>
      </c>
      <c r="AT174" t="s">
        <v>229</v>
      </c>
      <c r="AU174" t="s">
        <v>146</v>
      </c>
      <c r="AV174" t="s">
        <v>321</v>
      </c>
      <c r="AW174" t="s">
        <v>1080</v>
      </c>
      <c r="AX174" t="s">
        <v>256</v>
      </c>
      <c r="AY174" t="s">
        <v>174</v>
      </c>
      <c r="AZ174" t="s">
        <v>1094</v>
      </c>
      <c r="BA174" t="s">
        <v>230</v>
      </c>
      <c r="BB174" t="s">
        <v>254</v>
      </c>
      <c r="BC174" t="s">
        <v>917</v>
      </c>
      <c r="BD174" t="s">
        <v>231</v>
      </c>
      <c r="BE174" t="s">
        <v>1082</v>
      </c>
      <c r="BF174" t="s">
        <v>1117</v>
      </c>
      <c r="BG174" t="s">
        <v>1037</v>
      </c>
      <c r="BH174" t="s">
        <v>1083</v>
      </c>
      <c r="BI174" t="s">
        <v>1102</v>
      </c>
      <c r="BJ174" t="s">
        <v>974</v>
      </c>
      <c r="BK174" t="s">
        <v>963</v>
      </c>
      <c r="BL174" t="s">
        <v>1005</v>
      </c>
      <c r="BM174" t="s">
        <v>1036</v>
      </c>
      <c r="BN174" t="s">
        <v>976</v>
      </c>
      <c r="BO174" t="s">
        <v>977</v>
      </c>
      <c r="BP174" t="s">
        <v>756</v>
      </c>
      <c r="BQ174" t="s">
        <v>757</v>
      </c>
      <c r="BR174" t="s">
        <v>1014</v>
      </c>
      <c r="BS174" t="s">
        <v>233</v>
      </c>
      <c r="BT174" t="s">
        <v>760</v>
      </c>
      <c r="BU174" t="s">
        <v>2398</v>
      </c>
      <c r="BV174" t="s">
        <v>2339</v>
      </c>
      <c r="BW174" t="s">
        <v>234</v>
      </c>
      <c r="BX174" t="s">
        <v>225</v>
      </c>
      <c r="BY174" t="s">
        <v>302</v>
      </c>
      <c r="BZ174" t="s">
        <v>253</v>
      </c>
      <c r="CA174" t="s">
        <v>775</v>
      </c>
      <c r="CB174" t="s">
        <v>781</v>
      </c>
      <c r="CC174" t="s">
        <v>773</v>
      </c>
      <c r="CD174" t="s">
        <v>761</v>
      </c>
      <c r="CE174" t="s">
        <v>952</v>
      </c>
      <c r="CF174" t="s">
        <v>1166</v>
      </c>
      <c r="CG174" t="s">
        <v>913</v>
      </c>
      <c r="CH174" t="s">
        <v>992</v>
      </c>
      <c r="CI174" t="s">
        <v>986</v>
      </c>
      <c r="CJ174" t="s">
        <v>962</v>
      </c>
      <c r="CK174" t="s">
        <v>239</v>
      </c>
      <c r="CL174" t="s">
        <v>241</v>
      </c>
      <c r="CM174" t="s">
        <v>805</v>
      </c>
      <c r="CN174" t="s">
        <v>806</v>
      </c>
    </row>
    <row r="175" spans="1:131">
      <c r="A175" s="40">
        <v>163</v>
      </c>
      <c r="B175" s="40" t="s">
        <v>1260</v>
      </c>
      <c r="C175" s="2" t="s">
        <v>1261</v>
      </c>
      <c r="D175" s="2" t="s">
        <v>24</v>
      </c>
      <c r="E175" s="2" t="s">
        <v>20</v>
      </c>
      <c r="F175" s="2">
        <v>60</v>
      </c>
      <c r="G175" s="2">
        <v>30</v>
      </c>
      <c r="H175" s="2">
        <v>30</v>
      </c>
      <c r="I175" s="2">
        <v>36</v>
      </c>
      <c r="J175" s="2">
        <v>56</v>
      </c>
      <c r="K175" s="2">
        <v>50</v>
      </c>
      <c r="L175" s="2">
        <v>262</v>
      </c>
      <c r="M175" s="2" t="s">
        <v>1165</v>
      </c>
      <c r="N175" s="2" t="s">
        <v>1061</v>
      </c>
      <c r="O175" t="s">
        <v>219</v>
      </c>
      <c r="P175" t="s">
        <v>220</v>
      </c>
      <c r="Q175" t="s">
        <v>771</v>
      </c>
      <c r="R175" t="s">
        <v>388</v>
      </c>
      <c r="S175" t="s">
        <v>329</v>
      </c>
      <c r="T175" t="s">
        <v>953</v>
      </c>
      <c r="U175" t="s">
        <v>380</v>
      </c>
      <c r="V175" t="s">
        <v>287</v>
      </c>
      <c r="W175" t="s">
        <v>1083</v>
      </c>
      <c r="X175" t="s">
        <v>223</v>
      </c>
      <c r="Y175" t="s">
        <v>1101</v>
      </c>
      <c r="Z175" t="s">
        <v>1019</v>
      </c>
      <c r="AA175" t="s">
        <v>1043</v>
      </c>
      <c r="AB175" t="s">
        <v>1154</v>
      </c>
      <c r="AC175" t="s">
        <v>1262</v>
      </c>
      <c r="AD175" t="s">
        <v>1119</v>
      </c>
      <c r="AE175" t="s">
        <v>293</v>
      </c>
      <c r="AF175" t="s">
        <v>1062</v>
      </c>
      <c r="AG175" t="s">
        <v>138</v>
      </c>
      <c r="AH175" t="s">
        <v>1063</v>
      </c>
      <c r="AI175" t="s">
        <v>148</v>
      </c>
      <c r="AJ175" t="s">
        <v>172</v>
      </c>
      <c r="AK175" t="s">
        <v>752</v>
      </c>
      <c r="AL175" t="s">
        <v>1078</v>
      </c>
      <c r="AM175" t="s">
        <v>766</v>
      </c>
      <c r="AN175" t="s">
        <v>1119</v>
      </c>
      <c r="AO175" t="s">
        <v>1079</v>
      </c>
      <c r="AP175" t="s">
        <v>1080</v>
      </c>
      <c r="AQ175" t="s">
        <v>9</v>
      </c>
      <c r="AR175" t="s">
        <v>174</v>
      </c>
      <c r="AS175" t="s">
        <v>230</v>
      </c>
      <c r="AT175" t="s">
        <v>380</v>
      </c>
      <c r="AU175" t="s">
        <v>1096</v>
      </c>
      <c r="AV175" t="s">
        <v>917</v>
      </c>
      <c r="AW175" t="s">
        <v>231</v>
      </c>
      <c r="AX175" t="s">
        <v>1082</v>
      </c>
      <c r="AY175" t="s">
        <v>1117</v>
      </c>
      <c r="AZ175" t="s">
        <v>1037</v>
      </c>
      <c r="BA175" t="s">
        <v>1083</v>
      </c>
      <c r="BB175" t="s">
        <v>1125</v>
      </c>
      <c r="BC175" t="s">
        <v>785</v>
      </c>
      <c r="BD175" t="s">
        <v>293</v>
      </c>
      <c r="BE175" t="s">
        <v>756</v>
      </c>
      <c r="BF175" t="s">
        <v>757</v>
      </c>
      <c r="BG175" t="s">
        <v>233</v>
      </c>
      <c r="BH175" t="s">
        <v>2339</v>
      </c>
      <c r="BI175" t="s">
        <v>234</v>
      </c>
      <c r="BJ175" t="s">
        <v>264</v>
      </c>
      <c r="BK175" t="s">
        <v>291</v>
      </c>
      <c r="BL175" t="s">
        <v>290</v>
      </c>
      <c r="BM175" t="s">
        <v>306</v>
      </c>
      <c r="BN175" t="s">
        <v>528</v>
      </c>
      <c r="BO175" t="s">
        <v>311</v>
      </c>
      <c r="BP175" t="s">
        <v>316</v>
      </c>
      <c r="BQ175" t="s">
        <v>774</v>
      </c>
      <c r="BR175" t="s">
        <v>1121</v>
      </c>
      <c r="BS175" t="s">
        <v>1124</v>
      </c>
      <c r="BT175" t="s">
        <v>239</v>
      </c>
      <c r="BU175" t="s">
        <v>241</v>
      </c>
      <c r="BV175" t="s">
        <v>805</v>
      </c>
      <c r="BW175" t="s">
        <v>806</v>
      </c>
    </row>
    <row r="176" spans="1:131">
      <c r="A176" s="40">
        <v>164</v>
      </c>
      <c r="B176" s="40" t="s">
        <v>1263</v>
      </c>
      <c r="C176" s="2" t="s">
        <v>1264</v>
      </c>
      <c r="D176" s="2" t="s">
        <v>24</v>
      </c>
      <c r="E176" s="2" t="s">
        <v>20</v>
      </c>
      <c r="F176" s="2">
        <v>100</v>
      </c>
      <c r="G176" s="2">
        <v>50</v>
      </c>
      <c r="H176" s="2">
        <v>50</v>
      </c>
      <c r="I176" s="2">
        <v>76</v>
      </c>
      <c r="J176" s="2">
        <v>96</v>
      </c>
      <c r="K176" s="2">
        <v>70</v>
      </c>
      <c r="L176" s="2">
        <v>442</v>
      </c>
      <c r="M176" s="2" t="s">
        <v>1089</v>
      </c>
      <c r="N176" s="2" t="s">
        <v>1061</v>
      </c>
      <c r="O176" t="s">
        <v>219</v>
      </c>
      <c r="P176" t="s">
        <v>220</v>
      </c>
      <c r="Q176" t="s">
        <v>388</v>
      </c>
      <c r="R176" t="s">
        <v>316</v>
      </c>
      <c r="S176" t="s">
        <v>771</v>
      </c>
      <c r="T176" t="s">
        <v>388</v>
      </c>
      <c r="U176" t="s">
        <v>329</v>
      </c>
      <c r="V176" t="s">
        <v>953</v>
      </c>
      <c r="W176" t="s">
        <v>380</v>
      </c>
      <c r="X176" t="s">
        <v>287</v>
      </c>
      <c r="Y176" t="s">
        <v>1083</v>
      </c>
      <c r="Z176" t="s">
        <v>223</v>
      </c>
      <c r="AA176" t="s">
        <v>1101</v>
      </c>
      <c r="AB176" t="s">
        <v>1019</v>
      </c>
      <c r="AC176" t="s">
        <v>1043</v>
      </c>
      <c r="AD176" t="s">
        <v>1154</v>
      </c>
      <c r="AE176" t="s">
        <v>1262</v>
      </c>
      <c r="AF176" t="s">
        <v>1119</v>
      </c>
      <c r="AG176" t="s">
        <v>293</v>
      </c>
      <c r="AH176" t="s">
        <v>1062</v>
      </c>
      <c r="AI176" t="s">
        <v>138</v>
      </c>
      <c r="AJ176" t="s">
        <v>1063</v>
      </c>
      <c r="AK176" t="s">
        <v>148</v>
      </c>
      <c r="AL176" t="s">
        <v>172</v>
      </c>
      <c r="AM176" t="s">
        <v>752</v>
      </c>
      <c r="AN176" t="s">
        <v>247</v>
      </c>
      <c r="AO176" t="s">
        <v>1078</v>
      </c>
      <c r="AP176" t="s">
        <v>766</v>
      </c>
      <c r="AQ176" t="s">
        <v>1119</v>
      </c>
      <c r="AR176" t="s">
        <v>1079</v>
      </c>
      <c r="AS176" t="s">
        <v>1080</v>
      </c>
      <c r="AT176" t="s">
        <v>9</v>
      </c>
      <c r="AU176" t="s">
        <v>174</v>
      </c>
      <c r="AV176" t="s">
        <v>230</v>
      </c>
      <c r="AW176" t="s">
        <v>380</v>
      </c>
      <c r="AX176" t="s">
        <v>1096</v>
      </c>
      <c r="AY176" t="s">
        <v>917</v>
      </c>
      <c r="AZ176" t="s">
        <v>231</v>
      </c>
      <c r="BA176" t="s">
        <v>1082</v>
      </c>
      <c r="BB176" t="s">
        <v>1117</v>
      </c>
      <c r="BC176" t="s">
        <v>1037</v>
      </c>
      <c r="BD176" t="s">
        <v>1083</v>
      </c>
      <c r="BE176" t="s">
        <v>1125</v>
      </c>
      <c r="BF176" t="s">
        <v>976</v>
      </c>
      <c r="BG176" t="s">
        <v>785</v>
      </c>
      <c r="BH176" t="s">
        <v>293</v>
      </c>
      <c r="BI176" t="s">
        <v>756</v>
      </c>
      <c r="BJ176" t="s">
        <v>757</v>
      </c>
      <c r="BK176" t="s">
        <v>233</v>
      </c>
      <c r="BL176" t="s">
        <v>2339</v>
      </c>
      <c r="BM176" t="s">
        <v>234</v>
      </c>
      <c r="BN176" t="s">
        <v>264</v>
      </c>
      <c r="BO176" t="s">
        <v>291</v>
      </c>
      <c r="BP176" t="s">
        <v>290</v>
      </c>
      <c r="BQ176" t="s">
        <v>306</v>
      </c>
      <c r="BR176" t="s">
        <v>528</v>
      </c>
      <c r="BS176" t="s">
        <v>311</v>
      </c>
      <c r="BT176" t="s">
        <v>316</v>
      </c>
      <c r="BU176" t="s">
        <v>774</v>
      </c>
      <c r="BV176" t="s">
        <v>1121</v>
      </c>
      <c r="BW176" t="s">
        <v>1124</v>
      </c>
      <c r="BX176" t="s">
        <v>239</v>
      </c>
      <c r="BY176" t="s">
        <v>241</v>
      </c>
      <c r="BZ176" t="s">
        <v>805</v>
      </c>
      <c r="CA176" t="s">
        <v>806</v>
      </c>
    </row>
    <row r="177" spans="1:95">
      <c r="A177" s="40">
        <v>165</v>
      </c>
      <c r="B177" s="40" t="s">
        <v>1265</v>
      </c>
      <c r="C177" s="2" t="s">
        <v>1266</v>
      </c>
      <c r="D177" s="2" t="s">
        <v>14</v>
      </c>
      <c r="E177" s="2" t="s">
        <v>20</v>
      </c>
      <c r="F177" s="2">
        <v>40</v>
      </c>
      <c r="G177" s="2">
        <v>20</v>
      </c>
      <c r="H177" s="2">
        <v>30</v>
      </c>
      <c r="I177" s="2">
        <v>40</v>
      </c>
      <c r="J177" s="2">
        <v>80</v>
      </c>
      <c r="K177" s="2">
        <v>55</v>
      </c>
      <c r="L177" s="2">
        <v>265</v>
      </c>
      <c r="M177" s="2" t="s">
        <v>1145</v>
      </c>
      <c r="N177" s="2" t="s">
        <v>1061</v>
      </c>
      <c r="O177" t="s">
        <v>219</v>
      </c>
      <c r="P177" t="s">
        <v>290</v>
      </c>
      <c r="Q177" t="s">
        <v>570</v>
      </c>
      <c r="R177" t="s">
        <v>228</v>
      </c>
      <c r="S177" t="s">
        <v>380</v>
      </c>
      <c r="T177" t="s">
        <v>759</v>
      </c>
      <c r="U177" t="s">
        <v>1223</v>
      </c>
      <c r="V177" t="s">
        <v>788</v>
      </c>
      <c r="W177" t="s">
        <v>1113</v>
      </c>
      <c r="X177" t="s">
        <v>306</v>
      </c>
      <c r="Y177" t="s">
        <v>354</v>
      </c>
      <c r="Z177" t="s">
        <v>225</v>
      </c>
      <c r="AA177" t="s">
        <v>1115</v>
      </c>
      <c r="AB177" t="s">
        <v>1062</v>
      </c>
      <c r="AC177" t="s">
        <v>1063</v>
      </c>
      <c r="AD177" t="s">
        <v>148</v>
      </c>
      <c r="AE177" t="s">
        <v>172</v>
      </c>
      <c r="AF177" t="s">
        <v>752</v>
      </c>
      <c r="AG177" t="s">
        <v>228</v>
      </c>
      <c r="AH177" t="s">
        <v>1078</v>
      </c>
      <c r="AI177" t="s">
        <v>1119</v>
      </c>
      <c r="AJ177" t="s">
        <v>759</v>
      </c>
      <c r="AK177" t="s">
        <v>1079</v>
      </c>
      <c r="AL177" t="s">
        <v>229</v>
      </c>
      <c r="AM177" t="s">
        <v>1080</v>
      </c>
      <c r="AN177" t="s">
        <v>256</v>
      </c>
      <c r="AO177" t="s">
        <v>1094</v>
      </c>
      <c r="AP177" t="s">
        <v>230</v>
      </c>
      <c r="AQ177" t="s">
        <v>380</v>
      </c>
      <c r="AR177" t="s">
        <v>1096</v>
      </c>
      <c r="AS177" t="s">
        <v>917</v>
      </c>
      <c r="AT177" t="s">
        <v>231</v>
      </c>
      <c r="AU177" t="s">
        <v>1082</v>
      </c>
      <c r="AV177" t="s">
        <v>1117</v>
      </c>
      <c r="AW177" t="s">
        <v>1037</v>
      </c>
      <c r="AX177" t="s">
        <v>974</v>
      </c>
      <c r="AY177" t="s">
        <v>1020</v>
      </c>
      <c r="AZ177" t="s">
        <v>232</v>
      </c>
      <c r="BA177" t="s">
        <v>145</v>
      </c>
      <c r="BB177" t="s">
        <v>1042</v>
      </c>
      <c r="BC177" t="s">
        <v>2369</v>
      </c>
      <c r="BD177" t="s">
        <v>756</v>
      </c>
      <c r="BE177" t="s">
        <v>757</v>
      </c>
      <c r="BF177" t="s">
        <v>1014</v>
      </c>
      <c r="BG177" t="s">
        <v>233</v>
      </c>
      <c r="BH177" t="s">
        <v>2398</v>
      </c>
      <c r="BI177" t="s">
        <v>2339</v>
      </c>
      <c r="BJ177" t="s">
        <v>234</v>
      </c>
      <c r="BK177" t="s">
        <v>292</v>
      </c>
      <c r="BL177" t="s">
        <v>324</v>
      </c>
      <c r="BM177" t="s">
        <v>347</v>
      </c>
      <c r="BN177" t="s">
        <v>588</v>
      </c>
      <c r="BO177" t="s">
        <v>779</v>
      </c>
      <c r="BP177" t="s">
        <v>920</v>
      </c>
      <c r="BQ177" t="s">
        <v>928</v>
      </c>
      <c r="BR177" t="s">
        <v>1113</v>
      </c>
      <c r="BS177" t="s">
        <v>1009</v>
      </c>
      <c r="BT177" t="s">
        <v>1115</v>
      </c>
      <c r="BU177" t="s">
        <v>181</v>
      </c>
      <c r="BV177" t="s">
        <v>1110</v>
      </c>
      <c r="BW177" t="s">
        <v>239</v>
      </c>
      <c r="BX177" t="s">
        <v>241</v>
      </c>
      <c r="BY177" t="s">
        <v>805</v>
      </c>
      <c r="BZ177" t="s">
        <v>806</v>
      </c>
    </row>
    <row r="178" spans="1:95">
      <c r="A178" s="40">
        <v>166</v>
      </c>
      <c r="B178" s="40" t="s">
        <v>1267</v>
      </c>
      <c r="C178" s="2" t="s">
        <v>1268</v>
      </c>
      <c r="D178" s="2" t="s">
        <v>14</v>
      </c>
      <c r="E178" s="2" t="s">
        <v>20</v>
      </c>
      <c r="F178" s="2">
        <v>55</v>
      </c>
      <c r="G178" s="2">
        <v>35</v>
      </c>
      <c r="H178" s="2">
        <v>50</v>
      </c>
      <c r="I178" s="2">
        <v>55</v>
      </c>
      <c r="J178" s="2">
        <v>110</v>
      </c>
      <c r="K178" s="2">
        <v>85</v>
      </c>
      <c r="L178" s="2">
        <v>390</v>
      </c>
      <c r="M178" s="2" t="s">
        <v>1137</v>
      </c>
      <c r="N178" s="2" t="s">
        <v>1061</v>
      </c>
      <c r="O178" t="s">
        <v>570</v>
      </c>
      <c r="P178" t="s">
        <v>219</v>
      </c>
      <c r="Q178" t="s">
        <v>290</v>
      </c>
      <c r="R178" t="s">
        <v>290</v>
      </c>
      <c r="S178" t="s">
        <v>570</v>
      </c>
      <c r="T178" t="s">
        <v>228</v>
      </c>
      <c r="U178" t="s">
        <v>380</v>
      </c>
      <c r="V178" t="s">
        <v>759</v>
      </c>
      <c r="W178" t="s">
        <v>1223</v>
      </c>
      <c r="X178" t="s">
        <v>788</v>
      </c>
      <c r="Y178" t="s">
        <v>1113</v>
      </c>
      <c r="Z178" t="s">
        <v>306</v>
      </c>
      <c r="AA178" t="s">
        <v>354</v>
      </c>
      <c r="AB178" t="s">
        <v>225</v>
      </c>
      <c r="AC178" t="s">
        <v>1115</v>
      </c>
      <c r="AD178" t="s">
        <v>1062</v>
      </c>
      <c r="AE178" t="s">
        <v>227</v>
      </c>
      <c r="AF178" t="s">
        <v>1063</v>
      </c>
      <c r="AG178" t="s">
        <v>148</v>
      </c>
      <c r="AH178" t="s">
        <v>172</v>
      </c>
      <c r="AI178" t="s">
        <v>752</v>
      </c>
      <c r="AJ178" t="s">
        <v>247</v>
      </c>
      <c r="AK178" t="s">
        <v>228</v>
      </c>
      <c r="AL178" t="s">
        <v>1078</v>
      </c>
      <c r="AM178" t="s">
        <v>1119</v>
      </c>
      <c r="AN178" t="s">
        <v>759</v>
      </c>
      <c r="AO178" t="s">
        <v>1079</v>
      </c>
      <c r="AP178" t="s">
        <v>229</v>
      </c>
      <c r="AQ178" t="s">
        <v>1080</v>
      </c>
      <c r="AR178" t="s">
        <v>256</v>
      </c>
      <c r="AS178" t="s">
        <v>1094</v>
      </c>
      <c r="AT178" t="s">
        <v>230</v>
      </c>
      <c r="AU178" t="s">
        <v>380</v>
      </c>
      <c r="AV178" t="s">
        <v>1096</v>
      </c>
      <c r="AW178" t="s">
        <v>917</v>
      </c>
      <c r="AX178" t="s">
        <v>231</v>
      </c>
      <c r="AY178" t="s">
        <v>1082</v>
      </c>
      <c r="AZ178" t="s">
        <v>1117</v>
      </c>
      <c r="BA178" t="s">
        <v>1037</v>
      </c>
      <c r="BB178" t="s">
        <v>1102</v>
      </c>
      <c r="BC178" t="s">
        <v>974</v>
      </c>
      <c r="BD178" t="s">
        <v>1020</v>
      </c>
      <c r="BE178" t="s">
        <v>976</v>
      </c>
      <c r="BF178" t="s">
        <v>232</v>
      </c>
      <c r="BG178" t="s">
        <v>145</v>
      </c>
      <c r="BH178" t="s">
        <v>1042</v>
      </c>
      <c r="BI178" t="s">
        <v>2369</v>
      </c>
      <c r="BJ178" t="s">
        <v>756</v>
      </c>
      <c r="BK178" t="s">
        <v>757</v>
      </c>
      <c r="BL178" t="s">
        <v>1014</v>
      </c>
      <c r="BM178" t="s">
        <v>233</v>
      </c>
      <c r="BN178" t="s">
        <v>760</v>
      </c>
      <c r="BO178" t="s">
        <v>2398</v>
      </c>
      <c r="BP178" t="s">
        <v>2339</v>
      </c>
      <c r="BQ178" t="s">
        <v>234</v>
      </c>
      <c r="BR178" t="s">
        <v>292</v>
      </c>
      <c r="BS178" t="s">
        <v>324</v>
      </c>
      <c r="BT178" t="s">
        <v>347</v>
      </c>
      <c r="BU178" t="s">
        <v>588</v>
      </c>
      <c r="BV178" t="s">
        <v>779</v>
      </c>
      <c r="BW178" t="s">
        <v>920</v>
      </c>
      <c r="BX178" t="s">
        <v>928</v>
      </c>
      <c r="BY178" t="s">
        <v>1113</v>
      </c>
      <c r="BZ178" t="s">
        <v>1009</v>
      </c>
      <c r="CA178" t="s">
        <v>1115</v>
      </c>
      <c r="CB178" t="s">
        <v>181</v>
      </c>
      <c r="CC178" t="s">
        <v>1110</v>
      </c>
      <c r="CD178" t="s">
        <v>239</v>
      </c>
      <c r="CE178" t="s">
        <v>241</v>
      </c>
      <c r="CF178" t="s">
        <v>805</v>
      </c>
      <c r="CG178" t="s">
        <v>806</v>
      </c>
    </row>
    <row r="179" spans="1:95">
      <c r="A179" s="40">
        <v>167</v>
      </c>
      <c r="B179" s="40" t="s">
        <v>1269</v>
      </c>
      <c r="C179" s="2" t="s">
        <v>1270</v>
      </c>
      <c r="D179" s="2" t="s">
        <v>14</v>
      </c>
      <c r="E179" s="2" t="s">
        <v>11</v>
      </c>
      <c r="F179" s="2">
        <v>40</v>
      </c>
      <c r="G179" s="2">
        <v>60</v>
      </c>
      <c r="H179" s="2">
        <v>40</v>
      </c>
      <c r="I179" s="2">
        <v>40</v>
      </c>
      <c r="J179" s="2">
        <v>40</v>
      </c>
      <c r="K179" s="2">
        <v>30</v>
      </c>
      <c r="L179" s="2">
        <v>250</v>
      </c>
      <c r="M179" s="2" t="s">
        <v>1075</v>
      </c>
      <c r="N179" s="2" t="s">
        <v>1061</v>
      </c>
      <c r="O179" t="s">
        <v>296</v>
      </c>
      <c r="P179" t="s">
        <v>281</v>
      </c>
      <c r="Q179" t="s">
        <v>1092</v>
      </c>
      <c r="R179" t="s">
        <v>477</v>
      </c>
      <c r="S179" t="s">
        <v>397</v>
      </c>
      <c r="T179" t="s">
        <v>528</v>
      </c>
      <c r="U179" t="s">
        <v>1006</v>
      </c>
      <c r="V179" t="s">
        <v>323</v>
      </c>
      <c r="W179" t="s">
        <v>1008</v>
      </c>
      <c r="X179" t="s">
        <v>1271</v>
      </c>
      <c r="Y179" t="s">
        <v>306</v>
      </c>
      <c r="Z179" t="s">
        <v>305</v>
      </c>
      <c r="AA179" t="s">
        <v>9</v>
      </c>
      <c r="AB179" t="s">
        <v>997</v>
      </c>
      <c r="AC179" t="s">
        <v>1163</v>
      </c>
      <c r="AD179" t="s">
        <v>2404</v>
      </c>
      <c r="AE179" t="s">
        <v>1062</v>
      </c>
      <c r="AF179" t="s">
        <v>1063</v>
      </c>
      <c r="AG179" t="s">
        <v>1030</v>
      </c>
      <c r="AH179" t="s">
        <v>148</v>
      </c>
      <c r="AI179" t="s">
        <v>1077</v>
      </c>
      <c r="AJ179" t="s">
        <v>172</v>
      </c>
      <c r="AK179" t="s">
        <v>752</v>
      </c>
      <c r="AL179" t="s">
        <v>1078</v>
      </c>
      <c r="AM179" t="s">
        <v>1079</v>
      </c>
      <c r="AN179" t="s">
        <v>229</v>
      </c>
      <c r="AO179" t="s">
        <v>1080</v>
      </c>
      <c r="AP179" t="s">
        <v>256</v>
      </c>
      <c r="AQ179" t="s">
        <v>9</v>
      </c>
      <c r="AR179" t="s">
        <v>230</v>
      </c>
      <c r="AS179" t="s">
        <v>1081</v>
      </c>
      <c r="AT179" t="s">
        <v>917</v>
      </c>
      <c r="AU179" t="s">
        <v>231</v>
      </c>
      <c r="AV179" t="s">
        <v>1082</v>
      </c>
      <c r="AW179" t="s">
        <v>1117</v>
      </c>
      <c r="AX179" t="s">
        <v>1037</v>
      </c>
      <c r="AY179" t="s">
        <v>232</v>
      </c>
      <c r="AZ179" t="s">
        <v>1042</v>
      </c>
      <c r="BA179" t="s">
        <v>1018</v>
      </c>
      <c r="BB179" t="s">
        <v>2369</v>
      </c>
      <c r="BC179" t="s">
        <v>997</v>
      </c>
      <c r="BD179" t="s">
        <v>756</v>
      </c>
      <c r="BE179" t="s">
        <v>757</v>
      </c>
      <c r="BF179" t="s">
        <v>233</v>
      </c>
      <c r="BG179" t="s">
        <v>2339</v>
      </c>
      <c r="BH179" t="s">
        <v>234</v>
      </c>
      <c r="BI179" t="s">
        <v>303</v>
      </c>
      <c r="BJ179" t="s">
        <v>502</v>
      </c>
      <c r="BK179" t="s">
        <v>340</v>
      </c>
      <c r="BL179" t="s">
        <v>292</v>
      </c>
      <c r="BM179" t="s">
        <v>797</v>
      </c>
      <c r="BN179" t="s">
        <v>788</v>
      </c>
      <c r="BO179" t="s">
        <v>773</v>
      </c>
      <c r="BP179" t="s">
        <v>216</v>
      </c>
      <c r="BQ179" t="s">
        <v>1011</v>
      </c>
      <c r="BR179" t="s">
        <v>993</v>
      </c>
      <c r="BS179" t="s">
        <v>1114</v>
      </c>
      <c r="BT179" t="s">
        <v>1272</v>
      </c>
      <c r="BU179" t="s">
        <v>239</v>
      </c>
      <c r="BV179" t="s">
        <v>241</v>
      </c>
      <c r="BW179" t="s">
        <v>805</v>
      </c>
      <c r="BX179" t="s">
        <v>806</v>
      </c>
    </row>
    <row r="180" spans="1:95">
      <c r="A180" s="40">
        <v>168</v>
      </c>
      <c r="B180" s="40" t="s">
        <v>1273</v>
      </c>
      <c r="C180" s="2" t="s">
        <v>1274</v>
      </c>
      <c r="D180" s="2" t="s">
        <v>14</v>
      </c>
      <c r="E180" s="2" t="s">
        <v>11</v>
      </c>
      <c r="F180" s="2">
        <v>70</v>
      </c>
      <c r="G180" s="2">
        <v>90</v>
      </c>
      <c r="H180" s="2">
        <v>70</v>
      </c>
      <c r="I180" s="2">
        <v>60</v>
      </c>
      <c r="J180" s="2">
        <v>60</v>
      </c>
      <c r="K180" s="2">
        <v>40</v>
      </c>
      <c r="L180" s="2">
        <v>390</v>
      </c>
      <c r="M180" s="2" t="s">
        <v>1158</v>
      </c>
      <c r="N180" s="2" t="s">
        <v>1061</v>
      </c>
      <c r="O180" t="s">
        <v>296</v>
      </c>
      <c r="P180" t="s">
        <v>281</v>
      </c>
      <c r="Q180" t="s">
        <v>477</v>
      </c>
      <c r="R180" t="s">
        <v>1092</v>
      </c>
      <c r="S180" t="s">
        <v>1110</v>
      </c>
      <c r="T180" t="s">
        <v>2410</v>
      </c>
      <c r="U180" t="s">
        <v>2355</v>
      </c>
      <c r="V180" t="s">
        <v>1092</v>
      </c>
      <c r="W180" t="s">
        <v>477</v>
      </c>
      <c r="X180" t="s">
        <v>397</v>
      </c>
      <c r="Y180" t="s">
        <v>528</v>
      </c>
      <c r="Z180" t="s">
        <v>1006</v>
      </c>
      <c r="AA180" t="s">
        <v>323</v>
      </c>
      <c r="AB180" t="s">
        <v>1008</v>
      </c>
      <c r="AC180" t="s">
        <v>1271</v>
      </c>
      <c r="AD180" t="s">
        <v>306</v>
      </c>
      <c r="AE180" t="s">
        <v>305</v>
      </c>
      <c r="AF180" t="s">
        <v>9</v>
      </c>
      <c r="AG180" t="s">
        <v>997</v>
      </c>
      <c r="AH180" t="s">
        <v>1163</v>
      </c>
      <c r="AI180" t="s">
        <v>2404</v>
      </c>
      <c r="AJ180" t="s">
        <v>1062</v>
      </c>
      <c r="AK180" t="s">
        <v>1063</v>
      </c>
      <c r="AL180" t="s">
        <v>1030</v>
      </c>
      <c r="AM180" t="s">
        <v>148</v>
      </c>
      <c r="AN180" t="s">
        <v>1077</v>
      </c>
      <c r="AO180" t="s">
        <v>172</v>
      </c>
      <c r="AP180" t="s">
        <v>752</v>
      </c>
      <c r="AQ180" t="s">
        <v>247</v>
      </c>
      <c r="AR180" t="s">
        <v>1078</v>
      </c>
      <c r="AS180" t="s">
        <v>1079</v>
      </c>
      <c r="AT180" t="s">
        <v>229</v>
      </c>
      <c r="AU180" t="s">
        <v>1080</v>
      </c>
      <c r="AV180" t="s">
        <v>256</v>
      </c>
      <c r="AW180" t="s">
        <v>9</v>
      </c>
      <c r="AX180" t="s">
        <v>230</v>
      </c>
      <c r="AY180" t="s">
        <v>1081</v>
      </c>
      <c r="AZ180" t="s">
        <v>917</v>
      </c>
      <c r="BA180" t="s">
        <v>231</v>
      </c>
      <c r="BB180" t="s">
        <v>1082</v>
      </c>
      <c r="BC180" t="s">
        <v>1117</v>
      </c>
      <c r="BD180" t="s">
        <v>1037</v>
      </c>
      <c r="BE180" t="s">
        <v>976</v>
      </c>
      <c r="BF180" t="s">
        <v>232</v>
      </c>
      <c r="BG180" t="s">
        <v>1042</v>
      </c>
      <c r="BH180" t="s">
        <v>1018</v>
      </c>
      <c r="BI180" t="s">
        <v>2369</v>
      </c>
      <c r="BJ180" t="s">
        <v>997</v>
      </c>
      <c r="BK180" t="s">
        <v>756</v>
      </c>
      <c r="BL180" t="s">
        <v>757</v>
      </c>
      <c r="BM180" t="s">
        <v>233</v>
      </c>
      <c r="BN180" t="s">
        <v>2339</v>
      </c>
      <c r="BO180" t="s">
        <v>234</v>
      </c>
      <c r="BP180" t="s">
        <v>303</v>
      </c>
      <c r="BQ180" t="s">
        <v>502</v>
      </c>
      <c r="BR180" t="s">
        <v>340</v>
      </c>
      <c r="BS180" t="s">
        <v>292</v>
      </c>
      <c r="BT180" t="s">
        <v>797</v>
      </c>
      <c r="BU180" t="s">
        <v>788</v>
      </c>
      <c r="BV180" t="s">
        <v>773</v>
      </c>
      <c r="BW180" t="s">
        <v>216</v>
      </c>
      <c r="BX180" t="s">
        <v>1011</v>
      </c>
      <c r="BY180" t="s">
        <v>993</v>
      </c>
      <c r="BZ180" t="s">
        <v>1114</v>
      </c>
      <c r="CA180" t="s">
        <v>1272</v>
      </c>
      <c r="CB180" t="s">
        <v>239</v>
      </c>
      <c r="CC180" t="s">
        <v>241</v>
      </c>
      <c r="CD180" t="s">
        <v>805</v>
      </c>
      <c r="CE180" t="s">
        <v>806</v>
      </c>
    </row>
    <row r="181" spans="1:95">
      <c r="A181" s="40">
        <v>169</v>
      </c>
      <c r="B181" s="40" t="s">
        <v>1275</v>
      </c>
      <c r="C181" s="2" t="s">
        <v>1276</v>
      </c>
      <c r="D181" s="2" t="s">
        <v>11</v>
      </c>
      <c r="E181" s="2" t="s">
        <v>20</v>
      </c>
      <c r="F181" s="2">
        <v>85</v>
      </c>
      <c r="G181" s="2">
        <v>90</v>
      </c>
      <c r="H181" s="2">
        <v>80</v>
      </c>
      <c r="I181" s="2">
        <v>70</v>
      </c>
      <c r="J181" s="2">
        <v>80</v>
      </c>
      <c r="K181" s="2">
        <v>130</v>
      </c>
      <c r="L181" s="2">
        <v>535</v>
      </c>
      <c r="M181" s="2" t="s">
        <v>1137</v>
      </c>
      <c r="N181" s="2" t="s">
        <v>1061</v>
      </c>
      <c r="O181" t="s">
        <v>290</v>
      </c>
      <c r="P181" t="s">
        <v>324</v>
      </c>
      <c r="Q181" t="s">
        <v>397</v>
      </c>
      <c r="R181" t="s">
        <v>1130</v>
      </c>
      <c r="S181" t="s">
        <v>1163</v>
      </c>
      <c r="T181" t="s">
        <v>290</v>
      </c>
      <c r="U181" t="s">
        <v>1130</v>
      </c>
      <c r="V181" t="s">
        <v>258</v>
      </c>
      <c r="W181" t="s">
        <v>264</v>
      </c>
      <c r="X181" t="s">
        <v>387</v>
      </c>
      <c r="Y181" t="s">
        <v>354</v>
      </c>
      <c r="Z181" t="s">
        <v>1118</v>
      </c>
      <c r="AA181" t="s">
        <v>1020</v>
      </c>
      <c r="AB181" t="s">
        <v>787</v>
      </c>
      <c r="AC181" t="s">
        <v>935</v>
      </c>
      <c r="AD181" t="s">
        <v>272</v>
      </c>
      <c r="AE181" t="s">
        <v>1101</v>
      </c>
      <c r="AF181" t="s">
        <v>1062</v>
      </c>
      <c r="AG181" t="s">
        <v>138</v>
      </c>
      <c r="AH181" t="s">
        <v>1063</v>
      </c>
      <c r="AI181" t="s">
        <v>148</v>
      </c>
      <c r="AJ181" t="s">
        <v>1077</v>
      </c>
      <c r="AK181" t="s">
        <v>172</v>
      </c>
      <c r="AL181" t="s">
        <v>752</v>
      </c>
      <c r="AM181" t="s">
        <v>1126</v>
      </c>
      <c r="AN181" t="s">
        <v>247</v>
      </c>
      <c r="AO181" t="s">
        <v>1078</v>
      </c>
      <c r="AP181" t="s">
        <v>766</v>
      </c>
      <c r="AQ181" t="s">
        <v>1119</v>
      </c>
      <c r="AR181" t="s">
        <v>1079</v>
      </c>
      <c r="AS181" t="s">
        <v>1080</v>
      </c>
      <c r="AT181" t="s">
        <v>174</v>
      </c>
      <c r="AU181" t="s">
        <v>230</v>
      </c>
      <c r="AV181" t="s">
        <v>1081</v>
      </c>
      <c r="AW181" t="s">
        <v>1096</v>
      </c>
      <c r="AX181" t="s">
        <v>951</v>
      </c>
      <c r="AY181" t="s">
        <v>917</v>
      </c>
      <c r="AZ181" t="s">
        <v>231</v>
      </c>
      <c r="BA181" t="s">
        <v>1082</v>
      </c>
      <c r="BB181" t="s">
        <v>1117</v>
      </c>
      <c r="BC181" t="s">
        <v>1037</v>
      </c>
      <c r="BD181" t="s">
        <v>1125</v>
      </c>
      <c r="BE181" t="s">
        <v>1020</v>
      </c>
      <c r="BF181" t="s">
        <v>995</v>
      </c>
      <c r="BG181" t="s">
        <v>976</v>
      </c>
      <c r="BH181" t="s">
        <v>1018</v>
      </c>
      <c r="BI181" t="s">
        <v>756</v>
      </c>
      <c r="BJ181" t="s">
        <v>757</v>
      </c>
      <c r="BK181" t="s">
        <v>1014</v>
      </c>
      <c r="BL181" t="s">
        <v>233</v>
      </c>
      <c r="BM181" t="s">
        <v>1157</v>
      </c>
      <c r="BN181" t="s">
        <v>2339</v>
      </c>
      <c r="BO181" t="s">
        <v>234</v>
      </c>
      <c r="BP181" t="s">
        <v>289</v>
      </c>
      <c r="BQ181" t="s">
        <v>291</v>
      </c>
      <c r="BR181" t="s">
        <v>388</v>
      </c>
      <c r="BS181" t="s">
        <v>310</v>
      </c>
      <c r="BT181" t="s">
        <v>751</v>
      </c>
      <c r="BU181" t="s">
        <v>774</v>
      </c>
      <c r="BV181" t="s">
        <v>171</v>
      </c>
      <c r="BW181" t="s">
        <v>1125</v>
      </c>
      <c r="BX181" t="s">
        <v>773</v>
      </c>
      <c r="BY181" t="s">
        <v>1123</v>
      </c>
      <c r="BZ181" t="s">
        <v>991</v>
      </c>
      <c r="CA181" t="s">
        <v>1019</v>
      </c>
      <c r="CB181" t="s">
        <v>1124</v>
      </c>
      <c r="CC181" t="s">
        <v>2410</v>
      </c>
      <c r="CD181" t="s">
        <v>239</v>
      </c>
      <c r="CE181" t="s">
        <v>241</v>
      </c>
      <c r="CF181" t="s">
        <v>805</v>
      </c>
      <c r="CG181" t="s">
        <v>806</v>
      </c>
    </row>
    <row r="182" spans="1:95">
      <c r="A182" s="40">
        <v>170</v>
      </c>
      <c r="B182" s="40" t="s">
        <v>1277</v>
      </c>
      <c r="C182" s="2" t="s">
        <v>1278</v>
      </c>
      <c r="D182" s="2" t="s">
        <v>27</v>
      </c>
      <c r="E182" s="2" t="s">
        <v>17</v>
      </c>
      <c r="F182" s="2">
        <v>75</v>
      </c>
      <c r="G182" s="2">
        <v>38</v>
      </c>
      <c r="H182" s="2">
        <v>38</v>
      </c>
      <c r="I182" s="2">
        <v>56</v>
      </c>
      <c r="J182" s="2">
        <v>56</v>
      </c>
      <c r="K182" s="2">
        <v>67</v>
      </c>
      <c r="L182" s="2">
        <v>330</v>
      </c>
      <c r="M182" s="2" t="s">
        <v>1145</v>
      </c>
      <c r="N182" s="2" t="s">
        <v>1061</v>
      </c>
      <c r="O182" t="s">
        <v>290</v>
      </c>
      <c r="P182" t="s">
        <v>267</v>
      </c>
      <c r="Q182" t="s">
        <v>322</v>
      </c>
      <c r="R182" t="s">
        <v>770</v>
      </c>
      <c r="S182" t="s">
        <v>387</v>
      </c>
      <c r="T182" t="s">
        <v>269</v>
      </c>
      <c r="U182" t="s">
        <v>1203</v>
      </c>
      <c r="V182" t="s">
        <v>223</v>
      </c>
      <c r="W182" t="s">
        <v>1023</v>
      </c>
      <c r="X182" t="s">
        <v>446</v>
      </c>
      <c r="Y182" t="s">
        <v>216</v>
      </c>
      <c r="Z182" t="s">
        <v>1138</v>
      </c>
      <c r="AA182" t="s">
        <v>178</v>
      </c>
      <c r="AB182" t="s">
        <v>140</v>
      </c>
      <c r="AC182" t="s">
        <v>2370</v>
      </c>
      <c r="AD182" t="s">
        <v>1140</v>
      </c>
      <c r="AE182" t="s">
        <v>1062</v>
      </c>
      <c r="AF182" t="s">
        <v>144</v>
      </c>
      <c r="AG182" t="s">
        <v>270</v>
      </c>
      <c r="AH182" t="s">
        <v>914</v>
      </c>
      <c r="AI182" t="s">
        <v>1063</v>
      </c>
      <c r="AJ182" t="s">
        <v>148</v>
      </c>
      <c r="AK182" t="s">
        <v>1104</v>
      </c>
      <c r="AL182" t="s">
        <v>172</v>
      </c>
      <c r="AM182" t="s">
        <v>141</v>
      </c>
      <c r="AN182" t="s">
        <v>271</v>
      </c>
      <c r="AO182" t="s">
        <v>1078</v>
      </c>
      <c r="AP182" t="s">
        <v>766</v>
      </c>
      <c r="AQ182" t="s">
        <v>1079</v>
      </c>
      <c r="AR182" t="s">
        <v>146</v>
      </c>
      <c r="AS182" t="s">
        <v>321</v>
      </c>
      <c r="AT182" t="s">
        <v>1080</v>
      </c>
      <c r="AU182" t="s">
        <v>230</v>
      </c>
      <c r="AV182" t="s">
        <v>917</v>
      </c>
      <c r="AW182" t="s">
        <v>231</v>
      </c>
      <c r="AX182" t="s">
        <v>1082</v>
      </c>
      <c r="AY182" t="s">
        <v>1037</v>
      </c>
      <c r="AZ182" t="s">
        <v>1038</v>
      </c>
      <c r="BA182" t="s">
        <v>963</v>
      </c>
      <c r="BB182" t="s">
        <v>232</v>
      </c>
      <c r="BC182" t="s">
        <v>1045</v>
      </c>
      <c r="BD182" t="s">
        <v>322</v>
      </c>
      <c r="BE182" t="s">
        <v>756</v>
      </c>
      <c r="BF182" t="s">
        <v>757</v>
      </c>
      <c r="BG182" t="s">
        <v>233</v>
      </c>
      <c r="BH182" t="s">
        <v>1047</v>
      </c>
      <c r="BI182" t="s">
        <v>2342</v>
      </c>
      <c r="BJ182" t="s">
        <v>2339</v>
      </c>
      <c r="BK182" t="s">
        <v>234</v>
      </c>
      <c r="BL182" t="s">
        <v>273</v>
      </c>
      <c r="BM182" t="s">
        <v>292</v>
      </c>
      <c r="BN182" t="s">
        <v>306</v>
      </c>
      <c r="BO182" t="s">
        <v>324</v>
      </c>
      <c r="BP182" t="s">
        <v>235</v>
      </c>
      <c r="BQ182" t="s">
        <v>770</v>
      </c>
      <c r="BR182" t="s">
        <v>767</v>
      </c>
      <c r="BS182" t="s">
        <v>1230</v>
      </c>
      <c r="BT182" t="s">
        <v>954</v>
      </c>
      <c r="BU182" t="s">
        <v>961</v>
      </c>
      <c r="BV182" t="s">
        <v>1170</v>
      </c>
      <c r="BW182" t="s">
        <v>239</v>
      </c>
      <c r="BX182" t="s">
        <v>241</v>
      </c>
      <c r="BY182" t="s">
        <v>805</v>
      </c>
      <c r="BZ182" t="s">
        <v>806</v>
      </c>
    </row>
    <row r="183" spans="1:95">
      <c r="A183" s="40">
        <v>171</v>
      </c>
      <c r="B183" s="40" t="s">
        <v>1279</v>
      </c>
      <c r="C183" s="2" t="s">
        <v>1280</v>
      </c>
      <c r="D183" s="2" t="s">
        <v>27</v>
      </c>
      <c r="E183" s="2" t="s">
        <v>17</v>
      </c>
      <c r="F183" s="2">
        <v>125</v>
      </c>
      <c r="G183" s="2">
        <v>58</v>
      </c>
      <c r="H183" s="2">
        <v>58</v>
      </c>
      <c r="I183" s="2">
        <v>76</v>
      </c>
      <c r="J183" s="2">
        <v>76</v>
      </c>
      <c r="K183" s="2">
        <v>67</v>
      </c>
      <c r="L183" s="2">
        <v>460</v>
      </c>
      <c r="M183" s="2" t="s">
        <v>1137</v>
      </c>
      <c r="N183" s="2" t="s">
        <v>1061</v>
      </c>
      <c r="O183" t="s">
        <v>290</v>
      </c>
      <c r="P183" t="s">
        <v>322</v>
      </c>
      <c r="Q183" t="s">
        <v>267</v>
      </c>
      <c r="R183" t="s">
        <v>2346</v>
      </c>
      <c r="S183" t="s">
        <v>322</v>
      </c>
      <c r="T183" t="s">
        <v>770</v>
      </c>
      <c r="U183" t="s">
        <v>269</v>
      </c>
      <c r="V183" t="s">
        <v>387</v>
      </c>
      <c r="W183" t="s">
        <v>1203</v>
      </c>
      <c r="X183" t="s">
        <v>223</v>
      </c>
      <c r="Y183" t="s">
        <v>946</v>
      </c>
      <c r="Z183" t="s">
        <v>1133</v>
      </c>
      <c r="AA183" t="s">
        <v>948</v>
      </c>
      <c r="AB183" t="s">
        <v>1023</v>
      </c>
      <c r="AC183" t="s">
        <v>446</v>
      </c>
      <c r="AD183" t="s">
        <v>216</v>
      </c>
      <c r="AE183" t="s">
        <v>1138</v>
      </c>
      <c r="AF183" t="s">
        <v>178</v>
      </c>
      <c r="AG183" t="s">
        <v>140</v>
      </c>
      <c r="AH183" t="s">
        <v>2370</v>
      </c>
      <c r="AI183" t="s">
        <v>1140</v>
      </c>
      <c r="AJ183" t="s">
        <v>1062</v>
      </c>
      <c r="AK183" t="s">
        <v>144</v>
      </c>
      <c r="AL183" t="s">
        <v>270</v>
      </c>
      <c r="AM183" t="s">
        <v>914</v>
      </c>
      <c r="AN183" t="s">
        <v>1063</v>
      </c>
      <c r="AO183" t="s">
        <v>148</v>
      </c>
      <c r="AP183" t="s">
        <v>1104</v>
      </c>
      <c r="AQ183" t="s">
        <v>172</v>
      </c>
      <c r="AR183" t="s">
        <v>141</v>
      </c>
      <c r="AS183" t="s">
        <v>271</v>
      </c>
      <c r="AT183" t="s">
        <v>247</v>
      </c>
      <c r="AU183" t="s">
        <v>1078</v>
      </c>
      <c r="AV183" t="s">
        <v>766</v>
      </c>
      <c r="AW183" t="s">
        <v>1079</v>
      </c>
      <c r="AX183" t="s">
        <v>146</v>
      </c>
      <c r="AY183" t="s">
        <v>321</v>
      </c>
      <c r="AZ183" t="s">
        <v>1080</v>
      </c>
      <c r="BA183" t="s">
        <v>230</v>
      </c>
      <c r="BB183" t="s">
        <v>917</v>
      </c>
      <c r="BC183" t="s">
        <v>231</v>
      </c>
      <c r="BD183" t="s">
        <v>1082</v>
      </c>
      <c r="BE183" t="s">
        <v>1037</v>
      </c>
      <c r="BF183" t="s">
        <v>1038</v>
      </c>
      <c r="BG183" t="s">
        <v>963</v>
      </c>
      <c r="BH183" t="s">
        <v>976</v>
      </c>
      <c r="BI183" t="s">
        <v>232</v>
      </c>
      <c r="BJ183" t="s">
        <v>1045</v>
      </c>
      <c r="BK183" t="s">
        <v>322</v>
      </c>
      <c r="BL183" t="s">
        <v>756</v>
      </c>
      <c r="BM183" t="s">
        <v>757</v>
      </c>
      <c r="BN183" t="s">
        <v>233</v>
      </c>
      <c r="BO183" t="s">
        <v>1047</v>
      </c>
      <c r="BP183" t="s">
        <v>2342</v>
      </c>
      <c r="BQ183" t="s">
        <v>2339</v>
      </c>
      <c r="BR183" t="s">
        <v>234</v>
      </c>
      <c r="BS183" t="s">
        <v>273</v>
      </c>
      <c r="BT183" t="s">
        <v>292</v>
      </c>
      <c r="BU183" t="s">
        <v>306</v>
      </c>
      <c r="BV183" t="s">
        <v>324</v>
      </c>
      <c r="BW183" t="s">
        <v>235</v>
      </c>
      <c r="BX183" t="s">
        <v>770</v>
      </c>
      <c r="BY183" t="s">
        <v>767</v>
      </c>
      <c r="BZ183" t="s">
        <v>1230</v>
      </c>
      <c r="CA183" t="s">
        <v>954</v>
      </c>
      <c r="CB183" t="s">
        <v>961</v>
      </c>
      <c r="CC183" t="s">
        <v>1170</v>
      </c>
      <c r="CD183" t="s">
        <v>239</v>
      </c>
      <c r="CE183" t="s">
        <v>241</v>
      </c>
      <c r="CF183" t="s">
        <v>805</v>
      </c>
      <c r="CG183" t="s">
        <v>806</v>
      </c>
    </row>
    <row r="184" spans="1:95">
      <c r="A184" s="40">
        <v>172</v>
      </c>
      <c r="B184" s="40" t="s">
        <v>1281</v>
      </c>
      <c r="C184" s="2" t="s">
        <v>1282</v>
      </c>
      <c r="D184" s="2" t="s">
        <v>17</v>
      </c>
      <c r="E184" s="2"/>
      <c r="F184" s="2">
        <v>20</v>
      </c>
      <c r="G184" s="2">
        <v>40</v>
      </c>
      <c r="H184" s="2">
        <v>15</v>
      </c>
      <c r="I184" s="2">
        <v>35</v>
      </c>
      <c r="J184" s="2">
        <v>35</v>
      </c>
      <c r="K184" s="2">
        <v>60</v>
      </c>
      <c r="L184" s="2">
        <v>205</v>
      </c>
      <c r="M184" s="2" t="s">
        <v>1120</v>
      </c>
      <c r="N184" s="2" t="s">
        <v>1061</v>
      </c>
      <c r="O184" t="s">
        <v>346</v>
      </c>
      <c r="P184" t="s">
        <v>781</v>
      </c>
      <c r="Q184" t="s">
        <v>266</v>
      </c>
      <c r="R184" t="s">
        <v>322</v>
      </c>
      <c r="S184" t="s">
        <v>782</v>
      </c>
      <c r="T184" t="s">
        <v>991</v>
      </c>
      <c r="U184" t="s">
        <v>1062</v>
      </c>
      <c r="V184" t="s">
        <v>1063</v>
      </c>
      <c r="W184" t="s">
        <v>148</v>
      </c>
      <c r="X184" t="s">
        <v>172</v>
      </c>
      <c r="Y184" t="s">
        <v>228</v>
      </c>
      <c r="Z184" t="s">
        <v>1078</v>
      </c>
      <c r="AA184" t="s">
        <v>766</v>
      </c>
      <c r="AB184" t="s">
        <v>1079</v>
      </c>
      <c r="AC184" t="s">
        <v>146</v>
      </c>
      <c r="AD184" t="s">
        <v>321</v>
      </c>
      <c r="AE184" t="s">
        <v>1080</v>
      </c>
      <c r="AF184" t="s">
        <v>230</v>
      </c>
      <c r="AG184" t="s">
        <v>917</v>
      </c>
      <c r="AH184" t="s">
        <v>231</v>
      </c>
      <c r="AI184" t="s">
        <v>1082</v>
      </c>
      <c r="AJ184" t="s">
        <v>1037</v>
      </c>
      <c r="AK184" t="s">
        <v>1083</v>
      </c>
      <c r="AL184" t="s">
        <v>974</v>
      </c>
      <c r="AM184" t="s">
        <v>963</v>
      </c>
      <c r="AN184" t="s">
        <v>232</v>
      </c>
      <c r="AO184" t="s">
        <v>1045</v>
      </c>
      <c r="AP184" t="s">
        <v>322</v>
      </c>
      <c r="AQ184" t="s">
        <v>977</v>
      </c>
      <c r="AR184" t="s">
        <v>756</v>
      </c>
      <c r="AS184" t="s">
        <v>757</v>
      </c>
      <c r="AT184" t="s">
        <v>233</v>
      </c>
      <c r="AU184" t="s">
        <v>1047</v>
      </c>
      <c r="AV184" t="s">
        <v>2339</v>
      </c>
      <c r="AW184" t="s">
        <v>234</v>
      </c>
      <c r="AX184" t="s">
        <v>348</v>
      </c>
      <c r="AY184" t="s">
        <v>147</v>
      </c>
      <c r="AZ184" t="s">
        <v>347</v>
      </c>
      <c r="BA184" t="s">
        <v>770</v>
      </c>
      <c r="BB184" t="s">
        <v>775</v>
      </c>
      <c r="BC184" t="s">
        <v>754</v>
      </c>
      <c r="BD184" t="s">
        <v>780</v>
      </c>
      <c r="BE184" t="s">
        <v>779</v>
      </c>
      <c r="BF184" t="s">
        <v>176</v>
      </c>
      <c r="BG184" t="s">
        <v>1140</v>
      </c>
      <c r="BH184" t="s">
        <v>957</v>
      </c>
      <c r="BI184" t="s">
        <v>950</v>
      </c>
      <c r="BJ184" t="s">
        <v>2158</v>
      </c>
      <c r="BK184" t="s">
        <v>987</v>
      </c>
      <c r="BL184" t="s">
        <v>1139</v>
      </c>
      <c r="BM184" t="s">
        <v>2343</v>
      </c>
      <c r="BN184" t="s">
        <v>239</v>
      </c>
      <c r="BO184" t="s">
        <v>241</v>
      </c>
      <c r="BP184" t="s">
        <v>805</v>
      </c>
      <c r="BQ184" t="s">
        <v>806</v>
      </c>
    </row>
    <row r="185" spans="1:95">
      <c r="A185" s="40">
        <v>173</v>
      </c>
      <c r="B185" s="40" t="s">
        <v>1283</v>
      </c>
      <c r="C185" s="2" t="s">
        <v>1284</v>
      </c>
      <c r="D185" s="2" t="s">
        <v>894</v>
      </c>
      <c r="E185" s="2"/>
      <c r="F185" s="2">
        <v>50</v>
      </c>
      <c r="G185" s="2">
        <v>25</v>
      </c>
      <c r="H185" s="2">
        <v>28</v>
      </c>
      <c r="I185" s="2">
        <v>45</v>
      </c>
      <c r="J185" s="2">
        <v>55</v>
      </c>
      <c r="K185" s="2">
        <v>15</v>
      </c>
      <c r="L185" s="2">
        <v>218</v>
      </c>
      <c r="M185" s="2" t="s">
        <v>1075</v>
      </c>
      <c r="N185" s="2" t="s">
        <v>1061</v>
      </c>
      <c r="O185" t="s">
        <v>376</v>
      </c>
      <c r="P185" t="s">
        <v>781</v>
      </c>
      <c r="Q185" t="s">
        <v>779</v>
      </c>
      <c r="R185" t="s">
        <v>377</v>
      </c>
      <c r="S185" t="s">
        <v>782</v>
      </c>
      <c r="T185" t="s">
        <v>964</v>
      </c>
      <c r="U185" t="s">
        <v>930</v>
      </c>
      <c r="V185" t="s">
        <v>1062</v>
      </c>
      <c r="W185" t="s">
        <v>1063</v>
      </c>
      <c r="X185" t="s">
        <v>1151</v>
      </c>
      <c r="Y185" t="s">
        <v>148</v>
      </c>
      <c r="Z185" t="s">
        <v>172</v>
      </c>
      <c r="AA185" t="s">
        <v>752</v>
      </c>
      <c r="AB185" t="s">
        <v>228</v>
      </c>
      <c r="AC185" t="s">
        <v>1078</v>
      </c>
      <c r="AD185" t="s">
        <v>766</v>
      </c>
      <c r="AE185" t="s">
        <v>759</v>
      </c>
      <c r="AF185" t="s">
        <v>1079</v>
      </c>
      <c r="AG185" t="s">
        <v>229</v>
      </c>
      <c r="AH185" t="s">
        <v>1080</v>
      </c>
      <c r="AI185" t="s">
        <v>256</v>
      </c>
      <c r="AJ185" t="s">
        <v>9</v>
      </c>
      <c r="AK185" t="s">
        <v>174</v>
      </c>
      <c r="AL185" t="s">
        <v>230</v>
      </c>
      <c r="AM185" t="s">
        <v>380</v>
      </c>
      <c r="AN185" t="s">
        <v>254</v>
      </c>
      <c r="AO185" t="s">
        <v>257</v>
      </c>
      <c r="AP185" t="s">
        <v>917</v>
      </c>
      <c r="AQ185" t="s">
        <v>231</v>
      </c>
      <c r="AR185" t="s">
        <v>1082</v>
      </c>
      <c r="AS185" t="s">
        <v>1037</v>
      </c>
      <c r="AT185" t="s">
        <v>1083</v>
      </c>
      <c r="AU185" t="s">
        <v>974</v>
      </c>
      <c r="AV185" t="s">
        <v>1031</v>
      </c>
      <c r="AW185" t="s">
        <v>232</v>
      </c>
      <c r="AX185" t="s">
        <v>322</v>
      </c>
      <c r="AY185" t="s">
        <v>785</v>
      </c>
      <c r="AZ185" t="s">
        <v>293</v>
      </c>
      <c r="BA185" t="s">
        <v>977</v>
      </c>
      <c r="BB185" t="s">
        <v>756</v>
      </c>
      <c r="BC185" t="s">
        <v>757</v>
      </c>
      <c r="BD185" t="s">
        <v>233</v>
      </c>
      <c r="BE185" t="s">
        <v>2339</v>
      </c>
      <c r="BF185" t="s">
        <v>234</v>
      </c>
      <c r="BG185" t="s">
        <v>381</v>
      </c>
      <c r="BH185" t="s">
        <v>379</v>
      </c>
      <c r="BI185" t="s">
        <v>235</v>
      </c>
      <c r="BJ185" t="s">
        <v>382</v>
      </c>
      <c r="BK185" t="s">
        <v>1099</v>
      </c>
      <c r="BL185" t="s">
        <v>780</v>
      </c>
      <c r="BM185" t="s">
        <v>957</v>
      </c>
      <c r="BN185" t="s">
        <v>1153</v>
      </c>
      <c r="BO185" t="s">
        <v>918</v>
      </c>
      <c r="BP185" t="s">
        <v>950</v>
      </c>
      <c r="BQ185" t="s">
        <v>913</v>
      </c>
      <c r="BR185" t="s">
        <v>1041</v>
      </c>
      <c r="BS185" t="s">
        <v>1200</v>
      </c>
      <c r="BT185" t="s">
        <v>2379</v>
      </c>
      <c r="BU185" t="s">
        <v>239</v>
      </c>
      <c r="BV185" t="s">
        <v>241</v>
      </c>
      <c r="BW185" t="s">
        <v>805</v>
      </c>
      <c r="BX185" t="s">
        <v>806</v>
      </c>
    </row>
    <row r="186" spans="1:95">
      <c r="A186" s="40">
        <v>174</v>
      </c>
      <c r="B186" s="40" t="s">
        <v>1285</v>
      </c>
      <c r="C186" s="2" t="s">
        <v>1286</v>
      </c>
      <c r="D186" s="2" t="s">
        <v>24</v>
      </c>
      <c r="E186" s="2" t="s">
        <v>894</v>
      </c>
      <c r="F186" s="2">
        <v>90</v>
      </c>
      <c r="G186" s="2">
        <v>30</v>
      </c>
      <c r="H186" s="2">
        <v>15</v>
      </c>
      <c r="I186" s="2">
        <v>40</v>
      </c>
      <c r="J186" s="2">
        <v>20</v>
      </c>
      <c r="K186" s="2">
        <v>15</v>
      </c>
      <c r="L186" s="2">
        <v>210</v>
      </c>
      <c r="M186" s="2" t="s">
        <v>1162</v>
      </c>
      <c r="N186" s="2" t="s">
        <v>1061</v>
      </c>
      <c r="O186" t="s">
        <v>377</v>
      </c>
      <c r="P186" t="s">
        <v>781</v>
      </c>
      <c r="Q186" t="s">
        <v>353</v>
      </c>
      <c r="R186" t="s">
        <v>376</v>
      </c>
      <c r="S186" t="s">
        <v>782</v>
      </c>
      <c r="T186" t="s">
        <v>964</v>
      </c>
      <c r="U186" t="s">
        <v>1062</v>
      </c>
      <c r="V186" t="s">
        <v>1063</v>
      </c>
      <c r="W186" t="s">
        <v>148</v>
      </c>
      <c r="X186" t="s">
        <v>172</v>
      </c>
      <c r="Y186" t="s">
        <v>752</v>
      </c>
      <c r="Z186" t="s">
        <v>228</v>
      </c>
      <c r="AA186" t="s">
        <v>1078</v>
      </c>
      <c r="AB186" t="s">
        <v>766</v>
      </c>
      <c r="AC186" t="s">
        <v>759</v>
      </c>
      <c r="AD186" t="s">
        <v>1079</v>
      </c>
      <c r="AE186" t="s">
        <v>229</v>
      </c>
      <c r="AF186" t="s">
        <v>1080</v>
      </c>
      <c r="AG186" t="s">
        <v>256</v>
      </c>
      <c r="AH186" t="s">
        <v>9</v>
      </c>
      <c r="AI186" t="s">
        <v>174</v>
      </c>
      <c r="AJ186" t="s">
        <v>230</v>
      </c>
      <c r="AK186" t="s">
        <v>380</v>
      </c>
      <c r="AL186" t="s">
        <v>254</v>
      </c>
      <c r="AM186" t="s">
        <v>257</v>
      </c>
      <c r="AN186" t="s">
        <v>917</v>
      </c>
      <c r="AO186" t="s">
        <v>231</v>
      </c>
      <c r="AP186" t="s">
        <v>1082</v>
      </c>
      <c r="AQ186" t="s">
        <v>1037</v>
      </c>
      <c r="AR186" t="s">
        <v>1083</v>
      </c>
      <c r="AS186" t="s">
        <v>974</v>
      </c>
      <c r="AT186" t="s">
        <v>1031</v>
      </c>
      <c r="AU186" t="s">
        <v>232</v>
      </c>
      <c r="AV186" t="s">
        <v>322</v>
      </c>
      <c r="AW186" t="s">
        <v>785</v>
      </c>
      <c r="AX186" t="s">
        <v>293</v>
      </c>
      <c r="AY186" t="s">
        <v>977</v>
      </c>
      <c r="AZ186" t="s">
        <v>756</v>
      </c>
      <c r="BA186" t="s">
        <v>757</v>
      </c>
      <c r="BB186" t="s">
        <v>233</v>
      </c>
      <c r="BC186" t="s">
        <v>1047</v>
      </c>
      <c r="BD186" t="s">
        <v>2339</v>
      </c>
      <c r="BE186" t="s">
        <v>234</v>
      </c>
      <c r="BF186" t="s">
        <v>774</v>
      </c>
      <c r="BG186" t="s">
        <v>786</v>
      </c>
      <c r="BH186" t="s">
        <v>757</v>
      </c>
      <c r="BI186" t="s">
        <v>780</v>
      </c>
      <c r="BJ186" t="s">
        <v>957</v>
      </c>
      <c r="BK186" t="s">
        <v>918</v>
      </c>
      <c r="BL186" t="s">
        <v>913</v>
      </c>
      <c r="BM186" t="s">
        <v>978</v>
      </c>
      <c r="BN186" t="s">
        <v>1001</v>
      </c>
      <c r="BO186" t="s">
        <v>986</v>
      </c>
      <c r="BP186" t="s">
        <v>962</v>
      </c>
      <c r="BQ186" t="s">
        <v>1200</v>
      </c>
      <c r="BR186" t="s">
        <v>2379</v>
      </c>
      <c r="BS186" t="s">
        <v>239</v>
      </c>
      <c r="BT186" t="s">
        <v>241</v>
      </c>
      <c r="BU186" t="s">
        <v>805</v>
      </c>
      <c r="BV186" t="s">
        <v>806</v>
      </c>
    </row>
    <row r="187" spans="1:95">
      <c r="A187" s="40">
        <v>175</v>
      </c>
      <c r="B187" s="40" t="s">
        <v>1287</v>
      </c>
      <c r="C187" s="2" t="s">
        <v>1288</v>
      </c>
      <c r="D187" s="2" t="s">
        <v>894</v>
      </c>
      <c r="E187" s="2"/>
      <c r="F187" s="2">
        <v>35</v>
      </c>
      <c r="G187" s="2">
        <v>20</v>
      </c>
      <c r="H187" s="2">
        <v>65</v>
      </c>
      <c r="I187" s="2">
        <v>40</v>
      </c>
      <c r="J187" s="2">
        <v>65</v>
      </c>
      <c r="K187" s="2">
        <v>20</v>
      </c>
      <c r="L187" s="2">
        <v>245</v>
      </c>
      <c r="M187" s="2" t="s">
        <v>1158</v>
      </c>
      <c r="N187" s="2" t="s">
        <v>1061</v>
      </c>
      <c r="O187" t="s">
        <v>220</v>
      </c>
      <c r="P187" t="s">
        <v>781</v>
      </c>
      <c r="Q187" t="s">
        <v>379</v>
      </c>
      <c r="R187" t="s">
        <v>782</v>
      </c>
      <c r="S187" t="s">
        <v>958</v>
      </c>
      <c r="T187" t="s">
        <v>779</v>
      </c>
      <c r="U187" t="s">
        <v>921</v>
      </c>
      <c r="V187" t="s">
        <v>1139</v>
      </c>
      <c r="W187" t="s">
        <v>957</v>
      </c>
      <c r="X187" t="s">
        <v>170</v>
      </c>
      <c r="Y187" t="s">
        <v>759</v>
      </c>
      <c r="Z187" t="s">
        <v>788</v>
      </c>
      <c r="AA187" t="s">
        <v>225</v>
      </c>
      <c r="AB187" t="s">
        <v>986</v>
      </c>
      <c r="AC187" t="s">
        <v>1150</v>
      </c>
      <c r="AD187" t="s">
        <v>1062</v>
      </c>
      <c r="AE187" t="s">
        <v>1063</v>
      </c>
      <c r="AF187" t="s">
        <v>1151</v>
      </c>
      <c r="AG187" t="s">
        <v>148</v>
      </c>
      <c r="AH187" t="s">
        <v>172</v>
      </c>
      <c r="AI187" t="s">
        <v>752</v>
      </c>
      <c r="AJ187" t="s">
        <v>228</v>
      </c>
      <c r="AK187" t="s">
        <v>1078</v>
      </c>
      <c r="AL187" t="s">
        <v>766</v>
      </c>
      <c r="AM187" t="s">
        <v>759</v>
      </c>
      <c r="AN187" t="s">
        <v>1079</v>
      </c>
      <c r="AO187" t="s">
        <v>229</v>
      </c>
      <c r="AP187" t="s">
        <v>1080</v>
      </c>
      <c r="AQ187" t="s">
        <v>9</v>
      </c>
      <c r="AR187" t="s">
        <v>174</v>
      </c>
      <c r="AS187" t="s">
        <v>230</v>
      </c>
      <c r="AT187" t="s">
        <v>380</v>
      </c>
      <c r="AU187" t="s">
        <v>254</v>
      </c>
      <c r="AV187" t="s">
        <v>257</v>
      </c>
      <c r="AW187" t="s">
        <v>917</v>
      </c>
      <c r="AX187" t="s">
        <v>231</v>
      </c>
      <c r="AY187" t="s">
        <v>1082</v>
      </c>
      <c r="AZ187" t="s">
        <v>1037</v>
      </c>
      <c r="BA187" t="s">
        <v>1083</v>
      </c>
      <c r="BB187" t="s">
        <v>974</v>
      </c>
      <c r="BC187" t="s">
        <v>1031</v>
      </c>
      <c r="BD187" t="s">
        <v>232</v>
      </c>
      <c r="BE187" t="s">
        <v>322</v>
      </c>
      <c r="BF187" t="s">
        <v>785</v>
      </c>
      <c r="BG187" t="s">
        <v>293</v>
      </c>
      <c r="BH187" t="s">
        <v>977</v>
      </c>
      <c r="BI187" t="s">
        <v>756</v>
      </c>
      <c r="BJ187" t="s">
        <v>757</v>
      </c>
      <c r="BK187" t="s">
        <v>233</v>
      </c>
      <c r="BL187" t="s">
        <v>760</v>
      </c>
      <c r="BM187" t="s">
        <v>2342</v>
      </c>
      <c r="BN187" t="s">
        <v>2339</v>
      </c>
      <c r="BO187" t="s">
        <v>234</v>
      </c>
      <c r="BP187" t="s">
        <v>329</v>
      </c>
      <c r="BQ187" t="s">
        <v>311</v>
      </c>
      <c r="BR187" t="s">
        <v>771</v>
      </c>
      <c r="BS187" t="s">
        <v>780</v>
      </c>
      <c r="BT187" t="s">
        <v>1164</v>
      </c>
      <c r="BU187" t="s">
        <v>790</v>
      </c>
      <c r="BV187" t="s">
        <v>940</v>
      </c>
      <c r="BW187" t="s">
        <v>1154</v>
      </c>
      <c r="BX187" t="s">
        <v>1262</v>
      </c>
      <c r="BY187" t="s">
        <v>987</v>
      </c>
      <c r="BZ187" t="s">
        <v>991</v>
      </c>
      <c r="CA187" t="s">
        <v>1041</v>
      </c>
      <c r="CB187" t="s">
        <v>239</v>
      </c>
      <c r="CC187" t="s">
        <v>241</v>
      </c>
      <c r="CD187" t="s">
        <v>805</v>
      </c>
      <c r="CE187" t="s">
        <v>806</v>
      </c>
    </row>
    <row r="188" spans="1:95">
      <c r="A188" s="40">
        <v>176</v>
      </c>
      <c r="B188" s="40" t="s">
        <v>1289</v>
      </c>
      <c r="C188" s="2" t="s">
        <v>1290</v>
      </c>
      <c r="D188" s="2" t="s">
        <v>894</v>
      </c>
      <c r="E188" s="2" t="s">
        <v>20</v>
      </c>
      <c r="F188" s="2">
        <v>55</v>
      </c>
      <c r="G188" s="2">
        <v>40</v>
      </c>
      <c r="H188" s="2">
        <v>85</v>
      </c>
      <c r="I188" s="2">
        <v>80</v>
      </c>
      <c r="J188" s="2">
        <v>105</v>
      </c>
      <c r="K188" s="2">
        <v>40</v>
      </c>
      <c r="L188" s="2">
        <v>405</v>
      </c>
      <c r="M188" s="2" t="s">
        <v>1255</v>
      </c>
      <c r="N188" s="2" t="s">
        <v>1061</v>
      </c>
      <c r="O188" t="s">
        <v>220</v>
      </c>
      <c r="P188" t="s">
        <v>379</v>
      </c>
      <c r="Q188" t="s">
        <v>782</v>
      </c>
      <c r="R188" t="s">
        <v>781</v>
      </c>
      <c r="S188" t="s">
        <v>930</v>
      </c>
      <c r="T188" t="s">
        <v>379</v>
      </c>
      <c r="U188" t="s">
        <v>782</v>
      </c>
      <c r="V188" t="s">
        <v>958</v>
      </c>
      <c r="W188" t="s">
        <v>2354</v>
      </c>
      <c r="X188" t="s">
        <v>779</v>
      </c>
      <c r="Y188" t="s">
        <v>921</v>
      </c>
      <c r="Z188" t="s">
        <v>1139</v>
      </c>
      <c r="AA188" t="s">
        <v>957</v>
      </c>
      <c r="AB188" t="s">
        <v>170</v>
      </c>
      <c r="AC188" t="s">
        <v>759</v>
      </c>
      <c r="AD188" t="s">
        <v>788</v>
      </c>
      <c r="AE188" t="s">
        <v>225</v>
      </c>
      <c r="AF188" t="s">
        <v>986</v>
      </c>
      <c r="AG188" t="s">
        <v>1150</v>
      </c>
      <c r="AH188" t="s">
        <v>1062</v>
      </c>
      <c r="AI188" t="s">
        <v>138</v>
      </c>
      <c r="AJ188" t="s">
        <v>1063</v>
      </c>
      <c r="AK188" t="s">
        <v>1151</v>
      </c>
      <c r="AL188" t="s">
        <v>148</v>
      </c>
      <c r="AM188" t="s">
        <v>172</v>
      </c>
      <c r="AN188" t="s">
        <v>752</v>
      </c>
      <c r="AO188" t="s">
        <v>247</v>
      </c>
      <c r="AP188" t="s">
        <v>228</v>
      </c>
      <c r="AQ188" t="s">
        <v>1078</v>
      </c>
      <c r="AR188" t="s">
        <v>766</v>
      </c>
      <c r="AS188" t="s">
        <v>1119</v>
      </c>
      <c r="AT188" t="s">
        <v>759</v>
      </c>
      <c r="AU188" t="s">
        <v>1079</v>
      </c>
      <c r="AV188" t="s">
        <v>229</v>
      </c>
      <c r="AW188" t="s">
        <v>1080</v>
      </c>
      <c r="AX188" t="s">
        <v>9</v>
      </c>
      <c r="AY188" t="s">
        <v>174</v>
      </c>
      <c r="AZ188" t="s">
        <v>1094</v>
      </c>
      <c r="BA188" t="s">
        <v>230</v>
      </c>
      <c r="BB188" t="s">
        <v>380</v>
      </c>
      <c r="BC188" t="s">
        <v>254</v>
      </c>
      <c r="BD188" t="s">
        <v>257</v>
      </c>
      <c r="BE188" t="s">
        <v>1096</v>
      </c>
      <c r="BF188" t="s">
        <v>917</v>
      </c>
      <c r="BG188" t="s">
        <v>231</v>
      </c>
      <c r="BH188" t="s">
        <v>1082</v>
      </c>
      <c r="BI188" t="s">
        <v>1037</v>
      </c>
      <c r="BJ188" t="s">
        <v>1083</v>
      </c>
      <c r="BK188" t="s">
        <v>1125</v>
      </c>
      <c r="BL188" t="s">
        <v>974</v>
      </c>
      <c r="BM188" t="s">
        <v>1031</v>
      </c>
      <c r="BN188" t="s">
        <v>1036</v>
      </c>
      <c r="BO188" t="s">
        <v>976</v>
      </c>
      <c r="BP188" t="s">
        <v>232</v>
      </c>
      <c r="BQ188" t="s">
        <v>322</v>
      </c>
      <c r="BR188" t="s">
        <v>785</v>
      </c>
      <c r="BS188" t="s">
        <v>293</v>
      </c>
      <c r="BT188" t="s">
        <v>977</v>
      </c>
      <c r="BU188" t="s">
        <v>756</v>
      </c>
      <c r="BV188" t="s">
        <v>757</v>
      </c>
      <c r="BW188" t="s">
        <v>233</v>
      </c>
      <c r="BX188" t="s">
        <v>760</v>
      </c>
      <c r="BY188" t="s">
        <v>2342</v>
      </c>
      <c r="BZ188" t="s">
        <v>2339</v>
      </c>
      <c r="CA188" t="s">
        <v>234</v>
      </c>
      <c r="CB188" t="s">
        <v>329</v>
      </c>
      <c r="CC188" t="s">
        <v>311</v>
      </c>
      <c r="CD188" t="s">
        <v>771</v>
      </c>
      <c r="CE188" t="s">
        <v>780</v>
      </c>
      <c r="CF188" t="s">
        <v>1164</v>
      </c>
      <c r="CG188" t="s">
        <v>790</v>
      </c>
      <c r="CH188" t="s">
        <v>940</v>
      </c>
      <c r="CI188" t="s">
        <v>1154</v>
      </c>
      <c r="CJ188" t="s">
        <v>1262</v>
      </c>
      <c r="CK188" t="s">
        <v>987</v>
      </c>
      <c r="CL188" t="s">
        <v>991</v>
      </c>
      <c r="CM188" t="s">
        <v>1041</v>
      </c>
      <c r="CN188" t="s">
        <v>239</v>
      </c>
      <c r="CO188" t="s">
        <v>241</v>
      </c>
      <c r="CP188" t="s">
        <v>805</v>
      </c>
      <c r="CQ188" t="s">
        <v>806</v>
      </c>
    </row>
    <row r="189" spans="1:95">
      <c r="A189" s="40">
        <v>177</v>
      </c>
      <c r="B189" s="40" t="s">
        <v>1291</v>
      </c>
      <c r="C189" s="2" t="s">
        <v>1292</v>
      </c>
      <c r="D189" s="2" t="s">
        <v>9</v>
      </c>
      <c r="E189" s="2" t="s">
        <v>20</v>
      </c>
      <c r="F189" s="2">
        <v>40</v>
      </c>
      <c r="G189" s="2">
        <v>50</v>
      </c>
      <c r="H189" s="2">
        <v>45</v>
      </c>
      <c r="I189" s="2">
        <v>70</v>
      </c>
      <c r="J189" s="2">
        <v>45</v>
      </c>
      <c r="K189" s="2">
        <v>70</v>
      </c>
      <c r="L189" s="2">
        <v>320</v>
      </c>
      <c r="M189" s="2" t="s">
        <v>1137</v>
      </c>
      <c r="N189" s="2" t="s">
        <v>1061</v>
      </c>
      <c r="O189" t="s">
        <v>330</v>
      </c>
      <c r="P189" t="s">
        <v>329</v>
      </c>
      <c r="Q189" t="s">
        <v>528</v>
      </c>
      <c r="R189" t="s">
        <v>454</v>
      </c>
      <c r="S189" t="s">
        <v>987</v>
      </c>
      <c r="T189" t="s">
        <v>1184</v>
      </c>
      <c r="U189" t="s">
        <v>989</v>
      </c>
      <c r="V189" t="s">
        <v>387</v>
      </c>
      <c r="W189" t="s">
        <v>957</v>
      </c>
      <c r="X189" t="s">
        <v>1262</v>
      </c>
      <c r="Y189" t="s">
        <v>790</v>
      </c>
      <c r="Z189" t="s">
        <v>1041</v>
      </c>
      <c r="AA189" t="s">
        <v>994</v>
      </c>
      <c r="AB189" t="s">
        <v>998</v>
      </c>
      <c r="AC189" t="s">
        <v>1183</v>
      </c>
      <c r="AD189" t="s">
        <v>9</v>
      </c>
      <c r="AE189" t="s">
        <v>1062</v>
      </c>
      <c r="AF189" t="s">
        <v>1063</v>
      </c>
      <c r="AG189" t="s">
        <v>1151</v>
      </c>
      <c r="AH189" t="s">
        <v>912</v>
      </c>
      <c r="AI189" t="s">
        <v>148</v>
      </c>
      <c r="AJ189" t="s">
        <v>172</v>
      </c>
      <c r="AK189" t="s">
        <v>752</v>
      </c>
      <c r="AL189" t="s">
        <v>228</v>
      </c>
      <c r="AM189" t="s">
        <v>1078</v>
      </c>
      <c r="AN189" t="s">
        <v>766</v>
      </c>
      <c r="AO189" t="s">
        <v>1119</v>
      </c>
      <c r="AP189" t="s">
        <v>1079</v>
      </c>
      <c r="AQ189" t="s">
        <v>229</v>
      </c>
      <c r="AR189" t="s">
        <v>1080</v>
      </c>
      <c r="AS189" t="s">
        <v>9</v>
      </c>
      <c r="AT189" t="s">
        <v>174</v>
      </c>
      <c r="AU189" t="s">
        <v>230</v>
      </c>
      <c r="AV189" t="s">
        <v>380</v>
      </c>
      <c r="AW189" t="s">
        <v>1096</v>
      </c>
      <c r="AX189" t="s">
        <v>917</v>
      </c>
      <c r="AY189" t="s">
        <v>231</v>
      </c>
      <c r="AZ189" t="s">
        <v>1082</v>
      </c>
      <c r="BA189" t="s">
        <v>1117</v>
      </c>
      <c r="BB189" t="s">
        <v>1037</v>
      </c>
      <c r="BC189" t="s">
        <v>1125</v>
      </c>
      <c r="BD189" t="s">
        <v>232</v>
      </c>
      <c r="BE189" t="s">
        <v>322</v>
      </c>
      <c r="BF189" t="s">
        <v>785</v>
      </c>
      <c r="BG189" t="s">
        <v>293</v>
      </c>
      <c r="BH189" t="s">
        <v>977</v>
      </c>
      <c r="BI189" t="s">
        <v>756</v>
      </c>
      <c r="BJ189" t="s">
        <v>757</v>
      </c>
      <c r="BK189" t="s">
        <v>1014</v>
      </c>
      <c r="BL189" t="s">
        <v>233</v>
      </c>
      <c r="BM189" t="s">
        <v>1012</v>
      </c>
      <c r="BN189" t="s">
        <v>2342</v>
      </c>
      <c r="BO189" t="s">
        <v>2339</v>
      </c>
      <c r="BP189" t="s">
        <v>234</v>
      </c>
      <c r="BQ189" t="s">
        <v>331</v>
      </c>
      <c r="BR189" t="s">
        <v>310</v>
      </c>
      <c r="BS189" t="s">
        <v>272</v>
      </c>
      <c r="BT189" t="s">
        <v>774</v>
      </c>
      <c r="BU189" t="s">
        <v>1125</v>
      </c>
      <c r="BV189" t="s">
        <v>941</v>
      </c>
      <c r="BW189" t="s">
        <v>1106</v>
      </c>
      <c r="BX189" t="s">
        <v>1121</v>
      </c>
      <c r="BY189" t="s">
        <v>1119</v>
      </c>
      <c r="BZ189" t="s">
        <v>1008</v>
      </c>
      <c r="CA189" t="s">
        <v>1019</v>
      </c>
      <c r="CB189" t="s">
        <v>1043</v>
      </c>
      <c r="CC189" t="s">
        <v>1477</v>
      </c>
      <c r="CD189" t="s">
        <v>239</v>
      </c>
      <c r="CE189" t="s">
        <v>241</v>
      </c>
      <c r="CF189" t="s">
        <v>805</v>
      </c>
      <c r="CG189" t="s">
        <v>806</v>
      </c>
    </row>
    <row r="190" spans="1:95">
      <c r="A190" s="40">
        <v>178</v>
      </c>
      <c r="B190" s="40" t="s">
        <v>1293</v>
      </c>
      <c r="C190" s="2" t="s">
        <v>1294</v>
      </c>
      <c r="D190" s="2" t="s">
        <v>9</v>
      </c>
      <c r="E190" s="2" t="s">
        <v>20</v>
      </c>
      <c r="F190" s="2">
        <v>65</v>
      </c>
      <c r="G190" s="2">
        <v>75</v>
      </c>
      <c r="H190" s="2">
        <v>70</v>
      </c>
      <c r="I190" s="2">
        <v>95</v>
      </c>
      <c r="J190" s="2">
        <v>70</v>
      </c>
      <c r="K190" s="2">
        <v>95</v>
      </c>
      <c r="L190" s="2">
        <v>470</v>
      </c>
      <c r="M190" s="2" t="s">
        <v>1173</v>
      </c>
      <c r="N190" s="2" t="s">
        <v>1061</v>
      </c>
      <c r="O190" t="s">
        <v>330</v>
      </c>
      <c r="P190" t="s">
        <v>329</v>
      </c>
      <c r="Q190" t="s">
        <v>528</v>
      </c>
      <c r="R190" t="s">
        <v>454</v>
      </c>
      <c r="S190" t="s">
        <v>987</v>
      </c>
      <c r="T190" t="s">
        <v>1184</v>
      </c>
      <c r="U190" t="s">
        <v>989</v>
      </c>
      <c r="V190" t="s">
        <v>387</v>
      </c>
      <c r="W190" t="s">
        <v>1009</v>
      </c>
      <c r="X190" t="s">
        <v>957</v>
      </c>
      <c r="Y190" t="s">
        <v>1262</v>
      </c>
      <c r="Z190" t="s">
        <v>790</v>
      </c>
      <c r="AA190" t="s">
        <v>1041</v>
      </c>
      <c r="AB190" t="s">
        <v>998</v>
      </c>
      <c r="AC190" t="s">
        <v>994</v>
      </c>
      <c r="AD190" t="s">
        <v>1183</v>
      </c>
      <c r="AE190" t="s">
        <v>9</v>
      </c>
      <c r="AF190" t="s">
        <v>1062</v>
      </c>
      <c r="AG190" t="s">
        <v>138</v>
      </c>
      <c r="AH190" t="s">
        <v>1063</v>
      </c>
      <c r="AI190" t="s">
        <v>1151</v>
      </c>
      <c r="AJ190" t="s">
        <v>912</v>
      </c>
      <c r="AK190" t="s">
        <v>148</v>
      </c>
      <c r="AL190" t="s">
        <v>172</v>
      </c>
      <c r="AM190" t="s">
        <v>752</v>
      </c>
      <c r="AN190" t="s">
        <v>247</v>
      </c>
      <c r="AO190" t="s">
        <v>228</v>
      </c>
      <c r="AP190" t="s">
        <v>1078</v>
      </c>
      <c r="AQ190" t="s">
        <v>766</v>
      </c>
      <c r="AR190" t="s">
        <v>1119</v>
      </c>
      <c r="AS190" t="s">
        <v>1079</v>
      </c>
      <c r="AT190" t="s">
        <v>229</v>
      </c>
      <c r="AU190" t="s">
        <v>1080</v>
      </c>
      <c r="AV190" t="s">
        <v>9</v>
      </c>
      <c r="AW190" t="s">
        <v>174</v>
      </c>
      <c r="AX190" t="s">
        <v>230</v>
      </c>
      <c r="AY190" t="s">
        <v>380</v>
      </c>
      <c r="AZ190" t="s">
        <v>1096</v>
      </c>
      <c r="BA190" t="s">
        <v>917</v>
      </c>
      <c r="BB190" t="s">
        <v>231</v>
      </c>
      <c r="BC190" t="s">
        <v>1082</v>
      </c>
      <c r="BD190" t="s">
        <v>1117</v>
      </c>
      <c r="BE190" t="s">
        <v>1037</v>
      </c>
      <c r="BF190" t="s">
        <v>1125</v>
      </c>
      <c r="BG190" t="s">
        <v>976</v>
      </c>
      <c r="BH190" t="s">
        <v>232</v>
      </c>
      <c r="BI190" t="s">
        <v>322</v>
      </c>
      <c r="BJ190" t="s">
        <v>785</v>
      </c>
      <c r="BK190" t="s">
        <v>293</v>
      </c>
      <c r="BL190" t="s">
        <v>977</v>
      </c>
      <c r="BM190" t="s">
        <v>756</v>
      </c>
      <c r="BN190" t="s">
        <v>757</v>
      </c>
      <c r="BO190" t="s">
        <v>1014</v>
      </c>
      <c r="BP190" t="s">
        <v>233</v>
      </c>
      <c r="BQ190" t="s">
        <v>1012</v>
      </c>
      <c r="BR190" t="s">
        <v>2342</v>
      </c>
      <c r="BS190" t="s">
        <v>2339</v>
      </c>
      <c r="BT190" t="s">
        <v>234</v>
      </c>
      <c r="BU190" t="s">
        <v>331</v>
      </c>
      <c r="BV190" t="s">
        <v>310</v>
      </c>
      <c r="BW190" t="s">
        <v>272</v>
      </c>
      <c r="BX190" t="s">
        <v>774</v>
      </c>
      <c r="BY190" t="s">
        <v>1125</v>
      </c>
      <c r="BZ190" t="s">
        <v>941</v>
      </c>
      <c r="CA190" t="s">
        <v>1106</v>
      </c>
      <c r="CB190" t="s">
        <v>1121</v>
      </c>
      <c r="CC190" t="s">
        <v>1119</v>
      </c>
      <c r="CD190" t="s">
        <v>1008</v>
      </c>
      <c r="CE190" t="s">
        <v>1019</v>
      </c>
      <c r="CF190" t="s">
        <v>1043</v>
      </c>
      <c r="CG190" t="s">
        <v>1477</v>
      </c>
      <c r="CH190" t="s">
        <v>239</v>
      </c>
      <c r="CI190" t="s">
        <v>241</v>
      </c>
      <c r="CJ190" t="s">
        <v>805</v>
      </c>
      <c r="CK190" t="s">
        <v>806</v>
      </c>
    </row>
    <row r="191" spans="1:95">
      <c r="A191" s="40">
        <v>179</v>
      </c>
      <c r="B191" s="40" t="s">
        <v>1295</v>
      </c>
      <c r="C191" s="2" t="s">
        <v>1296</v>
      </c>
      <c r="D191" s="2" t="s">
        <v>17</v>
      </c>
      <c r="E191" s="2"/>
      <c r="F191" s="2">
        <v>55</v>
      </c>
      <c r="G191" s="2">
        <v>40</v>
      </c>
      <c r="H191" s="2">
        <v>40</v>
      </c>
      <c r="I191" s="2">
        <v>65</v>
      </c>
      <c r="J191" s="2">
        <v>45</v>
      </c>
      <c r="K191" s="2">
        <v>35</v>
      </c>
      <c r="L191" s="2">
        <v>280</v>
      </c>
      <c r="M191" s="2" t="s">
        <v>1188</v>
      </c>
      <c r="N191" s="2" t="s">
        <v>1061</v>
      </c>
      <c r="O191" t="s">
        <v>219</v>
      </c>
      <c r="P191" t="s">
        <v>220</v>
      </c>
      <c r="Q191" t="s">
        <v>322</v>
      </c>
      <c r="R191" t="s">
        <v>346</v>
      </c>
      <c r="S191" t="s">
        <v>1297</v>
      </c>
      <c r="T191" t="s">
        <v>1140</v>
      </c>
      <c r="U191" t="s">
        <v>223</v>
      </c>
      <c r="V191" t="s">
        <v>1023</v>
      </c>
      <c r="W191" t="s">
        <v>387</v>
      </c>
      <c r="X191" t="s">
        <v>1169</v>
      </c>
      <c r="Y191" t="s">
        <v>1138</v>
      </c>
      <c r="Z191" t="s">
        <v>1298</v>
      </c>
      <c r="AA191" t="s">
        <v>216</v>
      </c>
      <c r="AB191" t="s">
        <v>228</v>
      </c>
      <c r="AC191" t="s">
        <v>321</v>
      </c>
      <c r="AD191" t="s">
        <v>1062</v>
      </c>
      <c r="AE191" t="s">
        <v>1063</v>
      </c>
      <c r="AF191" t="s">
        <v>148</v>
      </c>
      <c r="AG191" t="s">
        <v>172</v>
      </c>
      <c r="AH191" t="s">
        <v>228</v>
      </c>
      <c r="AI191" t="s">
        <v>1078</v>
      </c>
      <c r="AJ191" t="s">
        <v>766</v>
      </c>
      <c r="AK191" t="s">
        <v>759</v>
      </c>
      <c r="AL191" t="s">
        <v>1079</v>
      </c>
      <c r="AM191" t="s">
        <v>146</v>
      </c>
      <c r="AN191" t="s">
        <v>321</v>
      </c>
      <c r="AO191" t="s">
        <v>1080</v>
      </c>
      <c r="AP191" t="s">
        <v>230</v>
      </c>
      <c r="AQ191" t="s">
        <v>917</v>
      </c>
      <c r="AR191" t="s">
        <v>231</v>
      </c>
      <c r="AS191" t="s">
        <v>1082</v>
      </c>
      <c r="AT191" t="s">
        <v>1037</v>
      </c>
      <c r="AU191" t="s">
        <v>1083</v>
      </c>
      <c r="AV191" t="s">
        <v>963</v>
      </c>
      <c r="AW191" t="s">
        <v>232</v>
      </c>
      <c r="AX191" t="s">
        <v>322</v>
      </c>
      <c r="AY191" t="s">
        <v>756</v>
      </c>
      <c r="AZ191" t="s">
        <v>757</v>
      </c>
      <c r="BA191" t="s">
        <v>233</v>
      </c>
      <c r="BB191" t="s">
        <v>1047</v>
      </c>
      <c r="BC191" t="s">
        <v>2339</v>
      </c>
      <c r="BD191" t="s">
        <v>234</v>
      </c>
      <c r="BE191" t="s">
        <v>309</v>
      </c>
      <c r="BF191" t="s">
        <v>364</v>
      </c>
      <c r="BG191" t="s">
        <v>223</v>
      </c>
      <c r="BH191" t="s">
        <v>306</v>
      </c>
      <c r="BI191" t="s">
        <v>324</v>
      </c>
      <c r="BJ191" t="s">
        <v>761</v>
      </c>
      <c r="BK191" t="s">
        <v>919</v>
      </c>
      <c r="BL191" t="s">
        <v>1140</v>
      </c>
      <c r="BM191" t="s">
        <v>934</v>
      </c>
      <c r="BN191" t="s">
        <v>1150</v>
      </c>
      <c r="BO191" t="s">
        <v>2348</v>
      </c>
      <c r="BP191" t="s">
        <v>2346</v>
      </c>
      <c r="BQ191" t="s">
        <v>239</v>
      </c>
      <c r="BR191" t="s">
        <v>241</v>
      </c>
      <c r="BS191" t="s">
        <v>805</v>
      </c>
      <c r="BT191" t="s">
        <v>806</v>
      </c>
    </row>
    <row r="192" spans="1:95">
      <c r="A192" s="40">
        <v>180</v>
      </c>
      <c r="B192" s="40" t="s">
        <v>1299</v>
      </c>
      <c r="C192" s="2" t="s">
        <v>1300</v>
      </c>
      <c r="D192" s="2" t="s">
        <v>17</v>
      </c>
      <c r="E192" s="2"/>
      <c r="F192" s="2">
        <v>70</v>
      </c>
      <c r="G192" s="2">
        <v>55</v>
      </c>
      <c r="H192" s="2">
        <v>55</v>
      </c>
      <c r="I192" s="2">
        <v>80</v>
      </c>
      <c r="J192" s="2">
        <v>60</v>
      </c>
      <c r="K192" s="2">
        <v>45</v>
      </c>
      <c r="L192" s="2">
        <v>365</v>
      </c>
      <c r="M192" s="2" t="s">
        <v>1091</v>
      </c>
      <c r="N192" s="2" t="s">
        <v>1061</v>
      </c>
      <c r="O192" t="s">
        <v>219</v>
      </c>
      <c r="P192" t="s">
        <v>220</v>
      </c>
      <c r="Q192" t="s">
        <v>346</v>
      </c>
      <c r="R192" t="s">
        <v>322</v>
      </c>
      <c r="S192" t="s">
        <v>322</v>
      </c>
      <c r="T192" t="s">
        <v>346</v>
      </c>
      <c r="U192" t="s">
        <v>1297</v>
      </c>
      <c r="V192" t="s">
        <v>1140</v>
      </c>
      <c r="W192" t="s">
        <v>223</v>
      </c>
      <c r="X192" t="s">
        <v>1023</v>
      </c>
      <c r="Y192" t="s">
        <v>387</v>
      </c>
      <c r="Z192" t="s">
        <v>1169</v>
      </c>
      <c r="AA192" t="s">
        <v>1138</v>
      </c>
      <c r="AB192" t="s">
        <v>1298</v>
      </c>
      <c r="AC192" t="s">
        <v>216</v>
      </c>
      <c r="AD192" t="s">
        <v>228</v>
      </c>
      <c r="AE192" t="s">
        <v>321</v>
      </c>
      <c r="AF192" t="s">
        <v>1062</v>
      </c>
      <c r="AG192" t="s">
        <v>227</v>
      </c>
      <c r="AH192" t="s">
        <v>1063</v>
      </c>
      <c r="AI192" t="s">
        <v>148</v>
      </c>
      <c r="AJ192" t="s">
        <v>172</v>
      </c>
      <c r="AK192" t="s">
        <v>228</v>
      </c>
      <c r="AL192" t="s">
        <v>1078</v>
      </c>
      <c r="AM192" t="s">
        <v>766</v>
      </c>
      <c r="AN192" t="s">
        <v>759</v>
      </c>
      <c r="AO192" t="s">
        <v>1079</v>
      </c>
      <c r="AP192" t="s">
        <v>146</v>
      </c>
      <c r="AQ192" t="s">
        <v>321</v>
      </c>
      <c r="AR192" t="s">
        <v>1080</v>
      </c>
      <c r="AS192" t="s">
        <v>1094</v>
      </c>
      <c r="AT192" t="s">
        <v>230</v>
      </c>
      <c r="AU192" t="s">
        <v>917</v>
      </c>
      <c r="AV192" t="s">
        <v>231</v>
      </c>
      <c r="AW192" t="s">
        <v>1082</v>
      </c>
      <c r="AX192" t="s">
        <v>1037</v>
      </c>
      <c r="AY192" t="s">
        <v>1083</v>
      </c>
      <c r="AZ192" t="s">
        <v>974</v>
      </c>
      <c r="BA192" t="s">
        <v>963</v>
      </c>
      <c r="BB192" t="s">
        <v>232</v>
      </c>
      <c r="BC192" t="s">
        <v>1045</v>
      </c>
      <c r="BD192" t="s">
        <v>322</v>
      </c>
      <c r="BE192" t="s">
        <v>756</v>
      </c>
      <c r="BF192" t="s">
        <v>757</v>
      </c>
      <c r="BG192" t="s">
        <v>233</v>
      </c>
      <c r="BH192" t="s">
        <v>1047</v>
      </c>
      <c r="BI192" t="s">
        <v>760</v>
      </c>
      <c r="BJ192" t="s">
        <v>2398</v>
      </c>
      <c r="BK192" t="s">
        <v>2339</v>
      </c>
      <c r="BL192" t="s">
        <v>234</v>
      </c>
      <c r="BM192" t="s">
        <v>309</v>
      </c>
      <c r="BN192" t="s">
        <v>364</v>
      </c>
      <c r="BO192" t="s">
        <v>223</v>
      </c>
      <c r="BP192" t="s">
        <v>306</v>
      </c>
      <c r="BQ192" t="s">
        <v>324</v>
      </c>
      <c r="BR192" t="s">
        <v>761</v>
      </c>
      <c r="BS192" t="s">
        <v>919</v>
      </c>
      <c r="BT192" t="s">
        <v>1140</v>
      </c>
      <c r="BU192" t="s">
        <v>934</v>
      </c>
      <c r="BV192" t="s">
        <v>1150</v>
      </c>
      <c r="BW192" t="s">
        <v>2348</v>
      </c>
      <c r="BX192" t="s">
        <v>2346</v>
      </c>
      <c r="BY192" t="s">
        <v>239</v>
      </c>
      <c r="BZ192" t="s">
        <v>241</v>
      </c>
      <c r="CA192" t="s">
        <v>805</v>
      </c>
      <c r="CB192" t="s">
        <v>806</v>
      </c>
    </row>
    <row r="193" spans="1:97">
      <c r="A193" s="40">
        <v>181</v>
      </c>
      <c r="B193" s="40" t="s">
        <v>1301</v>
      </c>
      <c r="C193" s="2" t="s">
        <v>1302</v>
      </c>
      <c r="D193" s="2" t="s">
        <v>17</v>
      </c>
      <c r="E193" s="2"/>
      <c r="F193" s="2">
        <v>90</v>
      </c>
      <c r="G193" s="2">
        <v>75</v>
      </c>
      <c r="H193" s="2">
        <v>75</v>
      </c>
      <c r="I193" s="2">
        <v>115</v>
      </c>
      <c r="J193" s="2">
        <v>90</v>
      </c>
      <c r="K193" s="2">
        <v>55</v>
      </c>
      <c r="L193" s="2">
        <v>500</v>
      </c>
      <c r="M193" s="2" t="s">
        <v>1221</v>
      </c>
      <c r="N193" s="2" t="s">
        <v>1061</v>
      </c>
      <c r="O193" t="s">
        <v>137</v>
      </c>
      <c r="P193" t="s">
        <v>219</v>
      </c>
      <c r="Q193" t="s">
        <v>220</v>
      </c>
      <c r="R193" t="s">
        <v>346</v>
      </c>
      <c r="S193" t="s">
        <v>322</v>
      </c>
      <c r="T193" t="s">
        <v>2370</v>
      </c>
      <c r="U193" t="s">
        <v>2375</v>
      </c>
      <c r="V193" t="s">
        <v>322</v>
      </c>
      <c r="W193" t="s">
        <v>346</v>
      </c>
      <c r="X193" t="s">
        <v>1297</v>
      </c>
      <c r="Y193" t="s">
        <v>1140</v>
      </c>
      <c r="Z193" t="s">
        <v>223</v>
      </c>
      <c r="AA193" t="s">
        <v>1023</v>
      </c>
      <c r="AB193" t="s">
        <v>387</v>
      </c>
      <c r="AC193" t="s">
        <v>147</v>
      </c>
      <c r="AD193" t="s">
        <v>1169</v>
      </c>
      <c r="AE193" t="s">
        <v>1138</v>
      </c>
      <c r="AF193" t="s">
        <v>1298</v>
      </c>
      <c r="AG193" t="s">
        <v>216</v>
      </c>
      <c r="AH193" t="s">
        <v>228</v>
      </c>
      <c r="AI193" t="s">
        <v>321</v>
      </c>
      <c r="AJ193" t="s">
        <v>1062</v>
      </c>
      <c r="AK193" t="s">
        <v>227</v>
      </c>
      <c r="AL193" t="s">
        <v>1063</v>
      </c>
      <c r="AM193" t="s">
        <v>148</v>
      </c>
      <c r="AN193" t="s">
        <v>172</v>
      </c>
      <c r="AO193" t="s">
        <v>247</v>
      </c>
      <c r="AP193" t="s">
        <v>228</v>
      </c>
      <c r="AQ193" t="s">
        <v>1078</v>
      </c>
      <c r="AR193" t="s">
        <v>766</v>
      </c>
      <c r="AS193" t="s">
        <v>759</v>
      </c>
      <c r="AT193" t="s">
        <v>1079</v>
      </c>
      <c r="AU193" t="s">
        <v>146</v>
      </c>
      <c r="AV193" t="s">
        <v>321</v>
      </c>
      <c r="AW193" t="s">
        <v>1080</v>
      </c>
      <c r="AX193" t="s">
        <v>1094</v>
      </c>
      <c r="AY193" t="s">
        <v>230</v>
      </c>
      <c r="AZ193" t="s">
        <v>917</v>
      </c>
      <c r="BA193" t="s">
        <v>231</v>
      </c>
      <c r="BB193" t="s">
        <v>1082</v>
      </c>
      <c r="BC193" t="s">
        <v>1037</v>
      </c>
      <c r="BD193" t="s">
        <v>1083</v>
      </c>
      <c r="BE193" t="s">
        <v>1102</v>
      </c>
      <c r="BF193" t="s">
        <v>974</v>
      </c>
      <c r="BG193" t="s">
        <v>963</v>
      </c>
      <c r="BH193" t="s">
        <v>976</v>
      </c>
      <c r="BI193" t="s">
        <v>232</v>
      </c>
      <c r="BJ193" t="s">
        <v>1045</v>
      </c>
      <c r="BK193" t="s">
        <v>322</v>
      </c>
      <c r="BL193" t="s">
        <v>1021</v>
      </c>
      <c r="BM193" t="s">
        <v>756</v>
      </c>
      <c r="BN193" t="s">
        <v>757</v>
      </c>
      <c r="BO193" t="s">
        <v>233</v>
      </c>
      <c r="BP193" t="s">
        <v>1047</v>
      </c>
      <c r="BQ193" t="s">
        <v>760</v>
      </c>
      <c r="BR193" t="s">
        <v>2398</v>
      </c>
      <c r="BS193" t="s">
        <v>2339</v>
      </c>
      <c r="BT193" t="s">
        <v>234</v>
      </c>
      <c r="BU193" t="s">
        <v>309</v>
      </c>
      <c r="BV193" t="s">
        <v>364</v>
      </c>
      <c r="BW193" t="s">
        <v>223</v>
      </c>
      <c r="BX193" t="s">
        <v>306</v>
      </c>
      <c r="BY193" t="s">
        <v>324</v>
      </c>
      <c r="BZ193" t="s">
        <v>761</v>
      </c>
      <c r="CA193" t="s">
        <v>919</v>
      </c>
      <c r="CB193" t="s">
        <v>1140</v>
      </c>
      <c r="CC193" t="s">
        <v>934</v>
      </c>
      <c r="CD193" t="s">
        <v>1150</v>
      </c>
      <c r="CE193" t="s">
        <v>2348</v>
      </c>
      <c r="CF193" t="s">
        <v>2346</v>
      </c>
      <c r="CG193" t="s">
        <v>239</v>
      </c>
      <c r="CH193" t="s">
        <v>241</v>
      </c>
      <c r="CI193" t="s">
        <v>805</v>
      </c>
      <c r="CJ193" t="s">
        <v>806</v>
      </c>
    </row>
    <row r="194" spans="1:97">
      <c r="A194" s="40">
        <v>181.1</v>
      </c>
      <c r="B194" s="40" t="s">
        <v>2299</v>
      </c>
      <c r="C194" s="2" t="s">
        <v>2300</v>
      </c>
      <c r="D194" s="2" t="s">
        <v>17</v>
      </c>
      <c r="E194" s="2" t="s">
        <v>16</v>
      </c>
      <c r="F194" s="2">
        <v>90</v>
      </c>
      <c r="G194" s="2">
        <v>95</v>
      </c>
      <c r="H194" s="2">
        <v>105</v>
      </c>
      <c r="I194" s="2">
        <v>165</v>
      </c>
      <c r="J194" s="2">
        <v>110</v>
      </c>
      <c r="K194" s="2">
        <v>45</v>
      </c>
      <c r="L194" s="2">
        <v>610</v>
      </c>
      <c r="M194" s="2" t="s">
        <v>1064</v>
      </c>
      <c r="N194" s="2" t="s">
        <v>1061</v>
      </c>
      <c r="O194" t="s">
        <v>1062</v>
      </c>
      <c r="P194" t="s">
        <v>1063</v>
      </c>
      <c r="Q194" t="s">
        <v>757</v>
      </c>
      <c r="R194" t="s">
        <v>2398</v>
      </c>
      <c r="S194" t="s">
        <v>2339</v>
      </c>
      <c r="T194" t="s">
        <v>234</v>
      </c>
      <c r="U194" t="s">
        <v>239</v>
      </c>
      <c r="V194" t="s">
        <v>241</v>
      </c>
      <c r="W194" t="s">
        <v>805</v>
      </c>
      <c r="X194" t="s">
        <v>806</v>
      </c>
    </row>
    <row r="195" spans="1:97">
      <c r="A195" s="40">
        <v>182</v>
      </c>
      <c r="B195" s="40" t="s">
        <v>1303</v>
      </c>
      <c r="C195" s="2" t="s">
        <v>1304</v>
      </c>
      <c r="D195" s="2" t="s">
        <v>21</v>
      </c>
      <c r="E195" s="2"/>
      <c r="F195" s="2">
        <v>75</v>
      </c>
      <c r="G195" s="2">
        <v>80</v>
      </c>
      <c r="H195" s="2">
        <v>85</v>
      </c>
      <c r="I195" s="2">
        <v>90</v>
      </c>
      <c r="J195" s="2">
        <v>100</v>
      </c>
      <c r="K195" s="2">
        <v>50</v>
      </c>
      <c r="L195" s="2">
        <v>480</v>
      </c>
      <c r="M195" s="2" t="s">
        <v>1089</v>
      </c>
      <c r="N195" s="2" t="s">
        <v>1061</v>
      </c>
      <c r="O195" t="s">
        <v>403</v>
      </c>
      <c r="P195" t="s">
        <v>288</v>
      </c>
      <c r="Q195" t="s">
        <v>1076</v>
      </c>
      <c r="R195" t="s">
        <v>752</v>
      </c>
      <c r="S195" t="s">
        <v>1194</v>
      </c>
      <c r="T195" t="s">
        <v>930</v>
      </c>
      <c r="U195" t="s">
        <v>2391</v>
      </c>
      <c r="V195" t="s">
        <v>1086</v>
      </c>
      <c r="W195" t="s">
        <v>1062</v>
      </c>
      <c r="X195" t="s">
        <v>226</v>
      </c>
      <c r="Y195" t="s">
        <v>1063</v>
      </c>
      <c r="Z195" t="s">
        <v>148</v>
      </c>
      <c r="AA195" t="s">
        <v>1077</v>
      </c>
      <c r="AB195" t="s">
        <v>172</v>
      </c>
      <c r="AC195" t="s">
        <v>752</v>
      </c>
      <c r="AD195" t="s">
        <v>247</v>
      </c>
      <c r="AE195" t="s">
        <v>1078</v>
      </c>
      <c r="AF195" t="s">
        <v>759</v>
      </c>
      <c r="AG195" t="s">
        <v>1079</v>
      </c>
      <c r="AH195" t="s">
        <v>229</v>
      </c>
      <c r="AI195" t="s">
        <v>1080</v>
      </c>
      <c r="AJ195" t="s">
        <v>230</v>
      </c>
      <c r="AK195" t="s">
        <v>1081</v>
      </c>
      <c r="AL195" t="s">
        <v>917</v>
      </c>
      <c r="AM195" t="s">
        <v>231</v>
      </c>
      <c r="AN195" t="s">
        <v>1082</v>
      </c>
      <c r="AO195" t="s">
        <v>1037</v>
      </c>
      <c r="AP195" t="s">
        <v>970</v>
      </c>
      <c r="AQ195" t="s">
        <v>974</v>
      </c>
      <c r="AR195" t="s">
        <v>976</v>
      </c>
      <c r="AS195" t="s">
        <v>232</v>
      </c>
      <c r="AT195" t="s">
        <v>145</v>
      </c>
      <c r="AU195" t="s">
        <v>2369</v>
      </c>
      <c r="AV195" t="s">
        <v>977</v>
      </c>
      <c r="AW195" t="s">
        <v>756</v>
      </c>
      <c r="AX195" t="s">
        <v>757</v>
      </c>
      <c r="AY195" t="s">
        <v>233</v>
      </c>
      <c r="AZ195" t="s">
        <v>1087</v>
      </c>
      <c r="BA195" t="s">
        <v>2342</v>
      </c>
      <c r="BB195" t="s">
        <v>2339</v>
      </c>
      <c r="BC195" t="s">
        <v>234</v>
      </c>
      <c r="BD195" t="s">
        <v>224</v>
      </c>
      <c r="BE195" t="s">
        <v>770</v>
      </c>
      <c r="BF195" t="s">
        <v>781</v>
      </c>
      <c r="BG195" t="s">
        <v>750</v>
      </c>
      <c r="BH195" t="s">
        <v>1087</v>
      </c>
      <c r="BI195" t="s">
        <v>1085</v>
      </c>
      <c r="BJ195" t="s">
        <v>940</v>
      </c>
      <c r="BK195" t="s">
        <v>949</v>
      </c>
      <c r="BL195" t="s">
        <v>950</v>
      </c>
      <c r="BM195" t="s">
        <v>1150</v>
      </c>
      <c r="BN195" t="s">
        <v>239</v>
      </c>
      <c r="BO195" t="s">
        <v>241</v>
      </c>
      <c r="BP195" t="s">
        <v>339</v>
      </c>
      <c r="BQ195" t="s">
        <v>402</v>
      </c>
      <c r="BR195" t="s">
        <v>221</v>
      </c>
      <c r="BS195" t="s">
        <v>222</v>
      </c>
      <c r="BT195" t="s">
        <v>987</v>
      </c>
      <c r="BU195" t="s">
        <v>992</v>
      </c>
      <c r="BV195" t="s">
        <v>784</v>
      </c>
      <c r="BW195" t="s">
        <v>171</v>
      </c>
      <c r="BX195" t="s">
        <v>236</v>
      </c>
      <c r="BY195" t="s">
        <v>2367</v>
      </c>
      <c r="BZ195" t="s">
        <v>805</v>
      </c>
      <c r="CA195" t="s">
        <v>806</v>
      </c>
    </row>
    <row r="196" spans="1:97">
      <c r="A196" s="40">
        <v>183</v>
      </c>
      <c r="B196" s="40" t="s">
        <v>1305</v>
      </c>
      <c r="C196" s="2" t="s">
        <v>1306</v>
      </c>
      <c r="D196" s="2" t="s">
        <v>27</v>
      </c>
      <c r="E196" s="2" t="s">
        <v>894</v>
      </c>
      <c r="F196" s="2">
        <v>70</v>
      </c>
      <c r="G196" s="2">
        <v>20</v>
      </c>
      <c r="H196" s="2">
        <v>50</v>
      </c>
      <c r="I196" s="2">
        <v>20</v>
      </c>
      <c r="J196" s="2">
        <v>50</v>
      </c>
      <c r="K196" s="2">
        <v>40</v>
      </c>
      <c r="L196" s="2">
        <v>250</v>
      </c>
      <c r="M196" s="2" t="s">
        <v>1159</v>
      </c>
      <c r="N196" s="2" t="s">
        <v>1061</v>
      </c>
      <c r="O196" t="s">
        <v>219</v>
      </c>
      <c r="P196" t="s">
        <v>267</v>
      </c>
      <c r="Q196" t="s">
        <v>266</v>
      </c>
      <c r="R196" t="s">
        <v>955</v>
      </c>
      <c r="S196" t="s">
        <v>269</v>
      </c>
      <c r="T196" t="s">
        <v>353</v>
      </c>
      <c r="U196" t="s">
        <v>768</v>
      </c>
      <c r="V196" t="s">
        <v>446</v>
      </c>
      <c r="W196" t="s">
        <v>925</v>
      </c>
      <c r="X196" t="s">
        <v>179</v>
      </c>
      <c r="Y196" t="s">
        <v>225</v>
      </c>
      <c r="Z196" t="s">
        <v>178</v>
      </c>
      <c r="AA196" t="s">
        <v>766</v>
      </c>
      <c r="AB196" t="s">
        <v>947</v>
      </c>
      <c r="AC196" t="s">
        <v>140</v>
      </c>
      <c r="AD196" t="s">
        <v>2395</v>
      </c>
      <c r="AE196" t="s">
        <v>1062</v>
      </c>
      <c r="AF196" t="s">
        <v>144</v>
      </c>
      <c r="AG196" t="s">
        <v>227</v>
      </c>
      <c r="AH196" t="s">
        <v>270</v>
      </c>
      <c r="AI196" t="s">
        <v>914</v>
      </c>
      <c r="AJ196" t="s">
        <v>1063</v>
      </c>
      <c r="AK196" t="s">
        <v>148</v>
      </c>
      <c r="AL196" t="s">
        <v>1104</v>
      </c>
      <c r="AM196" t="s">
        <v>172</v>
      </c>
      <c r="AN196" t="s">
        <v>141</v>
      </c>
      <c r="AO196" t="s">
        <v>271</v>
      </c>
      <c r="AP196" t="s">
        <v>228</v>
      </c>
      <c r="AQ196" t="s">
        <v>1078</v>
      </c>
      <c r="AR196" t="s">
        <v>766</v>
      </c>
      <c r="AS196" t="s">
        <v>1079</v>
      </c>
      <c r="AT196" t="s">
        <v>1080</v>
      </c>
      <c r="AU196" t="s">
        <v>256</v>
      </c>
      <c r="AV196" t="s">
        <v>1094</v>
      </c>
      <c r="AW196" t="s">
        <v>230</v>
      </c>
      <c r="AX196" t="s">
        <v>917</v>
      </c>
      <c r="AY196" t="s">
        <v>231</v>
      </c>
      <c r="AZ196" t="s">
        <v>1082</v>
      </c>
      <c r="BA196" t="s">
        <v>1037</v>
      </c>
      <c r="BB196" t="s">
        <v>1038</v>
      </c>
      <c r="BC196" t="s">
        <v>974</v>
      </c>
      <c r="BD196" t="s">
        <v>977</v>
      </c>
      <c r="BE196" t="s">
        <v>756</v>
      </c>
      <c r="BF196" t="s">
        <v>757</v>
      </c>
      <c r="BG196" t="s">
        <v>233</v>
      </c>
      <c r="BH196" t="s">
        <v>760</v>
      </c>
      <c r="BI196" t="s">
        <v>2398</v>
      </c>
      <c r="BJ196" t="s">
        <v>2339</v>
      </c>
      <c r="BK196" t="s">
        <v>234</v>
      </c>
      <c r="BL196" t="s">
        <v>341</v>
      </c>
      <c r="BM196" t="s">
        <v>364</v>
      </c>
      <c r="BN196" t="s">
        <v>377</v>
      </c>
      <c r="BO196" t="s">
        <v>290</v>
      </c>
      <c r="BP196" t="s">
        <v>235</v>
      </c>
      <c r="BQ196" t="s">
        <v>1099</v>
      </c>
      <c r="BR196" t="s">
        <v>786</v>
      </c>
      <c r="BS196" t="s">
        <v>780</v>
      </c>
      <c r="BT196" t="s">
        <v>779</v>
      </c>
      <c r="BU196" t="s">
        <v>790</v>
      </c>
      <c r="BV196" t="s">
        <v>947</v>
      </c>
      <c r="BW196" t="s">
        <v>1106</v>
      </c>
      <c r="BX196" t="s">
        <v>1226</v>
      </c>
      <c r="BY196" t="s">
        <v>918</v>
      </c>
      <c r="BZ196" t="s">
        <v>950</v>
      </c>
      <c r="CA196" t="s">
        <v>1105</v>
      </c>
      <c r="CB196" t="s">
        <v>955</v>
      </c>
      <c r="CC196" t="s">
        <v>964</v>
      </c>
      <c r="CD196" t="s">
        <v>959</v>
      </c>
      <c r="CE196" t="s">
        <v>1170</v>
      </c>
      <c r="CF196" t="s">
        <v>239</v>
      </c>
      <c r="CG196" t="s">
        <v>241</v>
      </c>
      <c r="CH196" t="s">
        <v>382</v>
      </c>
      <c r="CI196" t="s">
        <v>781</v>
      </c>
      <c r="CJ196" t="s">
        <v>341</v>
      </c>
      <c r="CK196" t="s">
        <v>175</v>
      </c>
      <c r="CL196" t="s">
        <v>805</v>
      </c>
      <c r="CM196" t="s">
        <v>806</v>
      </c>
    </row>
    <row r="197" spans="1:97">
      <c r="A197" s="40">
        <v>184</v>
      </c>
      <c r="B197" s="40" t="s">
        <v>1307</v>
      </c>
      <c r="C197" s="2" t="s">
        <v>1308</v>
      </c>
      <c r="D197" s="2" t="s">
        <v>27</v>
      </c>
      <c r="E197" s="2" t="s">
        <v>894</v>
      </c>
      <c r="F197" s="2">
        <v>100</v>
      </c>
      <c r="G197" s="2">
        <v>50</v>
      </c>
      <c r="H197" s="2">
        <v>80</v>
      </c>
      <c r="I197" s="2">
        <v>50</v>
      </c>
      <c r="J197" s="2">
        <v>80</v>
      </c>
      <c r="K197" s="2">
        <v>50</v>
      </c>
      <c r="L197" s="2">
        <v>410</v>
      </c>
      <c r="M197" s="2" t="s">
        <v>1201</v>
      </c>
      <c r="N197" s="2" t="s">
        <v>1061</v>
      </c>
      <c r="O197" t="s">
        <v>219</v>
      </c>
      <c r="P197" t="s">
        <v>266</v>
      </c>
      <c r="Q197" t="s">
        <v>267</v>
      </c>
      <c r="R197" t="s">
        <v>955</v>
      </c>
      <c r="S197" t="s">
        <v>266</v>
      </c>
      <c r="T197" t="s">
        <v>955</v>
      </c>
      <c r="U197" t="s">
        <v>269</v>
      </c>
      <c r="V197" t="s">
        <v>353</v>
      </c>
      <c r="W197" t="s">
        <v>768</v>
      </c>
      <c r="X197" t="s">
        <v>446</v>
      </c>
      <c r="Y197" t="s">
        <v>925</v>
      </c>
      <c r="Z197" t="s">
        <v>179</v>
      </c>
      <c r="AA197" t="s">
        <v>225</v>
      </c>
      <c r="AB197" t="s">
        <v>178</v>
      </c>
      <c r="AC197" t="s">
        <v>766</v>
      </c>
      <c r="AD197" t="s">
        <v>947</v>
      </c>
      <c r="AE197" t="s">
        <v>140</v>
      </c>
      <c r="AF197" t="s">
        <v>2395</v>
      </c>
      <c r="AG197" t="s">
        <v>1062</v>
      </c>
      <c r="AH197" t="s">
        <v>144</v>
      </c>
      <c r="AI197" t="s">
        <v>227</v>
      </c>
      <c r="AJ197" t="s">
        <v>270</v>
      </c>
      <c r="AK197" t="s">
        <v>914</v>
      </c>
      <c r="AL197" t="s">
        <v>1063</v>
      </c>
      <c r="AM197" t="s">
        <v>148</v>
      </c>
      <c r="AN197" t="s">
        <v>1104</v>
      </c>
      <c r="AO197" t="s">
        <v>172</v>
      </c>
      <c r="AP197" t="s">
        <v>141</v>
      </c>
      <c r="AQ197" t="s">
        <v>271</v>
      </c>
      <c r="AR197" t="s">
        <v>247</v>
      </c>
      <c r="AS197" t="s">
        <v>228</v>
      </c>
      <c r="AT197" t="s">
        <v>1078</v>
      </c>
      <c r="AU197" t="s">
        <v>766</v>
      </c>
      <c r="AV197" t="s">
        <v>1079</v>
      </c>
      <c r="AW197" t="s">
        <v>1080</v>
      </c>
      <c r="AX197" t="s">
        <v>256</v>
      </c>
      <c r="AY197" t="s">
        <v>1094</v>
      </c>
      <c r="AZ197" t="s">
        <v>230</v>
      </c>
      <c r="BA197" t="s">
        <v>917</v>
      </c>
      <c r="BB197" t="s">
        <v>231</v>
      </c>
      <c r="BC197" t="s">
        <v>1082</v>
      </c>
      <c r="BD197" t="s">
        <v>1037</v>
      </c>
      <c r="BE197" t="s">
        <v>1102</v>
      </c>
      <c r="BF197" t="s">
        <v>1038</v>
      </c>
      <c r="BG197" t="s">
        <v>974</v>
      </c>
      <c r="BH197" t="s">
        <v>976</v>
      </c>
      <c r="BI197" t="s">
        <v>1021</v>
      </c>
      <c r="BJ197" t="s">
        <v>977</v>
      </c>
      <c r="BK197" t="s">
        <v>756</v>
      </c>
      <c r="BL197" t="s">
        <v>757</v>
      </c>
      <c r="BM197" t="s">
        <v>233</v>
      </c>
      <c r="BN197" t="s">
        <v>760</v>
      </c>
      <c r="BO197" t="s">
        <v>2398</v>
      </c>
      <c r="BP197" t="s">
        <v>2339</v>
      </c>
      <c r="BQ197" t="s">
        <v>234</v>
      </c>
      <c r="BR197" t="s">
        <v>341</v>
      </c>
      <c r="BS197" t="s">
        <v>364</v>
      </c>
      <c r="BT197" t="s">
        <v>377</v>
      </c>
      <c r="BU197" t="s">
        <v>290</v>
      </c>
      <c r="BV197" t="s">
        <v>235</v>
      </c>
      <c r="BW197" t="s">
        <v>1099</v>
      </c>
      <c r="BX197" t="s">
        <v>786</v>
      </c>
      <c r="BY197" t="s">
        <v>780</v>
      </c>
      <c r="BZ197" t="s">
        <v>779</v>
      </c>
      <c r="CA197" t="s">
        <v>790</v>
      </c>
      <c r="CB197" t="s">
        <v>947</v>
      </c>
      <c r="CC197" t="s">
        <v>1106</v>
      </c>
      <c r="CD197" t="s">
        <v>1226</v>
      </c>
      <c r="CE197" t="s">
        <v>918</v>
      </c>
      <c r="CF197" t="s">
        <v>950</v>
      </c>
      <c r="CG197" t="s">
        <v>1105</v>
      </c>
      <c r="CH197" t="s">
        <v>955</v>
      </c>
      <c r="CI197" t="s">
        <v>964</v>
      </c>
      <c r="CJ197" t="s">
        <v>959</v>
      </c>
      <c r="CK197" t="s">
        <v>1170</v>
      </c>
      <c r="CL197" t="s">
        <v>239</v>
      </c>
      <c r="CM197" t="s">
        <v>241</v>
      </c>
      <c r="CN197" t="s">
        <v>382</v>
      </c>
      <c r="CO197" t="s">
        <v>781</v>
      </c>
      <c r="CP197" t="s">
        <v>341</v>
      </c>
      <c r="CQ197" t="s">
        <v>175</v>
      </c>
      <c r="CR197" t="s">
        <v>805</v>
      </c>
      <c r="CS197" t="s">
        <v>806</v>
      </c>
    </row>
    <row r="198" spans="1:97">
      <c r="A198" s="40">
        <v>185</v>
      </c>
      <c r="B198" s="40" t="s">
        <v>1309</v>
      </c>
      <c r="C198" s="2" t="s">
        <v>1310</v>
      </c>
      <c r="D198" s="2" t="s">
        <v>25</v>
      </c>
      <c r="E198" s="2"/>
      <c r="F198" s="2">
        <v>70</v>
      </c>
      <c r="G198" s="2">
        <v>100</v>
      </c>
      <c r="H198" s="2">
        <v>115</v>
      </c>
      <c r="I198" s="2">
        <v>30</v>
      </c>
      <c r="J198" s="2">
        <v>65</v>
      </c>
      <c r="K198" s="2">
        <v>30</v>
      </c>
      <c r="L198" s="2">
        <v>410</v>
      </c>
      <c r="M198" s="2" t="s">
        <v>1129</v>
      </c>
      <c r="N198" s="2" t="s">
        <v>1061</v>
      </c>
      <c r="O198" t="s">
        <v>432</v>
      </c>
      <c r="P198" t="s">
        <v>483</v>
      </c>
      <c r="Q198" t="s">
        <v>770</v>
      </c>
      <c r="R198" t="s">
        <v>964</v>
      </c>
      <c r="S198" t="s">
        <v>1218</v>
      </c>
      <c r="T198" t="s">
        <v>770</v>
      </c>
      <c r="U198" t="s">
        <v>432</v>
      </c>
      <c r="V198" t="s">
        <v>483</v>
      </c>
      <c r="W198" t="s">
        <v>341</v>
      </c>
      <c r="X198" t="s">
        <v>381</v>
      </c>
      <c r="Y198" t="s">
        <v>774</v>
      </c>
      <c r="Z198" t="s">
        <v>1095</v>
      </c>
      <c r="AA198" t="s">
        <v>911</v>
      </c>
      <c r="AB198" t="s">
        <v>143</v>
      </c>
      <c r="AC198" t="s">
        <v>259</v>
      </c>
      <c r="AD198" t="s">
        <v>1008</v>
      </c>
      <c r="AE198" t="s">
        <v>225</v>
      </c>
      <c r="AF198" t="s">
        <v>183</v>
      </c>
      <c r="AG198" t="s">
        <v>981</v>
      </c>
      <c r="AH198" t="s">
        <v>1062</v>
      </c>
      <c r="AI198" t="s">
        <v>227</v>
      </c>
      <c r="AJ198" t="s">
        <v>1063</v>
      </c>
      <c r="AK198" t="s">
        <v>912</v>
      </c>
      <c r="AL198" t="s">
        <v>148</v>
      </c>
      <c r="AM198" t="s">
        <v>172</v>
      </c>
      <c r="AN198" t="s">
        <v>752</v>
      </c>
      <c r="AO198" t="s">
        <v>1126</v>
      </c>
      <c r="AP198" t="s">
        <v>1078</v>
      </c>
      <c r="AQ198" t="s">
        <v>1079</v>
      </c>
      <c r="AR198" t="s">
        <v>1109</v>
      </c>
      <c r="AS198" t="s">
        <v>136</v>
      </c>
      <c r="AT198" t="s">
        <v>1080</v>
      </c>
      <c r="AU198" t="s">
        <v>256</v>
      </c>
      <c r="AV198" t="s">
        <v>1094</v>
      </c>
      <c r="AW198" t="s">
        <v>230</v>
      </c>
      <c r="AX198" t="s">
        <v>765</v>
      </c>
      <c r="AY198" t="s">
        <v>1095</v>
      </c>
      <c r="AZ198" t="s">
        <v>951</v>
      </c>
      <c r="BA198" t="s">
        <v>917</v>
      </c>
      <c r="BB198" t="s">
        <v>231</v>
      </c>
      <c r="BC198" t="s">
        <v>1082</v>
      </c>
      <c r="BD198" t="s">
        <v>1117</v>
      </c>
      <c r="BE198" t="s">
        <v>1037</v>
      </c>
      <c r="BF198" t="s">
        <v>974</v>
      </c>
      <c r="BG198" t="s">
        <v>485</v>
      </c>
      <c r="BH198" t="s">
        <v>1003</v>
      </c>
      <c r="BI198" t="s">
        <v>183</v>
      </c>
      <c r="BJ198" t="s">
        <v>785</v>
      </c>
      <c r="BK198" t="s">
        <v>1021</v>
      </c>
      <c r="BL198" t="s">
        <v>143</v>
      </c>
      <c r="BM198" t="s">
        <v>756</v>
      </c>
      <c r="BN198" t="s">
        <v>757</v>
      </c>
      <c r="BO198" t="s">
        <v>233</v>
      </c>
      <c r="BP198" t="s">
        <v>760</v>
      </c>
      <c r="BQ198" t="s">
        <v>1087</v>
      </c>
      <c r="BR198" t="s">
        <v>2398</v>
      </c>
      <c r="BS198" t="s">
        <v>2339</v>
      </c>
      <c r="BT198" t="s">
        <v>234</v>
      </c>
      <c r="BU198" t="s">
        <v>420</v>
      </c>
      <c r="BV198" t="s">
        <v>284</v>
      </c>
      <c r="BW198" t="s">
        <v>353</v>
      </c>
      <c r="BX198" t="s">
        <v>484</v>
      </c>
      <c r="BY198" t="s">
        <v>751</v>
      </c>
      <c r="BZ198" t="s">
        <v>754</v>
      </c>
      <c r="CA198" t="s">
        <v>768</v>
      </c>
      <c r="CB198" t="s">
        <v>939</v>
      </c>
      <c r="CC198" t="s">
        <v>1007</v>
      </c>
      <c r="CD198" t="s">
        <v>239</v>
      </c>
      <c r="CE198" t="s">
        <v>241</v>
      </c>
      <c r="CF198" t="s">
        <v>918</v>
      </c>
      <c r="CG198" t="s">
        <v>805</v>
      </c>
      <c r="CH198" t="s">
        <v>806</v>
      </c>
    </row>
    <row r="199" spans="1:97">
      <c r="A199" s="40">
        <v>186</v>
      </c>
      <c r="B199" s="40" t="s">
        <v>1311</v>
      </c>
      <c r="C199" s="2" t="s">
        <v>1312</v>
      </c>
      <c r="D199" s="2" t="s">
        <v>27</v>
      </c>
      <c r="E199" s="2"/>
      <c r="F199" s="2">
        <v>90</v>
      </c>
      <c r="G199" s="2">
        <v>75</v>
      </c>
      <c r="H199" s="2">
        <v>75</v>
      </c>
      <c r="I199" s="2">
        <v>90</v>
      </c>
      <c r="J199" s="2">
        <v>100</v>
      </c>
      <c r="K199" s="2">
        <v>70</v>
      </c>
      <c r="L199" s="2">
        <v>500</v>
      </c>
      <c r="M199" s="2" t="s">
        <v>1221</v>
      </c>
      <c r="N199" s="2" t="s">
        <v>1061</v>
      </c>
      <c r="O199" t="s">
        <v>348</v>
      </c>
      <c r="P199" t="s">
        <v>446</v>
      </c>
      <c r="Q199" t="s">
        <v>388</v>
      </c>
      <c r="R199" t="s">
        <v>786</v>
      </c>
      <c r="S199" t="s">
        <v>756</v>
      </c>
      <c r="T199" t="s">
        <v>175</v>
      </c>
      <c r="U199" t="s">
        <v>1160</v>
      </c>
      <c r="V199" t="s">
        <v>1062</v>
      </c>
      <c r="W199" t="s">
        <v>144</v>
      </c>
      <c r="X199" t="s">
        <v>227</v>
      </c>
      <c r="Y199" t="s">
        <v>270</v>
      </c>
      <c r="Z199" t="s">
        <v>914</v>
      </c>
      <c r="AA199" t="s">
        <v>1063</v>
      </c>
      <c r="AB199" t="s">
        <v>148</v>
      </c>
      <c r="AC199" t="s">
        <v>1104</v>
      </c>
      <c r="AD199" t="s">
        <v>172</v>
      </c>
      <c r="AE199" t="s">
        <v>141</v>
      </c>
      <c r="AF199" t="s">
        <v>271</v>
      </c>
      <c r="AG199" t="s">
        <v>247</v>
      </c>
      <c r="AH199" t="s">
        <v>1078</v>
      </c>
      <c r="AI199" t="s">
        <v>766</v>
      </c>
      <c r="AJ199" t="s">
        <v>1079</v>
      </c>
      <c r="AK199" t="s">
        <v>136</v>
      </c>
      <c r="AL199" t="s">
        <v>1080</v>
      </c>
      <c r="AM199" t="s">
        <v>256</v>
      </c>
      <c r="AN199" t="s">
        <v>9</v>
      </c>
      <c r="AO199" t="s">
        <v>1094</v>
      </c>
      <c r="AP199" t="s">
        <v>230</v>
      </c>
      <c r="AQ199" t="s">
        <v>917</v>
      </c>
      <c r="AR199" t="s">
        <v>231</v>
      </c>
      <c r="AS199" t="s">
        <v>1082</v>
      </c>
      <c r="AT199" t="s">
        <v>1117</v>
      </c>
      <c r="AU199" t="s">
        <v>1037</v>
      </c>
      <c r="AV199" t="s">
        <v>1083</v>
      </c>
      <c r="AW199" t="s">
        <v>1102</v>
      </c>
      <c r="AX199" t="s">
        <v>1038</v>
      </c>
      <c r="AY199" t="s">
        <v>974</v>
      </c>
      <c r="AZ199" t="s">
        <v>995</v>
      </c>
      <c r="BA199" t="s">
        <v>976</v>
      </c>
      <c r="BB199" t="s">
        <v>1021</v>
      </c>
      <c r="BC199" t="s">
        <v>756</v>
      </c>
      <c r="BD199" t="s">
        <v>757</v>
      </c>
      <c r="BE199" t="s">
        <v>233</v>
      </c>
      <c r="BF199" t="s">
        <v>760</v>
      </c>
      <c r="BG199" t="s">
        <v>2398</v>
      </c>
      <c r="BH199" t="s">
        <v>2339</v>
      </c>
      <c r="BI199" t="s">
        <v>234</v>
      </c>
      <c r="BJ199" t="s">
        <v>273</v>
      </c>
      <c r="BK199" t="s">
        <v>446</v>
      </c>
      <c r="BL199" t="s">
        <v>272</v>
      </c>
      <c r="BM199" t="s">
        <v>382</v>
      </c>
      <c r="BN199" t="s">
        <v>792</v>
      </c>
      <c r="BO199" t="s">
        <v>754</v>
      </c>
      <c r="BP199" t="s">
        <v>779</v>
      </c>
      <c r="BQ199" t="s">
        <v>916</v>
      </c>
      <c r="BR199" t="s">
        <v>1106</v>
      </c>
      <c r="BS199" t="s">
        <v>1178</v>
      </c>
      <c r="BT199" t="s">
        <v>1144</v>
      </c>
      <c r="BU199" t="s">
        <v>955</v>
      </c>
      <c r="BV199" t="s">
        <v>954</v>
      </c>
      <c r="BW199" t="s">
        <v>239</v>
      </c>
      <c r="BX199" t="s">
        <v>241</v>
      </c>
      <c r="BY199" t="s">
        <v>267</v>
      </c>
      <c r="BZ199" t="s">
        <v>955</v>
      </c>
      <c r="CA199" t="s">
        <v>269</v>
      </c>
      <c r="CB199" t="s">
        <v>766</v>
      </c>
      <c r="CC199" t="s">
        <v>364</v>
      </c>
      <c r="CD199" t="s">
        <v>1144</v>
      </c>
      <c r="CE199" t="s">
        <v>1099</v>
      </c>
      <c r="CF199" t="s">
        <v>1016</v>
      </c>
      <c r="CG199" t="s">
        <v>140</v>
      </c>
      <c r="CH199" t="s">
        <v>990</v>
      </c>
      <c r="CI199" t="s">
        <v>805</v>
      </c>
      <c r="CJ199" t="s">
        <v>806</v>
      </c>
    </row>
    <row r="200" spans="1:97">
      <c r="A200" s="40">
        <v>187</v>
      </c>
      <c r="B200" s="40" t="s">
        <v>1313</v>
      </c>
      <c r="C200" s="2" t="s">
        <v>1314</v>
      </c>
      <c r="D200" s="2" t="s">
        <v>21</v>
      </c>
      <c r="E200" s="2" t="s">
        <v>20</v>
      </c>
      <c r="F200" s="2">
        <v>35</v>
      </c>
      <c r="G200" s="2">
        <v>35</v>
      </c>
      <c r="H200" s="2">
        <v>40</v>
      </c>
      <c r="I200" s="2">
        <v>35</v>
      </c>
      <c r="J200" s="2">
        <v>55</v>
      </c>
      <c r="K200" s="2">
        <v>50</v>
      </c>
      <c r="L200" s="2">
        <v>250</v>
      </c>
      <c r="M200" s="2" t="s">
        <v>1145</v>
      </c>
      <c r="N200" s="2" t="s">
        <v>1061</v>
      </c>
      <c r="O200" t="s">
        <v>382</v>
      </c>
      <c r="P200" t="s">
        <v>750</v>
      </c>
      <c r="Q200" t="s">
        <v>266</v>
      </c>
      <c r="R200" t="s">
        <v>219</v>
      </c>
      <c r="S200" t="s">
        <v>2354</v>
      </c>
      <c r="T200" t="s">
        <v>221</v>
      </c>
      <c r="U200" t="s">
        <v>288</v>
      </c>
      <c r="V200" t="s">
        <v>222</v>
      </c>
      <c r="W200" t="s">
        <v>1190</v>
      </c>
      <c r="X200" t="s">
        <v>142</v>
      </c>
      <c r="Y200" t="s">
        <v>403</v>
      </c>
      <c r="Z200" t="s">
        <v>1020</v>
      </c>
      <c r="AA200" t="s">
        <v>1114</v>
      </c>
      <c r="AB200" t="s">
        <v>1297</v>
      </c>
      <c r="AC200" t="s">
        <v>1014</v>
      </c>
      <c r="AD200" t="s">
        <v>1017</v>
      </c>
      <c r="AE200" t="s">
        <v>171</v>
      </c>
      <c r="AF200" t="s">
        <v>175</v>
      </c>
      <c r="AG200" t="s">
        <v>931</v>
      </c>
      <c r="AH200" t="s">
        <v>1062</v>
      </c>
      <c r="AI200" t="s">
        <v>1063</v>
      </c>
      <c r="AJ200" t="s">
        <v>148</v>
      </c>
      <c r="AK200" t="s">
        <v>172</v>
      </c>
      <c r="AL200" t="s">
        <v>752</v>
      </c>
      <c r="AM200" t="s">
        <v>1078</v>
      </c>
      <c r="AN200" t="s">
        <v>1079</v>
      </c>
      <c r="AO200" t="s">
        <v>229</v>
      </c>
      <c r="AP200" t="s">
        <v>1080</v>
      </c>
      <c r="AQ200" t="s">
        <v>230</v>
      </c>
      <c r="AR200" t="s">
        <v>380</v>
      </c>
      <c r="AS200" t="s">
        <v>1096</v>
      </c>
      <c r="AT200" t="s">
        <v>917</v>
      </c>
      <c r="AU200" t="s">
        <v>231</v>
      </c>
      <c r="AV200" t="s">
        <v>1082</v>
      </c>
      <c r="AW200" t="s">
        <v>1037</v>
      </c>
      <c r="AX200" t="s">
        <v>970</v>
      </c>
      <c r="AY200" t="s">
        <v>1020</v>
      </c>
      <c r="AZ200" t="s">
        <v>232</v>
      </c>
      <c r="BA200" t="s">
        <v>145</v>
      </c>
      <c r="BB200" t="s">
        <v>785</v>
      </c>
      <c r="BC200" t="s">
        <v>2369</v>
      </c>
      <c r="BD200" t="s">
        <v>977</v>
      </c>
      <c r="BE200" t="s">
        <v>756</v>
      </c>
      <c r="BF200" t="s">
        <v>757</v>
      </c>
      <c r="BG200" t="s">
        <v>1014</v>
      </c>
      <c r="BH200" t="s">
        <v>233</v>
      </c>
      <c r="BI200" t="s">
        <v>2342</v>
      </c>
      <c r="BJ200" t="s">
        <v>2339</v>
      </c>
      <c r="BK200" t="s">
        <v>234</v>
      </c>
      <c r="BL200" t="s">
        <v>225</v>
      </c>
      <c r="BM200" t="s">
        <v>287</v>
      </c>
      <c r="BN200" t="s">
        <v>235</v>
      </c>
      <c r="BO200" t="s">
        <v>754</v>
      </c>
      <c r="BP200" t="s">
        <v>779</v>
      </c>
      <c r="BQ200" t="s">
        <v>925</v>
      </c>
      <c r="BR200" t="s">
        <v>1153</v>
      </c>
      <c r="BS200" t="s">
        <v>1017</v>
      </c>
      <c r="BT200" t="s">
        <v>1004</v>
      </c>
      <c r="BU200" t="s">
        <v>1298</v>
      </c>
      <c r="BV200" t="s">
        <v>2367</v>
      </c>
      <c r="BW200" t="s">
        <v>239</v>
      </c>
      <c r="BX200" t="s">
        <v>241</v>
      </c>
      <c r="BY200" t="s">
        <v>805</v>
      </c>
      <c r="BZ200" t="s">
        <v>806</v>
      </c>
    </row>
    <row r="201" spans="1:97">
      <c r="A201" s="40">
        <v>188</v>
      </c>
      <c r="B201" s="40" t="s">
        <v>1315</v>
      </c>
      <c r="C201" s="2" t="s">
        <v>1316</v>
      </c>
      <c r="D201" s="2" t="s">
        <v>21</v>
      </c>
      <c r="E201" s="2" t="s">
        <v>20</v>
      </c>
      <c r="F201" s="2">
        <v>55</v>
      </c>
      <c r="G201" s="2">
        <v>45</v>
      </c>
      <c r="H201" s="2">
        <v>50</v>
      </c>
      <c r="I201" s="2">
        <v>45</v>
      </c>
      <c r="J201" s="2">
        <v>65</v>
      </c>
      <c r="K201" s="2">
        <v>80</v>
      </c>
      <c r="L201" s="2">
        <v>340</v>
      </c>
      <c r="M201" s="2" t="s">
        <v>1074</v>
      </c>
      <c r="N201" s="2" t="s">
        <v>1061</v>
      </c>
      <c r="O201" t="s">
        <v>219</v>
      </c>
      <c r="P201" t="s">
        <v>266</v>
      </c>
      <c r="Q201" t="s">
        <v>382</v>
      </c>
      <c r="R201" t="s">
        <v>750</v>
      </c>
      <c r="S201" t="s">
        <v>750</v>
      </c>
      <c r="T201" t="s">
        <v>266</v>
      </c>
      <c r="U201" t="s">
        <v>219</v>
      </c>
      <c r="V201" t="s">
        <v>2354</v>
      </c>
      <c r="W201" t="s">
        <v>221</v>
      </c>
      <c r="X201" t="s">
        <v>288</v>
      </c>
      <c r="Y201" t="s">
        <v>222</v>
      </c>
      <c r="Z201" t="s">
        <v>1190</v>
      </c>
      <c r="AA201" t="s">
        <v>142</v>
      </c>
      <c r="AB201" t="s">
        <v>403</v>
      </c>
      <c r="AC201" t="s">
        <v>1020</v>
      </c>
      <c r="AD201" t="s">
        <v>1114</v>
      </c>
      <c r="AE201" t="s">
        <v>1297</v>
      </c>
      <c r="AF201" t="s">
        <v>1014</v>
      </c>
      <c r="AG201" t="s">
        <v>1017</v>
      </c>
      <c r="AH201" t="s">
        <v>171</v>
      </c>
      <c r="AI201" t="s">
        <v>175</v>
      </c>
      <c r="AJ201" t="s">
        <v>931</v>
      </c>
      <c r="AK201" t="s">
        <v>1062</v>
      </c>
      <c r="AL201" t="s">
        <v>1063</v>
      </c>
      <c r="AM201" t="s">
        <v>148</v>
      </c>
      <c r="AN201" t="s">
        <v>172</v>
      </c>
      <c r="AO201" t="s">
        <v>752</v>
      </c>
      <c r="AP201" t="s">
        <v>1078</v>
      </c>
      <c r="AQ201" t="s">
        <v>1079</v>
      </c>
      <c r="AR201" t="s">
        <v>229</v>
      </c>
      <c r="AS201" t="s">
        <v>1080</v>
      </c>
      <c r="AT201" t="s">
        <v>230</v>
      </c>
      <c r="AU201" t="s">
        <v>380</v>
      </c>
      <c r="AV201" t="s">
        <v>1096</v>
      </c>
      <c r="AW201" t="s">
        <v>917</v>
      </c>
      <c r="AX201" t="s">
        <v>231</v>
      </c>
      <c r="AY201" t="s">
        <v>1082</v>
      </c>
      <c r="AZ201" t="s">
        <v>1037</v>
      </c>
      <c r="BA201" t="s">
        <v>970</v>
      </c>
      <c r="BB201" t="s">
        <v>1020</v>
      </c>
      <c r="BC201" t="s">
        <v>232</v>
      </c>
      <c r="BD201" t="s">
        <v>145</v>
      </c>
      <c r="BE201" t="s">
        <v>785</v>
      </c>
      <c r="BF201" t="s">
        <v>2369</v>
      </c>
      <c r="BG201" t="s">
        <v>977</v>
      </c>
      <c r="BH201" t="s">
        <v>756</v>
      </c>
      <c r="BI201" t="s">
        <v>757</v>
      </c>
      <c r="BJ201" t="s">
        <v>1014</v>
      </c>
      <c r="BK201" t="s">
        <v>233</v>
      </c>
      <c r="BL201" t="s">
        <v>2342</v>
      </c>
      <c r="BM201" t="s">
        <v>2339</v>
      </c>
      <c r="BN201" t="s">
        <v>234</v>
      </c>
      <c r="BO201" t="s">
        <v>225</v>
      </c>
      <c r="BP201" t="s">
        <v>287</v>
      </c>
      <c r="BQ201" t="s">
        <v>235</v>
      </c>
      <c r="BR201" t="s">
        <v>754</v>
      </c>
      <c r="BS201" t="s">
        <v>779</v>
      </c>
      <c r="BT201" t="s">
        <v>925</v>
      </c>
      <c r="BU201" t="s">
        <v>1153</v>
      </c>
      <c r="BV201" t="s">
        <v>1017</v>
      </c>
      <c r="BW201" t="s">
        <v>1004</v>
      </c>
      <c r="BX201" t="s">
        <v>1298</v>
      </c>
      <c r="BY201" t="s">
        <v>2367</v>
      </c>
      <c r="BZ201" t="s">
        <v>239</v>
      </c>
      <c r="CA201" t="s">
        <v>241</v>
      </c>
      <c r="CB201" t="s">
        <v>805</v>
      </c>
      <c r="CC201" t="s">
        <v>806</v>
      </c>
    </row>
    <row r="202" spans="1:97">
      <c r="A202" s="40">
        <v>189</v>
      </c>
      <c r="B202" s="40" t="s">
        <v>1317</v>
      </c>
      <c r="C202" s="2" t="s">
        <v>1318</v>
      </c>
      <c r="D202" s="2" t="s">
        <v>21</v>
      </c>
      <c r="E202" s="2" t="s">
        <v>20</v>
      </c>
      <c r="F202" s="2">
        <v>75</v>
      </c>
      <c r="G202" s="2">
        <v>55</v>
      </c>
      <c r="H202" s="2">
        <v>70</v>
      </c>
      <c r="I202" s="2">
        <v>55</v>
      </c>
      <c r="J202" s="2">
        <v>85</v>
      </c>
      <c r="K202" s="2">
        <v>110</v>
      </c>
      <c r="L202" s="2">
        <v>450</v>
      </c>
      <c r="M202" s="2" t="s">
        <v>1158</v>
      </c>
      <c r="N202" s="2" t="s">
        <v>1061</v>
      </c>
      <c r="O202" t="s">
        <v>219</v>
      </c>
      <c r="P202" t="s">
        <v>266</v>
      </c>
      <c r="Q202" t="s">
        <v>382</v>
      </c>
      <c r="R202" t="s">
        <v>750</v>
      </c>
      <c r="S202" t="s">
        <v>750</v>
      </c>
      <c r="T202" t="s">
        <v>266</v>
      </c>
      <c r="U202" t="s">
        <v>219</v>
      </c>
      <c r="V202" t="s">
        <v>2354</v>
      </c>
      <c r="W202" t="s">
        <v>221</v>
      </c>
      <c r="X202" t="s">
        <v>288</v>
      </c>
      <c r="Y202" t="s">
        <v>222</v>
      </c>
      <c r="Z202" t="s">
        <v>1190</v>
      </c>
      <c r="AA202" t="s">
        <v>142</v>
      </c>
      <c r="AB202" t="s">
        <v>403</v>
      </c>
      <c r="AC202" t="s">
        <v>1020</v>
      </c>
      <c r="AD202" t="s">
        <v>1114</v>
      </c>
      <c r="AE202" t="s">
        <v>1297</v>
      </c>
      <c r="AF202" t="s">
        <v>1014</v>
      </c>
      <c r="AG202" t="s">
        <v>1017</v>
      </c>
      <c r="AH202" t="s">
        <v>171</v>
      </c>
      <c r="AI202" t="s">
        <v>175</v>
      </c>
      <c r="AJ202" t="s">
        <v>931</v>
      </c>
      <c r="AK202" t="s">
        <v>1062</v>
      </c>
      <c r="AL202" t="s">
        <v>1063</v>
      </c>
      <c r="AM202" t="s">
        <v>148</v>
      </c>
      <c r="AN202" t="s">
        <v>172</v>
      </c>
      <c r="AO202" t="s">
        <v>752</v>
      </c>
      <c r="AP202" t="s">
        <v>247</v>
      </c>
      <c r="AQ202" t="s">
        <v>1078</v>
      </c>
      <c r="AR202" t="s">
        <v>1079</v>
      </c>
      <c r="AS202" t="s">
        <v>229</v>
      </c>
      <c r="AT202" t="s">
        <v>1080</v>
      </c>
      <c r="AU202" t="s">
        <v>230</v>
      </c>
      <c r="AV202" t="s">
        <v>380</v>
      </c>
      <c r="AW202" t="s">
        <v>1096</v>
      </c>
      <c r="AX202" t="s">
        <v>917</v>
      </c>
      <c r="AY202" t="s">
        <v>231</v>
      </c>
      <c r="AZ202" t="s">
        <v>1082</v>
      </c>
      <c r="BA202" t="s">
        <v>1037</v>
      </c>
      <c r="BB202" t="s">
        <v>970</v>
      </c>
      <c r="BC202" t="s">
        <v>1020</v>
      </c>
      <c r="BD202" t="s">
        <v>976</v>
      </c>
      <c r="BE202" t="s">
        <v>232</v>
      </c>
      <c r="BF202" t="s">
        <v>145</v>
      </c>
      <c r="BG202" t="s">
        <v>785</v>
      </c>
      <c r="BH202" t="s">
        <v>2369</v>
      </c>
      <c r="BI202" t="s">
        <v>977</v>
      </c>
      <c r="BJ202" t="s">
        <v>756</v>
      </c>
      <c r="BK202" t="s">
        <v>757</v>
      </c>
      <c r="BL202" t="s">
        <v>1014</v>
      </c>
      <c r="BM202" t="s">
        <v>233</v>
      </c>
      <c r="BN202" t="s">
        <v>2342</v>
      </c>
      <c r="BO202" t="s">
        <v>2339</v>
      </c>
      <c r="BP202" t="s">
        <v>234</v>
      </c>
      <c r="BQ202" t="s">
        <v>225</v>
      </c>
      <c r="BR202" t="s">
        <v>287</v>
      </c>
      <c r="BS202" t="s">
        <v>235</v>
      </c>
      <c r="BT202" t="s">
        <v>754</v>
      </c>
      <c r="BU202" t="s">
        <v>779</v>
      </c>
      <c r="BV202" t="s">
        <v>925</v>
      </c>
      <c r="BW202" t="s">
        <v>1153</v>
      </c>
      <c r="BX202" t="s">
        <v>1017</v>
      </c>
      <c r="BY202" t="s">
        <v>1004</v>
      </c>
      <c r="BZ202" t="s">
        <v>1298</v>
      </c>
      <c r="CA202" t="s">
        <v>2367</v>
      </c>
      <c r="CB202" t="s">
        <v>239</v>
      </c>
      <c r="CC202" t="s">
        <v>241</v>
      </c>
      <c r="CD202" t="s">
        <v>805</v>
      </c>
      <c r="CE202" t="s">
        <v>806</v>
      </c>
    </row>
    <row r="203" spans="1:97">
      <c r="A203" s="40">
        <v>190</v>
      </c>
      <c r="B203" s="40" t="s">
        <v>1319</v>
      </c>
      <c r="C203" s="2" t="s">
        <v>1320</v>
      </c>
      <c r="D203" s="2" t="s">
        <v>24</v>
      </c>
      <c r="E203" s="2"/>
      <c r="F203" s="2">
        <v>55</v>
      </c>
      <c r="G203" s="2">
        <v>70</v>
      </c>
      <c r="H203" s="2">
        <v>55</v>
      </c>
      <c r="I203" s="2">
        <v>40</v>
      </c>
      <c r="J203" s="2">
        <v>55</v>
      </c>
      <c r="K203" s="2">
        <v>85</v>
      </c>
      <c r="L203" s="2">
        <v>360</v>
      </c>
      <c r="M203" s="2" t="s">
        <v>1173</v>
      </c>
      <c r="N203" s="2" t="s">
        <v>1061</v>
      </c>
      <c r="O203" t="s">
        <v>249</v>
      </c>
      <c r="P203" t="s">
        <v>266</v>
      </c>
      <c r="Q203" t="s">
        <v>309</v>
      </c>
      <c r="R203" t="s">
        <v>1130</v>
      </c>
      <c r="S203" t="s">
        <v>788</v>
      </c>
      <c r="T203" t="s">
        <v>950</v>
      </c>
      <c r="U203" t="s">
        <v>323</v>
      </c>
      <c r="V203" t="s">
        <v>354</v>
      </c>
      <c r="W203" t="s">
        <v>324</v>
      </c>
      <c r="X203" t="s">
        <v>306</v>
      </c>
      <c r="Y203" t="s">
        <v>965</v>
      </c>
      <c r="Z203" t="s">
        <v>974</v>
      </c>
      <c r="AA203" t="s">
        <v>991</v>
      </c>
      <c r="AB203" t="s">
        <v>986</v>
      </c>
      <c r="AC203" t="s">
        <v>1062</v>
      </c>
      <c r="AD203" t="s">
        <v>226</v>
      </c>
      <c r="AE203" t="s">
        <v>227</v>
      </c>
      <c r="AF203" t="s">
        <v>1063</v>
      </c>
      <c r="AG203" t="s">
        <v>1030</v>
      </c>
      <c r="AH203" t="s">
        <v>148</v>
      </c>
      <c r="AI203" t="s">
        <v>172</v>
      </c>
      <c r="AJ203" t="s">
        <v>752</v>
      </c>
      <c r="AK203" t="s">
        <v>1126</v>
      </c>
      <c r="AL203" t="s">
        <v>1078</v>
      </c>
      <c r="AM203" t="s">
        <v>766</v>
      </c>
      <c r="AN203" t="s">
        <v>1079</v>
      </c>
      <c r="AO203" t="s">
        <v>229</v>
      </c>
      <c r="AP203" t="s">
        <v>146</v>
      </c>
      <c r="AQ203" t="s">
        <v>321</v>
      </c>
      <c r="AR203" t="s">
        <v>1080</v>
      </c>
      <c r="AS203" t="s">
        <v>256</v>
      </c>
      <c r="AT203" t="s">
        <v>174</v>
      </c>
      <c r="AU203" t="s">
        <v>1094</v>
      </c>
      <c r="AV203" t="s">
        <v>230</v>
      </c>
      <c r="AW203" t="s">
        <v>1096</v>
      </c>
      <c r="AX203" t="s">
        <v>917</v>
      </c>
      <c r="AY203" t="s">
        <v>231</v>
      </c>
      <c r="AZ203" t="s">
        <v>1082</v>
      </c>
      <c r="BA203" t="s">
        <v>1117</v>
      </c>
      <c r="BB203" t="s">
        <v>1172</v>
      </c>
      <c r="BC203" t="s">
        <v>1037</v>
      </c>
      <c r="BD203" t="s">
        <v>974</v>
      </c>
      <c r="BE203" t="s">
        <v>1020</v>
      </c>
      <c r="BF203" t="s">
        <v>1005</v>
      </c>
      <c r="BG203" t="s">
        <v>995</v>
      </c>
      <c r="BH203" t="s">
        <v>1036</v>
      </c>
      <c r="BI203" t="s">
        <v>322</v>
      </c>
      <c r="BJ203" t="s">
        <v>293</v>
      </c>
      <c r="BK203" t="s">
        <v>977</v>
      </c>
      <c r="BL203" t="s">
        <v>756</v>
      </c>
      <c r="BM203" t="s">
        <v>757</v>
      </c>
      <c r="BN203" t="s">
        <v>1014</v>
      </c>
      <c r="BO203" t="s">
        <v>233</v>
      </c>
      <c r="BP203" t="s">
        <v>760</v>
      </c>
      <c r="BQ203" t="s">
        <v>2398</v>
      </c>
      <c r="BR203" t="s">
        <v>2339</v>
      </c>
      <c r="BS203" t="s">
        <v>234</v>
      </c>
      <c r="BT203" t="s">
        <v>348</v>
      </c>
      <c r="BU203" t="s">
        <v>341</v>
      </c>
      <c r="BV203" t="s">
        <v>259</v>
      </c>
      <c r="BW203" t="s">
        <v>306</v>
      </c>
      <c r="BX203" t="s">
        <v>324</v>
      </c>
      <c r="BY203" t="s">
        <v>778</v>
      </c>
      <c r="BZ203" t="s">
        <v>773</v>
      </c>
      <c r="CA203" t="s">
        <v>763</v>
      </c>
      <c r="CB203" t="s">
        <v>176</v>
      </c>
      <c r="CC203" t="s">
        <v>1128</v>
      </c>
      <c r="CD203" t="s">
        <v>175</v>
      </c>
      <c r="CE203" t="s">
        <v>913</v>
      </c>
      <c r="CF203" t="s">
        <v>1136</v>
      </c>
      <c r="CG203" t="s">
        <v>1035</v>
      </c>
      <c r="CH203" t="s">
        <v>239</v>
      </c>
      <c r="CI203" t="s">
        <v>241</v>
      </c>
      <c r="CJ203" t="s">
        <v>805</v>
      </c>
      <c r="CK203" t="s">
        <v>806</v>
      </c>
    </row>
    <row r="204" spans="1:97">
      <c r="A204" s="40">
        <v>191</v>
      </c>
      <c r="B204" s="40" t="s">
        <v>1321</v>
      </c>
      <c r="C204" s="2" t="s">
        <v>1322</v>
      </c>
      <c r="D204" s="2" t="s">
        <v>21</v>
      </c>
      <c r="E204" s="2"/>
      <c r="F204" s="2">
        <v>30</v>
      </c>
      <c r="G204" s="2">
        <v>30</v>
      </c>
      <c r="H204" s="2">
        <v>30</v>
      </c>
      <c r="I204" s="2">
        <v>30</v>
      </c>
      <c r="J204" s="2">
        <v>30</v>
      </c>
      <c r="K204" s="2">
        <v>30</v>
      </c>
      <c r="L204" s="2">
        <v>180</v>
      </c>
      <c r="M204" s="2" t="s">
        <v>1162</v>
      </c>
      <c r="N204" s="2" t="s">
        <v>1061</v>
      </c>
      <c r="O204" t="s">
        <v>402</v>
      </c>
      <c r="P204" t="s">
        <v>215</v>
      </c>
      <c r="Q204" t="s">
        <v>1085</v>
      </c>
      <c r="R204" t="s">
        <v>1084</v>
      </c>
      <c r="S204" t="s">
        <v>403</v>
      </c>
      <c r="T204" t="s">
        <v>142</v>
      </c>
      <c r="U204" t="s">
        <v>224</v>
      </c>
      <c r="V204" t="s">
        <v>1017</v>
      </c>
      <c r="W204" t="s">
        <v>171</v>
      </c>
      <c r="X204" t="s">
        <v>916</v>
      </c>
      <c r="Y204" t="s">
        <v>750</v>
      </c>
      <c r="Z204" t="s">
        <v>992</v>
      </c>
      <c r="AA204" t="s">
        <v>229</v>
      </c>
      <c r="AB204" t="s">
        <v>225</v>
      </c>
      <c r="AC204" t="s">
        <v>752</v>
      </c>
      <c r="AD204" t="s">
        <v>1004</v>
      </c>
      <c r="AE204" t="s">
        <v>1062</v>
      </c>
      <c r="AF204" t="s">
        <v>226</v>
      </c>
      <c r="AG204" t="s">
        <v>1063</v>
      </c>
      <c r="AH204" t="s">
        <v>148</v>
      </c>
      <c r="AI204" t="s">
        <v>172</v>
      </c>
      <c r="AJ204" t="s">
        <v>752</v>
      </c>
      <c r="AK204" t="s">
        <v>228</v>
      </c>
      <c r="AL204" t="s">
        <v>1078</v>
      </c>
      <c r="AM204" t="s">
        <v>759</v>
      </c>
      <c r="AN204" t="s">
        <v>1079</v>
      </c>
      <c r="AO204" t="s">
        <v>229</v>
      </c>
      <c r="AP204" t="s">
        <v>1080</v>
      </c>
      <c r="AQ204" t="s">
        <v>230</v>
      </c>
      <c r="AR204" t="s">
        <v>1081</v>
      </c>
      <c r="AS204" t="s">
        <v>917</v>
      </c>
      <c r="AT204" t="s">
        <v>231</v>
      </c>
      <c r="AU204" t="s">
        <v>1082</v>
      </c>
      <c r="AV204" t="s">
        <v>1037</v>
      </c>
      <c r="AW204" t="s">
        <v>970</v>
      </c>
      <c r="AX204" t="s">
        <v>232</v>
      </c>
      <c r="AY204" t="s">
        <v>145</v>
      </c>
      <c r="AZ204" t="s">
        <v>977</v>
      </c>
      <c r="BA204" t="s">
        <v>756</v>
      </c>
      <c r="BB204" t="s">
        <v>757</v>
      </c>
      <c r="BC204" t="s">
        <v>233</v>
      </c>
      <c r="BD204" t="s">
        <v>1087</v>
      </c>
      <c r="BE204" t="s">
        <v>2339</v>
      </c>
      <c r="BF204" t="s">
        <v>234</v>
      </c>
      <c r="BG204" t="s">
        <v>142</v>
      </c>
      <c r="BH204" t="s">
        <v>347</v>
      </c>
      <c r="BI204" t="s">
        <v>751</v>
      </c>
      <c r="BJ204" t="s">
        <v>754</v>
      </c>
      <c r="BK204" t="s">
        <v>779</v>
      </c>
      <c r="BL204" t="s">
        <v>1076</v>
      </c>
      <c r="BM204" t="s">
        <v>1164</v>
      </c>
      <c r="BN204" t="s">
        <v>1087</v>
      </c>
      <c r="BO204" t="s">
        <v>925</v>
      </c>
      <c r="BP204" t="s">
        <v>1085</v>
      </c>
      <c r="BQ204" t="s">
        <v>1084</v>
      </c>
      <c r="BR204" t="s">
        <v>992</v>
      </c>
      <c r="BS204" t="s">
        <v>239</v>
      </c>
      <c r="BT204" t="s">
        <v>241</v>
      </c>
      <c r="BU204" t="s">
        <v>805</v>
      </c>
      <c r="BV204" t="s">
        <v>806</v>
      </c>
    </row>
    <row r="205" spans="1:97">
      <c r="A205" s="40">
        <v>192</v>
      </c>
      <c r="B205" s="40" t="s">
        <v>1323</v>
      </c>
      <c r="C205" s="2" t="s">
        <v>1324</v>
      </c>
      <c r="D205" s="2" t="s">
        <v>21</v>
      </c>
      <c r="E205" s="2"/>
      <c r="F205" s="2">
        <v>75</v>
      </c>
      <c r="G205" s="2">
        <v>75</v>
      </c>
      <c r="H205" s="2">
        <v>55</v>
      </c>
      <c r="I205" s="2">
        <v>105</v>
      </c>
      <c r="J205" s="2">
        <v>85</v>
      </c>
      <c r="K205" s="2">
        <v>30</v>
      </c>
      <c r="L205" s="2">
        <v>425</v>
      </c>
      <c r="M205" s="2" t="s">
        <v>1177</v>
      </c>
      <c r="N205" s="2" t="s">
        <v>1061</v>
      </c>
      <c r="O205" t="s">
        <v>376</v>
      </c>
      <c r="P205" t="s">
        <v>402</v>
      </c>
      <c r="Q205" t="s">
        <v>215</v>
      </c>
      <c r="R205" t="s">
        <v>2357</v>
      </c>
      <c r="S205" t="s">
        <v>1085</v>
      </c>
      <c r="T205" t="s">
        <v>1084</v>
      </c>
      <c r="U205" t="s">
        <v>403</v>
      </c>
      <c r="V205" t="s">
        <v>142</v>
      </c>
      <c r="W205" t="s">
        <v>224</v>
      </c>
      <c r="X205" t="s">
        <v>1017</v>
      </c>
      <c r="Y205" t="s">
        <v>171</v>
      </c>
      <c r="Z205" t="s">
        <v>1190</v>
      </c>
      <c r="AA205" t="s">
        <v>236</v>
      </c>
      <c r="AB205" t="s">
        <v>992</v>
      </c>
      <c r="AC205" t="s">
        <v>229</v>
      </c>
      <c r="AD205" t="s">
        <v>225</v>
      </c>
      <c r="AE205" t="s">
        <v>752</v>
      </c>
      <c r="AF205" t="s">
        <v>1086</v>
      </c>
      <c r="AG205" t="s">
        <v>2391</v>
      </c>
      <c r="AH205" t="s">
        <v>1062</v>
      </c>
      <c r="AI205" t="s">
        <v>226</v>
      </c>
      <c r="AJ205" t="s">
        <v>1063</v>
      </c>
      <c r="AK205" t="s">
        <v>148</v>
      </c>
      <c r="AL205" t="s">
        <v>172</v>
      </c>
      <c r="AM205" t="s">
        <v>752</v>
      </c>
      <c r="AN205" t="s">
        <v>247</v>
      </c>
      <c r="AO205" t="s">
        <v>228</v>
      </c>
      <c r="AP205" t="s">
        <v>1078</v>
      </c>
      <c r="AQ205" t="s">
        <v>759</v>
      </c>
      <c r="AR205" t="s">
        <v>1079</v>
      </c>
      <c r="AS205" t="s">
        <v>229</v>
      </c>
      <c r="AT205" t="s">
        <v>1080</v>
      </c>
      <c r="AU205" t="s">
        <v>230</v>
      </c>
      <c r="AV205" t="s">
        <v>1081</v>
      </c>
      <c r="AW205" t="s">
        <v>917</v>
      </c>
      <c r="AX205" t="s">
        <v>231</v>
      </c>
      <c r="AY205" t="s">
        <v>1082</v>
      </c>
      <c r="AZ205" t="s">
        <v>1037</v>
      </c>
      <c r="BA205" t="s">
        <v>970</v>
      </c>
      <c r="BB205" t="s">
        <v>976</v>
      </c>
      <c r="BC205" t="s">
        <v>232</v>
      </c>
      <c r="BD205" t="s">
        <v>145</v>
      </c>
      <c r="BE205" t="s">
        <v>977</v>
      </c>
      <c r="BF205" t="s">
        <v>756</v>
      </c>
      <c r="BG205" t="s">
        <v>757</v>
      </c>
      <c r="BH205" t="s">
        <v>233</v>
      </c>
      <c r="BI205" t="s">
        <v>1087</v>
      </c>
      <c r="BJ205" t="s">
        <v>2339</v>
      </c>
      <c r="BK205" t="s">
        <v>234</v>
      </c>
      <c r="BL205" t="s">
        <v>142</v>
      </c>
      <c r="BM205" t="s">
        <v>347</v>
      </c>
      <c r="BN205" t="s">
        <v>751</v>
      </c>
      <c r="BO205" t="s">
        <v>754</v>
      </c>
      <c r="BP205" t="s">
        <v>779</v>
      </c>
      <c r="BQ205" t="s">
        <v>1076</v>
      </c>
      <c r="BR205" t="s">
        <v>1164</v>
      </c>
      <c r="BS205" t="s">
        <v>1087</v>
      </c>
      <c r="BT205" t="s">
        <v>925</v>
      </c>
      <c r="BU205" t="s">
        <v>1085</v>
      </c>
      <c r="BV205" t="s">
        <v>1084</v>
      </c>
      <c r="BW205" t="s">
        <v>992</v>
      </c>
      <c r="BX205" t="s">
        <v>239</v>
      </c>
      <c r="BY205" t="s">
        <v>241</v>
      </c>
      <c r="BZ205" t="s">
        <v>916</v>
      </c>
      <c r="CA205" t="s">
        <v>750</v>
      </c>
      <c r="CB205" t="s">
        <v>1004</v>
      </c>
      <c r="CC205" t="s">
        <v>805</v>
      </c>
      <c r="CD205" t="s">
        <v>806</v>
      </c>
    </row>
    <row r="206" spans="1:97">
      <c r="A206" s="40">
        <v>193</v>
      </c>
      <c r="B206" s="40" t="s">
        <v>1325</v>
      </c>
      <c r="C206" s="2" t="s">
        <v>1326</v>
      </c>
      <c r="D206" s="2" t="s">
        <v>14</v>
      </c>
      <c r="E206" s="2" t="s">
        <v>20</v>
      </c>
      <c r="F206" s="2">
        <v>65</v>
      </c>
      <c r="G206" s="2">
        <v>65</v>
      </c>
      <c r="H206" s="2">
        <v>45</v>
      </c>
      <c r="I206" s="2">
        <v>75</v>
      </c>
      <c r="J206" s="2">
        <v>45</v>
      </c>
      <c r="K206" s="2">
        <v>95</v>
      </c>
      <c r="L206" s="2">
        <v>390</v>
      </c>
      <c r="M206" s="2" t="s">
        <v>1188</v>
      </c>
      <c r="N206" s="2" t="s">
        <v>1061</v>
      </c>
      <c r="O206" t="s">
        <v>219</v>
      </c>
      <c r="P206" t="s">
        <v>771</v>
      </c>
      <c r="Q206" t="s">
        <v>310</v>
      </c>
      <c r="R206" t="s">
        <v>230</v>
      </c>
      <c r="S206" t="s">
        <v>502</v>
      </c>
      <c r="T206" t="s">
        <v>1220</v>
      </c>
      <c r="U206" t="s">
        <v>290</v>
      </c>
      <c r="V206" t="s">
        <v>953</v>
      </c>
      <c r="W206" t="s">
        <v>773</v>
      </c>
      <c r="X206" t="s">
        <v>170</v>
      </c>
      <c r="Y206" t="s">
        <v>388</v>
      </c>
      <c r="Z206" t="s">
        <v>264</v>
      </c>
      <c r="AA206" t="s">
        <v>324</v>
      </c>
      <c r="AB206" t="s">
        <v>1014</v>
      </c>
      <c r="AC206" t="s">
        <v>1101</v>
      </c>
      <c r="AD206" t="s">
        <v>1115</v>
      </c>
      <c r="AE206" t="s">
        <v>1062</v>
      </c>
      <c r="AF206" t="s">
        <v>1063</v>
      </c>
      <c r="AG206" t="s">
        <v>148</v>
      </c>
      <c r="AH206" t="s">
        <v>172</v>
      </c>
      <c r="AI206" t="s">
        <v>752</v>
      </c>
      <c r="AJ206" t="s">
        <v>1078</v>
      </c>
      <c r="AK206" t="s">
        <v>1119</v>
      </c>
      <c r="AL206" t="s">
        <v>1079</v>
      </c>
      <c r="AM206" t="s">
        <v>229</v>
      </c>
      <c r="AN206" t="s">
        <v>1080</v>
      </c>
      <c r="AO206" t="s">
        <v>9</v>
      </c>
      <c r="AP206" t="s">
        <v>174</v>
      </c>
      <c r="AQ206" t="s">
        <v>230</v>
      </c>
      <c r="AR206" t="s">
        <v>1096</v>
      </c>
      <c r="AS206" t="s">
        <v>917</v>
      </c>
      <c r="AT206" t="s">
        <v>231</v>
      </c>
      <c r="AU206" t="s">
        <v>1082</v>
      </c>
      <c r="AV206" t="s">
        <v>1117</v>
      </c>
      <c r="AW206" t="s">
        <v>1037</v>
      </c>
      <c r="AX206" t="s">
        <v>1125</v>
      </c>
      <c r="AY206" t="s">
        <v>232</v>
      </c>
      <c r="AZ206" t="s">
        <v>293</v>
      </c>
      <c r="BA206" t="s">
        <v>756</v>
      </c>
      <c r="BB206" t="s">
        <v>757</v>
      </c>
      <c r="BC206" t="s">
        <v>1014</v>
      </c>
      <c r="BD206" t="s">
        <v>233</v>
      </c>
      <c r="BE206" t="s">
        <v>2339</v>
      </c>
      <c r="BF206" t="s">
        <v>234</v>
      </c>
      <c r="BG206" t="s">
        <v>291</v>
      </c>
      <c r="BH206" t="s">
        <v>225</v>
      </c>
      <c r="BI206" t="s">
        <v>397</v>
      </c>
      <c r="BJ206" t="s">
        <v>775</v>
      </c>
      <c r="BK206" t="s">
        <v>774</v>
      </c>
      <c r="BL206" t="s">
        <v>773</v>
      </c>
      <c r="BM206" t="s">
        <v>940</v>
      </c>
      <c r="BN206" t="s">
        <v>1113</v>
      </c>
      <c r="BO206" t="s">
        <v>216</v>
      </c>
      <c r="BP206" t="s">
        <v>971</v>
      </c>
      <c r="BQ206" t="s">
        <v>239</v>
      </c>
      <c r="BR206" t="s">
        <v>241</v>
      </c>
      <c r="BS206" t="s">
        <v>805</v>
      </c>
      <c r="BT206" t="s">
        <v>806</v>
      </c>
    </row>
    <row r="207" spans="1:97">
      <c r="A207" s="40">
        <v>194</v>
      </c>
      <c r="B207" s="40" t="s">
        <v>1327</v>
      </c>
      <c r="C207" s="2" t="s">
        <v>1328</v>
      </c>
      <c r="D207" s="2" t="s">
        <v>27</v>
      </c>
      <c r="E207" s="2" t="s">
        <v>22</v>
      </c>
      <c r="F207" s="2">
        <v>55</v>
      </c>
      <c r="G207" s="2">
        <v>45</v>
      </c>
      <c r="H207" s="2">
        <v>45</v>
      </c>
      <c r="I207" s="2">
        <v>25</v>
      </c>
      <c r="J207" s="2">
        <v>25</v>
      </c>
      <c r="K207" s="2">
        <v>15</v>
      </c>
      <c r="L207" s="2">
        <v>210</v>
      </c>
      <c r="M207" s="2" t="s">
        <v>1177</v>
      </c>
      <c r="N207" s="2" t="s">
        <v>1061</v>
      </c>
      <c r="O207" t="s">
        <v>266</v>
      </c>
      <c r="P207" t="s">
        <v>269</v>
      </c>
      <c r="Q207" t="s">
        <v>933</v>
      </c>
      <c r="R207" t="s">
        <v>1144</v>
      </c>
      <c r="S207" t="s">
        <v>341</v>
      </c>
      <c r="T207" t="s">
        <v>990</v>
      </c>
      <c r="U207" t="s">
        <v>235</v>
      </c>
      <c r="V207" t="s">
        <v>958</v>
      </c>
      <c r="W207" t="s">
        <v>136</v>
      </c>
      <c r="X207" t="s">
        <v>766</v>
      </c>
      <c r="Y207" t="s">
        <v>273</v>
      </c>
      <c r="Z207" t="s">
        <v>272</v>
      </c>
      <c r="AA207" t="s">
        <v>1105</v>
      </c>
      <c r="AB207" t="s">
        <v>1062</v>
      </c>
      <c r="AC207" t="s">
        <v>144</v>
      </c>
      <c r="AD207" t="s">
        <v>270</v>
      </c>
      <c r="AE207" t="s">
        <v>914</v>
      </c>
      <c r="AF207" t="s">
        <v>1063</v>
      </c>
      <c r="AG207" t="s">
        <v>148</v>
      </c>
      <c r="AH207" t="s">
        <v>1104</v>
      </c>
      <c r="AI207" t="s">
        <v>172</v>
      </c>
      <c r="AJ207" t="s">
        <v>141</v>
      </c>
      <c r="AK207" t="s">
        <v>271</v>
      </c>
      <c r="AL207" t="s">
        <v>1078</v>
      </c>
      <c r="AM207" t="s">
        <v>766</v>
      </c>
      <c r="AN207" t="s">
        <v>759</v>
      </c>
      <c r="AO207" t="s">
        <v>1079</v>
      </c>
      <c r="AP207" t="s">
        <v>136</v>
      </c>
      <c r="AQ207" t="s">
        <v>1080</v>
      </c>
      <c r="AR207" t="s">
        <v>256</v>
      </c>
      <c r="AS207" t="s">
        <v>230</v>
      </c>
      <c r="AT207" t="s">
        <v>186</v>
      </c>
      <c r="AU207" t="s">
        <v>1081</v>
      </c>
      <c r="AV207" t="s">
        <v>765</v>
      </c>
      <c r="AW207" t="s">
        <v>917</v>
      </c>
      <c r="AX207" t="s">
        <v>231</v>
      </c>
      <c r="AY207" t="s">
        <v>1082</v>
      </c>
      <c r="AZ207" t="s">
        <v>1037</v>
      </c>
      <c r="BA207" t="s">
        <v>1038</v>
      </c>
      <c r="BB207" t="s">
        <v>232</v>
      </c>
      <c r="BC207" t="s">
        <v>1021</v>
      </c>
      <c r="BD207" t="s">
        <v>2369</v>
      </c>
      <c r="BE207" t="s">
        <v>756</v>
      </c>
      <c r="BF207" t="s">
        <v>757</v>
      </c>
      <c r="BG207" t="s">
        <v>233</v>
      </c>
      <c r="BH207" t="s">
        <v>760</v>
      </c>
      <c r="BI207" t="s">
        <v>2339</v>
      </c>
      <c r="BJ207" t="s">
        <v>234</v>
      </c>
      <c r="BK207" t="s">
        <v>359</v>
      </c>
      <c r="BL207" t="s">
        <v>364</v>
      </c>
      <c r="BM207" t="s">
        <v>259</v>
      </c>
      <c r="BN207" t="s">
        <v>459</v>
      </c>
      <c r="BO207" t="s">
        <v>751</v>
      </c>
      <c r="BP207" t="s">
        <v>757</v>
      </c>
      <c r="BQ207" t="s">
        <v>779</v>
      </c>
      <c r="BR207" t="s">
        <v>170</v>
      </c>
      <c r="BS207" t="s">
        <v>946</v>
      </c>
      <c r="BT207" t="s">
        <v>1133</v>
      </c>
      <c r="BU207" t="s">
        <v>948</v>
      </c>
      <c r="BV207" t="s">
        <v>933</v>
      </c>
      <c r="BW207" t="s">
        <v>1183</v>
      </c>
      <c r="BX207" t="s">
        <v>1134</v>
      </c>
      <c r="BY207" t="s">
        <v>1150</v>
      </c>
      <c r="BZ207" t="s">
        <v>2346</v>
      </c>
      <c r="CA207" t="s">
        <v>239</v>
      </c>
      <c r="CB207" t="s">
        <v>241</v>
      </c>
      <c r="CC207" t="s">
        <v>805</v>
      </c>
      <c r="CD207" t="s">
        <v>806</v>
      </c>
    </row>
    <row r="208" spans="1:97">
      <c r="A208" s="40">
        <v>195</v>
      </c>
      <c r="B208" s="40" t="s">
        <v>1329</v>
      </c>
      <c r="C208" s="2" t="s">
        <v>1330</v>
      </c>
      <c r="D208" s="2" t="s">
        <v>27</v>
      </c>
      <c r="E208" s="2" t="s">
        <v>22</v>
      </c>
      <c r="F208" s="2">
        <v>95</v>
      </c>
      <c r="G208" s="2">
        <v>85</v>
      </c>
      <c r="H208" s="2">
        <v>85</v>
      </c>
      <c r="I208" s="2">
        <v>65</v>
      </c>
      <c r="J208" s="2">
        <v>65</v>
      </c>
      <c r="K208" s="2">
        <v>35</v>
      </c>
      <c r="L208" s="2">
        <v>430</v>
      </c>
      <c r="M208" s="2" t="s">
        <v>1161</v>
      </c>
      <c r="N208" s="2" t="s">
        <v>1061</v>
      </c>
      <c r="O208" t="s">
        <v>266</v>
      </c>
      <c r="P208" t="s">
        <v>269</v>
      </c>
      <c r="Q208" t="s">
        <v>933</v>
      </c>
      <c r="R208" t="s">
        <v>933</v>
      </c>
      <c r="S208" t="s">
        <v>1144</v>
      </c>
      <c r="T208" t="s">
        <v>341</v>
      </c>
      <c r="U208" t="s">
        <v>990</v>
      </c>
      <c r="V208" t="s">
        <v>235</v>
      </c>
      <c r="W208" t="s">
        <v>958</v>
      </c>
      <c r="X208" t="s">
        <v>136</v>
      </c>
      <c r="Y208" t="s">
        <v>766</v>
      </c>
      <c r="Z208" t="s">
        <v>273</v>
      </c>
      <c r="AA208" t="s">
        <v>272</v>
      </c>
      <c r="AB208" t="s">
        <v>1105</v>
      </c>
      <c r="AC208" t="s">
        <v>1062</v>
      </c>
      <c r="AD208" t="s">
        <v>144</v>
      </c>
      <c r="AE208" t="s">
        <v>227</v>
      </c>
      <c r="AF208" t="s">
        <v>270</v>
      </c>
      <c r="AG208" t="s">
        <v>914</v>
      </c>
      <c r="AH208" t="s">
        <v>1063</v>
      </c>
      <c r="AI208" t="s">
        <v>148</v>
      </c>
      <c r="AJ208" t="s">
        <v>1104</v>
      </c>
      <c r="AK208" t="s">
        <v>172</v>
      </c>
      <c r="AL208" t="s">
        <v>141</v>
      </c>
      <c r="AM208" t="s">
        <v>271</v>
      </c>
      <c r="AN208" t="s">
        <v>247</v>
      </c>
      <c r="AO208" t="s">
        <v>1078</v>
      </c>
      <c r="AP208" t="s">
        <v>766</v>
      </c>
      <c r="AQ208" t="s">
        <v>759</v>
      </c>
      <c r="AR208" t="s">
        <v>1079</v>
      </c>
      <c r="AS208" t="s">
        <v>136</v>
      </c>
      <c r="AT208" t="s">
        <v>1080</v>
      </c>
      <c r="AU208" t="s">
        <v>256</v>
      </c>
      <c r="AV208" t="s">
        <v>1094</v>
      </c>
      <c r="AW208" t="s">
        <v>230</v>
      </c>
      <c r="AX208" t="s">
        <v>186</v>
      </c>
      <c r="AY208" t="s">
        <v>1081</v>
      </c>
      <c r="AZ208" t="s">
        <v>765</v>
      </c>
      <c r="BA208" t="s">
        <v>1095</v>
      </c>
      <c r="BB208" t="s">
        <v>917</v>
      </c>
      <c r="BC208" t="s">
        <v>231</v>
      </c>
      <c r="BD208" t="s">
        <v>1082</v>
      </c>
      <c r="BE208" t="s">
        <v>1117</v>
      </c>
      <c r="BF208" t="s">
        <v>1037</v>
      </c>
      <c r="BG208" t="s">
        <v>1102</v>
      </c>
      <c r="BH208" t="s">
        <v>1038</v>
      </c>
      <c r="BI208" t="s">
        <v>974</v>
      </c>
      <c r="BJ208" t="s">
        <v>976</v>
      </c>
      <c r="BK208" t="s">
        <v>232</v>
      </c>
      <c r="BL208" t="s">
        <v>183</v>
      </c>
      <c r="BM208" t="s">
        <v>1021</v>
      </c>
      <c r="BN208" t="s">
        <v>143</v>
      </c>
      <c r="BO208" t="s">
        <v>2369</v>
      </c>
      <c r="BP208" t="s">
        <v>756</v>
      </c>
      <c r="BQ208" t="s">
        <v>757</v>
      </c>
      <c r="BR208" t="s">
        <v>233</v>
      </c>
      <c r="BS208" t="s">
        <v>760</v>
      </c>
      <c r="BT208" t="s">
        <v>2398</v>
      </c>
      <c r="BU208" t="s">
        <v>2339</v>
      </c>
      <c r="BV208" t="s">
        <v>234</v>
      </c>
      <c r="BW208" t="s">
        <v>359</v>
      </c>
      <c r="BX208" t="s">
        <v>364</v>
      </c>
      <c r="BY208" t="s">
        <v>259</v>
      </c>
      <c r="BZ208" t="s">
        <v>459</v>
      </c>
      <c r="CA208" t="s">
        <v>751</v>
      </c>
      <c r="CB208" t="s">
        <v>757</v>
      </c>
      <c r="CC208" t="s">
        <v>779</v>
      </c>
      <c r="CD208" t="s">
        <v>170</v>
      </c>
      <c r="CE208" t="s">
        <v>946</v>
      </c>
      <c r="CF208" t="s">
        <v>1133</v>
      </c>
      <c r="CG208" t="s">
        <v>948</v>
      </c>
      <c r="CH208" t="s">
        <v>933</v>
      </c>
      <c r="CI208" t="s">
        <v>1183</v>
      </c>
      <c r="CJ208" t="s">
        <v>1134</v>
      </c>
      <c r="CK208" t="s">
        <v>1150</v>
      </c>
      <c r="CL208" t="s">
        <v>2346</v>
      </c>
      <c r="CM208" t="s">
        <v>239</v>
      </c>
      <c r="CN208" t="s">
        <v>241</v>
      </c>
      <c r="CO208" t="s">
        <v>805</v>
      </c>
      <c r="CP208" t="s">
        <v>806</v>
      </c>
    </row>
    <row r="209" spans="1:104">
      <c r="A209" s="40">
        <v>196</v>
      </c>
      <c r="B209" s="40" t="s">
        <v>1331</v>
      </c>
      <c r="C209" s="2" t="s">
        <v>1332</v>
      </c>
      <c r="D209" s="2" t="s">
        <v>9</v>
      </c>
      <c r="E209" s="2"/>
      <c r="F209" s="2">
        <v>65</v>
      </c>
      <c r="G209" s="2">
        <v>65</v>
      </c>
      <c r="H209" s="2">
        <v>60</v>
      </c>
      <c r="I209" s="2">
        <v>130</v>
      </c>
      <c r="J209" s="2">
        <v>95</v>
      </c>
      <c r="K209" s="2">
        <v>110</v>
      </c>
      <c r="L209" s="2">
        <v>525</v>
      </c>
      <c r="M209" s="2" t="s">
        <v>1159</v>
      </c>
      <c r="N209" s="2" t="s">
        <v>1061</v>
      </c>
      <c r="O209" t="s">
        <v>219</v>
      </c>
      <c r="P209" t="s">
        <v>266</v>
      </c>
      <c r="Q209" t="s">
        <v>925</v>
      </c>
      <c r="R209" t="s">
        <v>309</v>
      </c>
      <c r="S209" t="s">
        <v>287</v>
      </c>
      <c r="T209" t="s">
        <v>310</v>
      </c>
      <c r="U209" t="s">
        <v>354</v>
      </c>
      <c r="V209" t="s">
        <v>292</v>
      </c>
      <c r="W209" t="s">
        <v>790</v>
      </c>
      <c r="X209" t="s">
        <v>785</v>
      </c>
      <c r="Y209" t="s">
        <v>1164</v>
      </c>
      <c r="Z209" t="s">
        <v>9</v>
      </c>
      <c r="AA209" t="s">
        <v>986</v>
      </c>
      <c r="AB209" t="s">
        <v>998</v>
      </c>
      <c r="AC209" t="s">
        <v>1062</v>
      </c>
      <c r="AD209" t="s">
        <v>226</v>
      </c>
      <c r="AE209" t="s">
        <v>1063</v>
      </c>
      <c r="AF209" t="s">
        <v>1151</v>
      </c>
      <c r="AG209" t="s">
        <v>912</v>
      </c>
      <c r="AH209" t="s">
        <v>148</v>
      </c>
      <c r="AI209" t="s">
        <v>172</v>
      </c>
      <c r="AJ209" t="s">
        <v>752</v>
      </c>
      <c r="AK209" t="s">
        <v>247</v>
      </c>
      <c r="AL209" t="s">
        <v>228</v>
      </c>
      <c r="AM209" t="s">
        <v>1078</v>
      </c>
      <c r="AN209" t="s">
        <v>766</v>
      </c>
      <c r="AO209" t="s">
        <v>1079</v>
      </c>
      <c r="AP209" t="s">
        <v>1080</v>
      </c>
      <c r="AQ209" t="s">
        <v>256</v>
      </c>
      <c r="AR209" t="s">
        <v>9</v>
      </c>
      <c r="AS209" t="s">
        <v>174</v>
      </c>
      <c r="AT209" t="s">
        <v>230</v>
      </c>
      <c r="AU209" t="s">
        <v>380</v>
      </c>
      <c r="AV209" t="s">
        <v>917</v>
      </c>
      <c r="AW209" t="s">
        <v>231</v>
      </c>
      <c r="AX209" t="s">
        <v>1082</v>
      </c>
      <c r="AY209" t="s">
        <v>1037</v>
      </c>
      <c r="AZ209" t="s">
        <v>1083</v>
      </c>
      <c r="BA209" t="s">
        <v>1036</v>
      </c>
      <c r="BB209" t="s">
        <v>976</v>
      </c>
      <c r="BC209" t="s">
        <v>232</v>
      </c>
      <c r="BD209" t="s">
        <v>785</v>
      </c>
      <c r="BE209" t="s">
        <v>293</v>
      </c>
      <c r="BF209" t="s">
        <v>977</v>
      </c>
      <c r="BG209" t="s">
        <v>756</v>
      </c>
      <c r="BH209" t="s">
        <v>757</v>
      </c>
      <c r="BI209" t="s">
        <v>233</v>
      </c>
      <c r="BJ209" t="s">
        <v>1012</v>
      </c>
      <c r="BK209" t="s">
        <v>2342</v>
      </c>
      <c r="BL209" t="s">
        <v>2339</v>
      </c>
      <c r="BM209" t="s">
        <v>234</v>
      </c>
      <c r="BN209" t="s">
        <v>751</v>
      </c>
      <c r="BO209" t="s">
        <v>770</v>
      </c>
      <c r="BP209" t="s">
        <v>1220</v>
      </c>
      <c r="BQ209" t="s">
        <v>754</v>
      </c>
      <c r="BR209" t="s">
        <v>781</v>
      </c>
      <c r="BS209" t="s">
        <v>957</v>
      </c>
      <c r="BT209" t="s">
        <v>958</v>
      </c>
      <c r="BU209" t="s">
        <v>918</v>
      </c>
      <c r="BV209" t="s">
        <v>950</v>
      </c>
      <c r="BW209" t="s">
        <v>913</v>
      </c>
      <c r="BX209" t="s">
        <v>992</v>
      </c>
      <c r="BY209" t="s">
        <v>1043</v>
      </c>
      <c r="BZ209" t="s">
        <v>1041</v>
      </c>
      <c r="CA209" t="s">
        <v>239</v>
      </c>
      <c r="CB209" t="s">
        <v>241</v>
      </c>
      <c r="CC209" t="s">
        <v>220</v>
      </c>
      <c r="CD209" t="s">
        <v>2333</v>
      </c>
      <c r="CE209" t="s">
        <v>258</v>
      </c>
      <c r="CF209" t="s">
        <v>913</v>
      </c>
      <c r="CG209" t="s">
        <v>223</v>
      </c>
      <c r="CH209" t="s">
        <v>781</v>
      </c>
      <c r="CI209" t="s">
        <v>788</v>
      </c>
      <c r="CJ209" t="s">
        <v>225</v>
      </c>
      <c r="CK209" t="s">
        <v>1013</v>
      </c>
      <c r="CL209" t="s">
        <v>805</v>
      </c>
      <c r="CM209" t="s">
        <v>806</v>
      </c>
    </row>
    <row r="210" spans="1:104">
      <c r="A210" s="40">
        <v>197</v>
      </c>
      <c r="B210" s="40" t="s">
        <v>1333</v>
      </c>
      <c r="C210" s="2" t="s">
        <v>1334</v>
      </c>
      <c r="D210" s="2" t="s">
        <v>15</v>
      </c>
      <c r="E210" s="2"/>
      <c r="F210" s="2">
        <v>95</v>
      </c>
      <c r="G210" s="2">
        <v>65</v>
      </c>
      <c r="H210" s="2">
        <v>110</v>
      </c>
      <c r="I210" s="2">
        <v>60</v>
      </c>
      <c r="J210" s="2">
        <v>130</v>
      </c>
      <c r="K210" s="2">
        <v>65</v>
      </c>
      <c r="L210" s="2">
        <v>525</v>
      </c>
      <c r="M210" s="2" t="s">
        <v>1173</v>
      </c>
      <c r="N210" s="2" t="s">
        <v>1061</v>
      </c>
      <c r="O210" t="s">
        <v>219</v>
      </c>
      <c r="P210" t="s">
        <v>266</v>
      </c>
      <c r="Q210" t="s">
        <v>925</v>
      </c>
      <c r="R210" t="s">
        <v>309</v>
      </c>
      <c r="S210" t="s">
        <v>773</v>
      </c>
      <c r="T210" t="s">
        <v>310</v>
      </c>
      <c r="U210" t="s">
        <v>387</v>
      </c>
      <c r="V210" t="s">
        <v>774</v>
      </c>
      <c r="W210" t="s">
        <v>960</v>
      </c>
      <c r="X210" t="s">
        <v>324</v>
      </c>
      <c r="Y210" t="s">
        <v>784</v>
      </c>
      <c r="Z210" t="s">
        <v>787</v>
      </c>
      <c r="AA210" t="s">
        <v>986</v>
      </c>
      <c r="AB210" t="s">
        <v>1183</v>
      </c>
      <c r="AC210" t="s">
        <v>1062</v>
      </c>
      <c r="AD210" t="s">
        <v>226</v>
      </c>
      <c r="AE210" t="s">
        <v>1063</v>
      </c>
      <c r="AF210" t="s">
        <v>148</v>
      </c>
      <c r="AG210" t="s">
        <v>172</v>
      </c>
      <c r="AH210" t="s">
        <v>752</v>
      </c>
      <c r="AI210" t="s">
        <v>1126</v>
      </c>
      <c r="AJ210" t="s">
        <v>247</v>
      </c>
      <c r="AK210" t="s">
        <v>1078</v>
      </c>
      <c r="AL210" t="s">
        <v>766</v>
      </c>
      <c r="AM210" t="s">
        <v>1079</v>
      </c>
      <c r="AN210" t="s">
        <v>1080</v>
      </c>
      <c r="AO210" t="s">
        <v>256</v>
      </c>
      <c r="AP210" t="s">
        <v>9</v>
      </c>
      <c r="AQ210" t="s">
        <v>174</v>
      </c>
      <c r="AR210" t="s">
        <v>230</v>
      </c>
      <c r="AS210" t="s">
        <v>951</v>
      </c>
      <c r="AT210" t="s">
        <v>917</v>
      </c>
      <c r="AU210" t="s">
        <v>231</v>
      </c>
      <c r="AV210" t="s">
        <v>1082</v>
      </c>
      <c r="AW210" t="s">
        <v>1037</v>
      </c>
      <c r="AX210" t="s">
        <v>1083</v>
      </c>
      <c r="AY210" t="s">
        <v>995</v>
      </c>
      <c r="AZ210" t="s">
        <v>1036</v>
      </c>
      <c r="BA210" t="s">
        <v>976</v>
      </c>
      <c r="BB210" t="s">
        <v>232</v>
      </c>
      <c r="BC210" t="s">
        <v>785</v>
      </c>
      <c r="BD210" t="s">
        <v>293</v>
      </c>
      <c r="BE210" t="s">
        <v>756</v>
      </c>
      <c r="BF210" t="s">
        <v>757</v>
      </c>
      <c r="BG210" t="s">
        <v>233</v>
      </c>
      <c r="BH210" t="s">
        <v>1040</v>
      </c>
      <c r="BI210" t="s">
        <v>1157</v>
      </c>
      <c r="BJ210" t="s">
        <v>2339</v>
      </c>
      <c r="BK210" t="s">
        <v>234</v>
      </c>
      <c r="BL210" t="s">
        <v>751</v>
      </c>
      <c r="BM210" t="s">
        <v>770</v>
      </c>
      <c r="BN210" t="s">
        <v>1220</v>
      </c>
      <c r="BO210" t="s">
        <v>754</v>
      </c>
      <c r="BP210" t="s">
        <v>781</v>
      </c>
      <c r="BQ210" t="s">
        <v>957</v>
      </c>
      <c r="BR210" t="s">
        <v>958</v>
      </c>
      <c r="BS210" t="s">
        <v>918</v>
      </c>
      <c r="BT210" t="s">
        <v>950</v>
      </c>
      <c r="BU210" t="s">
        <v>913</v>
      </c>
      <c r="BV210" t="s">
        <v>992</v>
      </c>
      <c r="BW210" t="s">
        <v>1043</v>
      </c>
      <c r="BX210" t="s">
        <v>1041</v>
      </c>
      <c r="BY210" t="s">
        <v>239</v>
      </c>
      <c r="BZ210" t="s">
        <v>241</v>
      </c>
      <c r="CA210" t="s">
        <v>220</v>
      </c>
      <c r="CB210" t="s">
        <v>2333</v>
      </c>
      <c r="CC210" t="s">
        <v>258</v>
      </c>
      <c r="CD210" t="s">
        <v>913</v>
      </c>
      <c r="CE210" t="s">
        <v>223</v>
      </c>
      <c r="CF210" t="s">
        <v>781</v>
      </c>
      <c r="CG210" t="s">
        <v>788</v>
      </c>
      <c r="CH210" t="s">
        <v>225</v>
      </c>
      <c r="CI210" t="s">
        <v>1013</v>
      </c>
      <c r="CJ210" t="s">
        <v>805</v>
      </c>
      <c r="CK210" t="s">
        <v>806</v>
      </c>
    </row>
    <row r="211" spans="1:104">
      <c r="A211" s="40">
        <v>198</v>
      </c>
      <c r="B211" s="40" t="s">
        <v>1335</v>
      </c>
      <c r="C211" s="2" t="s">
        <v>1336</v>
      </c>
      <c r="D211" s="2" t="s">
        <v>15</v>
      </c>
      <c r="E211" s="2" t="s">
        <v>20</v>
      </c>
      <c r="F211" s="2">
        <v>60</v>
      </c>
      <c r="G211" s="2">
        <v>85</v>
      </c>
      <c r="H211" s="2">
        <v>42</v>
      </c>
      <c r="I211" s="2">
        <v>85</v>
      </c>
      <c r="J211" s="2">
        <v>42</v>
      </c>
      <c r="K211" s="2">
        <v>91</v>
      </c>
      <c r="L211" s="2">
        <v>405</v>
      </c>
      <c r="M211" s="2" t="s">
        <v>1129</v>
      </c>
      <c r="N211" s="2" t="s">
        <v>1061</v>
      </c>
      <c r="O211" t="s">
        <v>329</v>
      </c>
      <c r="P211" t="s">
        <v>1130</v>
      </c>
      <c r="Q211" t="s">
        <v>773</v>
      </c>
      <c r="R211" t="s">
        <v>272</v>
      </c>
      <c r="S211" t="s">
        <v>264</v>
      </c>
      <c r="T211" t="s">
        <v>528</v>
      </c>
      <c r="U211" t="s">
        <v>960</v>
      </c>
      <c r="V211" t="s">
        <v>1126</v>
      </c>
      <c r="W211" t="s">
        <v>774</v>
      </c>
      <c r="X211" t="s">
        <v>787</v>
      </c>
      <c r="Y211" t="s">
        <v>1167</v>
      </c>
      <c r="Z211" t="s">
        <v>1009</v>
      </c>
      <c r="AA211" t="s">
        <v>1008</v>
      </c>
      <c r="AB211" t="s">
        <v>951</v>
      </c>
      <c r="AC211" t="s">
        <v>1034</v>
      </c>
      <c r="AD211" t="s">
        <v>1062</v>
      </c>
      <c r="AE211" t="s">
        <v>138</v>
      </c>
      <c r="AF211" t="s">
        <v>1063</v>
      </c>
      <c r="AG211" t="s">
        <v>912</v>
      </c>
      <c r="AH211" t="s">
        <v>148</v>
      </c>
      <c r="AI211" t="s">
        <v>172</v>
      </c>
      <c r="AJ211" t="s">
        <v>752</v>
      </c>
      <c r="AK211" t="s">
        <v>1126</v>
      </c>
      <c r="AL211" t="s">
        <v>1078</v>
      </c>
      <c r="AM211" t="s">
        <v>766</v>
      </c>
      <c r="AN211" t="s">
        <v>1119</v>
      </c>
      <c r="AO211" t="s">
        <v>1079</v>
      </c>
      <c r="AP211" t="s">
        <v>1080</v>
      </c>
      <c r="AQ211" t="s">
        <v>9</v>
      </c>
      <c r="AR211" t="s">
        <v>174</v>
      </c>
      <c r="AS211" t="s">
        <v>230</v>
      </c>
      <c r="AT211" t="s">
        <v>1096</v>
      </c>
      <c r="AU211" t="s">
        <v>951</v>
      </c>
      <c r="AV211" t="s">
        <v>917</v>
      </c>
      <c r="AW211" t="s">
        <v>231</v>
      </c>
      <c r="AX211" t="s">
        <v>1082</v>
      </c>
      <c r="AY211" t="s">
        <v>1117</v>
      </c>
      <c r="AZ211" t="s">
        <v>1037</v>
      </c>
      <c r="BA211" t="s">
        <v>1125</v>
      </c>
      <c r="BB211" t="s">
        <v>1034</v>
      </c>
      <c r="BC211" t="s">
        <v>969</v>
      </c>
      <c r="BD211" t="s">
        <v>995</v>
      </c>
      <c r="BE211" t="s">
        <v>1036</v>
      </c>
      <c r="BF211" t="s">
        <v>322</v>
      </c>
      <c r="BG211" t="s">
        <v>785</v>
      </c>
      <c r="BH211" t="s">
        <v>293</v>
      </c>
      <c r="BI211" t="s">
        <v>756</v>
      </c>
      <c r="BJ211" t="s">
        <v>757</v>
      </c>
      <c r="BK211" t="s">
        <v>233</v>
      </c>
      <c r="BL211" t="s">
        <v>1040</v>
      </c>
      <c r="BM211" t="s">
        <v>1157</v>
      </c>
      <c r="BN211" t="s">
        <v>2339</v>
      </c>
      <c r="BO211" t="s">
        <v>234</v>
      </c>
      <c r="BP211" t="s">
        <v>264</v>
      </c>
      <c r="BQ211" t="s">
        <v>291</v>
      </c>
      <c r="BR211" t="s">
        <v>331</v>
      </c>
      <c r="BS211" t="s">
        <v>324</v>
      </c>
      <c r="BT211" t="s">
        <v>387</v>
      </c>
      <c r="BU211" t="s">
        <v>311</v>
      </c>
      <c r="BV211" t="s">
        <v>316</v>
      </c>
      <c r="BW211" t="s">
        <v>774</v>
      </c>
      <c r="BX211" t="s">
        <v>786</v>
      </c>
      <c r="BY211" t="s">
        <v>919</v>
      </c>
      <c r="BZ211" t="s">
        <v>1121</v>
      </c>
      <c r="CA211" t="s">
        <v>1119</v>
      </c>
      <c r="CB211" t="s">
        <v>960</v>
      </c>
      <c r="CC211" t="s">
        <v>1262</v>
      </c>
      <c r="CD211" t="s">
        <v>1123</v>
      </c>
      <c r="CE211" t="s">
        <v>239</v>
      </c>
      <c r="CF211" t="s">
        <v>241</v>
      </c>
      <c r="CG211" t="s">
        <v>805</v>
      </c>
      <c r="CH211" t="s">
        <v>806</v>
      </c>
    </row>
    <row r="212" spans="1:104">
      <c r="A212" s="40">
        <v>199</v>
      </c>
      <c r="B212" s="40" t="s">
        <v>1337</v>
      </c>
      <c r="C212" s="2" t="s">
        <v>1338</v>
      </c>
      <c r="D212" s="2" t="s">
        <v>27</v>
      </c>
      <c r="E212" s="2" t="s">
        <v>9</v>
      </c>
      <c r="F212" s="2">
        <v>95</v>
      </c>
      <c r="G212" s="2">
        <v>75</v>
      </c>
      <c r="H212" s="2">
        <v>80</v>
      </c>
      <c r="I212" s="2">
        <v>100</v>
      </c>
      <c r="J212" s="2">
        <v>110</v>
      </c>
      <c r="K212" s="2">
        <v>30</v>
      </c>
      <c r="L212" s="2">
        <v>490</v>
      </c>
      <c r="M212" s="2" t="s">
        <v>1146</v>
      </c>
      <c r="N212" s="2" t="s">
        <v>1061</v>
      </c>
      <c r="O212" t="s">
        <v>219</v>
      </c>
      <c r="P212" t="s">
        <v>751</v>
      </c>
      <c r="Q212" t="s">
        <v>172</v>
      </c>
      <c r="R212" t="s">
        <v>958</v>
      </c>
      <c r="S212" t="s">
        <v>1169</v>
      </c>
      <c r="T212" t="s">
        <v>220</v>
      </c>
      <c r="U212" t="s">
        <v>269</v>
      </c>
      <c r="V212" t="s">
        <v>287</v>
      </c>
      <c r="W212" t="s">
        <v>340</v>
      </c>
      <c r="X212" t="s">
        <v>420</v>
      </c>
      <c r="Y212" t="s">
        <v>954</v>
      </c>
      <c r="Z212" t="s">
        <v>1019</v>
      </c>
      <c r="AA212" t="s">
        <v>991</v>
      </c>
      <c r="AB212" t="s">
        <v>756</v>
      </c>
      <c r="AC212" t="s">
        <v>9</v>
      </c>
      <c r="AD212" t="s">
        <v>1013</v>
      </c>
      <c r="AE212" t="s">
        <v>785</v>
      </c>
      <c r="AF212" t="s">
        <v>1200</v>
      </c>
      <c r="AG212" t="s">
        <v>1062</v>
      </c>
      <c r="AH212" t="s">
        <v>144</v>
      </c>
      <c r="AI212" t="s">
        <v>227</v>
      </c>
      <c r="AJ212" t="s">
        <v>914</v>
      </c>
      <c r="AK212" t="s">
        <v>1063</v>
      </c>
      <c r="AL212" t="s">
        <v>1151</v>
      </c>
      <c r="AM212" t="s">
        <v>912</v>
      </c>
      <c r="AN212" t="s">
        <v>148</v>
      </c>
      <c r="AO212" t="s">
        <v>1104</v>
      </c>
      <c r="AP212" t="s">
        <v>172</v>
      </c>
      <c r="AQ212" t="s">
        <v>752</v>
      </c>
      <c r="AR212" t="s">
        <v>141</v>
      </c>
      <c r="AS212" t="s">
        <v>271</v>
      </c>
      <c r="AT212" t="s">
        <v>247</v>
      </c>
      <c r="AU212" t="s">
        <v>228</v>
      </c>
      <c r="AV212" t="s">
        <v>1078</v>
      </c>
      <c r="AW212" t="s">
        <v>766</v>
      </c>
      <c r="AX212" t="s">
        <v>759</v>
      </c>
      <c r="AY212" t="s">
        <v>1079</v>
      </c>
      <c r="AZ212" t="s">
        <v>136</v>
      </c>
      <c r="BA212" t="s">
        <v>1080</v>
      </c>
      <c r="BB212" t="s">
        <v>256</v>
      </c>
      <c r="BC212" t="s">
        <v>9</v>
      </c>
      <c r="BD212" t="s">
        <v>174</v>
      </c>
      <c r="BE212" t="s">
        <v>1094</v>
      </c>
      <c r="BF212" t="s">
        <v>230</v>
      </c>
      <c r="BG212" t="s">
        <v>254</v>
      </c>
      <c r="BH212" t="s">
        <v>257</v>
      </c>
      <c r="BI212" t="s">
        <v>917</v>
      </c>
      <c r="BJ212" t="s">
        <v>231</v>
      </c>
      <c r="BK212" t="s">
        <v>1082</v>
      </c>
      <c r="BL212" t="s">
        <v>1037</v>
      </c>
      <c r="BM212" t="s">
        <v>1083</v>
      </c>
      <c r="BN212" t="s">
        <v>1102</v>
      </c>
      <c r="BO212" t="s">
        <v>1038</v>
      </c>
      <c r="BP212" t="s">
        <v>974</v>
      </c>
      <c r="BQ212" t="s">
        <v>1031</v>
      </c>
      <c r="BR212" t="s">
        <v>1034</v>
      </c>
      <c r="BS212" t="s">
        <v>976</v>
      </c>
      <c r="BT212" t="s">
        <v>232</v>
      </c>
      <c r="BU212" t="s">
        <v>322</v>
      </c>
      <c r="BV212" t="s">
        <v>785</v>
      </c>
      <c r="BW212" t="s">
        <v>1021</v>
      </c>
      <c r="BX212" t="s">
        <v>1022</v>
      </c>
      <c r="BY212" t="s">
        <v>293</v>
      </c>
      <c r="BZ212" t="s">
        <v>977</v>
      </c>
      <c r="CA212" t="s">
        <v>756</v>
      </c>
      <c r="CB212" t="s">
        <v>757</v>
      </c>
      <c r="CC212" t="s">
        <v>233</v>
      </c>
      <c r="CD212" t="s">
        <v>1012</v>
      </c>
      <c r="CE212" t="s">
        <v>760</v>
      </c>
      <c r="CF212" t="s">
        <v>2398</v>
      </c>
      <c r="CG212" t="s">
        <v>2339</v>
      </c>
      <c r="CH212" t="s">
        <v>234</v>
      </c>
      <c r="CI212" t="s">
        <v>493</v>
      </c>
      <c r="CJ212" t="s">
        <v>753</v>
      </c>
      <c r="CK212" t="s">
        <v>1099</v>
      </c>
      <c r="CL212" t="s">
        <v>757</v>
      </c>
      <c r="CM212" t="s">
        <v>790</v>
      </c>
      <c r="CN212" t="s">
        <v>933</v>
      </c>
      <c r="CO212" t="s">
        <v>911</v>
      </c>
      <c r="CP212" t="s">
        <v>989</v>
      </c>
      <c r="CQ212" t="s">
        <v>1019</v>
      </c>
      <c r="CR212" t="s">
        <v>1048</v>
      </c>
      <c r="CS212" t="s">
        <v>2335</v>
      </c>
      <c r="CT212" t="s">
        <v>239</v>
      </c>
      <c r="CU212" t="s">
        <v>241</v>
      </c>
      <c r="CV212" t="s">
        <v>943</v>
      </c>
      <c r="CW212" t="s">
        <v>235</v>
      </c>
      <c r="CX212" t="s">
        <v>766</v>
      </c>
      <c r="CY212" t="s">
        <v>805</v>
      </c>
      <c r="CZ212" t="s">
        <v>806</v>
      </c>
    </row>
    <row r="213" spans="1:104">
      <c r="A213" s="40">
        <v>200</v>
      </c>
      <c r="B213" s="40" t="s">
        <v>1339</v>
      </c>
      <c r="C213" s="2" t="s">
        <v>1340</v>
      </c>
      <c r="D213" s="2" t="s">
        <v>10</v>
      </c>
      <c r="E213" s="2"/>
      <c r="F213" s="2">
        <v>60</v>
      </c>
      <c r="G213" s="2">
        <v>60</v>
      </c>
      <c r="H213" s="2">
        <v>60</v>
      </c>
      <c r="I213" s="2">
        <v>85</v>
      </c>
      <c r="J213" s="2">
        <v>85</v>
      </c>
      <c r="K213" s="2">
        <v>85</v>
      </c>
      <c r="L213" s="2">
        <v>435</v>
      </c>
      <c r="M213" s="2" t="s">
        <v>1091</v>
      </c>
      <c r="N213" s="2" t="s">
        <v>1061</v>
      </c>
      <c r="O213" t="s">
        <v>220</v>
      </c>
      <c r="P213" t="s">
        <v>529</v>
      </c>
      <c r="Q213" t="s">
        <v>778</v>
      </c>
      <c r="R213" t="s">
        <v>1130</v>
      </c>
      <c r="S213" t="s">
        <v>387</v>
      </c>
      <c r="T213" t="s">
        <v>787</v>
      </c>
      <c r="U213" t="s">
        <v>1029</v>
      </c>
      <c r="V213" t="s">
        <v>292</v>
      </c>
      <c r="W213" t="s">
        <v>794</v>
      </c>
      <c r="X213" t="s">
        <v>995</v>
      </c>
      <c r="Y213" t="s">
        <v>174</v>
      </c>
      <c r="Z213" t="s">
        <v>786</v>
      </c>
      <c r="AA213" t="s">
        <v>923</v>
      </c>
      <c r="AB213" t="s">
        <v>1169</v>
      </c>
      <c r="AC213" t="s">
        <v>1062</v>
      </c>
      <c r="AD213" t="s">
        <v>1063</v>
      </c>
      <c r="AE213" t="s">
        <v>912</v>
      </c>
      <c r="AF213" t="s">
        <v>148</v>
      </c>
      <c r="AG213" t="s">
        <v>172</v>
      </c>
      <c r="AH213" t="s">
        <v>752</v>
      </c>
      <c r="AI213" t="s">
        <v>1126</v>
      </c>
      <c r="AJ213" t="s">
        <v>1078</v>
      </c>
      <c r="AK213" t="s">
        <v>766</v>
      </c>
      <c r="AL213" t="s">
        <v>1079</v>
      </c>
      <c r="AM213" t="s">
        <v>146</v>
      </c>
      <c r="AN213" t="s">
        <v>321</v>
      </c>
      <c r="AO213" t="s">
        <v>1080</v>
      </c>
      <c r="AP213" t="s">
        <v>9</v>
      </c>
      <c r="AQ213" t="s">
        <v>174</v>
      </c>
      <c r="AR213" t="s">
        <v>230</v>
      </c>
      <c r="AS213" t="s">
        <v>1096</v>
      </c>
      <c r="AT213" t="s">
        <v>951</v>
      </c>
      <c r="AU213" t="s">
        <v>917</v>
      </c>
      <c r="AV213" t="s">
        <v>231</v>
      </c>
      <c r="AW213" t="s">
        <v>1082</v>
      </c>
      <c r="AX213" t="s">
        <v>1117</v>
      </c>
      <c r="AY213" t="s">
        <v>1037</v>
      </c>
      <c r="AZ213" t="s">
        <v>1083</v>
      </c>
      <c r="BA213" t="s">
        <v>963</v>
      </c>
      <c r="BB213" t="s">
        <v>956</v>
      </c>
      <c r="BC213" t="s">
        <v>969</v>
      </c>
      <c r="BD213" t="s">
        <v>995</v>
      </c>
      <c r="BE213" t="s">
        <v>232</v>
      </c>
      <c r="BF213" t="s">
        <v>322</v>
      </c>
      <c r="BG213" t="s">
        <v>785</v>
      </c>
      <c r="BH213" t="s">
        <v>293</v>
      </c>
      <c r="BI213" t="s">
        <v>756</v>
      </c>
      <c r="BJ213" t="s">
        <v>233</v>
      </c>
      <c r="BK213" t="s">
        <v>1012</v>
      </c>
      <c r="BL213" t="s">
        <v>234</v>
      </c>
      <c r="BM213" t="s">
        <v>324</v>
      </c>
      <c r="BN213" t="s">
        <v>751</v>
      </c>
      <c r="BO213" t="s">
        <v>778</v>
      </c>
      <c r="BP213" t="s">
        <v>793</v>
      </c>
      <c r="BQ213" t="s">
        <v>931</v>
      </c>
      <c r="BR213" t="s">
        <v>941</v>
      </c>
      <c r="BS213" t="s">
        <v>927</v>
      </c>
      <c r="BT213" t="s">
        <v>1008</v>
      </c>
      <c r="BU213" t="s">
        <v>991</v>
      </c>
      <c r="BV213" t="s">
        <v>1006</v>
      </c>
      <c r="BW213" t="s">
        <v>994</v>
      </c>
      <c r="BX213" t="s">
        <v>1048</v>
      </c>
      <c r="BY213" t="s">
        <v>239</v>
      </c>
      <c r="BZ213" t="s">
        <v>241</v>
      </c>
      <c r="CA213" t="s">
        <v>805</v>
      </c>
      <c r="CB213" t="s">
        <v>806</v>
      </c>
    </row>
    <row r="214" spans="1:104">
      <c r="A214" s="40">
        <v>201</v>
      </c>
      <c r="B214" s="40" t="s">
        <v>1341</v>
      </c>
      <c r="C214" s="2" t="s">
        <v>1342</v>
      </c>
      <c r="D214" s="2" t="s">
        <v>9</v>
      </c>
      <c r="E214" s="2"/>
      <c r="F214" s="2">
        <v>48</v>
      </c>
      <c r="G214" s="2">
        <v>72</v>
      </c>
      <c r="H214" s="2">
        <v>48</v>
      </c>
      <c r="I214" s="2">
        <v>72</v>
      </c>
      <c r="J214" s="2">
        <v>48</v>
      </c>
      <c r="K214" s="2">
        <v>48</v>
      </c>
      <c r="L214" s="2">
        <v>336</v>
      </c>
      <c r="M214" s="2" t="s">
        <v>1072</v>
      </c>
      <c r="N214" s="2" t="s">
        <v>1061</v>
      </c>
      <c r="O214" t="s">
        <v>172</v>
      </c>
      <c r="P214" t="s">
        <v>1062</v>
      </c>
      <c r="Q214" t="s">
        <v>1063</v>
      </c>
      <c r="R214" t="s">
        <v>234</v>
      </c>
      <c r="S214" t="s">
        <v>239</v>
      </c>
      <c r="T214" t="s">
        <v>241</v>
      </c>
      <c r="U214" t="s">
        <v>805</v>
      </c>
      <c r="V214" t="s">
        <v>806</v>
      </c>
    </row>
    <row r="215" spans="1:104">
      <c r="A215" s="40">
        <v>202</v>
      </c>
      <c r="B215" s="40" t="s">
        <v>1343</v>
      </c>
      <c r="C215" s="2" t="s">
        <v>1344</v>
      </c>
      <c r="D215" s="2" t="s">
        <v>9</v>
      </c>
      <c r="E215" s="2"/>
      <c r="F215" s="2">
        <v>190</v>
      </c>
      <c r="G215" s="2">
        <v>33</v>
      </c>
      <c r="H215" s="2">
        <v>58</v>
      </c>
      <c r="I215" s="2">
        <v>33</v>
      </c>
      <c r="J215" s="2">
        <v>58</v>
      </c>
      <c r="K215" s="2">
        <v>33</v>
      </c>
      <c r="L215" s="2">
        <v>405</v>
      </c>
      <c r="M215" s="2" t="s">
        <v>1345</v>
      </c>
      <c r="N215" s="2" t="s">
        <v>1061</v>
      </c>
      <c r="O215" t="s">
        <v>259</v>
      </c>
      <c r="P215" t="s">
        <v>793</v>
      </c>
      <c r="Q215" t="s">
        <v>759</v>
      </c>
      <c r="R215" t="s">
        <v>772</v>
      </c>
      <c r="S215" t="s">
        <v>1062</v>
      </c>
      <c r="T215" t="s">
        <v>1063</v>
      </c>
      <c r="U215" t="s">
        <v>234</v>
      </c>
      <c r="V215" t="s">
        <v>239</v>
      </c>
      <c r="W215" t="s">
        <v>241</v>
      </c>
      <c r="X215" t="s">
        <v>382</v>
      </c>
      <c r="Y215" t="s">
        <v>781</v>
      </c>
      <c r="Z215" t="s">
        <v>779</v>
      </c>
      <c r="AA215" t="s">
        <v>805</v>
      </c>
      <c r="AB215" t="s">
        <v>806</v>
      </c>
    </row>
    <row r="216" spans="1:104">
      <c r="A216" s="40">
        <v>203</v>
      </c>
      <c r="B216" s="40" t="s">
        <v>1346</v>
      </c>
      <c r="C216" s="2" t="s">
        <v>1347</v>
      </c>
      <c r="D216" s="2" t="s">
        <v>24</v>
      </c>
      <c r="E216" s="2" t="s">
        <v>9</v>
      </c>
      <c r="F216" s="2">
        <v>70</v>
      </c>
      <c r="G216" s="2">
        <v>80</v>
      </c>
      <c r="H216" s="2">
        <v>65</v>
      </c>
      <c r="I216" s="2">
        <v>90</v>
      </c>
      <c r="J216" s="2">
        <v>65</v>
      </c>
      <c r="K216" s="2">
        <v>85</v>
      </c>
      <c r="L216" s="2">
        <v>455</v>
      </c>
      <c r="M216" s="2" t="s">
        <v>1168</v>
      </c>
      <c r="N216" s="2" t="s">
        <v>1061</v>
      </c>
      <c r="O216" t="s">
        <v>219</v>
      </c>
      <c r="P216" t="s">
        <v>220</v>
      </c>
      <c r="Q216" t="s">
        <v>287</v>
      </c>
      <c r="R216" t="s">
        <v>1130</v>
      </c>
      <c r="S216" t="s">
        <v>998</v>
      </c>
      <c r="T216" t="s">
        <v>1183</v>
      </c>
      <c r="U216" t="s">
        <v>934</v>
      </c>
      <c r="V216" t="s">
        <v>493</v>
      </c>
      <c r="W216" t="s">
        <v>306</v>
      </c>
      <c r="X216" t="s">
        <v>292</v>
      </c>
      <c r="Y216" t="s">
        <v>788</v>
      </c>
      <c r="Z216" t="s">
        <v>960</v>
      </c>
      <c r="AA216" t="s">
        <v>965</v>
      </c>
      <c r="AB216" t="s">
        <v>9</v>
      </c>
      <c r="AC216" t="s">
        <v>1019</v>
      </c>
      <c r="AD216" t="s">
        <v>777</v>
      </c>
      <c r="AE216" t="s">
        <v>1062</v>
      </c>
      <c r="AF216" t="s">
        <v>227</v>
      </c>
      <c r="AG216" t="s">
        <v>1063</v>
      </c>
      <c r="AH216" t="s">
        <v>1151</v>
      </c>
      <c r="AI216" t="s">
        <v>912</v>
      </c>
      <c r="AJ216" t="s">
        <v>148</v>
      </c>
      <c r="AK216" t="s">
        <v>172</v>
      </c>
      <c r="AL216" t="s">
        <v>752</v>
      </c>
      <c r="AM216" t="s">
        <v>228</v>
      </c>
      <c r="AN216" t="s">
        <v>1078</v>
      </c>
      <c r="AO216" t="s">
        <v>766</v>
      </c>
      <c r="AP216" t="s">
        <v>1079</v>
      </c>
      <c r="AQ216" t="s">
        <v>146</v>
      </c>
      <c r="AR216" t="s">
        <v>321</v>
      </c>
      <c r="AS216" t="s">
        <v>136</v>
      </c>
      <c r="AT216" t="s">
        <v>1080</v>
      </c>
      <c r="AU216" t="s">
        <v>9</v>
      </c>
      <c r="AV216" t="s">
        <v>174</v>
      </c>
      <c r="AW216" t="s">
        <v>230</v>
      </c>
      <c r="AX216" t="s">
        <v>380</v>
      </c>
      <c r="AY216" t="s">
        <v>917</v>
      </c>
      <c r="AZ216" t="s">
        <v>231</v>
      </c>
      <c r="BA216" t="s">
        <v>1082</v>
      </c>
      <c r="BB216" t="s">
        <v>1117</v>
      </c>
      <c r="BC216" t="s">
        <v>1037</v>
      </c>
      <c r="BD216" t="s">
        <v>1083</v>
      </c>
      <c r="BE216" t="s">
        <v>970</v>
      </c>
      <c r="BF216" t="s">
        <v>963</v>
      </c>
      <c r="BG216" t="s">
        <v>1036</v>
      </c>
      <c r="BH216" t="s">
        <v>232</v>
      </c>
      <c r="BI216" t="s">
        <v>322</v>
      </c>
      <c r="BJ216" t="s">
        <v>785</v>
      </c>
      <c r="BK216" t="s">
        <v>1021</v>
      </c>
      <c r="BL216" t="s">
        <v>293</v>
      </c>
      <c r="BM216" t="s">
        <v>977</v>
      </c>
      <c r="BN216" t="s">
        <v>756</v>
      </c>
      <c r="BO216" t="s">
        <v>757</v>
      </c>
      <c r="BP216" t="s">
        <v>233</v>
      </c>
      <c r="BQ216" t="s">
        <v>1012</v>
      </c>
      <c r="BR216" t="s">
        <v>760</v>
      </c>
      <c r="BS216" t="s">
        <v>2342</v>
      </c>
      <c r="BT216" t="s">
        <v>2339</v>
      </c>
      <c r="BU216" t="s">
        <v>234</v>
      </c>
      <c r="BV216" t="s">
        <v>332</v>
      </c>
      <c r="BW216" t="s">
        <v>359</v>
      </c>
      <c r="BX216" t="s">
        <v>223</v>
      </c>
      <c r="BY216" t="s">
        <v>235</v>
      </c>
      <c r="BZ216" t="s">
        <v>771</v>
      </c>
      <c r="CA216" t="s">
        <v>787</v>
      </c>
      <c r="CB216" t="s">
        <v>772</v>
      </c>
      <c r="CC216" t="s">
        <v>790</v>
      </c>
      <c r="CD216" t="s">
        <v>763</v>
      </c>
      <c r="CE216" t="s">
        <v>957</v>
      </c>
      <c r="CF216" t="s">
        <v>929</v>
      </c>
      <c r="CG216" t="s">
        <v>941</v>
      </c>
      <c r="CH216" t="s">
        <v>940</v>
      </c>
      <c r="CI216" t="s">
        <v>239</v>
      </c>
      <c r="CJ216" t="s">
        <v>241</v>
      </c>
      <c r="CK216" t="s">
        <v>805</v>
      </c>
      <c r="CL216" t="s">
        <v>806</v>
      </c>
    </row>
    <row r="217" spans="1:104">
      <c r="A217" s="40">
        <v>204</v>
      </c>
      <c r="B217" s="40" t="s">
        <v>1348</v>
      </c>
      <c r="C217" s="2" t="s">
        <v>1349</v>
      </c>
      <c r="D217" s="2" t="s">
        <v>14</v>
      </c>
      <c r="E217" s="2"/>
      <c r="F217" s="2">
        <v>50</v>
      </c>
      <c r="G217" s="2">
        <v>65</v>
      </c>
      <c r="H217" s="2">
        <v>90</v>
      </c>
      <c r="I217" s="2">
        <v>35</v>
      </c>
      <c r="J217" s="2">
        <v>35</v>
      </c>
      <c r="K217" s="2">
        <v>15</v>
      </c>
      <c r="L217" s="2">
        <v>290</v>
      </c>
      <c r="M217" s="2" t="s">
        <v>1103</v>
      </c>
      <c r="N217" s="2" t="s">
        <v>1061</v>
      </c>
      <c r="O217" t="s">
        <v>219</v>
      </c>
      <c r="P217" t="s">
        <v>1078</v>
      </c>
      <c r="Q217" t="s">
        <v>484</v>
      </c>
      <c r="R217" t="s">
        <v>1110</v>
      </c>
      <c r="S217" t="s">
        <v>223</v>
      </c>
      <c r="T217" t="s">
        <v>173</v>
      </c>
      <c r="U217" t="s">
        <v>347</v>
      </c>
      <c r="V217" t="s">
        <v>992</v>
      </c>
      <c r="W217" t="s">
        <v>1215</v>
      </c>
      <c r="X217" t="s">
        <v>995</v>
      </c>
      <c r="Y217" t="s">
        <v>485</v>
      </c>
      <c r="Z217" t="s">
        <v>177</v>
      </c>
      <c r="AA217" t="s">
        <v>980</v>
      </c>
      <c r="AB217" t="s">
        <v>225</v>
      </c>
      <c r="AC217" t="s">
        <v>1062</v>
      </c>
      <c r="AD217" t="s">
        <v>227</v>
      </c>
      <c r="AE217" t="s">
        <v>1063</v>
      </c>
      <c r="AF217" t="s">
        <v>148</v>
      </c>
      <c r="AG217" t="s">
        <v>1077</v>
      </c>
      <c r="AH217" t="s">
        <v>172</v>
      </c>
      <c r="AI217" t="s">
        <v>752</v>
      </c>
      <c r="AJ217" t="s">
        <v>228</v>
      </c>
      <c r="AK217" t="s">
        <v>1078</v>
      </c>
      <c r="AL217" t="s">
        <v>1079</v>
      </c>
      <c r="AM217" t="s">
        <v>229</v>
      </c>
      <c r="AN217" t="s">
        <v>136</v>
      </c>
      <c r="AO217" t="s">
        <v>1080</v>
      </c>
      <c r="AP217" t="s">
        <v>256</v>
      </c>
      <c r="AQ217" t="s">
        <v>230</v>
      </c>
      <c r="AR217" t="s">
        <v>380</v>
      </c>
      <c r="AS217" t="s">
        <v>765</v>
      </c>
      <c r="AT217" t="s">
        <v>1095</v>
      </c>
      <c r="AU217" t="s">
        <v>917</v>
      </c>
      <c r="AV217" t="s">
        <v>231</v>
      </c>
      <c r="AW217" t="s">
        <v>1082</v>
      </c>
      <c r="AX217" t="s">
        <v>1037</v>
      </c>
      <c r="AY217" t="s">
        <v>485</v>
      </c>
      <c r="AZ217" t="s">
        <v>995</v>
      </c>
      <c r="BA217" t="s">
        <v>980</v>
      </c>
      <c r="BB217" t="s">
        <v>1042</v>
      </c>
      <c r="BC217" t="s">
        <v>1021</v>
      </c>
      <c r="BD217" t="s">
        <v>143</v>
      </c>
      <c r="BE217" t="s">
        <v>756</v>
      </c>
      <c r="BF217" t="s">
        <v>757</v>
      </c>
      <c r="BG217" t="s">
        <v>233</v>
      </c>
      <c r="BH217" t="s">
        <v>760</v>
      </c>
      <c r="BI217" t="s">
        <v>2339</v>
      </c>
      <c r="BJ217" t="s">
        <v>234</v>
      </c>
      <c r="BK217" t="s">
        <v>225</v>
      </c>
      <c r="BL217" t="s">
        <v>305</v>
      </c>
      <c r="BM217" t="s">
        <v>259</v>
      </c>
      <c r="BN217" t="s">
        <v>354</v>
      </c>
      <c r="BO217" t="s">
        <v>770</v>
      </c>
      <c r="BP217" t="s">
        <v>754</v>
      </c>
      <c r="BQ217" t="s">
        <v>1128</v>
      </c>
      <c r="BR217" t="s">
        <v>939</v>
      </c>
      <c r="BS217" t="s">
        <v>999</v>
      </c>
      <c r="BT217" t="s">
        <v>1011</v>
      </c>
      <c r="BU217" t="s">
        <v>1007</v>
      </c>
      <c r="BV217" t="s">
        <v>239</v>
      </c>
      <c r="BW217" t="s">
        <v>241</v>
      </c>
      <c r="BX217" t="s">
        <v>805</v>
      </c>
      <c r="BY217" t="s">
        <v>806</v>
      </c>
    </row>
    <row r="218" spans="1:104">
      <c r="A218" s="40">
        <v>205</v>
      </c>
      <c r="B218" s="40" t="s">
        <v>1350</v>
      </c>
      <c r="C218" s="2" t="s">
        <v>1351</v>
      </c>
      <c r="D218" s="2" t="s">
        <v>14</v>
      </c>
      <c r="E218" s="2" t="s">
        <v>26</v>
      </c>
      <c r="F218" s="2">
        <v>75</v>
      </c>
      <c r="G218" s="2">
        <v>90</v>
      </c>
      <c r="H218" s="2">
        <v>140</v>
      </c>
      <c r="I218" s="2">
        <v>60</v>
      </c>
      <c r="J218" s="2">
        <v>60</v>
      </c>
      <c r="K218" s="2">
        <v>40</v>
      </c>
      <c r="L218" s="2">
        <v>465</v>
      </c>
      <c r="M218" s="2" t="s">
        <v>1168</v>
      </c>
      <c r="N218" s="2" t="s">
        <v>1061</v>
      </c>
      <c r="O218" t="s">
        <v>219</v>
      </c>
      <c r="P218" t="s">
        <v>484</v>
      </c>
      <c r="Q218" t="s">
        <v>1078</v>
      </c>
      <c r="R218" t="s">
        <v>1011</v>
      </c>
      <c r="S218" t="s">
        <v>1110</v>
      </c>
      <c r="T218" t="s">
        <v>484</v>
      </c>
      <c r="U218" t="s">
        <v>1110</v>
      </c>
      <c r="V218" t="s">
        <v>223</v>
      </c>
      <c r="W218" t="s">
        <v>173</v>
      </c>
      <c r="X218" t="s">
        <v>347</v>
      </c>
      <c r="Y218" t="s">
        <v>992</v>
      </c>
      <c r="Z218" t="s">
        <v>1215</v>
      </c>
      <c r="AA218" t="s">
        <v>1206</v>
      </c>
      <c r="AB218" t="s">
        <v>1197</v>
      </c>
      <c r="AC218" t="s">
        <v>995</v>
      </c>
      <c r="AD218" t="s">
        <v>485</v>
      </c>
      <c r="AE218" t="s">
        <v>177</v>
      </c>
      <c r="AF218" t="s">
        <v>980</v>
      </c>
      <c r="AG218" t="s">
        <v>225</v>
      </c>
      <c r="AH218" t="s">
        <v>988</v>
      </c>
      <c r="AI218" t="s">
        <v>1207</v>
      </c>
      <c r="AJ218" t="s">
        <v>184</v>
      </c>
      <c r="AK218" t="s">
        <v>1062</v>
      </c>
      <c r="AL218" t="s">
        <v>227</v>
      </c>
      <c r="AM218" t="s">
        <v>1063</v>
      </c>
      <c r="AN218" t="s">
        <v>148</v>
      </c>
      <c r="AO218" t="s">
        <v>1077</v>
      </c>
      <c r="AP218" t="s">
        <v>172</v>
      </c>
      <c r="AQ218" t="s">
        <v>752</v>
      </c>
      <c r="AR218" t="s">
        <v>247</v>
      </c>
      <c r="AS218" t="s">
        <v>228</v>
      </c>
      <c r="AT218" t="s">
        <v>1078</v>
      </c>
      <c r="AU218" t="s">
        <v>1079</v>
      </c>
      <c r="AV218" t="s">
        <v>229</v>
      </c>
      <c r="AW218" t="s">
        <v>136</v>
      </c>
      <c r="AX218" t="s">
        <v>1080</v>
      </c>
      <c r="AY218" t="s">
        <v>256</v>
      </c>
      <c r="AZ218" t="s">
        <v>230</v>
      </c>
      <c r="BA218" t="s">
        <v>380</v>
      </c>
      <c r="BB218" t="s">
        <v>765</v>
      </c>
      <c r="BC218" t="s">
        <v>1095</v>
      </c>
      <c r="BD218" t="s">
        <v>917</v>
      </c>
      <c r="BE218" t="s">
        <v>231</v>
      </c>
      <c r="BF218" t="s">
        <v>1082</v>
      </c>
      <c r="BG218" t="s">
        <v>1037</v>
      </c>
      <c r="BH218" t="s">
        <v>485</v>
      </c>
      <c r="BI218" t="s">
        <v>995</v>
      </c>
      <c r="BJ218" t="s">
        <v>976</v>
      </c>
      <c r="BK218" t="s">
        <v>1003</v>
      </c>
      <c r="BL218" t="s">
        <v>1045</v>
      </c>
      <c r="BM218" t="s">
        <v>980</v>
      </c>
      <c r="BN218" t="s">
        <v>1042</v>
      </c>
      <c r="BO218" t="s">
        <v>1021</v>
      </c>
      <c r="BP218" t="s">
        <v>143</v>
      </c>
      <c r="BQ218" t="s">
        <v>756</v>
      </c>
      <c r="BR218" t="s">
        <v>757</v>
      </c>
      <c r="BS218" t="s">
        <v>233</v>
      </c>
      <c r="BT218" t="s">
        <v>973</v>
      </c>
      <c r="BU218" t="s">
        <v>760</v>
      </c>
      <c r="BV218" t="s">
        <v>2339</v>
      </c>
      <c r="BW218" t="s">
        <v>234</v>
      </c>
      <c r="BX218" t="s">
        <v>225</v>
      </c>
      <c r="BY218" t="s">
        <v>305</v>
      </c>
      <c r="BZ218" t="s">
        <v>259</v>
      </c>
      <c r="CA218" t="s">
        <v>354</v>
      </c>
      <c r="CB218" t="s">
        <v>770</v>
      </c>
      <c r="CC218" t="s">
        <v>754</v>
      </c>
      <c r="CD218" t="s">
        <v>1128</v>
      </c>
      <c r="CE218" t="s">
        <v>939</v>
      </c>
      <c r="CF218" t="s">
        <v>999</v>
      </c>
      <c r="CG218" t="s">
        <v>1011</v>
      </c>
      <c r="CH218" t="s">
        <v>1007</v>
      </c>
      <c r="CI218" t="s">
        <v>239</v>
      </c>
      <c r="CJ218" t="s">
        <v>241</v>
      </c>
      <c r="CK218" t="s">
        <v>805</v>
      </c>
      <c r="CL218" t="s">
        <v>806</v>
      </c>
    </row>
    <row r="219" spans="1:104">
      <c r="A219" s="40">
        <v>206</v>
      </c>
      <c r="B219" s="40" t="s">
        <v>1352</v>
      </c>
      <c r="C219" s="2" t="s">
        <v>1353</v>
      </c>
      <c r="D219" s="2" t="s">
        <v>24</v>
      </c>
      <c r="E219" s="2"/>
      <c r="F219" s="2">
        <v>100</v>
      </c>
      <c r="G219" s="2">
        <v>70</v>
      </c>
      <c r="H219" s="2">
        <v>70</v>
      </c>
      <c r="I219" s="2">
        <v>65</v>
      </c>
      <c r="J219" s="2">
        <v>65</v>
      </c>
      <c r="K219" s="2">
        <v>45</v>
      </c>
      <c r="L219" s="2">
        <v>415</v>
      </c>
      <c r="M219" s="2" t="s">
        <v>1255</v>
      </c>
      <c r="N219" s="2" t="s">
        <v>1061</v>
      </c>
      <c r="O219" t="s">
        <v>304</v>
      </c>
      <c r="P219" t="s">
        <v>353</v>
      </c>
      <c r="Q219" t="s">
        <v>768</v>
      </c>
      <c r="R219" t="s">
        <v>778</v>
      </c>
      <c r="S219" t="s">
        <v>773</v>
      </c>
      <c r="T219" t="s">
        <v>324</v>
      </c>
      <c r="U219" t="s">
        <v>958</v>
      </c>
      <c r="V219" t="s">
        <v>170</v>
      </c>
      <c r="W219" t="s">
        <v>223</v>
      </c>
      <c r="X219" t="s">
        <v>1119</v>
      </c>
      <c r="Y219" t="s">
        <v>139</v>
      </c>
      <c r="Z219" t="s">
        <v>256</v>
      </c>
      <c r="AA219" t="s">
        <v>225</v>
      </c>
      <c r="AB219" t="s">
        <v>1135</v>
      </c>
      <c r="AC219" t="s">
        <v>754</v>
      </c>
      <c r="AD219" t="s">
        <v>1132</v>
      </c>
      <c r="AE219" t="s">
        <v>916</v>
      </c>
      <c r="AF219" t="s">
        <v>770</v>
      </c>
      <c r="AG219" t="s">
        <v>1062</v>
      </c>
      <c r="AH219" t="s">
        <v>227</v>
      </c>
      <c r="AI219" t="s">
        <v>1063</v>
      </c>
      <c r="AJ219" t="s">
        <v>912</v>
      </c>
      <c r="AK219" t="s">
        <v>148</v>
      </c>
      <c r="AL219" t="s">
        <v>172</v>
      </c>
      <c r="AM219" t="s">
        <v>752</v>
      </c>
      <c r="AN219" t="s">
        <v>141</v>
      </c>
      <c r="AO219" t="s">
        <v>271</v>
      </c>
      <c r="AP219" t="s">
        <v>1078</v>
      </c>
      <c r="AQ219" t="s">
        <v>766</v>
      </c>
      <c r="AR219" t="s">
        <v>1119</v>
      </c>
      <c r="AS219" t="s">
        <v>1079</v>
      </c>
      <c r="AT219" t="s">
        <v>229</v>
      </c>
      <c r="AU219" t="s">
        <v>146</v>
      </c>
      <c r="AV219" t="s">
        <v>321</v>
      </c>
      <c r="AW219" t="s">
        <v>136</v>
      </c>
      <c r="AX219" t="s">
        <v>1080</v>
      </c>
      <c r="AY219" t="s">
        <v>256</v>
      </c>
      <c r="AZ219" t="s">
        <v>174</v>
      </c>
      <c r="BA219" t="s">
        <v>230</v>
      </c>
      <c r="BB219" t="s">
        <v>254</v>
      </c>
      <c r="BC219" t="s">
        <v>257</v>
      </c>
      <c r="BD219" t="s">
        <v>1095</v>
      </c>
      <c r="BE219" t="s">
        <v>917</v>
      </c>
      <c r="BF219" t="s">
        <v>231</v>
      </c>
      <c r="BG219" t="s">
        <v>1082</v>
      </c>
      <c r="BH219" t="s">
        <v>1117</v>
      </c>
      <c r="BI219" t="s">
        <v>1037</v>
      </c>
      <c r="BJ219" t="s">
        <v>963</v>
      </c>
      <c r="BK219" t="s">
        <v>1031</v>
      </c>
      <c r="BL219" t="s">
        <v>1036</v>
      </c>
      <c r="BM219" t="s">
        <v>322</v>
      </c>
      <c r="BN219" t="s">
        <v>980</v>
      </c>
      <c r="BO219" t="s">
        <v>785</v>
      </c>
      <c r="BP219" t="s">
        <v>1021</v>
      </c>
      <c r="BQ219" t="s">
        <v>143</v>
      </c>
      <c r="BR219" t="s">
        <v>997</v>
      </c>
      <c r="BS219" t="s">
        <v>293</v>
      </c>
      <c r="BT219" t="s">
        <v>756</v>
      </c>
      <c r="BU219" t="s">
        <v>757</v>
      </c>
      <c r="BV219" t="s">
        <v>233</v>
      </c>
      <c r="BW219" t="s">
        <v>1047</v>
      </c>
      <c r="BX219" t="s">
        <v>760</v>
      </c>
      <c r="BY219" t="s">
        <v>2339</v>
      </c>
      <c r="BZ219" t="s">
        <v>234</v>
      </c>
      <c r="CA219" t="s">
        <v>420</v>
      </c>
      <c r="CB219" t="s">
        <v>258</v>
      </c>
      <c r="CC219" t="s">
        <v>306</v>
      </c>
      <c r="CD219" t="s">
        <v>347</v>
      </c>
      <c r="CE219" t="s">
        <v>753</v>
      </c>
      <c r="CF219" t="s">
        <v>751</v>
      </c>
      <c r="CG219" t="s">
        <v>757</v>
      </c>
      <c r="CH219" t="s">
        <v>170</v>
      </c>
      <c r="CI219" t="s">
        <v>929</v>
      </c>
      <c r="CJ219" t="s">
        <v>940</v>
      </c>
      <c r="CK219" t="s">
        <v>1130</v>
      </c>
      <c r="CL219" t="s">
        <v>1013</v>
      </c>
      <c r="CM219" t="s">
        <v>1029</v>
      </c>
      <c r="CN219" t="s">
        <v>239</v>
      </c>
      <c r="CO219" t="s">
        <v>241</v>
      </c>
      <c r="CP219" t="s">
        <v>805</v>
      </c>
      <c r="CQ219" t="s">
        <v>806</v>
      </c>
    </row>
    <row r="220" spans="1:104">
      <c r="A220" s="40">
        <v>207</v>
      </c>
      <c r="B220" s="40" t="s">
        <v>1354</v>
      </c>
      <c r="C220" s="2" t="s">
        <v>1355</v>
      </c>
      <c r="D220" s="2" t="s">
        <v>22</v>
      </c>
      <c r="E220" s="2" t="s">
        <v>20</v>
      </c>
      <c r="F220" s="2">
        <v>65</v>
      </c>
      <c r="G220" s="2">
        <v>75</v>
      </c>
      <c r="H220" s="2">
        <v>105</v>
      </c>
      <c r="I220" s="2">
        <v>35</v>
      </c>
      <c r="J220" s="2">
        <v>65</v>
      </c>
      <c r="K220" s="2">
        <v>85</v>
      </c>
      <c r="L220" s="2">
        <v>430</v>
      </c>
      <c r="M220" s="2" t="s">
        <v>1201</v>
      </c>
      <c r="N220" s="2" t="s">
        <v>1061</v>
      </c>
      <c r="O220" t="s">
        <v>296</v>
      </c>
      <c r="P220" t="s">
        <v>309</v>
      </c>
      <c r="Q220" t="s">
        <v>284</v>
      </c>
      <c r="R220" t="s">
        <v>928</v>
      </c>
      <c r="S220" t="s">
        <v>310</v>
      </c>
      <c r="T220" t="s">
        <v>758</v>
      </c>
      <c r="U220" t="s">
        <v>774</v>
      </c>
      <c r="V220" t="s">
        <v>1020</v>
      </c>
      <c r="W220" t="s">
        <v>253</v>
      </c>
      <c r="X220" t="s">
        <v>1014</v>
      </c>
      <c r="Y220" t="s">
        <v>324</v>
      </c>
      <c r="Z220" t="s">
        <v>1018</v>
      </c>
      <c r="AA220" t="s">
        <v>942</v>
      </c>
      <c r="AB220" t="s">
        <v>145</v>
      </c>
      <c r="AC220" t="s">
        <v>543</v>
      </c>
      <c r="AD220" t="s">
        <v>1062</v>
      </c>
      <c r="AE220" t="s">
        <v>226</v>
      </c>
      <c r="AF220" t="s">
        <v>227</v>
      </c>
      <c r="AG220" t="s">
        <v>1063</v>
      </c>
      <c r="AH220" t="s">
        <v>1030</v>
      </c>
      <c r="AI220" t="s">
        <v>148</v>
      </c>
      <c r="AJ220" t="s">
        <v>1077</v>
      </c>
      <c r="AK220" t="s">
        <v>172</v>
      </c>
      <c r="AL220" t="s">
        <v>752</v>
      </c>
      <c r="AM220" t="s">
        <v>1126</v>
      </c>
      <c r="AN220" t="s">
        <v>1078</v>
      </c>
      <c r="AO220" t="s">
        <v>766</v>
      </c>
      <c r="AP220" t="s">
        <v>1119</v>
      </c>
      <c r="AQ220" t="s">
        <v>1079</v>
      </c>
      <c r="AR220" t="s">
        <v>136</v>
      </c>
      <c r="AS220" t="s">
        <v>1080</v>
      </c>
      <c r="AT220" t="s">
        <v>256</v>
      </c>
      <c r="AU220" t="s">
        <v>1094</v>
      </c>
      <c r="AV220" t="s">
        <v>230</v>
      </c>
      <c r="AW220" t="s">
        <v>1081</v>
      </c>
      <c r="AX220" t="s">
        <v>765</v>
      </c>
      <c r="AY220" t="s">
        <v>1095</v>
      </c>
      <c r="AZ220" t="s">
        <v>1096</v>
      </c>
      <c r="BA220" t="s">
        <v>951</v>
      </c>
      <c r="BB220" t="s">
        <v>917</v>
      </c>
      <c r="BC220" t="s">
        <v>231</v>
      </c>
      <c r="BD220" t="s">
        <v>1082</v>
      </c>
      <c r="BE220" t="s">
        <v>1117</v>
      </c>
      <c r="BF220" t="s">
        <v>1037</v>
      </c>
      <c r="BG220" t="s">
        <v>1125</v>
      </c>
      <c r="BH220" t="s">
        <v>776</v>
      </c>
      <c r="BI220" t="s">
        <v>974</v>
      </c>
      <c r="BJ220" t="s">
        <v>1020</v>
      </c>
      <c r="BK220" t="s">
        <v>995</v>
      </c>
      <c r="BL220" t="s">
        <v>1003</v>
      </c>
      <c r="BM220" t="s">
        <v>183</v>
      </c>
      <c r="BN220" t="s">
        <v>145</v>
      </c>
      <c r="BO220" t="s">
        <v>1042</v>
      </c>
      <c r="BP220" t="s">
        <v>1021</v>
      </c>
      <c r="BQ220" t="s">
        <v>143</v>
      </c>
      <c r="BR220" t="s">
        <v>1018</v>
      </c>
      <c r="BS220" t="s">
        <v>997</v>
      </c>
      <c r="BT220" t="s">
        <v>756</v>
      </c>
      <c r="BU220" t="s">
        <v>757</v>
      </c>
      <c r="BV220" t="s">
        <v>1014</v>
      </c>
      <c r="BW220" t="s">
        <v>233</v>
      </c>
      <c r="BX220" t="s">
        <v>760</v>
      </c>
      <c r="BY220" t="s">
        <v>1157</v>
      </c>
      <c r="BZ220" t="s">
        <v>2339</v>
      </c>
      <c r="CA220" t="s">
        <v>234</v>
      </c>
      <c r="CB220" t="s">
        <v>332</v>
      </c>
      <c r="CC220" t="s">
        <v>264</v>
      </c>
      <c r="CD220" t="s">
        <v>225</v>
      </c>
      <c r="CE220" t="s">
        <v>259</v>
      </c>
      <c r="CF220" t="s">
        <v>306</v>
      </c>
      <c r="CG220" t="s">
        <v>788</v>
      </c>
      <c r="CH220" t="s">
        <v>783</v>
      </c>
      <c r="CI220" t="s">
        <v>939</v>
      </c>
      <c r="CJ220" t="s">
        <v>936</v>
      </c>
      <c r="CK220" t="s">
        <v>971</v>
      </c>
      <c r="CL220" t="s">
        <v>999</v>
      </c>
      <c r="CM220" t="s">
        <v>993</v>
      </c>
      <c r="CN220" t="s">
        <v>1002</v>
      </c>
      <c r="CO220" t="s">
        <v>1163</v>
      </c>
      <c r="CP220" t="s">
        <v>239</v>
      </c>
      <c r="CQ220" t="s">
        <v>241</v>
      </c>
      <c r="CR220" t="s">
        <v>805</v>
      </c>
      <c r="CS220" t="s">
        <v>806</v>
      </c>
    </row>
    <row r="221" spans="1:104">
      <c r="A221" s="40">
        <v>208</v>
      </c>
      <c r="B221" s="40" t="s">
        <v>1356</v>
      </c>
      <c r="C221" s="2" t="s">
        <v>1357</v>
      </c>
      <c r="D221" s="2" t="s">
        <v>26</v>
      </c>
      <c r="E221" s="2" t="s">
        <v>22</v>
      </c>
      <c r="F221" s="2">
        <v>75</v>
      </c>
      <c r="G221" s="2">
        <v>85</v>
      </c>
      <c r="H221" s="2">
        <v>200</v>
      </c>
      <c r="I221" s="2">
        <v>55</v>
      </c>
      <c r="J221" s="2">
        <v>65</v>
      </c>
      <c r="K221" s="2">
        <v>30</v>
      </c>
      <c r="L221" s="2">
        <v>510</v>
      </c>
      <c r="M221" s="2" t="s">
        <v>1255</v>
      </c>
      <c r="N221" s="2" t="s">
        <v>1061</v>
      </c>
      <c r="O221" t="s">
        <v>240</v>
      </c>
      <c r="P221" t="s">
        <v>219</v>
      </c>
      <c r="Q221" t="s">
        <v>284</v>
      </c>
      <c r="R221" t="s">
        <v>933</v>
      </c>
      <c r="S221" t="s">
        <v>1010</v>
      </c>
      <c r="T221" t="s">
        <v>983</v>
      </c>
      <c r="U221" t="s">
        <v>182</v>
      </c>
      <c r="V221" t="s">
        <v>751</v>
      </c>
      <c r="W221" t="s">
        <v>483</v>
      </c>
      <c r="X221" t="s">
        <v>304</v>
      </c>
      <c r="Y221" t="s">
        <v>1095</v>
      </c>
      <c r="Z221" t="s">
        <v>1007</v>
      </c>
      <c r="AA221" t="s">
        <v>1197</v>
      </c>
      <c r="AB221" t="s">
        <v>1109</v>
      </c>
      <c r="AC221" t="s">
        <v>762</v>
      </c>
      <c r="AD221" t="s">
        <v>341</v>
      </c>
      <c r="AE221" t="s">
        <v>324</v>
      </c>
      <c r="AF221" t="s">
        <v>143</v>
      </c>
      <c r="AG221" t="s">
        <v>777</v>
      </c>
      <c r="AH221" t="s">
        <v>761</v>
      </c>
      <c r="AI221" t="s">
        <v>256</v>
      </c>
      <c r="AJ221" t="s">
        <v>183</v>
      </c>
      <c r="AK221" t="s">
        <v>225</v>
      </c>
      <c r="AL221" t="s">
        <v>765</v>
      </c>
      <c r="AM221" t="s">
        <v>1062</v>
      </c>
      <c r="AN221" t="s">
        <v>226</v>
      </c>
      <c r="AO221" t="s">
        <v>227</v>
      </c>
      <c r="AP221" t="s">
        <v>1063</v>
      </c>
      <c r="AQ221" t="s">
        <v>246</v>
      </c>
      <c r="AR221" t="s">
        <v>148</v>
      </c>
      <c r="AS221" t="s">
        <v>172</v>
      </c>
      <c r="AT221" t="s">
        <v>752</v>
      </c>
      <c r="AU221" t="s">
        <v>1126</v>
      </c>
      <c r="AV221" t="s">
        <v>247</v>
      </c>
      <c r="AW221" t="s">
        <v>1078</v>
      </c>
      <c r="AX221" t="s">
        <v>1079</v>
      </c>
      <c r="AY221" t="s">
        <v>1109</v>
      </c>
      <c r="AZ221" t="s">
        <v>136</v>
      </c>
      <c r="BA221" t="s">
        <v>1080</v>
      </c>
      <c r="BB221" t="s">
        <v>256</v>
      </c>
      <c r="BC221" t="s">
        <v>230</v>
      </c>
      <c r="BD221" t="s">
        <v>765</v>
      </c>
      <c r="BE221" t="s">
        <v>1095</v>
      </c>
      <c r="BF221" t="s">
        <v>951</v>
      </c>
      <c r="BG221" t="s">
        <v>917</v>
      </c>
      <c r="BH221" t="s">
        <v>231</v>
      </c>
      <c r="BI221" t="s">
        <v>1082</v>
      </c>
      <c r="BJ221" t="s">
        <v>1037</v>
      </c>
      <c r="BK221" t="s">
        <v>485</v>
      </c>
      <c r="BL221" t="s">
        <v>995</v>
      </c>
      <c r="BM221" t="s">
        <v>976</v>
      </c>
      <c r="BN221" t="s">
        <v>1003</v>
      </c>
      <c r="BO221" t="s">
        <v>183</v>
      </c>
      <c r="BP221" t="s">
        <v>980</v>
      </c>
      <c r="BQ221" t="s">
        <v>785</v>
      </c>
      <c r="BR221" t="s">
        <v>1021</v>
      </c>
      <c r="BS221" t="s">
        <v>143</v>
      </c>
      <c r="BT221" t="s">
        <v>1022</v>
      </c>
      <c r="BU221" t="s">
        <v>756</v>
      </c>
      <c r="BV221" t="s">
        <v>757</v>
      </c>
      <c r="BW221" t="s">
        <v>233</v>
      </c>
      <c r="BX221" t="s">
        <v>973</v>
      </c>
      <c r="BY221" t="s">
        <v>760</v>
      </c>
      <c r="BZ221" t="s">
        <v>1087</v>
      </c>
      <c r="CA221" t="s">
        <v>1157</v>
      </c>
      <c r="CB221" t="s">
        <v>2339</v>
      </c>
      <c r="CC221" t="s">
        <v>234</v>
      </c>
      <c r="CD221" t="s">
        <v>353</v>
      </c>
      <c r="CE221" t="s">
        <v>770</v>
      </c>
      <c r="CF221" t="s">
        <v>768</v>
      </c>
      <c r="CG221" t="s">
        <v>911</v>
      </c>
      <c r="CH221" t="s">
        <v>1196</v>
      </c>
      <c r="CI221" t="s">
        <v>1002</v>
      </c>
      <c r="CJ221" t="s">
        <v>1007</v>
      </c>
      <c r="CK221" t="s">
        <v>184</v>
      </c>
      <c r="CL221" t="s">
        <v>239</v>
      </c>
      <c r="CM221" t="s">
        <v>241</v>
      </c>
      <c r="CN221" t="s">
        <v>1003</v>
      </c>
      <c r="CO221" t="s">
        <v>939</v>
      </c>
      <c r="CP221" t="s">
        <v>805</v>
      </c>
      <c r="CQ221" t="s">
        <v>806</v>
      </c>
    </row>
    <row r="222" spans="1:104">
      <c r="A222" s="40">
        <v>209</v>
      </c>
      <c r="B222" s="40" t="s">
        <v>1358</v>
      </c>
      <c r="C222" s="2" t="s">
        <v>1359</v>
      </c>
      <c r="D222" s="2" t="s">
        <v>894</v>
      </c>
      <c r="E222" s="2"/>
      <c r="F222" s="2">
        <v>60</v>
      </c>
      <c r="G222" s="2">
        <v>80</v>
      </c>
      <c r="H222" s="2">
        <v>50</v>
      </c>
      <c r="I222" s="2">
        <v>40</v>
      </c>
      <c r="J222" s="2">
        <v>40</v>
      </c>
      <c r="K222" s="2">
        <v>30</v>
      </c>
      <c r="L222" s="2">
        <v>300</v>
      </c>
      <c r="M222" s="2" t="s">
        <v>1201</v>
      </c>
      <c r="N222" s="2" t="s">
        <v>1061</v>
      </c>
      <c r="O222" t="s">
        <v>219</v>
      </c>
      <c r="P222" t="s">
        <v>266</v>
      </c>
      <c r="Q222" t="s">
        <v>1092</v>
      </c>
      <c r="R222" t="s">
        <v>781</v>
      </c>
      <c r="S222" t="s">
        <v>1010</v>
      </c>
      <c r="T222" t="s">
        <v>983</v>
      </c>
      <c r="U222" t="s">
        <v>182</v>
      </c>
      <c r="V222" t="s">
        <v>258</v>
      </c>
      <c r="W222" t="s">
        <v>511</v>
      </c>
      <c r="X222" t="s">
        <v>420</v>
      </c>
      <c r="Y222" t="s">
        <v>246</v>
      </c>
      <c r="Z222" t="s">
        <v>304</v>
      </c>
      <c r="AA222" t="s">
        <v>223</v>
      </c>
      <c r="AB222" t="s">
        <v>2395</v>
      </c>
      <c r="AC222" t="s">
        <v>995</v>
      </c>
      <c r="AD222" t="s">
        <v>777</v>
      </c>
      <c r="AE222" t="s">
        <v>1062</v>
      </c>
      <c r="AF222" t="s">
        <v>227</v>
      </c>
      <c r="AG222" t="s">
        <v>1063</v>
      </c>
      <c r="AH222" t="s">
        <v>246</v>
      </c>
      <c r="AI222" t="s">
        <v>148</v>
      </c>
      <c r="AJ222" t="s">
        <v>1175</v>
      </c>
      <c r="AK222" t="s">
        <v>172</v>
      </c>
      <c r="AL222" t="s">
        <v>752</v>
      </c>
      <c r="AM222" t="s">
        <v>1126</v>
      </c>
      <c r="AN222" t="s">
        <v>1078</v>
      </c>
      <c r="AO222" t="s">
        <v>766</v>
      </c>
      <c r="AP222" t="s">
        <v>1079</v>
      </c>
      <c r="AQ222" t="s">
        <v>229</v>
      </c>
      <c r="AR222" t="s">
        <v>146</v>
      </c>
      <c r="AS222" t="s">
        <v>321</v>
      </c>
      <c r="AT222" t="s">
        <v>136</v>
      </c>
      <c r="AU222" t="s">
        <v>1080</v>
      </c>
      <c r="AV222" t="s">
        <v>256</v>
      </c>
      <c r="AW222" t="s">
        <v>174</v>
      </c>
      <c r="AX222" t="s">
        <v>1094</v>
      </c>
      <c r="AY222" t="s">
        <v>230</v>
      </c>
      <c r="AZ222" t="s">
        <v>380</v>
      </c>
      <c r="BA222" t="s">
        <v>254</v>
      </c>
      <c r="BB222" t="s">
        <v>1081</v>
      </c>
      <c r="BC222" t="s">
        <v>257</v>
      </c>
      <c r="BD222" t="s">
        <v>951</v>
      </c>
      <c r="BE222" t="s">
        <v>917</v>
      </c>
      <c r="BF222" t="s">
        <v>231</v>
      </c>
      <c r="BG222" t="s">
        <v>1082</v>
      </c>
      <c r="BH222" t="s">
        <v>1117</v>
      </c>
      <c r="BI222" t="s">
        <v>1037</v>
      </c>
      <c r="BJ222" t="s">
        <v>1098</v>
      </c>
      <c r="BK222" t="s">
        <v>974</v>
      </c>
      <c r="BL222" t="s">
        <v>1031</v>
      </c>
      <c r="BM222" t="s">
        <v>995</v>
      </c>
      <c r="BN222" t="s">
        <v>1036</v>
      </c>
      <c r="BO222" t="s">
        <v>322</v>
      </c>
      <c r="BP222" t="s">
        <v>1021</v>
      </c>
      <c r="BQ222" t="s">
        <v>756</v>
      </c>
      <c r="BR222" t="s">
        <v>757</v>
      </c>
      <c r="BS222" t="s">
        <v>233</v>
      </c>
      <c r="BT222" t="s">
        <v>1047</v>
      </c>
      <c r="BU222" t="s">
        <v>760</v>
      </c>
      <c r="BV222" t="s">
        <v>1040</v>
      </c>
      <c r="BW222" t="s">
        <v>2398</v>
      </c>
      <c r="BX222" t="s">
        <v>2342</v>
      </c>
      <c r="BY222" t="s">
        <v>2339</v>
      </c>
      <c r="BZ222" t="s">
        <v>234</v>
      </c>
      <c r="CA222" t="s">
        <v>225</v>
      </c>
      <c r="CB222" t="s">
        <v>381</v>
      </c>
      <c r="CC222" t="s">
        <v>379</v>
      </c>
      <c r="CD222" t="s">
        <v>753</v>
      </c>
      <c r="CE222" t="s">
        <v>774</v>
      </c>
      <c r="CF222" t="s">
        <v>795</v>
      </c>
      <c r="CG222" t="s">
        <v>780</v>
      </c>
      <c r="CH222" t="s">
        <v>777</v>
      </c>
      <c r="CI222" t="s">
        <v>920</v>
      </c>
      <c r="CJ222" t="s">
        <v>944</v>
      </c>
      <c r="CK222" t="s">
        <v>918</v>
      </c>
      <c r="CL222" t="s">
        <v>1174</v>
      </c>
      <c r="CM222" t="s">
        <v>1010</v>
      </c>
      <c r="CN222" t="s">
        <v>983</v>
      </c>
      <c r="CO222" t="s">
        <v>182</v>
      </c>
      <c r="CP222" t="s">
        <v>239</v>
      </c>
      <c r="CQ222" t="s">
        <v>241</v>
      </c>
      <c r="CR222" t="s">
        <v>805</v>
      </c>
      <c r="CS222" t="s">
        <v>806</v>
      </c>
    </row>
    <row r="223" spans="1:104">
      <c r="A223" s="40">
        <v>210</v>
      </c>
      <c r="B223" s="40" t="s">
        <v>1360</v>
      </c>
      <c r="C223" s="2" t="s">
        <v>1361</v>
      </c>
      <c r="D223" s="2" t="s">
        <v>894</v>
      </c>
      <c r="E223" s="2"/>
      <c r="F223" s="2">
        <v>90</v>
      </c>
      <c r="G223" s="2">
        <v>120</v>
      </c>
      <c r="H223" s="2">
        <v>75</v>
      </c>
      <c r="I223" s="2">
        <v>60</v>
      </c>
      <c r="J223" s="2">
        <v>60</v>
      </c>
      <c r="K223" s="2">
        <v>45</v>
      </c>
      <c r="L223" s="2">
        <v>450</v>
      </c>
      <c r="M223" s="2" t="s">
        <v>1146</v>
      </c>
      <c r="N223" s="2" t="s">
        <v>1061</v>
      </c>
      <c r="O223" t="s">
        <v>219</v>
      </c>
      <c r="P223" t="s">
        <v>266</v>
      </c>
      <c r="Q223" t="s">
        <v>1092</v>
      </c>
      <c r="R223" t="s">
        <v>781</v>
      </c>
      <c r="S223" t="s">
        <v>1010</v>
      </c>
      <c r="T223" t="s">
        <v>983</v>
      </c>
      <c r="U223" t="s">
        <v>182</v>
      </c>
      <c r="V223" t="s">
        <v>258</v>
      </c>
      <c r="W223" t="s">
        <v>511</v>
      </c>
      <c r="X223" t="s">
        <v>420</v>
      </c>
      <c r="Y223" t="s">
        <v>246</v>
      </c>
      <c r="Z223" t="s">
        <v>304</v>
      </c>
      <c r="AA223" t="s">
        <v>223</v>
      </c>
      <c r="AB223" t="s">
        <v>2395</v>
      </c>
      <c r="AC223" t="s">
        <v>995</v>
      </c>
      <c r="AD223" t="s">
        <v>777</v>
      </c>
      <c r="AE223" t="s">
        <v>764</v>
      </c>
      <c r="AF223" t="s">
        <v>1062</v>
      </c>
      <c r="AG223" t="s">
        <v>227</v>
      </c>
      <c r="AH223" t="s">
        <v>1063</v>
      </c>
      <c r="AI223" t="s">
        <v>246</v>
      </c>
      <c r="AJ223" t="s">
        <v>148</v>
      </c>
      <c r="AK223" t="s">
        <v>1175</v>
      </c>
      <c r="AL223" t="s">
        <v>172</v>
      </c>
      <c r="AM223" t="s">
        <v>752</v>
      </c>
      <c r="AN223" t="s">
        <v>1126</v>
      </c>
      <c r="AO223" t="s">
        <v>247</v>
      </c>
      <c r="AP223" t="s">
        <v>1078</v>
      </c>
      <c r="AQ223" t="s">
        <v>766</v>
      </c>
      <c r="AR223" t="s">
        <v>1079</v>
      </c>
      <c r="AS223" t="s">
        <v>229</v>
      </c>
      <c r="AT223" t="s">
        <v>146</v>
      </c>
      <c r="AU223" t="s">
        <v>321</v>
      </c>
      <c r="AV223" t="s">
        <v>136</v>
      </c>
      <c r="AW223" t="s">
        <v>1080</v>
      </c>
      <c r="AX223" t="s">
        <v>256</v>
      </c>
      <c r="AY223" t="s">
        <v>174</v>
      </c>
      <c r="AZ223" t="s">
        <v>1094</v>
      </c>
      <c r="BA223" t="s">
        <v>230</v>
      </c>
      <c r="BB223" t="s">
        <v>380</v>
      </c>
      <c r="BC223" t="s">
        <v>254</v>
      </c>
      <c r="BD223" t="s">
        <v>1081</v>
      </c>
      <c r="BE223" t="s">
        <v>257</v>
      </c>
      <c r="BF223" t="s">
        <v>1095</v>
      </c>
      <c r="BG223" t="s">
        <v>951</v>
      </c>
      <c r="BH223" t="s">
        <v>917</v>
      </c>
      <c r="BI223" t="s">
        <v>231</v>
      </c>
      <c r="BJ223" t="s">
        <v>1082</v>
      </c>
      <c r="BK223" t="s">
        <v>1117</v>
      </c>
      <c r="BL223" t="s">
        <v>1037</v>
      </c>
      <c r="BM223" t="s">
        <v>1098</v>
      </c>
      <c r="BN223" t="s">
        <v>1102</v>
      </c>
      <c r="BO223" t="s">
        <v>974</v>
      </c>
      <c r="BP223" t="s">
        <v>1031</v>
      </c>
      <c r="BQ223" t="s">
        <v>995</v>
      </c>
      <c r="BR223" t="s">
        <v>1036</v>
      </c>
      <c r="BS223" t="s">
        <v>976</v>
      </c>
      <c r="BT223" t="s">
        <v>183</v>
      </c>
      <c r="BU223" t="s">
        <v>322</v>
      </c>
      <c r="BV223" t="s">
        <v>1021</v>
      </c>
      <c r="BW223" t="s">
        <v>143</v>
      </c>
      <c r="BX223" t="s">
        <v>756</v>
      </c>
      <c r="BY223" t="s">
        <v>757</v>
      </c>
      <c r="BZ223" t="s">
        <v>233</v>
      </c>
      <c r="CA223" t="s">
        <v>1047</v>
      </c>
      <c r="CB223" t="s">
        <v>760</v>
      </c>
      <c r="CC223" t="s">
        <v>1040</v>
      </c>
      <c r="CD223" t="s">
        <v>2398</v>
      </c>
      <c r="CE223" t="s">
        <v>2342</v>
      </c>
      <c r="CF223" t="s">
        <v>2339</v>
      </c>
      <c r="CG223" t="s">
        <v>234</v>
      </c>
      <c r="CH223" t="s">
        <v>225</v>
      </c>
      <c r="CI223" t="s">
        <v>381</v>
      </c>
      <c r="CJ223" t="s">
        <v>379</v>
      </c>
      <c r="CK223" t="s">
        <v>753</v>
      </c>
      <c r="CL223" t="s">
        <v>774</v>
      </c>
      <c r="CM223" t="s">
        <v>795</v>
      </c>
      <c r="CN223" t="s">
        <v>780</v>
      </c>
      <c r="CO223" t="s">
        <v>777</v>
      </c>
      <c r="CP223" t="s">
        <v>920</v>
      </c>
      <c r="CQ223" t="s">
        <v>944</v>
      </c>
      <c r="CR223" t="s">
        <v>918</v>
      </c>
      <c r="CS223" t="s">
        <v>1174</v>
      </c>
      <c r="CT223" t="s">
        <v>1010</v>
      </c>
      <c r="CU223" t="s">
        <v>983</v>
      </c>
      <c r="CV223" t="s">
        <v>182</v>
      </c>
      <c r="CW223" t="s">
        <v>239</v>
      </c>
      <c r="CX223" t="s">
        <v>241</v>
      </c>
      <c r="CY223" t="s">
        <v>805</v>
      </c>
      <c r="CZ223" t="s">
        <v>806</v>
      </c>
    </row>
    <row r="224" spans="1:104">
      <c r="A224" s="40">
        <v>211</v>
      </c>
      <c r="B224" s="40" t="s">
        <v>1362</v>
      </c>
      <c r="C224" s="2" t="s">
        <v>1363</v>
      </c>
      <c r="D224" s="2" t="s">
        <v>27</v>
      </c>
      <c r="E224" s="2" t="s">
        <v>11</v>
      </c>
      <c r="F224" s="2">
        <v>65</v>
      </c>
      <c r="G224" s="2">
        <v>95</v>
      </c>
      <c r="H224" s="2">
        <v>75</v>
      </c>
      <c r="I224" s="2">
        <v>55</v>
      </c>
      <c r="J224" s="2">
        <v>55</v>
      </c>
      <c r="K224" s="2">
        <v>85</v>
      </c>
      <c r="L224" s="2">
        <v>430</v>
      </c>
      <c r="M224" s="2" t="s">
        <v>1177</v>
      </c>
      <c r="N224" s="2" t="s">
        <v>1061</v>
      </c>
      <c r="O224" t="s">
        <v>219</v>
      </c>
      <c r="P224" t="s">
        <v>296</v>
      </c>
      <c r="Q224" t="s">
        <v>1215</v>
      </c>
      <c r="R224" t="s">
        <v>284</v>
      </c>
      <c r="S224" t="s">
        <v>378</v>
      </c>
      <c r="T224" t="s">
        <v>269</v>
      </c>
      <c r="U224" t="s">
        <v>768</v>
      </c>
      <c r="V224" t="s">
        <v>1011</v>
      </c>
      <c r="W224" t="s">
        <v>946</v>
      </c>
      <c r="X224" t="s">
        <v>1133</v>
      </c>
      <c r="Y224" t="s">
        <v>1128</v>
      </c>
      <c r="Z224" t="s">
        <v>961</v>
      </c>
      <c r="AA224" t="s">
        <v>305</v>
      </c>
      <c r="AB224" t="s">
        <v>223</v>
      </c>
      <c r="AC224" t="s">
        <v>179</v>
      </c>
      <c r="AD224" t="s">
        <v>997</v>
      </c>
      <c r="AE224" t="s">
        <v>793</v>
      </c>
      <c r="AF224" t="s">
        <v>140</v>
      </c>
      <c r="AG224" t="s">
        <v>2355</v>
      </c>
      <c r="AH224" t="s">
        <v>1062</v>
      </c>
      <c r="AI224" t="s">
        <v>144</v>
      </c>
      <c r="AJ224" t="s">
        <v>270</v>
      </c>
      <c r="AK224" t="s">
        <v>914</v>
      </c>
      <c r="AL224" t="s">
        <v>1063</v>
      </c>
      <c r="AM224" t="s">
        <v>148</v>
      </c>
      <c r="AN224" t="s">
        <v>1104</v>
      </c>
      <c r="AO224" t="s">
        <v>1077</v>
      </c>
      <c r="AP224" t="s">
        <v>172</v>
      </c>
      <c r="AQ224" t="s">
        <v>1126</v>
      </c>
      <c r="AR224" t="s">
        <v>141</v>
      </c>
      <c r="AS224" t="s">
        <v>271</v>
      </c>
      <c r="AT224" t="s">
        <v>1078</v>
      </c>
      <c r="AU224" t="s">
        <v>766</v>
      </c>
      <c r="AV224" t="s">
        <v>1079</v>
      </c>
      <c r="AW224" t="s">
        <v>1080</v>
      </c>
      <c r="AX224" t="s">
        <v>174</v>
      </c>
      <c r="AY224" t="s">
        <v>230</v>
      </c>
      <c r="AZ224" t="s">
        <v>186</v>
      </c>
      <c r="BA224" t="s">
        <v>1081</v>
      </c>
      <c r="BB224" t="s">
        <v>917</v>
      </c>
      <c r="BC224" t="s">
        <v>231</v>
      </c>
      <c r="BD224" t="s">
        <v>1082</v>
      </c>
      <c r="BE224" t="s">
        <v>1037</v>
      </c>
      <c r="BF224" t="s">
        <v>1038</v>
      </c>
      <c r="BG224" t="s">
        <v>485</v>
      </c>
      <c r="BH224" t="s">
        <v>995</v>
      </c>
      <c r="BI224" t="s">
        <v>322</v>
      </c>
      <c r="BJ224" t="s">
        <v>980</v>
      </c>
      <c r="BK224" t="s">
        <v>997</v>
      </c>
      <c r="BL224" t="s">
        <v>756</v>
      </c>
      <c r="BM224" t="s">
        <v>757</v>
      </c>
      <c r="BN224" t="s">
        <v>233</v>
      </c>
      <c r="BO224" t="s">
        <v>2339</v>
      </c>
      <c r="BP224" t="s">
        <v>234</v>
      </c>
      <c r="BQ224" t="s">
        <v>290</v>
      </c>
      <c r="BR224" t="s">
        <v>446</v>
      </c>
      <c r="BS224" t="s">
        <v>272</v>
      </c>
      <c r="BT224" t="s">
        <v>770</v>
      </c>
      <c r="BU224" t="s">
        <v>1130</v>
      </c>
      <c r="BV224" t="s">
        <v>216</v>
      </c>
      <c r="BW224" t="s">
        <v>954</v>
      </c>
      <c r="BX224" t="s">
        <v>961</v>
      </c>
      <c r="BY224" t="s">
        <v>959</v>
      </c>
      <c r="BZ224" t="s">
        <v>1134</v>
      </c>
      <c r="CA224" t="s">
        <v>239</v>
      </c>
      <c r="CB224" t="s">
        <v>241</v>
      </c>
      <c r="CC224" t="s">
        <v>805</v>
      </c>
      <c r="CD224" t="s">
        <v>806</v>
      </c>
    </row>
    <row r="225" spans="1:100">
      <c r="A225" s="40">
        <v>212</v>
      </c>
      <c r="B225" s="40" t="s">
        <v>1364</v>
      </c>
      <c r="C225" s="2" t="s">
        <v>1365</v>
      </c>
      <c r="D225" s="2" t="s">
        <v>14</v>
      </c>
      <c r="E225" s="2" t="s">
        <v>26</v>
      </c>
      <c r="F225" s="2">
        <v>70</v>
      </c>
      <c r="G225" s="2">
        <v>130</v>
      </c>
      <c r="H225" s="2">
        <v>100</v>
      </c>
      <c r="I225" s="2">
        <v>55</v>
      </c>
      <c r="J225" s="2">
        <v>80</v>
      </c>
      <c r="K225" s="2">
        <v>65</v>
      </c>
      <c r="L225" s="2">
        <v>500</v>
      </c>
      <c r="M225" s="2" t="s">
        <v>1108</v>
      </c>
      <c r="N225" s="2" t="s">
        <v>1061</v>
      </c>
      <c r="O225" t="s">
        <v>330</v>
      </c>
      <c r="P225" t="s">
        <v>310</v>
      </c>
      <c r="Q225" t="s">
        <v>1186</v>
      </c>
      <c r="R225" t="s">
        <v>302</v>
      </c>
      <c r="S225" t="s">
        <v>773</v>
      </c>
      <c r="T225" t="s">
        <v>776</v>
      </c>
      <c r="U225" t="s">
        <v>306</v>
      </c>
      <c r="V225" t="s">
        <v>783</v>
      </c>
      <c r="W225" t="s">
        <v>758</v>
      </c>
      <c r="X225" t="s">
        <v>253</v>
      </c>
      <c r="Y225" t="s">
        <v>332</v>
      </c>
      <c r="Z225" t="s">
        <v>177</v>
      </c>
      <c r="AA225" t="s">
        <v>1018</v>
      </c>
      <c r="AB225" t="s">
        <v>993</v>
      </c>
      <c r="AC225" t="s">
        <v>965</v>
      </c>
      <c r="AD225" t="s">
        <v>985</v>
      </c>
      <c r="AE225" t="s">
        <v>145</v>
      </c>
      <c r="AF225" t="s">
        <v>971</v>
      </c>
      <c r="AG225" t="s">
        <v>1062</v>
      </c>
      <c r="AH225" t="s">
        <v>226</v>
      </c>
      <c r="AI225" t="s">
        <v>227</v>
      </c>
      <c r="AJ225" t="s">
        <v>1063</v>
      </c>
      <c r="AK225" t="s">
        <v>148</v>
      </c>
      <c r="AL225" t="s">
        <v>1077</v>
      </c>
      <c r="AM225" t="s">
        <v>172</v>
      </c>
      <c r="AN225" t="s">
        <v>752</v>
      </c>
      <c r="AO225" t="s">
        <v>247</v>
      </c>
      <c r="AP225" t="s">
        <v>228</v>
      </c>
      <c r="AQ225" t="s">
        <v>1078</v>
      </c>
      <c r="AR225" t="s">
        <v>766</v>
      </c>
      <c r="AS225" t="s">
        <v>1119</v>
      </c>
      <c r="AT225" t="s">
        <v>759</v>
      </c>
      <c r="AU225" t="s">
        <v>1079</v>
      </c>
      <c r="AV225" t="s">
        <v>1080</v>
      </c>
      <c r="AW225" t="s">
        <v>1094</v>
      </c>
      <c r="AX225" t="s">
        <v>230</v>
      </c>
      <c r="AY225" t="s">
        <v>765</v>
      </c>
      <c r="AZ225" t="s">
        <v>1096</v>
      </c>
      <c r="BA225" t="s">
        <v>917</v>
      </c>
      <c r="BB225" t="s">
        <v>231</v>
      </c>
      <c r="BC225" t="s">
        <v>1082</v>
      </c>
      <c r="BD225" t="s">
        <v>1117</v>
      </c>
      <c r="BE225" t="s">
        <v>1037</v>
      </c>
      <c r="BF225" t="s">
        <v>1125</v>
      </c>
      <c r="BG225" t="s">
        <v>776</v>
      </c>
      <c r="BH225" t="s">
        <v>974</v>
      </c>
      <c r="BI225" t="s">
        <v>1020</v>
      </c>
      <c r="BJ225" t="s">
        <v>976</v>
      </c>
      <c r="BK225" t="s">
        <v>145</v>
      </c>
      <c r="BL225" t="s">
        <v>1042</v>
      </c>
      <c r="BM225" t="s">
        <v>1018</v>
      </c>
      <c r="BN225" t="s">
        <v>756</v>
      </c>
      <c r="BO225" t="s">
        <v>757</v>
      </c>
      <c r="BP225" t="s">
        <v>1014</v>
      </c>
      <c r="BQ225" t="s">
        <v>233</v>
      </c>
      <c r="BR225" t="s">
        <v>973</v>
      </c>
      <c r="BS225" t="s">
        <v>760</v>
      </c>
      <c r="BT225" t="s">
        <v>2339</v>
      </c>
      <c r="BU225" t="s">
        <v>234</v>
      </c>
      <c r="BV225" t="s">
        <v>332</v>
      </c>
      <c r="BW225" t="s">
        <v>259</v>
      </c>
      <c r="BX225" t="s">
        <v>775</v>
      </c>
      <c r="BY225" t="s">
        <v>754</v>
      </c>
      <c r="BZ225" t="s">
        <v>1125</v>
      </c>
      <c r="CA225" t="s">
        <v>788</v>
      </c>
      <c r="CB225" t="s">
        <v>1113</v>
      </c>
      <c r="CC225" t="s">
        <v>993</v>
      </c>
      <c r="CD225" t="s">
        <v>1115</v>
      </c>
      <c r="CE225" t="s">
        <v>1124</v>
      </c>
      <c r="CF225" t="s">
        <v>1035</v>
      </c>
      <c r="CG225" t="s">
        <v>239</v>
      </c>
      <c r="CH225" t="s">
        <v>241</v>
      </c>
      <c r="CI225" t="s">
        <v>1015</v>
      </c>
      <c r="CJ225" t="s">
        <v>264</v>
      </c>
      <c r="CK225" t="s">
        <v>230</v>
      </c>
      <c r="CL225" t="s">
        <v>1101</v>
      </c>
      <c r="CM225" t="s">
        <v>805</v>
      </c>
      <c r="CN225" t="s">
        <v>806</v>
      </c>
    </row>
    <row r="226" spans="1:100">
      <c r="A226" s="40">
        <v>212.1</v>
      </c>
      <c r="B226" s="40" t="s">
        <v>2301</v>
      </c>
      <c r="C226" s="2" t="s">
        <v>2302</v>
      </c>
      <c r="D226" s="2" t="s">
        <v>14</v>
      </c>
      <c r="E226" s="2" t="s">
        <v>26</v>
      </c>
      <c r="F226" s="2">
        <v>70</v>
      </c>
      <c r="G226" s="2">
        <v>150</v>
      </c>
      <c r="H226" s="2">
        <v>140</v>
      </c>
      <c r="I226" s="2">
        <v>65</v>
      </c>
      <c r="J226" s="2">
        <v>100</v>
      </c>
      <c r="K226" s="2">
        <v>75</v>
      </c>
      <c r="L226" s="2">
        <v>600</v>
      </c>
      <c r="M226" s="2" t="s">
        <v>1232</v>
      </c>
      <c r="N226" s="2" t="s">
        <v>1061</v>
      </c>
      <c r="O226" t="s">
        <v>1062</v>
      </c>
      <c r="P226" t="s">
        <v>1063</v>
      </c>
      <c r="Q226" t="s">
        <v>1119</v>
      </c>
      <c r="R226" t="s">
        <v>1125</v>
      </c>
      <c r="S226" t="s">
        <v>757</v>
      </c>
      <c r="T226" t="s">
        <v>2339</v>
      </c>
      <c r="U226" t="s">
        <v>234</v>
      </c>
      <c r="V226" t="s">
        <v>239</v>
      </c>
      <c r="W226" t="s">
        <v>241</v>
      </c>
      <c r="X226" t="s">
        <v>805</v>
      </c>
      <c r="Y226" t="s">
        <v>806</v>
      </c>
    </row>
    <row r="227" spans="1:100">
      <c r="A227" s="40">
        <v>213</v>
      </c>
      <c r="B227" s="40" t="s">
        <v>1366</v>
      </c>
      <c r="C227" s="2" t="s">
        <v>1367</v>
      </c>
      <c r="D227" s="2" t="s">
        <v>14</v>
      </c>
      <c r="E227" s="2" t="s">
        <v>25</v>
      </c>
      <c r="F227" s="2">
        <v>20</v>
      </c>
      <c r="G227" s="2">
        <v>10</v>
      </c>
      <c r="H227" s="2">
        <v>230</v>
      </c>
      <c r="I227" s="2">
        <v>10</v>
      </c>
      <c r="J227" s="2">
        <v>230</v>
      </c>
      <c r="K227" s="2">
        <v>5</v>
      </c>
      <c r="L227" s="2">
        <v>505</v>
      </c>
      <c r="M227" s="2" t="s">
        <v>1158</v>
      </c>
      <c r="N227" s="2" t="s">
        <v>1061</v>
      </c>
      <c r="O227" t="s">
        <v>268</v>
      </c>
      <c r="P227" t="s">
        <v>347</v>
      </c>
      <c r="Q227" t="s">
        <v>477</v>
      </c>
      <c r="R227" t="s">
        <v>768</v>
      </c>
      <c r="S227" t="s">
        <v>779</v>
      </c>
      <c r="T227" t="s">
        <v>338</v>
      </c>
      <c r="U227" t="s">
        <v>1042</v>
      </c>
      <c r="V227" t="s">
        <v>759</v>
      </c>
      <c r="W227" t="s">
        <v>231</v>
      </c>
      <c r="X227" t="s">
        <v>483</v>
      </c>
      <c r="Y227" t="s">
        <v>975</v>
      </c>
      <c r="Z227" t="s">
        <v>999</v>
      </c>
      <c r="AA227" t="s">
        <v>1213</v>
      </c>
      <c r="AB227" t="s">
        <v>143</v>
      </c>
      <c r="AC227" t="s">
        <v>1110</v>
      </c>
      <c r="AD227" t="s">
        <v>1182</v>
      </c>
      <c r="AE227" t="s">
        <v>1033</v>
      </c>
      <c r="AF227" t="s">
        <v>183</v>
      </c>
      <c r="AG227" t="s">
        <v>2404</v>
      </c>
      <c r="AH227" t="s">
        <v>1062</v>
      </c>
      <c r="AI227" t="s">
        <v>227</v>
      </c>
      <c r="AJ227" t="s">
        <v>1063</v>
      </c>
      <c r="AK227" t="s">
        <v>148</v>
      </c>
      <c r="AL227" t="s">
        <v>1077</v>
      </c>
      <c r="AM227" t="s">
        <v>172</v>
      </c>
      <c r="AN227" t="s">
        <v>752</v>
      </c>
      <c r="AO227" t="s">
        <v>1078</v>
      </c>
      <c r="AP227" t="s">
        <v>759</v>
      </c>
      <c r="AQ227" t="s">
        <v>1079</v>
      </c>
      <c r="AR227" t="s">
        <v>1109</v>
      </c>
      <c r="AS227" t="s">
        <v>136</v>
      </c>
      <c r="AT227" t="s">
        <v>1080</v>
      </c>
      <c r="AU227" t="s">
        <v>256</v>
      </c>
      <c r="AV227" t="s">
        <v>230</v>
      </c>
      <c r="AW227" t="s">
        <v>186</v>
      </c>
      <c r="AX227" t="s">
        <v>1081</v>
      </c>
      <c r="AY227" t="s">
        <v>765</v>
      </c>
      <c r="AZ227" t="s">
        <v>1095</v>
      </c>
      <c r="BA227" t="s">
        <v>917</v>
      </c>
      <c r="BB227" t="s">
        <v>231</v>
      </c>
      <c r="BC227" t="s">
        <v>1082</v>
      </c>
      <c r="BD227" t="s">
        <v>1037</v>
      </c>
      <c r="BE227" t="s">
        <v>1003</v>
      </c>
      <c r="BF227" t="s">
        <v>232</v>
      </c>
      <c r="BG227" t="s">
        <v>183</v>
      </c>
      <c r="BH227" t="s">
        <v>980</v>
      </c>
      <c r="BI227" t="s">
        <v>1042</v>
      </c>
      <c r="BJ227" t="s">
        <v>1021</v>
      </c>
      <c r="BK227" t="s">
        <v>143</v>
      </c>
      <c r="BL227" t="s">
        <v>2369</v>
      </c>
      <c r="BM227" t="s">
        <v>756</v>
      </c>
      <c r="BN227" t="s">
        <v>757</v>
      </c>
      <c r="BO227" t="s">
        <v>233</v>
      </c>
      <c r="BP227" t="s">
        <v>760</v>
      </c>
      <c r="BQ227" t="s">
        <v>2339</v>
      </c>
      <c r="BR227" t="s">
        <v>234</v>
      </c>
      <c r="BS227" t="s">
        <v>339</v>
      </c>
      <c r="BT227" t="s">
        <v>755</v>
      </c>
      <c r="BU227" t="s">
        <v>1076</v>
      </c>
      <c r="BV227" t="s">
        <v>925</v>
      </c>
      <c r="BW227" t="s">
        <v>928</v>
      </c>
      <c r="BX227" t="s">
        <v>939</v>
      </c>
      <c r="BY227" t="s">
        <v>1196</v>
      </c>
      <c r="BZ227" t="s">
        <v>1195</v>
      </c>
      <c r="CA227" t="s">
        <v>1024</v>
      </c>
      <c r="CB227" t="s">
        <v>239</v>
      </c>
      <c r="CC227" t="s">
        <v>241</v>
      </c>
      <c r="CD227" t="s">
        <v>805</v>
      </c>
      <c r="CE227" t="s">
        <v>806</v>
      </c>
    </row>
    <row r="228" spans="1:100">
      <c r="A228" s="40">
        <v>214</v>
      </c>
      <c r="B228" s="40" t="s">
        <v>1368</v>
      </c>
      <c r="C228" s="2" t="s">
        <v>1369</v>
      </c>
      <c r="D228" s="2" t="s">
        <v>14</v>
      </c>
      <c r="E228" s="2" t="s">
        <v>18</v>
      </c>
      <c r="F228" s="2">
        <v>80</v>
      </c>
      <c r="G228" s="2">
        <v>125</v>
      </c>
      <c r="H228" s="2">
        <v>75</v>
      </c>
      <c r="I228" s="2">
        <v>40</v>
      </c>
      <c r="J228" s="2">
        <v>95</v>
      </c>
      <c r="K228" s="2">
        <v>85</v>
      </c>
      <c r="L228" s="2">
        <v>500</v>
      </c>
      <c r="M228" s="2" t="s">
        <v>1129</v>
      </c>
      <c r="N228" s="2" t="s">
        <v>1061</v>
      </c>
      <c r="O228" t="s">
        <v>367</v>
      </c>
      <c r="P228" t="s">
        <v>219</v>
      </c>
      <c r="Q228" t="s">
        <v>330</v>
      </c>
      <c r="R228" t="s">
        <v>754</v>
      </c>
      <c r="S228" t="s">
        <v>993</v>
      </c>
      <c r="T228" t="s">
        <v>301</v>
      </c>
      <c r="U228" t="s">
        <v>1096</v>
      </c>
      <c r="V228" t="s">
        <v>1142</v>
      </c>
      <c r="W228" t="s">
        <v>259</v>
      </c>
      <c r="X228" t="s">
        <v>1094</v>
      </c>
      <c r="Y228" t="s">
        <v>223</v>
      </c>
      <c r="Z228" t="s">
        <v>1174</v>
      </c>
      <c r="AA228" t="s">
        <v>971</v>
      </c>
      <c r="AB228" t="s">
        <v>775</v>
      </c>
      <c r="AC228" t="s">
        <v>797</v>
      </c>
      <c r="AD228" t="s">
        <v>1062</v>
      </c>
      <c r="AE228" t="s">
        <v>226</v>
      </c>
      <c r="AF228" t="s">
        <v>227</v>
      </c>
      <c r="AG228" t="s">
        <v>1063</v>
      </c>
      <c r="AH228" t="s">
        <v>148</v>
      </c>
      <c r="AI228" t="s">
        <v>1175</v>
      </c>
      <c r="AJ228" t="s">
        <v>1077</v>
      </c>
      <c r="AK228" t="s">
        <v>172</v>
      </c>
      <c r="AL228" t="s">
        <v>752</v>
      </c>
      <c r="AM228" t="s">
        <v>247</v>
      </c>
      <c r="AN228" t="s">
        <v>1078</v>
      </c>
      <c r="AO228" t="s">
        <v>766</v>
      </c>
      <c r="AP228" t="s">
        <v>1079</v>
      </c>
      <c r="AQ228" t="s">
        <v>1109</v>
      </c>
      <c r="AR228" t="s">
        <v>136</v>
      </c>
      <c r="AS228" t="s">
        <v>1080</v>
      </c>
      <c r="AT228" t="s">
        <v>256</v>
      </c>
      <c r="AU228" t="s">
        <v>1094</v>
      </c>
      <c r="AV228" t="s">
        <v>230</v>
      </c>
      <c r="AW228" t="s">
        <v>1095</v>
      </c>
      <c r="AX228" t="s">
        <v>1096</v>
      </c>
      <c r="AY228" t="s">
        <v>917</v>
      </c>
      <c r="AZ228" t="s">
        <v>231</v>
      </c>
      <c r="BA228" t="s">
        <v>1082</v>
      </c>
      <c r="BB228" t="s">
        <v>1117</v>
      </c>
      <c r="BC228" t="s">
        <v>1037</v>
      </c>
      <c r="BD228" t="s">
        <v>1102</v>
      </c>
      <c r="BE228" t="s">
        <v>776</v>
      </c>
      <c r="BF228" t="s">
        <v>974</v>
      </c>
      <c r="BG228" t="s">
        <v>1005</v>
      </c>
      <c r="BH228" t="s">
        <v>1036</v>
      </c>
      <c r="BI228" t="s">
        <v>976</v>
      </c>
      <c r="BJ228" t="s">
        <v>183</v>
      </c>
      <c r="BK228" t="s">
        <v>145</v>
      </c>
      <c r="BL228" t="s">
        <v>1042</v>
      </c>
      <c r="BM228" t="s">
        <v>1021</v>
      </c>
      <c r="BN228" t="s">
        <v>143</v>
      </c>
      <c r="BO228" t="s">
        <v>756</v>
      </c>
      <c r="BP228" t="s">
        <v>757</v>
      </c>
      <c r="BQ228" t="s">
        <v>233</v>
      </c>
      <c r="BR228" t="s">
        <v>760</v>
      </c>
      <c r="BS228" t="s">
        <v>2339</v>
      </c>
      <c r="BT228" t="s">
        <v>234</v>
      </c>
      <c r="BU228" t="s">
        <v>225</v>
      </c>
      <c r="BV228" t="s">
        <v>436</v>
      </c>
      <c r="BW228" t="s">
        <v>284</v>
      </c>
      <c r="BX228" t="s">
        <v>347</v>
      </c>
      <c r="BY228" t="s">
        <v>770</v>
      </c>
      <c r="BZ228" t="s">
        <v>797</v>
      </c>
      <c r="CA228" t="s">
        <v>773</v>
      </c>
      <c r="CB228" t="s">
        <v>920</v>
      </c>
      <c r="CC228" t="s">
        <v>1128</v>
      </c>
      <c r="CD228" t="s">
        <v>1196</v>
      </c>
      <c r="CE228" t="s">
        <v>239</v>
      </c>
      <c r="CF228" t="s">
        <v>241</v>
      </c>
      <c r="CG228" t="s">
        <v>805</v>
      </c>
      <c r="CH228" t="s">
        <v>806</v>
      </c>
    </row>
    <row r="229" spans="1:100">
      <c r="A229" s="40">
        <v>214.1</v>
      </c>
      <c r="B229" s="40" t="s">
        <v>2303</v>
      </c>
      <c r="C229" s="2" t="s">
        <v>2304</v>
      </c>
      <c r="D229" s="2" t="s">
        <v>14</v>
      </c>
      <c r="E229" s="2" t="s">
        <v>18</v>
      </c>
      <c r="F229" s="2">
        <v>80</v>
      </c>
      <c r="G229" s="2">
        <v>185</v>
      </c>
      <c r="H229" s="2">
        <v>115</v>
      </c>
      <c r="I229" s="2">
        <v>40</v>
      </c>
      <c r="J229" s="2">
        <v>105</v>
      </c>
      <c r="K229" s="2">
        <v>75</v>
      </c>
      <c r="L229" s="2">
        <v>600</v>
      </c>
      <c r="M229" s="2" t="s">
        <v>1412</v>
      </c>
      <c r="N229" s="2" t="s">
        <v>1061</v>
      </c>
      <c r="O229" t="s">
        <v>1062</v>
      </c>
      <c r="P229" t="s">
        <v>1063</v>
      </c>
      <c r="Q229" t="s">
        <v>757</v>
      </c>
      <c r="R229" t="s">
        <v>2339</v>
      </c>
      <c r="S229" t="s">
        <v>234</v>
      </c>
      <c r="T229" t="s">
        <v>225</v>
      </c>
      <c r="U229" t="s">
        <v>436</v>
      </c>
      <c r="V229" t="s">
        <v>284</v>
      </c>
      <c r="W229" t="s">
        <v>347</v>
      </c>
      <c r="X229" t="s">
        <v>770</v>
      </c>
      <c r="Y229" t="s">
        <v>797</v>
      </c>
      <c r="Z229" t="s">
        <v>773</v>
      </c>
      <c r="AA229" t="s">
        <v>920</v>
      </c>
      <c r="AB229" t="s">
        <v>1128</v>
      </c>
      <c r="AC229" t="s">
        <v>1196</v>
      </c>
      <c r="AD229" t="s">
        <v>239</v>
      </c>
      <c r="AE229" t="s">
        <v>241</v>
      </c>
      <c r="AF229" t="s">
        <v>805</v>
      </c>
      <c r="AG229" t="s">
        <v>806</v>
      </c>
    </row>
    <row r="230" spans="1:100">
      <c r="A230" s="40">
        <v>215</v>
      </c>
      <c r="B230" s="40" t="s">
        <v>1370</v>
      </c>
      <c r="C230" s="2" t="s">
        <v>1371</v>
      </c>
      <c r="D230" s="2" t="s">
        <v>15</v>
      </c>
      <c r="E230" s="2" t="s">
        <v>23</v>
      </c>
      <c r="F230" s="2">
        <v>55</v>
      </c>
      <c r="G230" s="2">
        <v>95</v>
      </c>
      <c r="H230" s="2">
        <v>55</v>
      </c>
      <c r="I230" s="2">
        <v>35</v>
      </c>
      <c r="J230" s="2">
        <v>75</v>
      </c>
      <c r="K230" s="2">
        <v>115</v>
      </c>
      <c r="L230" s="2">
        <v>430</v>
      </c>
      <c r="M230" s="2" t="s">
        <v>1224</v>
      </c>
      <c r="N230" s="2" t="s">
        <v>1061</v>
      </c>
      <c r="O230" t="s">
        <v>249</v>
      </c>
      <c r="P230" t="s">
        <v>330</v>
      </c>
      <c r="Q230" t="s">
        <v>1126</v>
      </c>
      <c r="R230" t="s">
        <v>310</v>
      </c>
      <c r="S230" t="s">
        <v>774</v>
      </c>
      <c r="T230" t="s">
        <v>769</v>
      </c>
      <c r="U230" t="s">
        <v>323</v>
      </c>
      <c r="V230" t="s">
        <v>306</v>
      </c>
      <c r="W230" t="s">
        <v>783</v>
      </c>
      <c r="X230" t="s">
        <v>1030</v>
      </c>
      <c r="Y230" t="s">
        <v>763</v>
      </c>
      <c r="Z230" t="s">
        <v>324</v>
      </c>
      <c r="AA230" t="s">
        <v>253</v>
      </c>
      <c r="AB230" t="s">
        <v>945</v>
      </c>
      <c r="AC230" t="s">
        <v>1001</v>
      </c>
      <c r="AD230" t="s">
        <v>984</v>
      </c>
      <c r="AE230" t="s">
        <v>1062</v>
      </c>
      <c r="AF230" t="s">
        <v>226</v>
      </c>
      <c r="AG230" t="s">
        <v>144</v>
      </c>
      <c r="AH230" t="s">
        <v>227</v>
      </c>
      <c r="AI230" t="s">
        <v>1063</v>
      </c>
      <c r="AJ230" t="s">
        <v>1030</v>
      </c>
      <c r="AK230" t="s">
        <v>912</v>
      </c>
      <c r="AL230" t="s">
        <v>148</v>
      </c>
      <c r="AM230" t="s">
        <v>1104</v>
      </c>
      <c r="AN230" t="s">
        <v>172</v>
      </c>
      <c r="AO230" t="s">
        <v>752</v>
      </c>
      <c r="AP230" t="s">
        <v>1126</v>
      </c>
      <c r="AQ230" t="s">
        <v>141</v>
      </c>
      <c r="AR230" t="s">
        <v>271</v>
      </c>
      <c r="AS230" t="s">
        <v>1078</v>
      </c>
      <c r="AT230" t="s">
        <v>766</v>
      </c>
      <c r="AU230" t="s">
        <v>1079</v>
      </c>
      <c r="AV230" t="s">
        <v>1080</v>
      </c>
      <c r="AW230" t="s">
        <v>256</v>
      </c>
      <c r="AX230" t="s">
        <v>174</v>
      </c>
      <c r="AY230" t="s">
        <v>1094</v>
      </c>
      <c r="AZ230" t="s">
        <v>230</v>
      </c>
      <c r="BA230" t="s">
        <v>380</v>
      </c>
      <c r="BB230" t="s">
        <v>1096</v>
      </c>
      <c r="BC230" t="s">
        <v>951</v>
      </c>
      <c r="BD230" t="s">
        <v>917</v>
      </c>
      <c r="BE230" t="s">
        <v>231</v>
      </c>
      <c r="BF230" t="s">
        <v>1082</v>
      </c>
      <c r="BG230" t="s">
        <v>1117</v>
      </c>
      <c r="BH230" t="s">
        <v>1172</v>
      </c>
      <c r="BI230" t="s">
        <v>1037</v>
      </c>
      <c r="BJ230" t="s">
        <v>776</v>
      </c>
      <c r="BK230" t="s">
        <v>974</v>
      </c>
      <c r="BL230" t="s">
        <v>969</v>
      </c>
      <c r="BM230" t="s">
        <v>1005</v>
      </c>
      <c r="BN230" t="s">
        <v>995</v>
      </c>
      <c r="BO230" t="s">
        <v>1036</v>
      </c>
      <c r="BP230" t="s">
        <v>145</v>
      </c>
      <c r="BQ230" t="s">
        <v>785</v>
      </c>
      <c r="BR230" t="s">
        <v>1018</v>
      </c>
      <c r="BS230" t="s">
        <v>997</v>
      </c>
      <c r="BT230" t="s">
        <v>293</v>
      </c>
      <c r="BU230" t="s">
        <v>756</v>
      </c>
      <c r="BV230" t="s">
        <v>757</v>
      </c>
      <c r="BW230" t="s">
        <v>233</v>
      </c>
      <c r="BX230" t="s">
        <v>760</v>
      </c>
      <c r="BY230" t="s">
        <v>1040</v>
      </c>
      <c r="BZ230" t="s">
        <v>1157</v>
      </c>
      <c r="CA230" t="s">
        <v>2398</v>
      </c>
      <c r="CB230" t="s">
        <v>2339</v>
      </c>
      <c r="CC230" t="s">
        <v>234</v>
      </c>
      <c r="CD230" t="s">
        <v>274</v>
      </c>
      <c r="CE230" t="s">
        <v>258</v>
      </c>
      <c r="CF230" t="s">
        <v>259</v>
      </c>
      <c r="CG230" t="s">
        <v>778</v>
      </c>
      <c r="CH230" t="s">
        <v>771</v>
      </c>
      <c r="CI230" t="s">
        <v>773</v>
      </c>
      <c r="CJ230" t="s">
        <v>176</v>
      </c>
      <c r="CK230" t="s">
        <v>1166</v>
      </c>
      <c r="CL230" t="s">
        <v>1143</v>
      </c>
      <c r="CM230" t="s">
        <v>971</v>
      </c>
      <c r="CN230" t="s">
        <v>1001</v>
      </c>
      <c r="CO230" t="s">
        <v>1214</v>
      </c>
      <c r="CP230" t="s">
        <v>984</v>
      </c>
      <c r="CQ230" t="s">
        <v>965</v>
      </c>
      <c r="CR230" t="s">
        <v>1216</v>
      </c>
      <c r="CS230" t="s">
        <v>239</v>
      </c>
      <c r="CT230" t="s">
        <v>241</v>
      </c>
      <c r="CU230" t="s">
        <v>805</v>
      </c>
      <c r="CV230" t="s">
        <v>806</v>
      </c>
    </row>
    <row r="231" spans="1:100">
      <c r="A231" s="40">
        <v>216</v>
      </c>
      <c r="B231" s="40" t="s">
        <v>1372</v>
      </c>
      <c r="C231" s="2" t="s">
        <v>1373</v>
      </c>
      <c r="D231" s="2" t="s">
        <v>24</v>
      </c>
      <c r="E231" s="2"/>
      <c r="F231" s="2">
        <v>60</v>
      </c>
      <c r="G231" s="2">
        <v>80</v>
      </c>
      <c r="H231" s="2">
        <v>50</v>
      </c>
      <c r="I231" s="2">
        <v>50</v>
      </c>
      <c r="J231" s="2">
        <v>50</v>
      </c>
      <c r="K231" s="2">
        <v>40</v>
      </c>
      <c r="L231" s="2">
        <v>330</v>
      </c>
      <c r="M231" s="2" t="s">
        <v>1168</v>
      </c>
      <c r="N231" s="2" t="s">
        <v>1061</v>
      </c>
      <c r="O231" t="s">
        <v>249</v>
      </c>
      <c r="P231" t="s">
        <v>330</v>
      </c>
      <c r="Q231" t="s">
        <v>511</v>
      </c>
      <c r="R231" t="s">
        <v>918</v>
      </c>
      <c r="S231" t="s">
        <v>913</v>
      </c>
      <c r="T231" t="s">
        <v>2333</v>
      </c>
      <c r="U231" t="s">
        <v>323</v>
      </c>
      <c r="V231" t="s">
        <v>774</v>
      </c>
      <c r="W231" t="s">
        <v>1076</v>
      </c>
      <c r="X231" t="s">
        <v>2393</v>
      </c>
      <c r="Y231" t="s">
        <v>253</v>
      </c>
      <c r="Z231" t="s">
        <v>781</v>
      </c>
      <c r="AA231" t="s">
        <v>231</v>
      </c>
      <c r="AB231" t="s">
        <v>753</v>
      </c>
      <c r="AC231" t="s">
        <v>373</v>
      </c>
      <c r="AD231" t="s">
        <v>974</v>
      </c>
      <c r="AE231" t="s">
        <v>1062</v>
      </c>
      <c r="AF231" t="s">
        <v>226</v>
      </c>
      <c r="AG231" t="s">
        <v>227</v>
      </c>
      <c r="AH231" t="s">
        <v>1063</v>
      </c>
      <c r="AI231" t="s">
        <v>1030</v>
      </c>
      <c r="AJ231" t="s">
        <v>246</v>
      </c>
      <c r="AK231" t="s">
        <v>148</v>
      </c>
      <c r="AL231" t="s">
        <v>1175</v>
      </c>
      <c r="AM231" t="s">
        <v>172</v>
      </c>
      <c r="AN231" t="s">
        <v>752</v>
      </c>
      <c r="AO231" t="s">
        <v>1126</v>
      </c>
      <c r="AP231" t="s">
        <v>1078</v>
      </c>
      <c r="AQ231" t="s">
        <v>766</v>
      </c>
      <c r="AR231" t="s">
        <v>1079</v>
      </c>
      <c r="AS231" t="s">
        <v>136</v>
      </c>
      <c r="AT231" t="s">
        <v>1080</v>
      </c>
      <c r="AU231" t="s">
        <v>256</v>
      </c>
      <c r="AV231" t="s">
        <v>1094</v>
      </c>
      <c r="AW231" t="s">
        <v>230</v>
      </c>
      <c r="AX231" t="s">
        <v>1095</v>
      </c>
      <c r="AY231" t="s">
        <v>1096</v>
      </c>
      <c r="AZ231" t="s">
        <v>951</v>
      </c>
      <c r="BA231" t="s">
        <v>917</v>
      </c>
      <c r="BB231" t="s">
        <v>231</v>
      </c>
      <c r="BC231" t="s">
        <v>1082</v>
      </c>
      <c r="BD231" t="s">
        <v>1117</v>
      </c>
      <c r="BE231" t="s">
        <v>1037</v>
      </c>
      <c r="BF231" t="s">
        <v>974</v>
      </c>
      <c r="BG231" t="s">
        <v>1005</v>
      </c>
      <c r="BH231" t="s">
        <v>995</v>
      </c>
      <c r="BI231" t="s">
        <v>1036</v>
      </c>
      <c r="BJ231" t="s">
        <v>145</v>
      </c>
      <c r="BK231" t="s">
        <v>1021</v>
      </c>
      <c r="BL231" t="s">
        <v>143</v>
      </c>
      <c r="BM231" t="s">
        <v>756</v>
      </c>
      <c r="BN231" t="s">
        <v>757</v>
      </c>
      <c r="BO231" t="s">
        <v>233</v>
      </c>
      <c r="BP231" t="s">
        <v>760</v>
      </c>
      <c r="BQ231" t="s">
        <v>2398</v>
      </c>
      <c r="BR231" t="s">
        <v>2339</v>
      </c>
      <c r="BS231" t="s">
        <v>234</v>
      </c>
      <c r="BT231" t="s">
        <v>223</v>
      </c>
      <c r="BU231" t="s">
        <v>225</v>
      </c>
      <c r="BV231" t="s">
        <v>259</v>
      </c>
      <c r="BW231" t="s">
        <v>436</v>
      </c>
      <c r="BX231" t="s">
        <v>1099</v>
      </c>
      <c r="BY231" t="s">
        <v>757</v>
      </c>
      <c r="BZ231" t="s">
        <v>783</v>
      </c>
      <c r="CA231" t="s">
        <v>1171</v>
      </c>
      <c r="CB231" t="s">
        <v>777</v>
      </c>
      <c r="CC231" t="s">
        <v>958</v>
      </c>
      <c r="CD231" t="s">
        <v>918</v>
      </c>
      <c r="CE231" t="s">
        <v>1174</v>
      </c>
      <c r="CF231" t="s">
        <v>993</v>
      </c>
      <c r="CG231" t="s">
        <v>1142</v>
      </c>
      <c r="CH231" t="s">
        <v>2395</v>
      </c>
      <c r="CI231" t="s">
        <v>239</v>
      </c>
      <c r="CJ231" t="s">
        <v>241</v>
      </c>
      <c r="CK231" t="s">
        <v>805</v>
      </c>
      <c r="CL231" t="s">
        <v>806</v>
      </c>
    </row>
    <row r="232" spans="1:100">
      <c r="A232" s="40">
        <v>217</v>
      </c>
      <c r="B232" s="40" t="s">
        <v>1374</v>
      </c>
      <c r="C232" s="2" t="s">
        <v>1375</v>
      </c>
      <c r="D232" s="2" t="s">
        <v>24</v>
      </c>
      <c r="E232" s="2"/>
      <c r="F232" s="2">
        <v>90</v>
      </c>
      <c r="G232" s="2">
        <v>130</v>
      </c>
      <c r="H232" s="2">
        <v>75</v>
      </c>
      <c r="I232" s="2">
        <v>75</v>
      </c>
      <c r="J232" s="2">
        <v>75</v>
      </c>
      <c r="K232" s="2">
        <v>55</v>
      </c>
      <c r="L232" s="2">
        <v>500</v>
      </c>
      <c r="M232" s="2" t="s">
        <v>1201</v>
      </c>
      <c r="N232" s="2" t="s">
        <v>1061</v>
      </c>
      <c r="O232" t="s">
        <v>249</v>
      </c>
      <c r="P232" t="s">
        <v>330</v>
      </c>
      <c r="Q232" t="s">
        <v>511</v>
      </c>
      <c r="R232" t="s">
        <v>918</v>
      </c>
      <c r="S232" t="s">
        <v>913</v>
      </c>
      <c r="T232" t="s">
        <v>323</v>
      </c>
      <c r="U232" t="s">
        <v>774</v>
      </c>
      <c r="V232" t="s">
        <v>1076</v>
      </c>
      <c r="W232" t="s">
        <v>2393</v>
      </c>
      <c r="X232" t="s">
        <v>253</v>
      </c>
      <c r="Y232" t="s">
        <v>1092</v>
      </c>
      <c r="Z232" t="s">
        <v>231</v>
      </c>
      <c r="AA232" t="s">
        <v>753</v>
      </c>
      <c r="AB232" t="s">
        <v>373</v>
      </c>
      <c r="AC232" t="s">
        <v>981</v>
      </c>
      <c r="AD232" t="s">
        <v>1062</v>
      </c>
      <c r="AE232" t="s">
        <v>226</v>
      </c>
      <c r="AF232" t="s">
        <v>227</v>
      </c>
      <c r="AG232" t="s">
        <v>1063</v>
      </c>
      <c r="AH232" t="s">
        <v>1030</v>
      </c>
      <c r="AI232" t="s">
        <v>246</v>
      </c>
      <c r="AJ232" t="s">
        <v>148</v>
      </c>
      <c r="AK232" t="s">
        <v>1175</v>
      </c>
      <c r="AL232" t="s">
        <v>172</v>
      </c>
      <c r="AM232" t="s">
        <v>752</v>
      </c>
      <c r="AN232" t="s">
        <v>1126</v>
      </c>
      <c r="AO232" t="s">
        <v>247</v>
      </c>
      <c r="AP232" t="s">
        <v>1078</v>
      </c>
      <c r="AQ232" t="s">
        <v>766</v>
      </c>
      <c r="AR232" t="s">
        <v>1079</v>
      </c>
      <c r="AS232" t="s">
        <v>1109</v>
      </c>
      <c r="AT232" t="s">
        <v>136</v>
      </c>
      <c r="AU232" t="s">
        <v>1080</v>
      </c>
      <c r="AV232" t="s">
        <v>256</v>
      </c>
      <c r="AW232" t="s">
        <v>1094</v>
      </c>
      <c r="AX232" t="s">
        <v>230</v>
      </c>
      <c r="AY232" t="s">
        <v>1095</v>
      </c>
      <c r="AZ232" t="s">
        <v>1096</v>
      </c>
      <c r="BA232" t="s">
        <v>951</v>
      </c>
      <c r="BB232" t="s">
        <v>917</v>
      </c>
      <c r="BC232" t="s">
        <v>231</v>
      </c>
      <c r="BD232" t="s">
        <v>1082</v>
      </c>
      <c r="BE232" t="s">
        <v>1117</v>
      </c>
      <c r="BF232" t="s">
        <v>1037</v>
      </c>
      <c r="BG232" t="s">
        <v>1102</v>
      </c>
      <c r="BH232" t="s">
        <v>974</v>
      </c>
      <c r="BI232" t="s">
        <v>1005</v>
      </c>
      <c r="BJ232" t="s">
        <v>995</v>
      </c>
      <c r="BK232" t="s">
        <v>1036</v>
      </c>
      <c r="BL232" t="s">
        <v>976</v>
      </c>
      <c r="BM232" t="s">
        <v>183</v>
      </c>
      <c r="BN232" t="s">
        <v>145</v>
      </c>
      <c r="BO232" t="s">
        <v>1021</v>
      </c>
      <c r="BP232" t="s">
        <v>143</v>
      </c>
      <c r="BQ232" t="s">
        <v>756</v>
      </c>
      <c r="BR232" t="s">
        <v>757</v>
      </c>
      <c r="BS232" t="s">
        <v>233</v>
      </c>
      <c r="BT232" t="s">
        <v>760</v>
      </c>
      <c r="BU232" t="s">
        <v>2398</v>
      </c>
      <c r="BV232" t="s">
        <v>2339</v>
      </c>
      <c r="BW232" t="s">
        <v>234</v>
      </c>
      <c r="BX232" t="s">
        <v>223</v>
      </c>
      <c r="BY232" t="s">
        <v>225</v>
      </c>
      <c r="BZ232" t="s">
        <v>259</v>
      </c>
      <c r="CA232" t="s">
        <v>436</v>
      </c>
      <c r="CB232" t="s">
        <v>1099</v>
      </c>
      <c r="CC232" t="s">
        <v>757</v>
      </c>
      <c r="CD232" t="s">
        <v>783</v>
      </c>
      <c r="CE232" t="s">
        <v>1171</v>
      </c>
      <c r="CF232" t="s">
        <v>777</v>
      </c>
      <c r="CG232" t="s">
        <v>958</v>
      </c>
      <c r="CH232" t="s">
        <v>918</v>
      </c>
      <c r="CI232" t="s">
        <v>1174</v>
      </c>
      <c r="CJ232" t="s">
        <v>993</v>
      </c>
      <c r="CK232" t="s">
        <v>1142</v>
      </c>
      <c r="CL232" t="s">
        <v>2395</v>
      </c>
      <c r="CM232" t="s">
        <v>239</v>
      </c>
      <c r="CN232" t="s">
        <v>241</v>
      </c>
      <c r="CO232" t="s">
        <v>2333</v>
      </c>
      <c r="CP232" t="s">
        <v>781</v>
      </c>
      <c r="CQ232" t="s">
        <v>974</v>
      </c>
      <c r="CR232" t="s">
        <v>805</v>
      </c>
      <c r="CS232" t="s">
        <v>806</v>
      </c>
    </row>
    <row r="233" spans="1:100">
      <c r="A233" s="40">
        <v>218</v>
      </c>
      <c r="B233" s="40" t="s">
        <v>1376</v>
      </c>
      <c r="C233" s="2" t="s">
        <v>1377</v>
      </c>
      <c r="D233" s="2" t="s">
        <v>19</v>
      </c>
      <c r="E233" s="2"/>
      <c r="F233" s="2">
        <v>40</v>
      </c>
      <c r="G233" s="2">
        <v>40</v>
      </c>
      <c r="H233" s="2">
        <v>40</v>
      </c>
      <c r="I233" s="2">
        <v>70</v>
      </c>
      <c r="J233" s="2">
        <v>40</v>
      </c>
      <c r="K233" s="2">
        <v>20</v>
      </c>
      <c r="L233" s="2">
        <v>250</v>
      </c>
      <c r="M233" s="2" t="s">
        <v>1162</v>
      </c>
      <c r="N233" s="2" t="s">
        <v>1061</v>
      </c>
      <c r="O233" t="s">
        <v>530</v>
      </c>
      <c r="P233" t="s">
        <v>958</v>
      </c>
      <c r="Q233" t="s">
        <v>250</v>
      </c>
      <c r="R233" t="s">
        <v>483</v>
      </c>
      <c r="S233" t="s">
        <v>284</v>
      </c>
      <c r="T233" t="s">
        <v>459</v>
      </c>
      <c r="U233" t="s">
        <v>1026</v>
      </c>
      <c r="V233" t="s">
        <v>170</v>
      </c>
      <c r="W233" t="s">
        <v>235</v>
      </c>
      <c r="X233" t="s">
        <v>1231</v>
      </c>
      <c r="Y233" t="s">
        <v>143</v>
      </c>
      <c r="Z233" t="s">
        <v>364</v>
      </c>
      <c r="AA233" t="s">
        <v>254</v>
      </c>
      <c r="AB233" t="s">
        <v>968</v>
      </c>
      <c r="AC233" t="s">
        <v>1062</v>
      </c>
      <c r="AD233" t="s">
        <v>1063</v>
      </c>
      <c r="AE233" t="s">
        <v>148</v>
      </c>
      <c r="AF233" t="s">
        <v>172</v>
      </c>
      <c r="AG233" t="s">
        <v>752</v>
      </c>
      <c r="AH233" t="s">
        <v>228</v>
      </c>
      <c r="AI233" t="s">
        <v>1078</v>
      </c>
      <c r="AJ233" t="s">
        <v>1079</v>
      </c>
      <c r="AK233" t="s">
        <v>1080</v>
      </c>
      <c r="AL233" t="s">
        <v>230</v>
      </c>
      <c r="AM233" t="s">
        <v>380</v>
      </c>
      <c r="AN233" t="s">
        <v>254</v>
      </c>
      <c r="AO233" t="s">
        <v>257</v>
      </c>
      <c r="AP233" t="s">
        <v>1095</v>
      </c>
      <c r="AQ233" t="s">
        <v>917</v>
      </c>
      <c r="AR233" t="s">
        <v>1097</v>
      </c>
      <c r="AS233" t="s">
        <v>231</v>
      </c>
      <c r="AT233" t="s">
        <v>1082</v>
      </c>
      <c r="AU233" t="s">
        <v>1037</v>
      </c>
      <c r="AV233" t="s">
        <v>1098</v>
      </c>
      <c r="AW233" t="s">
        <v>1031</v>
      </c>
      <c r="AX233" t="s">
        <v>956</v>
      </c>
      <c r="AY233" t="s">
        <v>143</v>
      </c>
      <c r="AZ233" t="s">
        <v>2369</v>
      </c>
      <c r="BA233" t="s">
        <v>756</v>
      </c>
      <c r="BB233" t="s">
        <v>757</v>
      </c>
      <c r="BC233" t="s">
        <v>233</v>
      </c>
      <c r="BD233" t="s">
        <v>760</v>
      </c>
      <c r="BE233" t="s">
        <v>1087</v>
      </c>
      <c r="BF233" t="s">
        <v>2339</v>
      </c>
      <c r="BG233" t="s">
        <v>234</v>
      </c>
      <c r="BH233" t="s">
        <v>251</v>
      </c>
      <c r="BI233" t="s">
        <v>517</v>
      </c>
      <c r="BJ233" t="s">
        <v>751</v>
      </c>
      <c r="BK233" t="s">
        <v>768</v>
      </c>
      <c r="BL233" t="s">
        <v>946</v>
      </c>
      <c r="BM233" t="s">
        <v>1133</v>
      </c>
      <c r="BN233" t="s">
        <v>948</v>
      </c>
      <c r="BO233" t="s">
        <v>924</v>
      </c>
      <c r="BP233" t="s">
        <v>931</v>
      </c>
      <c r="BQ233" t="s">
        <v>968</v>
      </c>
      <c r="BR233" t="s">
        <v>185</v>
      </c>
      <c r="BS233" t="s">
        <v>239</v>
      </c>
      <c r="BT233" t="s">
        <v>241</v>
      </c>
      <c r="BU233" t="s">
        <v>805</v>
      </c>
      <c r="BV233" t="s">
        <v>806</v>
      </c>
    </row>
    <row r="234" spans="1:100">
      <c r="A234" s="40">
        <v>219</v>
      </c>
      <c r="B234" s="40" t="s">
        <v>1378</v>
      </c>
      <c r="C234" s="2" t="s">
        <v>1379</v>
      </c>
      <c r="D234" s="2" t="s">
        <v>19</v>
      </c>
      <c r="E234" s="2" t="s">
        <v>25</v>
      </c>
      <c r="F234" s="2">
        <v>50</v>
      </c>
      <c r="G234" s="2">
        <v>50</v>
      </c>
      <c r="H234" s="2">
        <v>120</v>
      </c>
      <c r="I234" s="2">
        <v>80</v>
      </c>
      <c r="J234" s="2">
        <v>80</v>
      </c>
      <c r="K234" s="2">
        <v>30</v>
      </c>
      <c r="L234" s="2">
        <v>410</v>
      </c>
      <c r="M234" s="2" t="s">
        <v>1173</v>
      </c>
      <c r="N234" s="2" t="s">
        <v>1061</v>
      </c>
      <c r="O234" t="s">
        <v>250</v>
      </c>
      <c r="P234" t="s">
        <v>483</v>
      </c>
      <c r="Q234" t="s">
        <v>530</v>
      </c>
      <c r="R234" t="s">
        <v>958</v>
      </c>
      <c r="S234" t="s">
        <v>250</v>
      </c>
      <c r="T234" t="s">
        <v>483</v>
      </c>
      <c r="U234" t="s">
        <v>284</v>
      </c>
      <c r="V234" t="s">
        <v>459</v>
      </c>
      <c r="W234" t="s">
        <v>1026</v>
      </c>
      <c r="X234" t="s">
        <v>170</v>
      </c>
      <c r="Y234" t="s">
        <v>235</v>
      </c>
      <c r="Z234" t="s">
        <v>1231</v>
      </c>
      <c r="AA234" t="s">
        <v>1213</v>
      </c>
      <c r="AB234" t="s">
        <v>143</v>
      </c>
      <c r="AC234" t="s">
        <v>364</v>
      </c>
      <c r="AD234" t="s">
        <v>254</v>
      </c>
      <c r="AE234" t="s">
        <v>968</v>
      </c>
      <c r="AF234" t="s">
        <v>1062</v>
      </c>
      <c r="AG234" t="s">
        <v>227</v>
      </c>
      <c r="AH234" t="s">
        <v>1063</v>
      </c>
      <c r="AI234" t="s">
        <v>148</v>
      </c>
      <c r="AJ234" t="s">
        <v>172</v>
      </c>
      <c r="AK234" t="s">
        <v>752</v>
      </c>
      <c r="AL234" t="s">
        <v>247</v>
      </c>
      <c r="AM234" t="s">
        <v>228</v>
      </c>
      <c r="AN234" t="s">
        <v>1078</v>
      </c>
      <c r="AO234" t="s">
        <v>1079</v>
      </c>
      <c r="AP234" t="s">
        <v>229</v>
      </c>
      <c r="AQ234" t="s">
        <v>1109</v>
      </c>
      <c r="AR234" t="s">
        <v>136</v>
      </c>
      <c r="AS234" t="s">
        <v>1080</v>
      </c>
      <c r="AT234" t="s">
        <v>230</v>
      </c>
      <c r="AU234" t="s">
        <v>380</v>
      </c>
      <c r="AV234" t="s">
        <v>254</v>
      </c>
      <c r="AW234" t="s">
        <v>765</v>
      </c>
      <c r="AX234" t="s">
        <v>257</v>
      </c>
      <c r="AY234" t="s">
        <v>1095</v>
      </c>
      <c r="AZ234" t="s">
        <v>917</v>
      </c>
      <c r="BA234" t="s">
        <v>1097</v>
      </c>
      <c r="BB234" t="s">
        <v>231</v>
      </c>
      <c r="BC234" t="s">
        <v>1082</v>
      </c>
      <c r="BD234" t="s">
        <v>1037</v>
      </c>
      <c r="BE234" t="s">
        <v>1098</v>
      </c>
      <c r="BF234" t="s">
        <v>1031</v>
      </c>
      <c r="BG234" t="s">
        <v>956</v>
      </c>
      <c r="BH234" t="s">
        <v>485</v>
      </c>
      <c r="BI234" t="s">
        <v>976</v>
      </c>
      <c r="BJ234" t="s">
        <v>1003</v>
      </c>
      <c r="BK234" t="s">
        <v>183</v>
      </c>
      <c r="BL234" t="s">
        <v>980</v>
      </c>
      <c r="BM234" t="s">
        <v>1021</v>
      </c>
      <c r="BN234" t="s">
        <v>143</v>
      </c>
      <c r="BO234" t="s">
        <v>2369</v>
      </c>
      <c r="BP234" t="s">
        <v>756</v>
      </c>
      <c r="BQ234" t="s">
        <v>757</v>
      </c>
      <c r="BR234" t="s">
        <v>233</v>
      </c>
      <c r="BS234" t="s">
        <v>760</v>
      </c>
      <c r="BT234" t="s">
        <v>1087</v>
      </c>
      <c r="BU234" t="s">
        <v>2339</v>
      </c>
      <c r="BV234" t="s">
        <v>234</v>
      </c>
      <c r="BW234" t="s">
        <v>251</v>
      </c>
      <c r="BX234" t="s">
        <v>517</v>
      </c>
      <c r="BY234" t="s">
        <v>751</v>
      </c>
      <c r="BZ234" t="s">
        <v>768</v>
      </c>
      <c r="CA234" t="s">
        <v>946</v>
      </c>
      <c r="CB234" t="s">
        <v>1133</v>
      </c>
      <c r="CC234" t="s">
        <v>948</v>
      </c>
      <c r="CD234" t="s">
        <v>924</v>
      </c>
      <c r="CE234" t="s">
        <v>931</v>
      </c>
      <c r="CF234" t="s">
        <v>968</v>
      </c>
      <c r="CG234" t="s">
        <v>185</v>
      </c>
      <c r="CH234" t="s">
        <v>239</v>
      </c>
      <c r="CI234" t="s">
        <v>241</v>
      </c>
      <c r="CJ234" t="s">
        <v>805</v>
      </c>
      <c r="CK234" t="s">
        <v>806</v>
      </c>
    </row>
    <row r="235" spans="1:100">
      <c r="A235" s="40">
        <v>220</v>
      </c>
      <c r="B235" s="40" t="s">
        <v>1380</v>
      </c>
      <c r="C235" s="2" t="s">
        <v>1381</v>
      </c>
      <c r="D235" s="2" t="s">
        <v>23</v>
      </c>
      <c r="E235" s="2" t="s">
        <v>22</v>
      </c>
      <c r="F235" s="2">
        <v>50</v>
      </c>
      <c r="G235" s="2">
        <v>50</v>
      </c>
      <c r="H235" s="2">
        <v>40</v>
      </c>
      <c r="I235" s="2">
        <v>30</v>
      </c>
      <c r="J235" s="2">
        <v>30</v>
      </c>
      <c r="K235" s="2">
        <v>50</v>
      </c>
      <c r="L235" s="2">
        <v>250</v>
      </c>
      <c r="M235" s="2" t="s">
        <v>1145</v>
      </c>
      <c r="N235" s="2" t="s">
        <v>1061</v>
      </c>
      <c r="O235" t="s">
        <v>219</v>
      </c>
      <c r="P235" t="s">
        <v>934</v>
      </c>
      <c r="Q235" t="s">
        <v>933</v>
      </c>
      <c r="R235" t="s">
        <v>1228</v>
      </c>
      <c r="S235" t="s">
        <v>755</v>
      </c>
      <c r="T235" t="s">
        <v>754</v>
      </c>
      <c r="U235" t="s">
        <v>990</v>
      </c>
      <c r="V235" t="s">
        <v>769</v>
      </c>
      <c r="W235" t="s">
        <v>984</v>
      </c>
      <c r="X235" t="s">
        <v>223</v>
      </c>
      <c r="Y235" t="s">
        <v>273</v>
      </c>
      <c r="Z235" t="s">
        <v>136</v>
      </c>
      <c r="AA235" t="s">
        <v>770</v>
      </c>
      <c r="AB235" t="s">
        <v>271</v>
      </c>
      <c r="AC235" t="s">
        <v>235</v>
      </c>
      <c r="AD235" t="s">
        <v>1062</v>
      </c>
      <c r="AE235" t="s">
        <v>227</v>
      </c>
      <c r="AF235" t="s">
        <v>1063</v>
      </c>
      <c r="AG235" t="s">
        <v>246</v>
      </c>
      <c r="AH235" t="s">
        <v>148</v>
      </c>
      <c r="AI235" t="s">
        <v>1104</v>
      </c>
      <c r="AJ235" t="s">
        <v>172</v>
      </c>
      <c r="AK235" t="s">
        <v>141</v>
      </c>
      <c r="AL235" t="s">
        <v>271</v>
      </c>
      <c r="AM235" t="s">
        <v>228</v>
      </c>
      <c r="AN235" t="s">
        <v>1078</v>
      </c>
      <c r="AO235" t="s">
        <v>766</v>
      </c>
      <c r="AP235" t="s">
        <v>1079</v>
      </c>
      <c r="AQ235" t="s">
        <v>136</v>
      </c>
      <c r="AR235" t="s">
        <v>1080</v>
      </c>
      <c r="AS235" t="s">
        <v>256</v>
      </c>
      <c r="AT235" t="s">
        <v>230</v>
      </c>
      <c r="AU235" t="s">
        <v>380</v>
      </c>
      <c r="AV235" t="s">
        <v>765</v>
      </c>
      <c r="AW235" t="s">
        <v>1095</v>
      </c>
      <c r="AX235" t="s">
        <v>917</v>
      </c>
      <c r="AY235" t="s">
        <v>231</v>
      </c>
      <c r="AZ235" t="s">
        <v>1082</v>
      </c>
      <c r="BA235" t="s">
        <v>1037</v>
      </c>
      <c r="BB235" t="s">
        <v>1021</v>
      </c>
      <c r="BC235" t="s">
        <v>143</v>
      </c>
      <c r="BD235" t="s">
        <v>756</v>
      </c>
      <c r="BE235" t="s">
        <v>757</v>
      </c>
      <c r="BF235" t="s">
        <v>233</v>
      </c>
      <c r="BG235" t="s">
        <v>760</v>
      </c>
      <c r="BH235" t="s">
        <v>2339</v>
      </c>
      <c r="BI235" t="s">
        <v>234</v>
      </c>
      <c r="BJ235" t="s">
        <v>364</v>
      </c>
      <c r="BK235" t="s">
        <v>223</v>
      </c>
      <c r="BL235" t="s">
        <v>225</v>
      </c>
      <c r="BM235" t="s">
        <v>258</v>
      </c>
      <c r="BN235" t="s">
        <v>419</v>
      </c>
      <c r="BO235" t="s">
        <v>751</v>
      </c>
      <c r="BP235" t="s">
        <v>170</v>
      </c>
      <c r="BQ235" t="s">
        <v>1209</v>
      </c>
      <c r="BR235" t="s">
        <v>1144</v>
      </c>
      <c r="BS235" t="s">
        <v>1214</v>
      </c>
      <c r="BT235" t="s">
        <v>1007</v>
      </c>
      <c r="BU235" t="s">
        <v>1216</v>
      </c>
      <c r="BV235" t="s">
        <v>2363</v>
      </c>
      <c r="BW235" t="s">
        <v>239</v>
      </c>
      <c r="BX235" t="s">
        <v>241</v>
      </c>
      <c r="BY235" t="s">
        <v>805</v>
      </c>
      <c r="BZ235" t="s">
        <v>806</v>
      </c>
    </row>
    <row r="236" spans="1:100">
      <c r="A236" s="40">
        <v>221</v>
      </c>
      <c r="B236" s="40" t="s">
        <v>1382</v>
      </c>
      <c r="C236" s="2" t="s">
        <v>1383</v>
      </c>
      <c r="D236" s="2" t="s">
        <v>23</v>
      </c>
      <c r="E236" s="2" t="s">
        <v>22</v>
      </c>
      <c r="F236" s="2">
        <v>100</v>
      </c>
      <c r="G236" s="2">
        <v>100</v>
      </c>
      <c r="H236" s="2">
        <v>80</v>
      </c>
      <c r="I236" s="2">
        <v>60</v>
      </c>
      <c r="J236" s="2">
        <v>60</v>
      </c>
      <c r="K236" s="2">
        <v>50</v>
      </c>
      <c r="L236" s="2">
        <v>450</v>
      </c>
      <c r="M236" s="2" t="s">
        <v>1221</v>
      </c>
      <c r="N236" s="2" t="s">
        <v>1061</v>
      </c>
      <c r="O236" t="s">
        <v>329</v>
      </c>
      <c r="P236" t="s">
        <v>1228</v>
      </c>
      <c r="Q236" t="s">
        <v>170</v>
      </c>
      <c r="R236" t="s">
        <v>933</v>
      </c>
      <c r="S236" t="s">
        <v>934</v>
      </c>
      <c r="T236" t="s">
        <v>933</v>
      </c>
      <c r="U236" t="s">
        <v>1228</v>
      </c>
      <c r="V236" t="s">
        <v>755</v>
      </c>
      <c r="W236" t="s">
        <v>754</v>
      </c>
      <c r="X236" t="s">
        <v>990</v>
      </c>
      <c r="Y236" t="s">
        <v>769</v>
      </c>
      <c r="Z236" t="s">
        <v>983</v>
      </c>
      <c r="AA236" t="s">
        <v>223</v>
      </c>
      <c r="AB236" t="s">
        <v>301</v>
      </c>
      <c r="AC236" t="s">
        <v>273</v>
      </c>
      <c r="AD236" t="s">
        <v>373</v>
      </c>
      <c r="AE236" t="s">
        <v>136</v>
      </c>
      <c r="AF236" t="s">
        <v>271</v>
      </c>
      <c r="AG236" t="s">
        <v>235</v>
      </c>
      <c r="AH236" t="s">
        <v>1062</v>
      </c>
      <c r="AI236" t="s">
        <v>227</v>
      </c>
      <c r="AJ236" t="s">
        <v>1063</v>
      </c>
      <c r="AK236" t="s">
        <v>246</v>
      </c>
      <c r="AL236" t="s">
        <v>148</v>
      </c>
      <c r="AM236" t="s">
        <v>1104</v>
      </c>
      <c r="AN236" t="s">
        <v>172</v>
      </c>
      <c r="AO236" t="s">
        <v>141</v>
      </c>
      <c r="AP236" t="s">
        <v>271</v>
      </c>
      <c r="AQ236" t="s">
        <v>247</v>
      </c>
      <c r="AR236" t="s">
        <v>228</v>
      </c>
      <c r="AS236" t="s">
        <v>1078</v>
      </c>
      <c r="AT236" t="s">
        <v>766</v>
      </c>
      <c r="AU236" t="s">
        <v>1079</v>
      </c>
      <c r="AV236" t="s">
        <v>136</v>
      </c>
      <c r="AW236" t="s">
        <v>1080</v>
      </c>
      <c r="AX236" t="s">
        <v>256</v>
      </c>
      <c r="AY236" t="s">
        <v>230</v>
      </c>
      <c r="AZ236" t="s">
        <v>380</v>
      </c>
      <c r="BA236" t="s">
        <v>765</v>
      </c>
      <c r="BB236" t="s">
        <v>1095</v>
      </c>
      <c r="BC236" t="s">
        <v>917</v>
      </c>
      <c r="BD236" t="s">
        <v>231</v>
      </c>
      <c r="BE236" t="s">
        <v>1082</v>
      </c>
      <c r="BF236" t="s">
        <v>1037</v>
      </c>
      <c r="BG236" t="s">
        <v>976</v>
      </c>
      <c r="BH236" t="s">
        <v>183</v>
      </c>
      <c r="BI236" t="s">
        <v>1021</v>
      </c>
      <c r="BJ236" t="s">
        <v>143</v>
      </c>
      <c r="BK236" t="s">
        <v>756</v>
      </c>
      <c r="BL236" t="s">
        <v>757</v>
      </c>
      <c r="BM236" t="s">
        <v>233</v>
      </c>
      <c r="BN236" t="s">
        <v>760</v>
      </c>
      <c r="BO236" t="s">
        <v>2339</v>
      </c>
      <c r="BP236" t="s">
        <v>234</v>
      </c>
      <c r="BQ236" t="s">
        <v>364</v>
      </c>
      <c r="BR236" t="s">
        <v>223</v>
      </c>
      <c r="BS236" t="s">
        <v>225</v>
      </c>
      <c r="BT236" t="s">
        <v>258</v>
      </c>
      <c r="BU236" t="s">
        <v>419</v>
      </c>
      <c r="BV236" t="s">
        <v>751</v>
      </c>
      <c r="BW236" t="s">
        <v>170</v>
      </c>
      <c r="BX236" t="s">
        <v>1209</v>
      </c>
      <c r="BY236" t="s">
        <v>1144</v>
      </c>
      <c r="BZ236" t="s">
        <v>1214</v>
      </c>
      <c r="CA236" t="s">
        <v>1007</v>
      </c>
      <c r="CB236" t="s">
        <v>1216</v>
      </c>
      <c r="CC236" t="s">
        <v>2363</v>
      </c>
      <c r="CD236" t="s">
        <v>239</v>
      </c>
      <c r="CE236" t="s">
        <v>241</v>
      </c>
      <c r="CF236" t="s">
        <v>219</v>
      </c>
      <c r="CG236" t="s">
        <v>984</v>
      </c>
      <c r="CH236" t="s">
        <v>770</v>
      </c>
      <c r="CI236" t="s">
        <v>805</v>
      </c>
      <c r="CJ236" t="s">
        <v>806</v>
      </c>
    </row>
    <row r="237" spans="1:100">
      <c r="A237" s="40">
        <v>222</v>
      </c>
      <c r="B237" s="40" t="s">
        <v>1384</v>
      </c>
      <c r="C237" s="2" t="s">
        <v>1385</v>
      </c>
      <c r="D237" s="2" t="s">
        <v>27</v>
      </c>
      <c r="E237" s="2" t="s">
        <v>25</v>
      </c>
      <c r="F237" s="2">
        <v>55</v>
      </c>
      <c r="G237" s="2">
        <v>55</v>
      </c>
      <c r="H237" s="2">
        <v>85</v>
      </c>
      <c r="I237" s="2">
        <v>65</v>
      </c>
      <c r="J237" s="2">
        <v>85</v>
      </c>
      <c r="K237" s="2">
        <v>35</v>
      </c>
      <c r="L237" s="2">
        <v>380</v>
      </c>
      <c r="M237" s="2" t="s">
        <v>1159</v>
      </c>
      <c r="N237" s="2" t="s">
        <v>1061</v>
      </c>
      <c r="O237" t="s">
        <v>219</v>
      </c>
      <c r="P237" t="s">
        <v>284</v>
      </c>
      <c r="Q237" t="s">
        <v>267</v>
      </c>
      <c r="R237" t="s">
        <v>459</v>
      </c>
      <c r="S237" t="s">
        <v>1106</v>
      </c>
      <c r="T237" t="s">
        <v>446</v>
      </c>
      <c r="U237" t="s">
        <v>170</v>
      </c>
      <c r="V237" t="s">
        <v>987</v>
      </c>
      <c r="W237" t="s">
        <v>525</v>
      </c>
      <c r="X237" t="s">
        <v>177</v>
      </c>
      <c r="Y237" t="s">
        <v>1196</v>
      </c>
      <c r="Z237" t="s">
        <v>754</v>
      </c>
      <c r="AA237" t="s">
        <v>178</v>
      </c>
      <c r="AB237" t="s">
        <v>1169</v>
      </c>
      <c r="AC237" t="s">
        <v>772</v>
      </c>
      <c r="AD237" t="s">
        <v>968</v>
      </c>
      <c r="AE237" t="s">
        <v>770</v>
      </c>
      <c r="AF237" t="s">
        <v>1062</v>
      </c>
      <c r="AG237" t="s">
        <v>144</v>
      </c>
      <c r="AH237" t="s">
        <v>227</v>
      </c>
      <c r="AI237" t="s">
        <v>1063</v>
      </c>
      <c r="AJ237" t="s">
        <v>912</v>
      </c>
      <c r="AK237" t="s">
        <v>148</v>
      </c>
      <c r="AL237" t="s">
        <v>1104</v>
      </c>
      <c r="AM237" t="s">
        <v>172</v>
      </c>
      <c r="AN237" t="s">
        <v>752</v>
      </c>
      <c r="AO237" t="s">
        <v>141</v>
      </c>
      <c r="AP237" t="s">
        <v>271</v>
      </c>
      <c r="AQ237" t="s">
        <v>228</v>
      </c>
      <c r="AR237" t="s">
        <v>1078</v>
      </c>
      <c r="AS237" t="s">
        <v>766</v>
      </c>
      <c r="AT237" t="s">
        <v>759</v>
      </c>
      <c r="AU237" t="s">
        <v>1079</v>
      </c>
      <c r="AV237" t="s">
        <v>136</v>
      </c>
      <c r="AW237" t="s">
        <v>1080</v>
      </c>
      <c r="AX237" t="s">
        <v>256</v>
      </c>
      <c r="AY237" t="s">
        <v>9</v>
      </c>
      <c r="AZ237" t="s">
        <v>174</v>
      </c>
      <c r="BA237" t="s">
        <v>230</v>
      </c>
      <c r="BB237" t="s">
        <v>380</v>
      </c>
      <c r="BC237" t="s">
        <v>765</v>
      </c>
      <c r="BD237" t="s">
        <v>1095</v>
      </c>
      <c r="BE237" t="s">
        <v>917</v>
      </c>
      <c r="BF237" t="s">
        <v>231</v>
      </c>
      <c r="BG237" t="s">
        <v>1082</v>
      </c>
      <c r="BH237" t="s">
        <v>1037</v>
      </c>
      <c r="BI237" t="s">
        <v>1038</v>
      </c>
      <c r="BJ237" t="s">
        <v>485</v>
      </c>
      <c r="BK237" t="s">
        <v>1003</v>
      </c>
      <c r="BL237" t="s">
        <v>183</v>
      </c>
      <c r="BM237" t="s">
        <v>1021</v>
      </c>
      <c r="BN237" t="s">
        <v>143</v>
      </c>
      <c r="BO237" t="s">
        <v>756</v>
      </c>
      <c r="BP237" t="s">
        <v>757</v>
      </c>
      <c r="BQ237" t="s">
        <v>233</v>
      </c>
      <c r="BR237" t="s">
        <v>760</v>
      </c>
      <c r="BS237" t="s">
        <v>1087</v>
      </c>
      <c r="BT237" t="s">
        <v>2339</v>
      </c>
      <c r="BU237" t="s">
        <v>234</v>
      </c>
      <c r="BV237" t="s">
        <v>273</v>
      </c>
      <c r="BW237" t="s">
        <v>324</v>
      </c>
      <c r="BX237" t="s">
        <v>387</v>
      </c>
      <c r="BY237" t="s">
        <v>455</v>
      </c>
      <c r="BZ237" t="s">
        <v>347</v>
      </c>
      <c r="CA237" t="s">
        <v>235</v>
      </c>
      <c r="CB237" t="s">
        <v>751</v>
      </c>
      <c r="CC237" t="s">
        <v>1087</v>
      </c>
      <c r="CD237" t="s">
        <v>1085</v>
      </c>
      <c r="CE237" t="s">
        <v>1226</v>
      </c>
      <c r="CF237" t="s">
        <v>1209</v>
      </c>
      <c r="CG237" t="s">
        <v>954</v>
      </c>
      <c r="CH237" t="s">
        <v>178</v>
      </c>
      <c r="CI237" t="s">
        <v>800</v>
      </c>
      <c r="CJ237" t="s">
        <v>239</v>
      </c>
      <c r="CK237" t="s">
        <v>241</v>
      </c>
      <c r="CL237" t="s">
        <v>805</v>
      </c>
      <c r="CM237" t="s">
        <v>806</v>
      </c>
    </row>
    <row r="238" spans="1:100">
      <c r="A238" s="40">
        <v>223</v>
      </c>
      <c r="B238" s="40" t="s">
        <v>1386</v>
      </c>
      <c r="C238" s="2" t="s">
        <v>1387</v>
      </c>
      <c r="D238" s="2" t="s">
        <v>27</v>
      </c>
      <c r="E238" s="2"/>
      <c r="F238" s="2">
        <v>35</v>
      </c>
      <c r="G238" s="2">
        <v>65</v>
      </c>
      <c r="H238" s="2">
        <v>35</v>
      </c>
      <c r="I238" s="2">
        <v>65</v>
      </c>
      <c r="J238" s="2">
        <v>35</v>
      </c>
      <c r="K238" s="2">
        <v>65</v>
      </c>
      <c r="L238" s="2">
        <v>300</v>
      </c>
      <c r="M238" s="2" t="s">
        <v>1089</v>
      </c>
      <c r="N238" s="2" t="s">
        <v>1061</v>
      </c>
      <c r="O238" t="s">
        <v>269</v>
      </c>
      <c r="P238" t="s">
        <v>1204</v>
      </c>
      <c r="Q238" t="s">
        <v>292</v>
      </c>
      <c r="R238" t="s">
        <v>478</v>
      </c>
      <c r="S238" t="s">
        <v>446</v>
      </c>
      <c r="T238" t="s">
        <v>302</v>
      </c>
      <c r="U238" t="s">
        <v>954</v>
      </c>
      <c r="V238" t="s">
        <v>216</v>
      </c>
      <c r="W238" t="s">
        <v>141</v>
      </c>
      <c r="X238" t="s">
        <v>1190</v>
      </c>
      <c r="Y238" t="s">
        <v>140</v>
      </c>
      <c r="Z238" t="s">
        <v>247</v>
      </c>
      <c r="AA238" t="s">
        <v>1170</v>
      </c>
      <c r="AB238" t="s">
        <v>1062</v>
      </c>
      <c r="AC238" t="s">
        <v>144</v>
      </c>
      <c r="AD238" t="s">
        <v>270</v>
      </c>
      <c r="AE238" t="s">
        <v>914</v>
      </c>
      <c r="AF238" t="s">
        <v>1063</v>
      </c>
      <c r="AG238" t="s">
        <v>148</v>
      </c>
      <c r="AH238" t="s">
        <v>172</v>
      </c>
      <c r="AI238" t="s">
        <v>752</v>
      </c>
      <c r="AJ238" t="s">
        <v>141</v>
      </c>
      <c r="AK238" t="s">
        <v>271</v>
      </c>
      <c r="AL238" t="s">
        <v>247</v>
      </c>
      <c r="AM238" t="s">
        <v>1078</v>
      </c>
      <c r="AN238" t="s">
        <v>766</v>
      </c>
      <c r="AO238" t="s">
        <v>1079</v>
      </c>
      <c r="AP238" t="s">
        <v>1109</v>
      </c>
      <c r="AQ238" t="s">
        <v>1080</v>
      </c>
      <c r="AR238" t="s">
        <v>9</v>
      </c>
      <c r="AS238" t="s">
        <v>230</v>
      </c>
      <c r="AT238" t="s">
        <v>254</v>
      </c>
      <c r="AU238" t="s">
        <v>257</v>
      </c>
      <c r="AV238" t="s">
        <v>917</v>
      </c>
      <c r="AW238" t="s">
        <v>231</v>
      </c>
      <c r="AX238" t="s">
        <v>1082</v>
      </c>
      <c r="AY238" t="s">
        <v>1117</v>
      </c>
      <c r="AZ238" t="s">
        <v>1037</v>
      </c>
      <c r="BA238" t="s">
        <v>1038</v>
      </c>
      <c r="BB238" t="s">
        <v>963</v>
      </c>
      <c r="BC238" t="s">
        <v>1031</v>
      </c>
      <c r="BD238" t="s">
        <v>322</v>
      </c>
      <c r="BE238" t="s">
        <v>756</v>
      </c>
      <c r="BF238" t="s">
        <v>757</v>
      </c>
      <c r="BG238" t="s">
        <v>233</v>
      </c>
      <c r="BH238" t="s">
        <v>2339</v>
      </c>
      <c r="BI238" t="s">
        <v>234</v>
      </c>
      <c r="BJ238" t="s">
        <v>290</v>
      </c>
      <c r="BK238" t="s">
        <v>478</v>
      </c>
      <c r="BL238" t="s">
        <v>324</v>
      </c>
      <c r="BM238" t="s">
        <v>272</v>
      </c>
      <c r="BN238" t="s">
        <v>354</v>
      </c>
      <c r="BO238" t="s">
        <v>753</v>
      </c>
      <c r="BP238" t="s">
        <v>770</v>
      </c>
      <c r="BQ238" t="s">
        <v>1225</v>
      </c>
      <c r="BR238" t="s">
        <v>1107</v>
      </c>
      <c r="BS238" t="s">
        <v>1144</v>
      </c>
      <c r="BT238" t="s">
        <v>1196</v>
      </c>
      <c r="BU238" t="s">
        <v>954</v>
      </c>
      <c r="BV238" t="s">
        <v>1134</v>
      </c>
      <c r="BW238" t="s">
        <v>1577</v>
      </c>
      <c r="BX238" t="s">
        <v>239</v>
      </c>
      <c r="BY238" t="s">
        <v>241</v>
      </c>
      <c r="BZ238" t="s">
        <v>805</v>
      </c>
      <c r="CA238" t="s">
        <v>806</v>
      </c>
    </row>
    <row r="239" spans="1:100">
      <c r="A239" s="40">
        <v>224</v>
      </c>
      <c r="B239" s="40" t="s">
        <v>1388</v>
      </c>
      <c r="C239" s="2" t="s">
        <v>1389</v>
      </c>
      <c r="D239" s="2" t="s">
        <v>27</v>
      </c>
      <c r="E239" s="2"/>
      <c r="F239" s="2">
        <v>75</v>
      </c>
      <c r="G239" s="2">
        <v>105</v>
      </c>
      <c r="H239" s="2">
        <v>75</v>
      </c>
      <c r="I239" s="2">
        <v>105</v>
      </c>
      <c r="J239" s="2">
        <v>75</v>
      </c>
      <c r="K239" s="2">
        <v>45</v>
      </c>
      <c r="L239" s="2">
        <v>480</v>
      </c>
      <c r="M239" s="2" t="s">
        <v>1176</v>
      </c>
      <c r="N239" s="2" t="s">
        <v>1061</v>
      </c>
      <c r="O239" t="s">
        <v>269</v>
      </c>
      <c r="P239" t="s">
        <v>292</v>
      </c>
      <c r="Q239" t="s">
        <v>478</v>
      </c>
      <c r="R239" t="s">
        <v>477</v>
      </c>
      <c r="S239" t="s">
        <v>1196</v>
      </c>
      <c r="T239" t="s">
        <v>979</v>
      </c>
      <c r="U239" t="s">
        <v>477</v>
      </c>
      <c r="V239" t="s">
        <v>292</v>
      </c>
      <c r="W239" t="s">
        <v>478</v>
      </c>
      <c r="X239" t="s">
        <v>446</v>
      </c>
      <c r="Y239" t="s">
        <v>302</v>
      </c>
      <c r="Z239" t="s">
        <v>1225</v>
      </c>
      <c r="AA239" t="s">
        <v>1189</v>
      </c>
      <c r="AB239" t="s">
        <v>216</v>
      </c>
      <c r="AC239" t="s">
        <v>141</v>
      </c>
      <c r="AD239" t="s">
        <v>1190</v>
      </c>
      <c r="AE239" t="s">
        <v>140</v>
      </c>
      <c r="AF239" t="s">
        <v>247</v>
      </c>
      <c r="AG239" t="s">
        <v>1170</v>
      </c>
      <c r="AH239" t="s">
        <v>1062</v>
      </c>
      <c r="AI239" t="s">
        <v>144</v>
      </c>
      <c r="AJ239" t="s">
        <v>270</v>
      </c>
      <c r="AK239" t="s">
        <v>914</v>
      </c>
      <c r="AL239" t="s">
        <v>1063</v>
      </c>
      <c r="AM239" t="s">
        <v>148</v>
      </c>
      <c r="AN239" t="s">
        <v>172</v>
      </c>
      <c r="AO239" t="s">
        <v>752</v>
      </c>
      <c r="AP239" t="s">
        <v>141</v>
      </c>
      <c r="AQ239" t="s">
        <v>271</v>
      </c>
      <c r="AR239" t="s">
        <v>247</v>
      </c>
      <c r="AS239" t="s">
        <v>1078</v>
      </c>
      <c r="AT239" t="s">
        <v>766</v>
      </c>
      <c r="AU239" t="s">
        <v>1079</v>
      </c>
      <c r="AV239" t="s">
        <v>1109</v>
      </c>
      <c r="AW239" t="s">
        <v>1080</v>
      </c>
      <c r="AX239" t="s">
        <v>9</v>
      </c>
      <c r="AY239" t="s">
        <v>230</v>
      </c>
      <c r="AZ239" t="s">
        <v>186</v>
      </c>
      <c r="BA239" t="s">
        <v>254</v>
      </c>
      <c r="BB239" t="s">
        <v>1081</v>
      </c>
      <c r="BC239" t="s">
        <v>257</v>
      </c>
      <c r="BD239" t="s">
        <v>917</v>
      </c>
      <c r="BE239" t="s">
        <v>231</v>
      </c>
      <c r="BF239" t="s">
        <v>1082</v>
      </c>
      <c r="BG239" t="s">
        <v>1117</v>
      </c>
      <c r="BH239" t="s">
        <v>1037</v>
      </c>
      <c r="BI239" t="s">
        <v>970</v>
      </c>
      <c r="BJ239" t="s">
        <v>1038</v>
      </c>
      <c r="BK239" t="s">
        <v>963</v>
      </c>
      <c r="BL239" t="s">
        <v>1031</v>
      </c>
      <c r="BM239" t="s">
        <v>995</v>
      </c>
      <c r="BN239" t="s">
        <v>976</v>
      </c>
      <c r="BO239" t="s">
        <v>322</v>
      </c>
      <c r="BP239" t="s">
        <v>756</v>
      </c>
      <c r="BQ239" t="s">
        <v>757</v>
      </c>
      <c r="BR239" t="s">
        <v>233</v>
      </c>
      <c r="BS239" t="s">
        <v>973</v>
      </c>
      <c r="BT239" t="s">
        <v>2339</v>
      </c>
      <c r="BU239" t="s">
        <v>234</v>
      </c>
      <c r="BV239" t="s">
        <v>290</v>
      </c>
      <c r="BW239" t="s">
        <v>478</v>
      </c>
      <c r="BX239" t="s">
        <v>324</v>
      </c>
      <c r="BY239" t="s">
        <v>272</v>
      </c>
      <c r="BZ239" t="s">
        <v>354</v>
      </c>
      <c r="CA239" t="s">
        <v>753</v>
      </c>
      <c r="CB239" t="s">
        <v>770</v>
      </c>
      <c r="CC239" t="s">
        <v>1225</v>
      </c>
      <c r="CD239" t="s">
        <v>1107</v>
      </c>
      <c r="CE239" t="s">
        <v>1144</v>
      </c>
      <c r="CF239" t="s">
        <v>1196</v>
      </c>
      <c r="CG239" t="s">
        <v>954</v>
      </c>
      <c r="CH239" t="s">
        <v>1134</v>
      </c>
      <c r="CI239" t="s">
        <v>1577</v>
      </c>
      <c r="CJ239" t="s">
        <v>239</v>
      </c>
      <c r="CK239" t="s">
        <v>241</v>
      </c>
      <c r="CL239" t="s">
        <v>1204</v>
      </c>
      <c r="CM239" t="s">
        <v>954</v>
      </c>
      <c r="CN239" t="s">
        <v>805</v>
      </c>
      <c r="CO239" t="s">
        <v>806</v>
      </c>
    </row>
    <row r="240" spans="1:100">
      <c r="A240" s="40">
        <v>225</v>
      </c>
      <c r="B240" s="40" t="s">
        <v>1390</v>
      </c>
      <c r="C240" s="2" t="s">
        <v>1391</v>
      </c>
      <c r="D240" s="2" t="s">
        <v>23</v>
      </c>
      <c r="E240" s="2" t="s">
        <v>20</v>
      </c>
      <c r="F240" s="2">
        <v>45</v>
      </c>
      <c r="G240" s="2">
        <v>55</v>
      </c>
      <c r="H240" s="2">
        <v>45</v>
      </c>
      <c r="I240" s="2">
        <v>65</v>
      </c>
      <c r="J240" s="2">
        <v>45</v>
      </c>
      <c r="K240" s="2">
        <v>75</v>
      </c>
      <c r="L240" s="2">
        <v>330</v>
      </c>
      <c r="M240" s="2" t="s">
        <v>1068</v>
      </c>
      <c r="N240" s="2" t="s">
        <v>1061</v>
      </c>
      <c r="O240" t="s">
        <v>780</v>
      </c>
      <c r="P240" t="s">
        <v>1062</v>
      </c>
      <c r="Q240" t="s">
        <v>138</v>
      </c>
      <c r="R240" t="s">
        <v>1063</v>
      </c>
      <c r="S240" t="s">
        <v>148</v>
      </c>
      <c r="T240" t="s">
        <v>1104</v>
      </c>
      <c r="U240" t="s">
        <v>172</v>
      </c>
      <c r="V240" t="s">
        <v>141</v>
      </c>
      <c r="W240" t="s">
        <v>271</v>
      </c>
      <c r="X240" t="s">
        <v>1078</v>
      </c>
      <c r="Y240" t="s">
        <v>766</v>
      </c>
      <c r="Z240" t="s">
        <v>1079</v>
      </c>
      <c r="AA240" t="s">
        <v>1080</v>
      </c>
      <c r="AB240" t="s">
        <v>1094</v>
      </c>
      <c r="AC240" t="s">
        <v>230</v>
      </c>
      <c r="AD240" t="s">
        <v>1096</v>
      </c>
      <c r="AE240" t="s">
        <v>917</v>
      </c>
      <c r="AF240" t="s">
        <v>231</v>
      </c>
      <c r="AG240" t="s">
        <v>1082</v>
      </c>
      <c r="AH240" t="s">
        <v>1117</v>
      </c>
      <c r="AI240" t="s">
        <v>1037</v>
      </c>
      <c r="AJ240" t="s">
        <v>974</v>
      </c>
      <c r="AK240" t="s">
        <v>1027</v>
      </c>
      <c r="AL240" t="s">
        <v>756</v>
      </c>
      <c r="AM240" t="s">
        <v>757</v>
      </c>
      <c r="AN240" t="s">
        <v>233</v>
      </c>
      <c r="AO240" t="s">
        <v>2398</v>
      </c>
      <c r="AP240" t="s">
        <v>2339</v>
      </c>
      <c r="AQ240" t="s">
        <v>234</v>
      </c>
      <c r="AR240" t="s">
        <v>274</v>
      </c>
      <c r="AS240" t="s">
        <v>478</v>
      </c>
      <c r="AT240" t="s">
        <v>310</v>
      </c>
      <c r="AU240" t="s">
        <v>382</v>
      </c>
      <c r="AV240" t="s">
        <v>1215</v>
      </c>
      <c r="AW240" t="s">
        <v>793</v>
      </c>
      <c r="AX240" t="s">
        <v>769</v>
      </c>
      <c r="AY240" t="s">
        <v>173</v>
      </c>
      <c r="AZ240" t="s">
        <v>790</v>
      </c>
      <c r="BA240" t="s">
        <v>176</v>
      </c>
      <c r="BB240" t="s">
        <v>1178</v>
      </c>
      <c r="BC240" t="s">
        <v>984</v>
      </c>
      <c r="BD240" t="s">
        <v>1139</v>
      </c>
      <c r="BE240" t="s">
        <v>2363</v>
      </c>
      <c r="BF240" t="s">
        <v>239</v>
      </c>
      <c r="BG240" t="s">
        <v>241</v>
      </c>
      <c r="BH240" t="s">
        <v>805</v>
      </c>
      <c r="BI240" t="s">
        <v>806</v>
      </c>
    </row>
    <row r="241" spans="1:92">
      <c r="A241" s="40">
        <v>226</v>
      </c>
      <c r="B241" s="40" t="s">
        <v>1392</v>
      </c>
      <c r="C241" s="2" t="s">
        <v>1393</v>
      </c>
      <c r="D241" s="2" t="s">
        <v>27</v>
      </c>
      <c r="E241" s="2" t="s">
        <v>20</v>
      </c>
      <c r="F241" s="2">
        <v>65</v>
      </c>
      <c r="G241" s="2">
        <v>40</v>
      </c>
      <c r="H241" s="2">
        <v>70</v>
      </c>
      <c r="I241" s="2">
        <v>80</v>
      </c>
      <c r="J241" s="2">
        <v>140</v>
      </c>
      <c r="K241" s="2">
        <v>70</v>
      </c>
      <c r="L241" s="2">
        <v>465</v>
      </c>
      <c r="M241" s="2" t="s">
        <v>1158</v>
      </c>
      <c r="N241" s="2" t="s">
        <v>1061</v>
      </c>
      <c r="O241" t="s">
        <v>219</v>
      </c>
      <c r="P241" t="s">
        <v>290</v>
      </c>
      <c r="Q241" t="s">
        <v>292</v>
      </c>
      <c r="R241" t="s">
        <v>446</v>
      </c>
      <c r="S241" t="s">
        <v>267</v>
      </c>
      <c r="T241" t="s">
        <v>216</v>
      </c>
      <c r="U241" t="s">
        <v>1190</v>
      </c>
      <c r="V241" t="s">
        <v>290</v>
      </c>
      <c r="W241" t="s">
        <v>446</v>
      </c>
      <c r="X241" t="s">
        <v>387</v>
      </c>
      <c r="Y241" t="s">
        <v>264</v>
      </c>
      <c r="Z241" t="s">
        <v>420</v>
      </c>
      <c r="AA241" t="s">
        <v>954</v>
      </c>
      <c r="AB241" t="s">
        <v>1187</v>
      </c>
      <c r="AC241" t="s">
        <v>223</v>
      </c>
      <c r="AD241" t="s">
        <v>306</v>
      </c>
      <c r="AE241" t="s">
        <v>1101</v>
      </c>
      <c r="AF241" t="s">
        <v>178</v>
      </c>
      <c r="AG241" t="s">
        <v>175</v>
      </c>
      <c r="AH241" t="s">
        <v>140</v>
      </c>
      <c r="AI241" t="s">
        <v>1062</v>
      </c>
      <c r="AJ241" t="s">
        <v>144</v>
      </c>
      <c r="AK241" t="s">
        <v>270</v>
      </c>
      <c r="AL241" t="s">
        <v>914</v>
      </c>
      <c r="AM241" t="s">
        <v>1063</v>
      </c>
      <c r="AN241" t="s">
        <v>148</v>
      </c>
      <c r="AO241" t="s">
        <v>1104</v>
      </c>
      <c r="AP241" t="s">
        <v>172</v>
      </c>
      <c r="AQ241" t="s">
        <v>141</v>
      </c>
      <c r="AR241" t="s">
        <v>271</v>
      </c>
      <c r="AS241" t="s">
        <v>247</v>
      </c>
      <c r="AT241" t="s">
        <v>1078</v>
      </c>
      <c r="AU241" t="s">
        <v>766</v>
      </c>
      <c r="AV241" t="s">
        <v>1079</v>
      </c>
      <c r="AW241" t="s">
        <v>136</v>
      </c>
      <c r="AX241" t="s">
        <v>1080</v>
      </c>
      <c r="AY241" t="s">
        <v>230</v>
      </c>
      <c r="AZ241" t="s">
        <v>1095</v>
      </c>
      <c r="BA241" t="s">
        <v>1096</v>
      </c>
      <c r="BB241" t="s">
        <v>917</v>
      </c>
      <c r="BC241" t="s">
        <v>231</v>
      </c>
      <c r="BD241" t="s">
        <v>1082</v>
      </c>
      <c r="BE241" t="s">
        <v>1037</v>
      </c>
      <c r="BF241" t="s">
        <v>1038</v>
      </c>
      <c r="BG241" t="s">
        <v>1020</v>
      </c>
      <c r="BH241" t="s">
        <v>976</v>
      </c>
      <c r="BI241" t="s">
        <v>1021</v>
      </c>
      <c r="BJ241" t="s">
        <v>143</v>
      </c>
      <c r="BK241" t="s">
        <v>756</v>
      </c>
      <c r="BL241" t="s">
        <v>757</v>
      </c>
      <c r="BM241" t="s">
        <v>233</v>
      </c>
      <c r="BN241" t="s">
        <v>2339</v>
      </c>
      <c r="BO241" t="s">
        <v>234</v>
      </c>
      <c r="BP241" t="s">
        <v>341</v>
      </c>
      <c r="BQ241" t="s">
        <v>140</v>
      </c>
      <c r="BR241" t="s">
        <v>272</v>
      </c>
      <c r="BS241" t="s">
        <v>235</v>
      </c>
      <c r="BT241" t="s">
        <v>382</v>
      </c>
      <c r="BU241" t="s">
        <v>796</v>
      </c>
      <c r="BV241" t="s">
        <v>772</v>
      </c>
      <c r="BW241" t="s">
        <v>933</v>
      </c>
      <c r="BX241" t="s">
        <v>216</v>
      </c>
      <c r="BY241" t="s">
        <v>955</v>
      </c>
      <c r="BZ241" t="s">
        <v>1009</v>
      </c>
      <c r="CA241" t="s">
        <v>1187</v>
      </c>
      <c r="CB241" t="s">
        <v>239</v>
      </c>
      <c r="CC241" t="s">
        <v>241</v>
      </c>
      <c r="CD241" t="s">
        <v>805</v>
      </c>
      <c r="CE241" t="s">
        <v>806</v>
      </c>
    </row>
    <row r="242" spans="1:92">
      <c r="A242" s="40">
        <v>227</v>
      </c>
      <c r="B242" s="40" t="s">
        <v>1394</v>
      </c>
      <c r="C242" s="2" t="s">
        <v>1395</v>
      </c>
      <c r="D242" s="2" t="s">
        <v>26</v>
      </c>
      <c r="E242" s="2" t="s">
        <v>20</v>
      </c>
      <c r="F242" s="2">
        <v>65</v>
      </c>
      <c r="G242" s="2">
        <v>80</v>
      </c>
      <c r="H242" s="2">
        <v>140</v>
      </c>
      <c r="I242" s="2">
        <v>40</v>
      </c>
      <c r="J242" s="2">
        <v>70</v>
      </c>
      <c r="K242" s="2">
        <v>70</v>
      </c>
      <c r="L242" s="2">
        <v>465</v>
      </c>
      <c r="M242" s="2" t="s">
        <v>1074</v>
      </c>
      <c r="N242" s="2" t="s">
        <v>1061</v>
      </c>
      <c r="O242" t="s">
        <v>330</v>
      </c>
      <c r="P242" t="s">
        <v>329</v>
      </c>
      <c r="Q242" t="s">
        <v>309</v>
      </c>
      <c r="R242" t="s">
        <v>354</v>
      </c>
      <c r="S242" t="s">
        <v>306</v>
      </c>
      <c r="T242" t="s">
        <v>301</v>
      </c>
      <c r="U242" t="s">
        <v>971</v>
      </c>
      <c r="V242" t="s">
        <v>1118</v>
      </c>
      <c r="W242" t="s">
        <v>1215</v>
      </c>
      <c r="X242" t="s">
        <v>1202</v>
      </c>
      <c r="Y242" t="s">
        <v>1125</v>
      </c>
      <c r="Z242" t="s">
        <v>1197</v>
      </c>
      <c r="AA242" t="s">
        <v>1101</v>
      </c>
      <c r="AB242" t="s">
        <v>253</v>
      </c>
      <c r="AC242" t="s">
        <v>993</v>
      </c>
      <c r="AD242" t="s">
        <v>1062</v>
      </c>
      <c r="AE242" t="s">
        <v>226</v>
      </c>
      <c r="AF242" t="s">
        <v>138</v>
      </c>
      <c r="AG242" t="s">
        <v>1063</v>
      </c>
      <c r="AH242" t="s">
        <v>246</v>
      </c>
      <c r="AI242" t="s">
        <v>148</v>
      </c>
      <c r="AJ242" t="s">
        <v>172</v>
      </c>
      <c r="AK242" t="s">
        <v>752</v>
      </c>
      <c r="AL242" t="s">
        <v>1126</v>
      </c>
      <c r="AM242" t="s">
        <v>1078</v>
      </c>
      <c r="AN242" t="s">
        <v>1119</v>
      </c>
      <c r="AO242" t="s">
        <v>1079</v>
      </c>
      <c r="AP242" t="s">
        <v>1080</v>
      </c>
      <c r="AQ242" t="s">
        <v>230</v>
      </c>
      <c r="AR242" t="s">
        <v>765</v>
      </c>
      <c r="AS242" t="s">
        <v>1095</v>
      </c>
      <c r="AT242" t="s">
        <v>1096</v>
      </c>
      <c r="AU242" t="s">
        <v>951</v>
      </c>
      <c r="AV242" t="s">
        <v>917</v>
      </c>
      <c r="AW242" t="s">
        <v>231</v>
      </c>
      <c r="AX242" t="s">
        <v>1082</v>
      </c>
      <c r="AY242" t="s">
        <v>1117</v>
      </c>
      <c r="AZ242" t="s">
        <v>1037</v>
      </c>
      <c r="BA242" t="s">
        <v>1125</v>
      </c>
      <c r="BB242" t="s">
        <v>1039</v>
      </c>
      <c r="BC242" t="s">
        <v>995</v>
      </c>
      <c r="BD242" t="s">
        <v>232</v>
      </c>
      <c r="BE242" t="s">
        <v>145</v>
      </c>
      <c r="BF242" t="s">
        <v>143</v>
      </c>
      <c r="BG242" t="s">
        <v>1018</v>
      </c>
      <c r="BH242" t="s">
        <v>756</v>
      </c>
      <c r="BI242" t="s">
        <v>757</v>
      </c>
      <c r="BJ242" t="s">
        <v>233</v>
      </c>
      <c r="BK242" t="s">
        <v>973</v>
      </c>
      <c r="BL242" t="s">
        <v>760</v>
      </c>
      <c r="BM242" t="s">
        <v>1157</v>
      </c>
      <c r="BN242" t="s">
        <v>2339</v>
      </c>
      <c r="BO242" t="s">
        <v>234</v>
      </c>
      <c r="BP242" t="s">
        <v>291</v>
      </c>
      <c r="BQ242" t="s">
        <v>331</v>
      </c>
      <c r="BR242" t="s">
        <v>316</v>
      </c>
      <c r="BS242" t="s">
        <v>751</v>
      </c>
      <c r="BT242" t="s">
        <v>754</v>
      </c>
      <c r="BU242" t="s">
        <v>773</v>
      </c>
      <c r="BV242" t="s">
        <v>960</v>
      </c>
      <c r="BW242" t="s">
        <v>1183</v>
      </c>
      <c r="BX242" t="s">
        <v>1123</v>
      </c>
      <c r="BY242" t="s">
        <v>1007</v>
      </c>
      <c r="BZ242" t="s">
        <v>239</v>
      </c>
      <c r="CA242" t="s">
        <v>241</v>
      </c>
      <c r="CB242" t="s">
        <v>805</v>
      </c>
      <c r="CC242" t="s">
        <v>806</v>
      </c>
    </row>
    <row r="243" spans="1:92">
      <c r="A243" s="40">
        <v>228</v>
      </c>
      <c r="B243" s="40" t="s">
        <v>1396</v>
      </c>
      <c r="C243" s="2" t="s">
        <v>1397</v>
      </c>
      <c r="D243" s="2" t="s">
        <v>15</v>
      </c>
      <c r="E243" s="2" t="s">
        <v>19</v>
      </c>
      <c r="F243" s="2">
        <v>45</v>
      </c>
      <c r="G243" s="2">
        <v>60</v>
      </c>
      <c r="H243" s="2">
        <v>30</v>
      </c>
      <c r="I243" s="2">
        <v>80</v>
      </c>
      <c r="J243" s="2">
        <v>50</v>
      </c>
      <c r="K243" s="2">
        <v>65</v>
      </c>
      <c r="L243" s="2">
        <v>330</v>
      </c>
      <c r="M243" s="2" t="s">
        <v>1129</v>
      </c>
      <c r="N243" s="2" t="s">
        <v>1061</v>
      </c>
      <c r="O243" t="s">
        <v>330</v>
      </c>
      <c r="P243" t="s">
        <v>250</v>
      </c>
      <c r="Q243" t="s">
        <v>1155</v>
      </c>
      <c r="R243" t="s">
        <v>530</v>
      </c>
      <c r="S243" t="s">
        <v>246</v>
      </c>
      <c r="T243" t="s">
        <v>258</v>
      </c>
      <c r="U243" t="s">
        <v>934</v>
      </c>
      <c r="V243" t="s">
        <v>763</v>
      </c>
      <c r="W243" t="s">
        <v>182</v>
      </c>
      <c r="X243" t="s">
        <v>774</v>
      </c>
      <c r="Y243" t="s">
        <v>969</v>
      </c>
      <c r="Z243" t="s">
        <v>1167</v>
      </c>
      <c r="AA243" t="s">
        <v>254</v>
      </c>
      <c r="AB243" t="s">
        <v>777</v>
      </c>
      <c r="AC243" t="s">
        <v>991</v>
      </c>
      <c r="AD243" t="s">
        <v>185</v>
      </c>
      <c r="AE243" t="s">
        <v>1062</v>
      </c>
      <c r="AF243" t="s">
        <v>1063</v>
      </c>
      <c r="AG243" t="s">
        <v>246</v>
      </c>
      <c r="AH243" t="s">
        <v>148</v>
      </c>
      <c r="AI243" t="s">
        <v>172</v>
      </c>
      <c r="AJ243" t="s">
        <v>752</v>
      </c>
      <c r="AK243" t="s">
        <v>1126</v>
      </c>
      <c r="AL243" t="s">
        <v>1078</v>
      </c>
      <c r="AM243" t="s">
        <v>1079</v>
      </c>
      <c r="AN243" t="s">
        <v>229</v>
      </c>
      <c r="AO243" t="s">
        <v>1080</v>
      </c>
      <c r="AP243" t="s">
        <v>174</v>
      </c>
      <c r="AQ243" t="s">
        <v>230</v>
      </c>
      <c r="AR243" t="s">
        <v>254</v>
      </c>
      <c r="AS243" t="s">
        <v>1081</v>
      </c>
      <c r="AT243" t="s">
        <v>257</v>
      </c>
      <c r="AU243" t="s">
        <v>951</v>
      </c>
      <c r="AV243" t="s">
        <v>917</v>
      </c>
      <c r="AW243" t="s">
        <v>1097</v>
      </c>
      <c r="AX243" t="s">
        <v>231</v>
      </c>
      <c r="AY243" t="s">
        <v>1082</v>
      </c>
      <c r="AZ243" t="s">
        <v>1117</v>
      </c>
      <c r="BA243" t="s">
        <v>1037</v>
      </c>
      <c r="BB243" t="s">
        <v>1098</v>
      </c>
      <c r="BC243" t="s">
        <v>1031</v>
      </c>
      <c r="BD243" t="s">
        <v>956</v>
      </c>
      <c r="BE243" t="s">
        <v>969</v>
      </c>
      <c r="BF243" t="s">
        <v>995</v>
      </c>
      <c r="BG243" t="s">
        <v>1036</v>
      </c>
      <c r="BH243" t="s">
        <v>293</v>
      </c>
      <c r="BI243" t="s">
        <v>756</v>
      </c>
      <c r="BJ243" t="s">
        <v>757</v>
      </c>
      <c r="BK243" t="s">
        <v>233</v>
      </c>
      <c r="BL243" t="s">
        <v>760</v>
      </c>
      <c r="BM243" t="s">
        <v>1040</v>
      </c>
      <c r="BN243" t="s">
        <v>1157</v>
      </c>
      <c r="BO243" t="s">
        <v>2339</v>
      </c>
      <c r="BP243" t="s">
        <v>234</v>
      </c>
      <c r="BQ243" t="s">
        <v>259</v>
      </c>
      <c r="BR243" t="s">
        <v>255</v>
      </c>
      <c r="BS243" t="s">
        <v>304</v>
      </c>
      <c r="BT243" t="s">
        <v>775</v>
      </c>
      <c r="BU243" t="s">
        <v>778</v>
      </c>
      <c r="BV243" t="s">
        <v>793</v>
      </c>
      <c r="BW243" t="s">
        <v>773</v>
      </c>
      <c r="BX243" t="s">
        <v>763</v>
      </c>
      <c r="BY243" t="s">
        <v>971</v>
      </c>
      <c r="BZ243" t="s">
        <v>1001</v>
      </c>
      <c r="CA243" t="s">
        <v>1008</v>
      </c>
      <c r="CB243" t="s">
        <v>991</v>
      </c>
      <c r="CC243" t="s">
        <v>1010</v>
      </c>
      <c r="CD243" t="s">
        <v>182</v>
      </c>
      <c r="CE243" t="s">
        <v>239</v>
      </c>
      <c r="CF243" t="s">
        <v>241</v>
      </c>
      <c r="CG243" t="s">
        <v>805</v>
      </c>
      <c r="CH243" t="s">
        <v>806</v>
      </c>
    </row>
    <row r="244" spans="1:92">
      <c r="A244" s="40">
        <v>229</v>
      </c>
      <c r="B244" s="40" t="s">
        <v>1398</v>
      </c>
      <c r="C244" s="2" t="s">
        <v>1399</v>
      </c>
      <c r="D244" s="2" t="s">
        <v>15</v>
      </c>
      <c r="E244" s="2" t="s">
        <v>19</v>
      </c>
      <c r="F244" s="2">
        <v>75</v>
      </c>
      <c r="G244" s="2">
        <v>90</v>
      </c>
      <c r="H244" s="2">
        <v>50</v>
      </c>
      <c r="I244" s="2">
        <v>110</v>
      </c>
      <c r="J244" s="2">
        <v>80</v>
      </c>
      <c r="K244" s="2">
        <v>95</v>
      </c>
      <c r="L244" s="2">
        <v>500</v>
      </c>
      <c r="M244" s="2" t="s">
        <v>1108</v>
      </c>
      <c r="N244" s="2" t="s">
        <v>1061</v>
      </c>
      <c r="O244" t="s">
        <v>330</v>
      </c>
      <c r="P244" t="s">
        <v>250</v>
      </c>
      <c r="Q244" t="s">
        <v>530</v>
      </c>
      <c r="R244" t="s">
        <v>1155</v>
      </c>
      <c r="S244" t="s">
        <v>1010</v>
      </c>
      <c r="T244" t="s">
        <v>1155</v>
      </c>
      <c r="U244" t="s">
        <v>530</v>
      </c>
      <c r="V244" t="s">
        <v>246</v>
      </c>
      <c r="W244" t="s">
        <v>258</v>
      </c>
      <c r="X244" t="s">
        <v>934</v>
      </c>
      <c r="Y244" t="s">
        <v>763</v>
      </c>
      <c r="Z244" t="s">
        <v>182</v>
      </c>
      <c r="AA244" t="s">
        <v>774</v>
      </c>
      <c r="AB244" t="s">
        <v>969</v>
      </c>
      <c r="AC244" t="s">
        <v>1167</v>
      </c>
      <c r="AD244" t="s">
        <v>254</v>
      </c>
      <c r="AE244" t="s">
        <v>777</v>
      </c>
      <c r="AF244" t="s">
        <v>991</v>
      </c>
      <c r="AG244" t="s">
        <v>185</v>
      </c>
      <c r="AH244" t="s">
        <v>1062</v>
      </c>
      <c r="AI244" t="s">
        <v>227</v>
      </c>
      <c r="AJ244" t="s">
        <v>1063</v>
      </c>
      <c r="AK244" t="s">
        <v>246</v>
      </c>
      <c r="AL244" t="s">
        <v>148</v>
      </c>
      <c r="AM244" t="s">
        <v>172</v>
      </c>
      <c r="AN244" t="s">
        <v>752</v>
      </c>
      <c r="AO244" t="s">
        <v>1126</v>
      </c>
      <c r="AP244" t="s">
        <v>247</v>
      </c>
      <c r="AQ244" t="s">
        <v>1078</v>
      </c>
      <c r="AR244" t="s">
        <v>1079</v>
      </c>
      <c r="AS244" t="s">
        <v>229</v>
      </c>
      <c r="AT244" t="s">
        <v>1080</v>
      </c>
      <c r="AU244" t="s">
        <v>174</v>
      </c>
      <c r="AV244" t="s">
        <v>230</v>
      </c>
      <c r="AW244" t="s">
        <v>254</v>
      </c>
      <c r="AX244" t="s">
        <v>1081</v>
      </c>
      <c r="AY244" t="s">
        <v>257</v>
      </c>
      <c r="AZ244" t="s">
        <v>951</v>
      </c>
      <c r="BA244" t="s">
        <v>917</v>
      </c>
      <c r="BB244" t="s">
        <v>1097</v>
      </c>
      <c r="BC244" t="s">
        <v>231</v>
      </c>
      <c r="BD244" t="s">
        <v>1082</v>
      </c>
      <c r="BE244" t="s">
        <v>1117</v>
      </c>
      <c r="BF244" t="s">
        <v>1037</v>
      </c>
      <c r="BG244" t="s">
        <v>1098</v>
      </c>
      <c r="BH244" t="s">
        <v>1031</v>
      </c>
      <c r="BI244" t="s">
        <v>956</v>
      </c>
      <c r="BJ244" t="s">
        <v>969</v>
      </c>
      <c r="BK244" t="s">
        <v>995</v>
      </c>
      <c r="BL244" t="s">
        <v>1036</v>
      </c>
      <c r="BM244" t="s">
        <v>976</v>
      </c>
      <c r="BN244" t="s">
        <v>293</v>
      </c>
      <c r="BO244" t="s">
        <v>756</v>
      </c>
      <c r="BP244" t="s">
        <v>757</v>
      </c>
      <c r="BQ244" t="s">
        <v>233</v>
      </c>
      <c r="BR244" t="s">
        <v>760</v>
      </c>
      <c r="BS244" t="s">
        <v>1040</v>
      </c>
      <c r="BT244" t="s">
        <v>1157</v>
      </c>
      <c r="BU244" t="s">
        <v>2339</v>
      </c>
      <c r="BV244" t="s">
        <v>234</v>
      </c>
      <c r="BW244" t="s">
        <v>259</v>
      </c>
      <c r="BX244" t="s">
        <v>255</v>
      </c>
      <c r="BY244" t="s">
        <v>304</v>
      </c>
      <c r="BZ244" t="s">
        <v>775</v>
      </c>
      <c r="CA244" t="s">
        <v>778</v>
      </c>
      <c r="CB244" t="s">
        <v>793</v>
      </c>
      <c r="CC244" t="s">
        <v>773</v>
      </c>
      <c r="CD244" t="s">
        <v>763</v>
      </c>
      <c r="CE244" t="s">
        <v>971</v>
      </c>
      <c r="CF244" t="s">
        <v>1001</v>
      </c>
      <c r="CG244" t="s">
        <v>1008</v>
      </c>
      <c r="CH244" t="s">
        <v>991</v>
      </c>
      <c r="CI244" t="s">
        <v>1010</v>
      </c>
      <c r="CJ244" t="s">
        <v>182</v>
      </c>
      <c r="CK244" t="s">
        <v>239</v>
      </c>
      <c r="CL244" t="s">
        <v>241</v>
      </c>
      <c r="CM244" t="s">
        <v>805</v>
      </c>
      <c r="CN244" t="s">
        <v>806</v>
      </c>
    </row>
    <row r="245" spans="1:92">
      <c r="A245" s="40">
        <v>229.1</v>
      </c>
      <c r="B245" s="40" t="s">
        <v>2305</v>
      </c>
      <c r="C245" s="2" t="s">
        <v>2306</v>
      </c>
      <c r="D245" s="2" t="s">
        <v>15</v>
      </c>
      <c r="E245" s="2" t="s">
        <v>19</v>
      </c>
      <c r="F245" s="2">
        <v>75</v>
      </c>
      <c r="G245" s="2">
        <v>90</v>
      </c>
      <c r="H245" s="2">
        <v>90</v>
      </c>
      <c r="I245" s="2">
        <v>140</v>
      </c>
      <c r="J245" s="2">
        <v>90</v>
      </c>
      <c r="K245" s="2">
        <v>115</v>
      </c>
      <c r="L245" s="2">
        <v>600</v>
      </c>
      <c r="M245" s="2" t="s">
        <v>1064</v>
      </c>
      <c r="N245" s="2" t="s">
        <v>1061</v>
      </c>
      <c r="O245" t="s">
        <v>1062</v>
      </c>
      <c r="P245" t="s">
        <v>1063</v>
      </c>
      <c r="Q245" t="s">
        <v>757</v>
      </c>
      <c r="R245" t="s">
        <v>1157</v>
      </c>
      <c r="S245" t="s">
        <v>2339</v>
      </c>
      <c r="T245" t="s">
        <v>234</v>
      </c>
      <c r="U245" t="s">
        <v>239</v>
      </c>
      <c r="V245" t="s">
        <v>241</v>
      </c>
      <c r="W245" t="s">
        <v>805</v>
      </c>
      <c r="X245" t="s">
        <v>806</v>
      </c>
    </row>
    <row r="246" spans="1:92">
      <c r="A246" s="40">
        <v>230</v>
      </c>
      <c r="B246" s="40" t="s">
        <v>1400</v>
      </c>
      <c r="C246" s="2" t="s">
        <v>1401</v>
      </c>
      <c r="D246" s="2" t="s">
        <v>27</v>
      </c>
      <c r="E246" s="2" t="s">
        <v>16</v>
      </c>
      <c r="F246" s="2">
        <v>75</v>
      </c>
      <c r="G246" s="2">
        <v>95</v>
      </c>
      <c r="H246" s="2">
        <v>95</v>
      </c>
      <c r="I246" s="2">
        <v>95</v>
      </c>
      <c r="J246" s="2">
        <v>95</v>
      </c>
      <c r="K246" s="2">
        <v>85</v>
      </c>
      <c r="L246" s="2">
        <v>540</v>
      </c>
      <c r="M246" s="2" t="s">
        <v>1075</v>
      </c>
      <c r="N246" s="2" t="s">
        <v>1061</v>
      </c>
      <c r="O246" t="s">
        <v>330</v>
      </c>
      <c r="P246" t="s">
        <v>269</v>
      </c>
      <c r="Q246" t="s">
        <v>251</v>
      </c>
      <c r="R246" t="s">
        <v>267</v>
      </c>
      <c r="S246" t="s">
        <v>958</v>
      </c>
      <c r="T246" t="s">
        <v>251</v>
      </c>
      <c r="U246" t="s">
        <v>330</v>
      </c>
      <c r="V246" t="s">
        <v>269</v>
      </c>
      <c r="W246" t="s">
        <v>302</v>
      </c>
      <c r="X246" t="s">
        <v>446</v>
      </c>
      <c r="Y246" t="s">
        <v>306</v>
      </c>
      <c r="Z246" t="s">
        <v>796</v>
      </c>
      <c r="AA246" t="s">
        <v>961</v>
      </c>
      <c r="AB246" t="s">
        <v>140</v>
      </c>
      <c r="AC246" t="s">
        <v>915</v>
      </c>
      <c r="AD246" t="s">
        <v>967</v>
      </c>
      <c r="AE246" t="s">
        <v>1062</v>
      </c>
      <c r="AF246" t="s">
        <v>144</v>
      </c>
      <c r="AG246" t="s">
        <v>270</v>
      </c>
      <c r="AH246" t="s">
        <v>914</v>
      </c>
      <c r="AI246" t="s">
        <v>1063</v>
      </c>
      <c r="AJ246" t="s">
        <v>148</v>
      </c>
      <c r="AK246" t="s">
        <v>1104</v>
      </c>
      <c r="AL246" t="s">
        <v>172</v>
      </c>
      <c r="AM246" t="s">
        <v>141</v>
      </c>
      <c r="AN246" t="s">
        <v>271</v>
      </c>
      <c r="AO246" t="s">
        <v>247</v>
      </c>
      <c r="AP246" t="s">
        <v>1078</v>
      </c>
      <c r="AQ246" t="s">
        <v>766</v>
      </c>
      <c r="AR246" t="s">
        <v>1079</v>
      </c>
      <c r="AS246" t="s">
        <v>1080</v>
      </c>
      <c r="AT246" t="s">
        <v>230</v>
      </c>
      <c r="AU246" t="s">
        <v>917</v>
      </c>
      <c r="AV246" t="s">
        <v>231</v>
      </c>
      <c r="AW246" t="s">
        <v>1082</v>
      </c>
      <c r="AX246" t="s">
        <v>1037</v>
      </c>
      <c r="AY246" t="s">
        <v>1038</v>
      </c>
      <c r="AZ246" t="s">
        <v>1034</v>
      </c>
      <c r="BA246" t="s">
        <v>976</v>
      </c>
      <c r="BB246" t="s">
        <v>756</v>
      </c>
      <c r="BC246" t="s">
        <v>757</v>
      </c>
      <c r="BD246" t="s">
        <v>233</v>
      </c>
      <c r="BE246" t="s">
        <v>973</v>
      </c>
      <c r="BF246" t="s">
        <v>2339</v>
      </c>
      <c r="BG246" t="s">
        <v>234</v>
      </c>
      <c r="BH246" t="s">
        <v>332</v>
      </c>
      <c r="BI246" t="s">
        <v>340</v>
      </c>
      <c r="BJ246" t="s">
        <v>478</v>
      </c>
      <c r="BK246" t="s">
        <v>252</v>
      </c>
      <c r="BL246" t="s">
        <v>382</v>
      </c>
      <c r="BM246" t="s">
        <v>770</v>
      </c>
      <c r="BN246" t="s">
        <v>1225</v>
      </c>
      <c r="BO246" t="s">
        <v>764</v>
      </c>
      <c r="BP246" t="s">
        <v>762</v>
      </c>
      <c r="BQ246" t="s">
        <v>216</v>
      </c>
      <c r="BR246" t="s">
        <v>1105</v>
      </c>
      <c r="BS246" t="s">
        <v>954</v>
      </c>
      <c r="BT246" t="s">
        <v>1191</v>
      </c>
      <c r="BU246" t="s">
        <v>239</v>
      </c>
      <c r="BV246" t="s">
        <v>241</v>
      </c>
      <c r="BW246" t="s">
        <v>805</v>
      </c>
      <c r="BX246" t="s">
        <v>806</v>
      </c>
    </row>
    <row r="247" spans="1:92">
      <c r="A247" s="40">
        <v>231</v>
      </c>
      <c r="B247" s="40" t="s">
        <v>1402</v>
      </c>
      <c r="C247" s="2" t="s">
        <v>1403</v>
      </c>
      <c r="D247" s="2" t="s">
        <v>22</v>
      </c>
      <c r="E247" s="2"/>
      <c r="F247" s="2">
        <v>90</v>
      </c>
      <c r="G247" s="2">
        <v>60</v>
      </c>
      <c r="H247" s="2">
        <v>60</v>
      </c>
      <c r="I247" s="2">
        <v>40</v>
      </c>
      <c r="J247" s="2">
        <v>40</v>
      </c>
      <c r="K247" s="2">
        <v>40</v>
      </c>
      <c r="L247" s="2">
        <v>330</v>
      </c>
      <c r="M247" s="2" t="s">
        <v>1199</v>
      </c>
      <c r="N247" s="2" t="s">
        <v>1061</v>
      </c>
      <c r="O247" t="s">
        <v>219</v>
      </c>
      <c r="P247" t="s">
        <v>220</v>
      </c>
      <c r="Q247" t="s">
        <v>353</v>
      </c>
      <c r="R247" t="s">
        <v>934</v>
      </c>
      <c r="S247" t="s">
        <v>770</v>
      </c>
      <c r="T247" t="s">
        <v>223</v>
      </c>
      <c r="U247" t="s">
        <v>768</v>
      </c>
      <c r="V247" t="s">
        <v>992</v>
      </c>
      <c r="W247" t="s">
        <v>341</v>
      </c>
      <c r="X247" t="s">
        <v>754</v>
      </c>
      <c r="Y247" t="s">
        <v>781</v>
      </c>
      <c r="Z247" t="s">
        <v>986</v>
      </c>
      <c r="AA247" t="s">
        <v>225</v>
      </c>
      <c r="AB247" t="s">
        <v>1062</v>
      </c>
      <c r="AC247" t="s">
        <v>227</v>
      </c>
      <c r="AD247" t="s">
        <v>1063</v>
      </c>
      <c r="AE247" t="s">
        <v>246</v>
      </c>
      <c r="AF247" t="s">
        <v>148</v>
      </c>
      <c r="AG247" t="s">
        <v>172</v>
      </c>
      <c r="AH247" t="s">
        <v>752</v>
      </c>
      <c r="AI247" t="s">
        <v>1078</v>
      </c>
      <c r="AJ247" t="s">
        <v>1079</v>
      </c>
      <c r="AK247" t="s">
        <v>136</v>
      </c>
      <c r="AL247" t="s">
        <v>1080</v>
      </c>
      <c r="AM247" t="s">
        <v>230</v>
      </c>
      <c r="AN247" t="s">
        <v>765</v>
      </c>
      <c r="AO247" t="s">
        <v>1095</v>
      </c>
      <c r="AP247" t="s">
        <v>917</v>
      </c>
      <c r="AQ247" t="s">
        <v>231</v>
      </c>
      <c r="AR247" t="s">
        <v>1082</v>
      </c>
      <c r="AS247" t="s">
        <v>1037</v>
      </c>
      <c r="AT247" t="s">
        <v>1083</v>
      </c>
      <c r="AU247" t="s">
        <v>1021</v>
      </c>
      <c r="AV247" t="s">
        <v>143</v>
      </c>
      <c r="AW247" t="s">
        <v>756</v>
      </c>
      <c r="AX247" t="s">
        <v>757</v>
      </c>
      <c r="AY247" t="s">
        <v>233</v>
      </c>
      <c r="AZ247" t="s">
        <v>760</v>
      </c>
      <c r="BA247" t="s">
        <v>2339</v>
      </c>
      <c r="BB247" t="s">
        <v>234</v>
      </c>
      <c r="BC247" t="s">
        <v>364</v>
      </c>
      <c r="BD247" t="s">
        <v>259</v>
      </c>
      <c r="BE247" t="s">
        <v>419</v>
      </c>
      <c r="BF247" t="s">
        <v>302</v>
      </c>
      <c r="BG247" t="s">
        <v>753</v>
      </c>
      <c r="BH247" t="s">
        <v>755</v>
      </c>
      <c r="BI247" t="s">
        <v>170</v>
      </c>
      <c r="BJ247" t="s">
        <v>916</v>
      </c>
      <c r="BK247" t="s">
        <v>984</v>
      </c>
      <c r="BL247" t="s">
        <v>800</v>
      </c>
      <c r="BM247" t="s">
        <v>184</v>
      </c>
      <c r="BN247" t="s">
        <v>2395</v>
      </c>
      <c r="BO247" t="s">
        <v>239</v>
      </c>
      <c r="BP247" t="s">
        <v>241</v>
      </c>
      <c r="BQ247" t="s">
        <v>805</v>
      </c>
      <c r="BR247" t="s">
        <v>806</v>
      </c>
    </row>
    <row r="248" spans="1:92">
      <c r="A248" s="40">
        <v>232</v>
      </c>
      <c r="B248" s="40" t="s">
        <v>1404</v>
      </c>
      <c r="C248" s="2" t="s">
        <v>1405</v>
      </c>
      <c r="D248" s="2" t="s">
        <v>22</v>
      </c>
      <c r="E248" s="2"/>
      <c r="F248" s="2">
        <v>90</v>
      </c>
      <c r="G248" s="2">
        <v>120</v>
      </c>
      <c r="H248" s="2">
        <v>120</v>
      </c>
      <c r="I248" s="2">
        <v>60</v>
      </c>
      <c r="J248" s="2">
        <v>60</v>
      </c>
      <c r="K248" s="2">
        <v>50</v>
      </c>
      <c r="L248" s="2">
        <v>500</v>
      </c>
      <c r="M248" s="2" t="s">
        <v>1221</v>
      </c>
      <c r="N248" s="2" t="s">
        <v>1061</v>
      </c>
      <c r="O248" t="s">
        <v>367</v>
      </c>
      <c r="P248" t="s">
        <v>220</v>
      </c>
      <c r="Q248" t="s">
        <v>353</v>
      </c>
      <c r="R248" t="s">
        <v>1010</v>
      </c>
      <c r="S248" t="s">
        <v>182</v>
      </c>
      <c r="T248" t="s">
        <v>1021</v>
      </c>
      <c r="U248" t="s">
        <v>173</v>
      </c>
      <c r="V248" t="s">
        <v>928</v>
      </c>
      <c r="W248" t="s">
        <v>768</v>
      </c>
      <c r="X248" t="s">
        <v>789</v>
      </c>
      <c r="Y248" t="s">
        <v>341</v>
      </c>
      <c r="Z248" t="s">
        <v>301</v>
      </c>
      <c r="AA248" t="s">
        <v>960</v>
      </c>
      <c r="AB248" t="s">
        <v>1092</v>
      </c>
      <c r="AC248" t="s">
        <v>136</v>
      </c>
      <c r="AD248" t="s">
        <v>976</v>
      </c>
      <c r="AE248" t="s">
        <v>1062</v>
      </c>
      <c r="AF248" t="s">
        <v>227</v>
      </c>
      <c r="AG248" t="s">
        <v>1063</v>
      </c>
      <c r="AH248" t="s">
        <v>246</v>
      </c>
      <c r="AI248" t="s">
        <v>148</v>
      </c>
      <c r="AJ248" t="s">
        <v>172</v>
      </c>
      <c r="AK248" t="s">
        <v>752</v>
      </c>
      <c r="AL248" t="s">
        <v>247</v>
      </c>
      <c r="AM248" t="s">
        <v>1078</v>
      </c>
      <c r="AN248" t="s">
        <v>1079</v>
      </c>
      <c r="AO248" t="s">
        <v>136</v>
      </c>
      <c r="AP248" t="s">
        <v>1080</v>
      </c>
      <c r="AQ248" t="s">
        <v>230</v>
      </c>
      <c r="AR248" t="s">
        <v>765</v>
      </c>
      <c r="AS248" t="s">
        <v>1095</v>
      </c>
      <c r="AT248" t="s">
        <v>917</v>
      </c>
      <c r="AU248" t="s">
        <v>231</v>
      </c>
      <c r="AV248" t="s">
        <v>1082</v>
      </c>
      <c r="AW248" t="s">
        <v>1037</v>
      </c>
      <c r="AX248" t="s">
        <v>1083</v>
      </c>
      <c r="AY248" t="s">
        <v>976</v>
      </c>
      <c r="AZ248" t="s">
        <v>1003</v>
      </c>
      <c r="BA248" t="s">
        <v>183</v>
      </c>
      <c r="BB248" t="s">
        <v>980</v>
      </c>
      <c r="BC248" t="s">
        <v>1021</v>
      </c>
      <c r="BD248" t="s">
        <v>143</v>
      </c>
      <c r="BE248" t="s">
        <v>997</v>
      </c>
      <c r="BF248" t="s">
        <v>756</v>
      </c>
      <c r="BG248" t="s">
        <v>757</v>
      </c>
      <c r="BH248" t="s">
        <v>233</v>
      </c>
      <c r="BI248" t="s">
        <v>760</v>
      </c>
      <c r="BJ248" t="s">
        <v>2339</v>
      </c>
      <c r="BK248" t="s">
        <v>234</v>
      </c>
      <c r="BL248" t="s">
        <v>364</v>
      </c>
      <c r="BM248" t="s">
        <v>259</v>
      </c>
      <c r="BN248" t="s">
        <v>419</v>
      </c>
      <c r="BO248" t="s">
        <v>302</v>
      </c>
      <c r="BP248" t="s">
        <v>753</v>
      </c>
      <c r="BQ248" t="s">
        <v>755</v>
      </c>
      <c r="BR248" t="s">
        <v>170</v>
      </c>
      <c r="BS248" t="s">
        <v>916</v>
      </c>
      <c r="BT248" t="s">
        <v>984</v>
      </c>
      <c r="BU248" t="s">
        <v>800</v>
      </c>
      <c r="BV248" t="s">
        <v>184</v>
      </c>
      <c r="BW248" t="s">
        <v>2395</v>
      </c>
      <c r="BX248" t="s">
        <v>239</v>
      </c>
      <c r="BY248" t="s">
        <v>241</v>
      </c>
      <c r="BZ248" t="s">
        <v>219</v>
      </c>
      <c r="CA248" t="s">
        <v>934</v>
      </c>
      <c r="CB248" t="s">
        <v>770</v>
      </c>
      <c r="CC248" t="s">
        <v>223</v>
      </c>
      <c r="CD248" t="s">
        <v>992</v>
      </c>
      <c r="CE248" t="s">
        <v>754</v>
      </c>
      <c r="CF248" t="s">
        <v>781</v>
      </c>
      <c r="CG248" t="s">
        <v>986</v>
      </c>
      <c r="CH248" t="s">
        <v>225</v>
      </c>
      <c r="CI248" t="s">
        <v>805</v>
      </c>
      <c r="CJ248" t="s">
        <v>806</v>
      </c>
    </row>
    <row r="249" spans="1:92">
      <c r="A249" s="40">
        <v>233</v>
      </c>
      <c r="B249" s="40" t="s">
        <v>1406</v>
      </c>
      <c r="C249" s="2" t="s">
        <v>1407</v>
      </c>
      <c r="D249" s="2" t="s">
        <v>24</v>
      </c>
      <c r="E249" s="2"/>
      <c r="F249" s="2">
        <v>85</v>
      </c>
      <c r="G249" s="2">
        <v>80</v>
      </c>
      <c r="H249" s="2">
        <v>90</v>
      </c>
      <c r="I249" s="2">
        <v>105</v>
      </c>
      <c r="J249" s="2">
        <v>95</v>
      </c>
      <c r="K249" s="2">
        <v>60</v>
      </c>
      <c r="L249" s="2">
        <v>515</v>
      </c>
      <c r="M249" s="2" t="s">
        <v>1120</v>
      </c>
      <c r="N249" s="2" t="s">
        <v>1061</v>
      </c>
      <c r="O249" t="s">
        <v>219</v>
      </c>
      <c r="P249" t="s">
        <v>353</v>
      </c>
      <c r="Q249" t="s">
        <v>633</v>
      </c>
      <c r="R249" t="s">
        <v>1233</v>
      </c>
      <c r="S249" t="s">
        <v>292</v>
      </c>
      <c r="T249" t="s">
        <v>306</v>
      </c>
      <c r="U249" t="s">
        <v>459</v>
      </c>
      <c r="V249" t="s">
        <v>988</v>
      </c>
      <c r="W249" t="s">
        <v>216</v>
      </c>
      <c r="X249" t="s">
        <v>937</v>
      </c>
      <c r="Y249" t="s">
        <v>1138</v>
      </c>
      <c r="Z249" t="s">
        <v>1204</v>
      </c>
      <c r="AA249" t="s">
        <v>333</v>
      </c>
      <c r="AB249" t="s">
        <v>929</v>
      </c>
      <c r="AC249" t="s">
        <v>1207</v>
      </c>
      <c r="AD249" t="s">
        <v>247</v>
      </c>
      <c r="AE249" t="s">
        <v>1062</v>
      </c>
      <c r="AF249" t="s">
        <v>1063</v>
      </c>
      <c r="AG249" t="s">
        <v>1151</v>
      </c>
      <c r="AH249" t="s">
        <v>148</v>
      </c>
      <c r="AI249" t="s">
        <v>172</v>
      </c>
      <c r="AJ249" t="s">
        <v>752</v>
      </c>
      <c r="AK249" t="s">
        <v>141</v>
      </c>
      <c r="AL249" t="s">
        <v>271</v>
      </c>
      <c r="AM249" t="s">
        <v>247</v>
      </c>
      <c r="AN249" t="s">
        <v>1078</v>
      </c>
      <c r="AO249" t="s">
        <v>766</v>
      </c>
      <c r="AP249" t="s">
        <v>1079</v>
      </c>
      <c r="AQ249" t="s">
        <v>229</v>
      </c>
      <c r="AR249" t="s">
        <v>146</v>
      </c>
      <c r="AS249" t="s">
        <v>321</v>
      </c>
      <c r="AT249" t="s">
        <v>1080</v>
      </c>
      <c r="AU249" t="s">
        <v>9</v>
      </c>
      <c r="AV249" t="s">
        <v>174</v>
      </c>
      <c r="AW249" t="s">
        <v>230</v>
      </c>
      <c r="AX249" t="s">
        <v>1096</v>
      </c>
      <c r="AY249" t="s">
        <v>917</v>
      </c>
      <c r="AZ249" t="s">
        <v>231</v>
      </c>
      <c r="BA249" t="s">
        <v>1117</v>
      </c>
      <c r="BB249" t="s">
        <v>1037</v>
      </c>
      <c r="BC249" t="s">
        <v>963</v>
      </c>
      <c r="BD249" t="s">
        <v>976</v>
      </c>
      <c r="BE249" t="s">
        <v>232</v>
      </c>
      <c r="BF249" t="s">
        <v>322</v>
      </c>
      <c r="BG249" t="s">
        <v>785</v>
      </c>
      <c r="BH249" t="s">
        <v>293</v>
      </c>
      <c r="BI249" t="s">
        <v>756</v>
      </c>
      <c r="BJ249" t="s">
        <v>233</v>
      </c>
      <c r="BK249" t="s">
        <v>1012</v>
      </c>
      <c r="BL249" t="s">
        <v>234</v>
      </c>
      <c r="BM249" t="s">
        <v>239</v>
      </c>
      <c r="BN249" t="s">
        <v>241</v>
      </c>
      <c r="BO249" t="s">
        <v>632</v>
      </c>
      <c r="BP249" t="s">
        <v>805</v>
      </c>
      <c r="BQ249" t="s">
        <v>806</v>
      </c>
    </row>
    <row r="250" spans="1:92">
      <c r="A250" s="40">
        <v>234</v>
      </c>
      <c r="B250" s="40" t="s">
        <v>1408</v>
      </c>
      <c r="C250" s="2" t="s">
        <v>1409</v>
      </c>
      <c r="D250" s="2" t="s">
        <v>24</v>
      </c>
      <c r="E250" s="2"/>
      <c r="F250" s="2">
        <v>73</v>
      </c>
      <c r="G250" s="2">
        <v>95</v>
      </c>
      <c r="H250" s="2">
        <v>62</v>
      </c>
      <c r="I250" s="2">
        <v>85</v>
      </c>
      <c r="J250" s="2">
        <v>65</v>
      </c>
      <c r="K250" s="2">
        <v>85</v>
      </c>
      <c r="L250" s="2">
        <v>465</v>
      </c>
      <c r="M250" s="2" t="s">
        <v>1141</v>
      </c>
      <c r="N250" s="2" t="s">
        <v>1061</v>
      </c>
      <c r="O250" t="s">
        <v>219</v>
      </c>
      <c r="P250" t="s">
        <v>330</v>
      </c>
      <c r="Q250" t="s">
        <v>1130</v>
      </c>
      <c r="R250" t="s">
        <v>388</v>
      </c>
      <c r="S250" t="s">
        <v>493</v>
      </c>
      <c r="T250" t="s">
        <v>309</v>
      </c>
      <c r="U250" t="s">
        <v>223</v>
      </c>
      <c r="V250" t="s">
        <v>387</v>
      </c>
      <c r="W250" t="s">
        <v>912</v>
      </c>
      <c r="X250" t="s">
        <v>938</v>
      </c>
      <c r="Y250" t="s">
        <v>1019</v>
      </c>
      <c r="Z250" t="s">
        <v>565</v>
      </c>
      <c r="AA250" t="s">
        <v>927</v>
      </c>
      <c r="AB250" t="s">
        <v>962</v>
      </c>
      <c r="AC250" t="s">
        <v>989</v>
      </c>
      <c r="AD250" t="s">
        <v>1062</v>
      </c>
      <c r="AE250" t="s">
        <v>1063</v>
      </c>
      <c r="AF250" t="s">
        <v>1151</v>
      </c>
      <c r="AG250" t="s">
        <v>912</v>
      </c>
      <c r="AH250" t="s">
        <v>246</v>
      </c>
      <c r="AI250" t="s">
        <v>148</v>
      </c>
      <c r="AJ250" t="s">
        <v>172</v>
      </c>
      <c r="AK250" t="s">
        <v>752</v>
      </c>
      <c r="AL250" t="s">
        <v>228</v>
      </c>
      <c r="AM250" t="s">
        <v>1078</v>
      </c>
      <c r="AN250" t="s">
        <v>766</v>
      </c>
      <c r="AO250" t="s">
        <v>1079</v>
      </c>
      <c r="AP250" t="s">
        <v>229</v>
      </c>
      <c r="AQ250" t="s">
        <v>146</v>
      </c>
      <c r="AR250" t="s">
        <v>321</v>
      </c>
      <c r="AS250" t="s">
        <v>136</v>
      </c>
      <c r="AT250" t="s">
        <v>1080</v>
      </c>
      <c r="AU250" t="s">
        <v>9</v>
      </c>
      <c r="AV250" t="s">
        <v>174</v>
      </c>
      <c r="AW250" t="s">
        <v>230</v>
      </c>
      <c r="AX250" t="s">
        <v>380</v>
      </c>
      <c r="AY250" t="s">
        <v>917</v>
      </c>
      <c r="AZ250" t="s">
        <v>231</v>
      </c>
      <c r="BA250" t="s">
        <v>1082</v>
      </c>
      <c r="BB250" t="s">
        <v>1117</v>
      </c>
      <c r="BC250" t="s">
        <v>1037</v>
      </c>
      <c r="BD250" t="s">
        <v>970</v>
      </c>
      <c r="BE250" t="s">
        <v>963</v>
      </c>
      <c r="BF250" t="s">
        <v>1036</v>
      </c>
      <c r="BG250" t="s">
        <v>976</v>
      </c>
      <c r="BH250" t="s">
        <v>232</v>
      </c>
      <c r="BI250" t="s">
        <v>322</v>
      </c>
      <c r="BJ250" t="s">
        <v>785</v>
      </c>
      <c r="BK250" t="s">
        <v>1021</v>
      </c>
      <c r="BL250" t="s">
        <v>293</v>
      </c>
      <c r="BM250" t="s">
        <v>756</v>
      </c>
      <c r="BN250" t="s">
        <v>233</v>
      </c>
      <c r="BO250" t="s">
        <v>1012</v>
      </c>
      <c r="BP250" t="s">
        <v>1047</v>
      </c>
      <c r="BQ250" t="s">
        <v>234</v>
      </c>
      <c r="BR250" t="s">
        <v>359</v>
      </c>
      <c r="BS250" t="s">
        <v>373</v>
      </c>
      <c r="BT250" t="s">
        <v>258</v>
      </c>
      <c r="BU250" t="s">
        <v>340</v>
      </c>
      <c r="BV250" t="s">
        <v>304</v>
      </c>
      <c r="BW250" t="s">
        <v>778</v>
      </c>
      <c r="BX250" t="s">
        <v>797</v>
      </c>
      <c r="BY250" t="s">
        <v>933</v>
      </c>
      <c r="BZ250" t="s">
        <v>1154</v>
      </c>
      <c r="CA250" t="s">
        <v>989</v>
      </c>
      <c r="CB250" t="s">
        <v>1019</v>
      </c>
      <c r="CC250" t="s">
        <v>239</v>
      </c>
      <c r="CD250" t="s">
        <v>241</v>
      </c>
      <c r="CE250" t="s">
        <v>805</v>
      </c>
      <c r="CF250" t="s">
        <v>806</v>
      </c>
    </row>
    <row r="251" spans="1:92">
      <c r="A251" s="40">
        <v>235</v>
      </c>
      <c r="B251" s="40" t="s">
        <v>1410</v>
      </c>
      <c r="C251" s="2" t="s">
        <v>1411</v>
      </c>
      <c r="D251" s="2" t="s">
        <v>24</v>
      </c>
      <c r="E251" s="2"/>
      <c r="F251" s="2">
        <v>55</v>
      </c>
      <c r="G251" s="2">
        <v>20</v>
      </c>
      <c r="H251" s="2">
        <v>35</v>
      </c>
      <c r="I251" s="2">
        <v>20</v>
      </c>
      <c r="J251" s="2">
        <v>45</v>
      </c>
      <c r="K251" s="2">
        <v>75</v>
      </c>
      <c r="L251" s="2">
        <v>250</v>
      </c>
      <c r="M251" s="2" t="s">
        <v>2421</v>
      </c>
      <c r="N251" s="2" t="s">
        <v>1061</v>
      </c>
      <c r="O251" t="s">
        <v>1413</v>
      </c>
      <c r="P251" t="s">
        <v>1413</v>
      </c>
      <c r="Q251" t="s">
        <v>1413</v>
      </c>
      <c r="R251" t="s">
        <v>1413</v>
      </c>
      <c r="S251" t="s">
        <v>1413</v>
      </c>
      <c r="T251" t="s">
        <v>1413</v>
      </c>
      <c r="U251" t="s">
        <v>1413</v>
      </c>
      <c r="V251" t="s">
        <v>1413</v>
      </c>
      <c r="W251" t="s">
        <v>1413</v>
      </c>
      <c r="X251" t="s">
        <v>1413</v>
      </c>
      <c r="Y251" t="s">
        <v>1062</v>
      </c>
      <c r="Z251" t="s">
        <v>1063</v>
      </c>
      <c r="AA251" t="s">
        <v>234</v>
      </c>
      <c r="AB251" t="s">
        <v>239</v>
      </c>
      <c r="AC251" t="s">
        <v>241</v>
      </c>
      <c r="AD251" t="s">
        <v>805</v>
      </c>
      <c r="AE251" t="s">
        <v>806</v>
      </c>
    </row>
    <row r="252" spans="1:92">
      <c r="A252" s="40">
        <v>236</v>
      </c>
      <c r="B252" s="40" t="s">
        <v>1414</v>
      </c>
      <c r="C252" s="2" t="s">
        <v>1415</v>
      </c>
      <c r="D252" s="2" t="s">
        <v>18</v>
      </c>
      <c r="E252" s="2"/>
      <c r="F252" s="2">
        <v>35</v>
      </c>
      <c r="G252" s="2">
        <v>35</v>
      </c>
      <c r="H252" s="2">
        <v>35</v>
      </c>
      <c r="I252" s="2">
        <v>35</v>
      </c>
      <c r="J252" s="2">
        <v>35</v>
      </c>
      <c r="K252" s="2">
        <v>35</v>
      </c>
      <c r="L252" s="2">
        <v>210</v>
      </c>
      <c r="M252" s="2" t="s">
        <v>1067</v>
      </c>
      <c r="N252" s="2" t="s">
        <v>1061</v>
      </c>
      <c r="O252" t="s">
        <v>219</v>
      </c>
      <c r="P252" t="s">
        <v>771</v>
      </c>
      <c r="Q252" t="s">
        <v>176</v>
      </c>
      <c r="R252" t="s">
        <v>925</v>
      </c>
      <c r="S252" t="s">
        <v>1062</v>
      </c>
      <c r="T252" t="s">
        <v>227</v>
      </c>
      <c r="U252" t="s">
        <v>1063</v>
      </c>
      <c r="V252" t="s">
        <v>148</v>
      </c>
      <c r="W252" t="s">
        <v>1175</v>
      </c>
      <c r="X252" t="s">
        <v>172</v>
      </c>
      <c r="Y252" t="s">
        <v>752</v>
      </c>
      <c r="Z252" t="s">
        <v>1078</v>
      </c>
      <c r="AA252" t="s">
        <v>766</v>
      </c>
      <c r="AB252" t="s">
        <v>1079</v>
      </c>
      <c r="AC252" t="s">
        <v>136</v>
      </c>
      <c r="AD252" t="s">
        <v>1080</v>
      </c>
      <c r="AE252" t="s">
        <v>1094</v>
      </c>
      <c r="AF252" t="s">
        <v>230</v>
      </c>
      <c r="AG252" t="s">
        <v>917</v>
      </c>
      <c r="AH252" t="s">
        <v>231</v>
      </c>
      <c r="AI252" t="s">
        <v>1082</v>
      </c>
      <c r="AJ252" t="s">
        <v>1117</v>
      </c>
      <c r="AK252" t="s">
        <v>1172</v>
      </c>
      <c r="AL252" t="s">
        <v>1037</v>
      </c>
      <c r="AM252" t="s">
        <v>1036</v>
      </c>
      <c r="AN252" t="s">
        <v>1021</v>
      </c>
      <c r="AO252" t="s">
        <v>143</v>
      </c>
      <c r="AP252" t="s">
        <v>756</v>
      </c>
      <c r="AQ252" t="s">
        <v>757</v>
      </c>
      <c r="AR252" t="s">
        <v>233</v>
      </c>
      <c r="AS252" t="s">
        <v>760</v>
      </c>
      <c r="AT252" t="s">
        <v>2339</v>
      </c>
      <c r="AU252" t="s">
        <v>234</v>
      </c>
      <c r="AV252" t="s">
        <v>259</v>
      </c>
      <c r="AW252" t="s">
        <v>566</v>
      </c>
      <c r="AX252" t="s">
        <v>792</v>
      </c>
      <c r="AY252" t="s">
        <v>1223</v>
      </c>
      <c r="AZ252" t="s">
        <v>754</v>
      </c>
      <c r="BA252" t="s">
        <v>773</v>
      </c>
      <c r="BB252" t="s">
        <v>173</v>
      </c>
      <c r="BC252" t="s">
        <v>925</v>
      </c>
      <c r="BD252" t="s">
        <v>971</v>
      </c>
      <c r="BE252" t="s">
        <v>1015</v>
      </c>
      <c r="BF252" t="s">
        <v>1186</v>
      </c>
      <c r="BG252" t="s">
        <v>239</v>
      </c>
      <c r="BH252" t="s">
        <v>241</v>
      </c>
      <c r="BI252" t="s">
        <v>805</v>
      </c>
      <c r="BJ252" t="s">
        <v>806</v>
      </c>
    </row>
    <row r="253" spans="1:92">
      <c r="A253" s="40">
        <v>237</v>
      </c>
      <c r="B253" s="40" t="s">
        <v>1416</v>
      </c>
      <c r="C253" s="2" t="s">
        <v>1417</v>
      </c>
      <c r="D253" s="2" t="s">
        <v>18</v>
      </c>
      <c r="E253" s="2"/>
      <c r="F253" s="2">
        <v>50</v>
      </c>
      <c r="G253" s="2">
        <v>95</v>
      </c>
      <c r="H253" s="2">
        <v>95</v>
      </c>
      <c r="I253" s="2">
        <v>35</v>
      </c>
      <c r="J253" s="2">
        <v>110</v>
      </c>
      <c r="K253" s="2">
        <v>70</v>
      </c>
      <c r="L253" s="2">
        <v>455</v>
      </c>
      <c r="M253" s="2" t="s">
        <v>1158</v>
      </c>
      <c r="N253" s="2" t="s">
        <v>1061</v>
      </c>
      <c r="O253" t="s">
        <v>464</v>
      </c>
      <c r="P253" t="s">
        <v>1128</v>
      </c>
      <c r="Q253" t="s">
        <v>302</v>
      </c>
      <c r="R253" t="s">
        <v>773</v>
      </c>
      <c r="S253" t="s">
        <v>310</v>
      </c>
      <c r="T253" t="s">
        <v>1418</v>
      </c>
      <c r="U253" t="s">
        <v>173</v>
      </c>
      <c r="V253" t="s">
        <v>259</v>
      </c>
      <c r="W253" t="s">
        <v>971</v>
      </c>
      <c r="X253" t="s">
        <v>306</v>
      </c>
      <c r="Y253" t="s">
        <v>980</v>
      </c>
      <c r="Z253" t="s">
        <v>1187</v>
      </c>
      <c r="AA253" t="s">
        <v>1035</v>
      </c>
      <c r="AB253" t="s">
        <v>1220</v>
      </c>
      <c r="AC253" t="s">
        <v>1174</v>
      </c>
      <c r="AD253" t="s">
        <v>916</v>
      </c>
      <c r="AE253" t="s">
        <v>1062</v>
      </c>
      <c r="AF253" t="s">
        <v>227</v>
      </c>
      <c r="AG253" t="s">
        <v>1063</v>
      </c>
      <c r="AH253" t="s">
        <v>148</v>
      </c>
      <c r="AI253" t="s">
        <v>1175</v>
      </c>
      <c r="AJ253" t="s">
        <v>172</v>
      </c>
      <c r="AK253" t="s">
        <v>752</v>
      </c>
      <c r="AL253" t="s">
        <v>1078</v>
      </c>
      <c r="AM253" t="s">
        <v>766</v>
      </c>
      <c r="AN253" t="s">
        <v>1079</v>
      </c>
      <c r="AO253" t="s">
        <v>136</v>
      </c>
      <c r="AP253" t="s">
        <v>1080</v>
      </c>
      <c r="AQ253" t="s">
        <v>256</v>
      </c>
      <c r="AR253" t="s">
        <v>1094</v>
      </c>
      <c r="AS253" t="s">
        <v>230</v>
      </c>
      <c r="AT253" t="s">
        <v>765</v>
      </c>
      <c r="AU253" t="s">
        <v>1096</v>
      </c>
      <c r="AV253" t="s">
        <v>917</v>
      </c>
      <c r="AW253" t="s">
        <v>231</v>
      </c>
      <c r="AX253" t="s">
        <v>1082</v>
      </c>
      <c r="AY253" t="s">
        <v>1117</v>
      </c>
      <c r="AZ253" t="s">
        <v>1172</v>
      </c>
      <c r="BA253" t="s">
        <v>1037</v>
      </c>
      <c r="BB253" t="s">
        <v>1036</v>
      </c>
      <c r="BC253" t="s">
        <v>183</v>
      </c>
      <c r="BD253" t="s">
        <v>980</v>
      </c>
      <c r="BE253" t="s">
        <v>1021</v>
      </c>
      <c r="BF253" t="s">
        <v>143</v>
      </c>
      <c r="BG253" t="s">
        <v>756</v>
      </c>
      <c r="BH253" t="s">
        <v>757</v>
      </c>
      <c r="BI253" t="s">
        <v>233</v>
      </c>
      <c r="BJ253" t="s">
        <v>760</v>
      </c>
      <c r="BK253" t="s">
        <v>2339</v>
      </c>
      <c r="BL253" t="s">
        <v>234</v>
      </c>
      <c r="BM253" t="s">
        <v>259</v>
      </c>
      <c r="BN253" t="s">
        <v>566</v>
      </c>
      <c r="BO253" t="s">
        <v>792</v>
      </c>
      <c r="BP253" t="s">
        <v>1223</v>
      </c>
      <c r="BQ253" t="s">
        <v>754</v>
      </c>
      <c r="BR253" t="s">
        <v>773</v>
      </c>
      <c r="BS253" t="s">
        <v>173</v>
      </c>
      <c r="BT253" t="s">
        <v>925</v>
      </c>
      <c r="BU253" t="s">
        <v>971</v>
      </c>
      <c r="BV253" t="s">
        <v>1015</v>
      </c>
      <c r="BW253" t="s">
        <v>1186</v>
      </c>
      <c r="BX253" t="s">
        <v>239</v>
      </c>
      <c r="BY253" t="s">
        <v>241</v>
      </c>
      <c r="BZ253" t="s">
        <v>219</v>
      </c>
      <c r="CA253" t="s">
        <v>771</v>
      </c>
      <c r="CB253" t="s">
        <v>176</v>
      </c>
      <c r="CC253" t="s">
        <v>925</v>
      </c>
      <c r="CD253" t="s">
        <v>805</v>
      </c>
      <c r="CE253" t="s">
        <v>806</v>
      </c>
    </row>
    <row r="254" spans="1:92">
      <c r="A254" s="40">
        <v>238</v>
      </c>
      <c r="B254" s="40" t="s">
        <v>1419</v>
      </c>
      <c r="C254" s="2" t="s">
        <v>1420</v>
      </c>
      <c r="D254" s="2" t="s">
        <v>23</v>
      </c>
      <c r="E254" s="2" t="s">
        <v>9</v>
      </c>
      <c r="F254" s="2">
        <v>45</v>
      </c>
      <c r="G254" s="2">
        <v>30</v>
      </c>
      <c r="H254" s="2">
        <v>15</v>
      </c>
      <c r="I254" s="2">
        <v>85</v>
      </c>
      <c r="J254" s="2">
        <v>65</v>
      </c>
      <c r="K254" s="2">
        <v>65</v>
      </c>
      <c r="L254" s="2">
        <v>305</v>
      </c>
      <c r="M254" s="2" t="s">
        <v>1145</v>
      </c>
      <c r="N254" s="2" t="s">
        <v>1061</v>
      </c>
      <c r="O254" t="s">
        <v>376</v>
      </c>
      <c r="P254" t="s">
        <v>511</v>
      </c>
      <c r="Q254" t="s">
        <v>782</v>
      </c>
      <c r="R254" t="s">
        <v>1228</v>
      </c>
      <c r="S254" t="s">
        <v>287</v>
      </c>
      <c r="T254" t="s">
        <v>377</v>
      </c>
      <c r="U254" t="s">
        <v>1229</v>
      </c>
      <c r="V254" t="s">
        <v>787</v>
      </c>
      <c r="W254" t="s">
        <v>918</v>
      </c>
      <c r="X254" t="s">
        <v>987</v>
      </c>
      <c r="Y254" t="s">
        <v>1214</v>
      </c>
      <c r="Z254" t="s">
        <v>9</v>
      </c>
      <c r="AA254" t="s">
        <v>964</v>
      </c>
      <c r="AB254" t="s">
        <v>786</v>
      </c>
      <c r="AC254" t="s">
        <v>271</v>
      </c>
      <c r="AD254" t="s">
        <v>1062</v>
      </c>
      <c r="AE254" t="s">
        <v>1063</v>
      </c>
      <c r="AF254" t="s">
        <v>1151</v>
      </c>
      <c r="AG254" t="s">
        <v>912</v>
      </c>
      <c r="AH254" t="s">
        <v>148</v>
      </c>
      <c r="AI254" t="s">
        <v>1104</v>
      </c>
      <c r="AJ254" t="s">
        <v>172</v>
      </c>
      <c r="AK254" t="s">
        <v>141</v>
      </c>
      <c r="AL254" t="s">
        <v>271</v>
      </c>
      <c r="AM254" t="s">
        <v>228</v>
      </c>
      <c r="AN254" t="s">
        <v>1078</v>
      </c>
      <c r="AO254" t="s">
        <v>766</v>
      </c>
      <c r="AP254" t="s">
        <v>1079</v>
      </c>
      <c r="AQ254" t="s">
        <v>1080</v>
      </c>
      <c r="AR254" t="s">
        <v>9</v>
      </c>
      <c r="AS254" t="s">
        <v>174</v>
      </c>
      <c r="AT254" t="s">
        <v>230</v>
      </c>
      <c r="AU254" t="s">
        <v>380</v>
      </c>
      <c r="AV254" t="s">
        <v>917</v>
      </c>
      <c r="AW254" t="s">
        <v>231</v>
      </c>
      <c r="AX254" t="s">
        <v>1082</v>
      </c>
      <c r="AY254" t="s">
        <v>1117</v>
      </c>
      <c r="AZ254" t="s">
        <v>1037</v>
      </c>
      <c r="BA254" t="s">
        <v>1083</v>
      </c>
      <c r="BB254" t="s">
        <v>974</v>
      </c>
      <c r="BC254" t="s">
        <v>995</v>
      </c>
      <c r="BD254" t="s">
        <v>232</v>
      </c>
      <c r="BE254" t="s">
        <v>785</v>
      </c>
      <c r="BF254" t="s">
        <v>1027</v>
      </c>
      <c r="BG254" t="s">
        <v>293</v>
      </c>
      <c r="BH254" t="s">
        <v>977</v>
      </c>
      <c r="BI254" t="s">
        <v>756</v>
      </c>
      <c r="BJ254" t="s">
        <v>757</v>
      </c>
      <c r="BK254" t="s">
        <v>233</v>
      </c>
      <c r="BL254" t="s">
        <v>1012</v>
      </c>
      <c r="BM254" t="s">
        <v>2339</v>
      </c>
      <c r="BN254" t="s">
        <v>234</v>
      </c>
      <c r="BO254" t="s">
        <v>274</v>
      </c>
      <c r="BP254" t="s">
        <v>437</v>
      </c>
      <c r="BQ254" t="s">
        <v>176</v>
      </c>
      <c r="BR254" t="s">
        <v>957</v>
      </c>
      <c r="BS254" t="s">
        <v>1184</v>
      </c>
      <c r="BT254" t="s">
        <v>1016</v>
      </c>
      <c r="BU254" t="s">
        <v>991</v>
      </c>
      <c r="BV254" t="s">
        <v>962</v>
      </c>
      <c r="BW254" t="s">
        <v>239</v>
      </c>
      <c r="BX254" t="s">
        <v>241</v>
      </c>
      <c r="BY254" t="s">
        <v>805</v>
      </c>
      <c r="BZ254" t="s">
        <v>806</v>
      </c>
    </row>
    <row r="255" spans="1:92">
      <c r="A255" s="40">
        <v>239</v>
      </c>
      <c r="B255" s="40" t="s">
        <v>1421</v>
      </c>
      <c r="C255" s="2" t="s">
        <v>1422</v>
      </c>
      <c r="D255" s="2" t="s">
        <v>17</v>
      </c>
      <c r="E255" s="2"/>
      <c r="F255" s="2">
        <v>45</v>
      </c>
      <c r="G255" s="2">
        <v>63</v>
      </c>
      <c r="H255" s="2">
        <v>37</v>
      </c>
      <c r="I255" s="2">
        <v>65</v>
      </c>
      <c r="J255" s="2">
        <v>55</v>
      </c>
      <c r="K255" s="2">
        <v>95</v>
      </c>
      <c r="L255" s="2">
        <v>360</v>
      </c>
      <c r="M255" s="2" t="s">
        <v>1165</v>
      </c>
      <c r="N255" s="2" t="s">
        <v>1061</v>
      </c>
      <c r="O255" t="s">
        <v>330</v>
      </c>
      <c r="P255" t="s">
        <v>310</v>
      </c>
      <c r="Q255" t="s">
        <v>346</v>
      </c>
      <c r="R255" t="s">
        <v>432</v>
      </c>
      <c r="S255" t="s">
        <v>354</v>
      </c>
      <c r="T255" t="s">
        <v>1230</v>
      </c>
      <c r="U255" t="s">
        <v>322</v>
      </c>
      <c r="V255" t="s">
        <v>1023</v>
      </c>
      <c r="W255" t="s">
        <v>228</v>
      </c>
      <c r="X255" t="s">
        <v>147</v>
      </c>
      <c r="Y255" t="s">
        <v>1138</v>
      </c>
      <c r="Z255" t="s">
        <v>324</v>
      </c>
      <c r="AA255" t="s">
        <v>146</v>
      </c>
      <c r="AB255" t="s">
        <v>321</v>
      </c>
      <c r="AC255" t="s">
        <v>1062</v>
      </c>
      <c r="AD255" t="s">
        <v>1063</v>
      </c>
      <c r="AE255" t="s">
        <v>148</v>
      </c>
      <c r="AF255" t="s">
        <v>172</v>
      </c>
      <c r="AG255" t="s">
        <v>228</v>
      </c>
      <c r="AH255" t="s">
        <v>1078</v>
      </c>
      <c r="AI255" t="s">
        <v>766</v>
      </c>
      <c r="AJ255" t="s">
        <v>1079</v>
      </c>
      <c r="AK255" t="s">
        <v>146</v>
      </c>
      <c r="AL255" t="s">
        <v>321</v>
      </c>
      <c r="AM255" t="s">
        <v>1080</v>
      </c>
      <c r="AN255" t="s">
        <v>9</v>
      </c>
      <c r="AO255" t="s">
        <v>1094</v>
      </c>
      <c r="AP255" t="s">
        <v>230</v>
      </c>
      <c r="AQ255" t="s">
        <v>917</v>
      </c>
      <c r="AR255" t="s">
        <v>231</v>
      </c>
      <c r="AS255" t="s">
        <v>1082</v>
      </c>
      <c r="AT255" t="s">
        <v>1117</v>
      </c>
      <c r="AU255" t="s">
        <v>1037</v>
      </c>
      <c r="AV255" t="s">
        <v>974</v>
      </c>
      <c r="AW255" t="s">
        <v>963</v>
      </c>
      <c r="AX255" t="s">
        <v>232</v>
      </c>
      <c r="AY255" t="s">
        <v>1045</v>
      </c>
      <c r="AZ255" t="s">
        <v>322</v>
      </c>
      <c r="BA255" t="s">
        <v>756</v>
      </c>
      <c r="BB255" t="s">
        <v>757</v>
      </c>
      <c r="BC255" t="s">
        <v>233</v>
      </c>
      <c r="BD255" t="s">
        <v>1047</v>
      </c>
      <c r="BE255" t="s">
        <v>760</v>
      </c>
      <c r="BF255" t="s">
        <v>2398</v>
      </c>
      <c r="BG255" t="s">
        <v>2339</v>
      </c>
      <c r="BH255" t="s">
        <v>234</v>
      </c>
      <c r="BI255" t="s">
        <v>435</v>
      </c>
      <c r="BJ255" t="s">
        <v>137</v>
      </c>
      <c r="BK255" t="s">
        <v>274</v>
      </c>
      <c r="BL255" t="s">
        <v>464</v>
      </c>
      <c r="BM255" t="s">
        <v>437</v>
      </c>
      <c r="BN255" t="s">
        <v>455</v>
      </c>
      <c r="BO255" t="s">
        <v>1179</v>
      </c>
      <c r="BP255" t="s">
        <v>1171</v>
      </c>
      <c r="BQ255" t="s">
        <v>920</v>
      </c>
      <c r="BR255" t="s">
        <v>981</v>
      </c>
      <c r="BS255" t="s">
        <v>971</v>
      </c>
      <c r="BT255" t="s">
        <v>239</v>
      </c>
      <c r="BU255" t="s">
        <v>241</v>
      </c>
      <c r="BV255" t="s">
        <v>805</v>
      </c>
      <c r="BW255" t="s">
        <v>806</v>
      </c>
    </row>
    <row r="256" spans="1:92">
      <c r="A256" s="40">
        <v>240</v>
      </c>
      <c r="B256" s="40" t="s">
        <v>1423</v>
      </c>
      <c r="C256" s="2" t="s">
        <v>1424</v>
      </c>
      <c r="D256" s="2" t="s">
        <v>19</v>
      </c>
      <c r="E256" s="2"/>
      <c r="F256" s="2">
        <v>45</v>
      </c>
      <c r="G256" s="2">
        <v>75</v>
      </c>
      <c r="H256" s="2">
        <v>37</v>
      </c>
      <c r="I256" s="2">
        <v>70</v>
      </c>
      <c r="J256" s="2">
        <v>55</v>
      </c>
      <c r="K256" s="2">
        <v>83</v>
      </c>
      <c r="L256" s="2">
        <v>365</v>
      </c>
      <c r="M256" s="2" t="s">
        <v>1075</v>
      </c>
      <c r="N256" s="2" t="s">
        <v>1061</v>
      </c>
      <c r="O256" t="s">
        <v>330</v>
      </c>
      <c r="P256" t="s">
        <v>530</v>
      </c>
      <c r="Q256" t="s">
        <v>250</v>
      </c>
      <c r="R256" t="s">
        <v>251</v>
      </c>
      <c r="S256" t="s">
        <v>774</v>
      </c>
      <c r="T256" t="s">
        <v>255</v>
      </c>
      <c r="U256" t="s">
        <v>1191</v>
      </c>
      <c r="V256" t="s">
        <v>1026</v>
      </c>
      <c r="W256" t="s">
        <v>387</v>
      </c>
      <c r="X256" t="s">
        <v>137</v>
      </c>
      <c r="Y256" t="s">
        <v>1231</v>
      </c>
      <c r="Z256" t="s">
        <v>752</v>
      </c>
      <c r="AA256" t="s">
        <v>254</v>
      </c>
      <c r="AB256" t="s">
        <v>257</v>
      </c>
      <c r="AC256" t="s">
        <v>1062</v>
      </c>
      <c r="AD256" t="s">
        <v>1063</v>
      </c>
      <c r="AE256" t="s">
        <v>148</v>
      </c>
      <c r="AF256" t="s">
        <v>172</v>
      </c>
      <c r="AG256" t="s">
        <v>752</v>
      </c>
      <c r="AH256" t="s">
        <v>1078</v>
      </c>
      <c r="AI256" t="s">
        <v>1079</v>
      </c>
      <c r="AJ256" t="s">
        <v>1080</v>
      </c>
      <c r="AK256" t="s">
        <v>9</v>
      </c>
      <c r="AL256" t="s">
        <v>1094</v>
      </c>
      <c r="AM256" t="s">
        <v>230</v>
      </c>
      <c r="AN256" t="s">
        <v>254</v>
      </c>
      <c r="AO256" t="s">
        <v>257</v>
      </c>
      <c r="AP256" t="s">
        <v>917</v>
      </c>
      <c r="AQ256" t="s">
        <v>1097</v>
      </c>
      <c r="AR256" t="s">
        <v>231</v>
      </c>
      <c r="AS256" t="s">
        <v>1082</v>
      </c>
      <c r="AT256" t="s">
        <v>1117</v>
      </c>
      <c r="AU256" t="s">
        <v>1037</v>
      </c>
      <c r="AV256" t="s">
        <v>1098</v>
      </c>
      <c r="AW256" t="s">
        <v>974</v>
      </c>
      <c r="AX256" t="s">
        <v>1031</v>
      </c>
      <c r="AY256" t="s">
        <v>956</v>
      </c>
      <c r="AZ256" t="s">
        <v>756</v>
      </c>
      <c r="BA256" t="s">
        <v>757</v>
      </c>
      <c r="BB256" t="s">
        <v>233</v>
      </c>
      <c r="BC256" t="s">
        <v>760</v>
      </c>
      <c r="BD256" t="s">
        <v>2398</v>
      </c>
      <c r="BE256" t="s">
        <v>2339</v>
      </c>
      <c r="BF256" t="s">
        <v>234</v>
      </c>
      <c r="BG256" t="s">
        <v>435</v>
      </c>
      <c r="BH256" t="s">
        <v>486</v>
      </c>
      <c r="BI256" t="s">
        <v>147</v>
      </c>
      <c r="BJ256" t="s">
        <v>324</v>
      </c>
      <c r="BK256" t="s">
        <v>455</v>
      </c>
      <c r="BL256" t="s">
        <v>302</v>
      </c>
      <c r="BM256" t="s">
        <v>1223</v>
      </c>
      <c r="BN256" t="s">
        <v>1099</v>
      </c>
      <c r="BO256" t="s">
        <v>1179</v>
      </c>
      <c r="BP256" t="s">
        <v>761</v>
      </c>
      <c r="BQ256" t="s">
        <v>1171</v>
      </c>
      <c r="BR256" t="s">
        <v>998</v>
      </c>
      <c r="BS256" t="s">
        <v>972</v>
      </c>
      <c r="BT256" t="s">
        <v>2335</v>
      </c>
      <c r="BU256" t="s">
        <v>239</v>
      </c>
      <c r="BV256" t="s">
        <v>241</v>
      </c>
      <c r="BW256" t="s">
        <v>805</v>
      </c>
      <c r="BX256" t="s">
        <v>806</v>
      </c>
    </row>
    <row r="257" spans="1:108">
      <c r="A257" s="40">
        <v>241</v>
      </c>
      <c r="B257" s="40" t="s">
        <v>1425</v>
      </c>
      <c r="C257" s="2" t="s">
        <v>1426</v>
      </c>
      <c r="D257" s="2" t="s">
        <v>24</v>
      </c>
      <c r="E257" s="2"/>
      <c r="F257" s="2">
        <v>95</v>
      </c>
      <c r="G257" s="2">
        <v>80</v>
      </c>
      <c r="H257" s="2">
        <v>105</v>
      </c>
      <c r="I257" s="2">
        <v>40</v>
      </c>
      <c r="J257" s="2">
        <v>70</v>
      </c>
      <c r="K257" s="2">
        <v>100</v>
      </c>
      <c r="L257" s="2">
        <v>490</v>
      </c>
      <c r="M257" s="2" t="s">
        <v>1221</v>
      </c>
      <c r="N257" s="2" t="s">
        <v>1061</v>
      </c>
      <c r="O257" t="s">
        <v>219</v>
      </c>
      <c r="P257" t="s">
        <v>220</v>
      </c>
      <c r="Q257" t="s">
        <v>353</v>
      </c>
      <c r="R257" t="s">
        <v>493</v>
      </c>
      <c r="S257" t="s">
        <v>1427</v>
      </c>
      <c r="T257" t="s">
        <v>347</v>
      </c>
      <c r="U257" t="s">
        <v>768</v>
      </c>
      <c r="V257" t="s">
        <v>364</v>
      </c>
      <c r="W257" t="s">
        <v>1019</v>
      </c>
      <c r="X257" t="s">
        <v>962</v>
      </c>
      <c r="Y257" t="s">
        <v>980</v>
      </c>
      <c r="Z257" t="s">
        <v>795</v>
      </c>
      <c r="AA257" t="s">
        <v>1016</v>
      </c>
      <c r="AB257" t="s">
        <v>1062</v>
      </c>
      <c r="AC257" t="s">
        <v>144</v>
      </c>
      <c r="AD257" t="s">
        <v>227</v>
      </c>
      <c r="AE257" t="s">
        <v>1063</v>
      </c>
      <c r="AF257" t="s">
        <v>148</v>
      </c>
      <c r="AG257" t="s">
        <v>172</v>
      </c>
      <c r="AH257" t="s">
        <v>752</v>
      </c>
      <c r="AI257" t="s">
        <v>141</v>
      </c>
      <c r="AJ257" t="s">
        <v>271</v>
      </c>
      <c r="AK257" t="s">
        <v>247</v>
      </c>
      <c r="AL257" t="s">
        <v>1078</v>
      </c>
      <c r="AM257" t="s">
        <v>766</v>
      </c>
      <c r="AN257" t="s">
        <v>1079</v>
      </c>
      <c r="AO257" t="s">
        <v>229</v>
      </c>
      <c r="AP257" t="s">
        <v>146</v>
      </c>
      <c r="AQ257" t="s">
        <v>321</v>
      </c>
      <c r="AR257" t="s">
        <v>136</v>
      </c>
      <c r="AS257" t="s">
        <v>1080</v>
      </c>
      <c r="AT257" t="s">
        <v>174</v>
      </c>
      <c r="AU257" t="s">
        <v>1094</v>
      </c>
      <c r="AV257" t="s">
        <v>230</v>
      </c>
      <c r="AW257" t="s">
        <v>765</v>
      </c>
      <c r="AX257" t="s">
        <v>1095</v>
      </c>
      <c r="AY257" t="s">
        <v>917</v>
      </c>
      <c r="AZ257" t="s">
        <v>231</v>
      </c>
      <c r="BA257" t="s">
        <v>1082</v>
      </c>
      <c r="BB257" t="s">
        <v>1037</v>
      </c>
      <c r="BC257" t="s">
        <v>1083</v>
      </c>
      <c r="BD257" t="s">
        <v>1102</v>
      </c>
      <c r="BE257" t="s">
        <v>974</v>
      </c>
      <c r="BF257" t="s">
        <v>1036</v>
      </c>
      <c r="BG257" t="s">
        <v>976</v>
      </c>
      <c r="BH257" t="s">
        <v>322</v>
      </c>
      <c r="BI257" t="s">
        <v>980</v>
      </c>
      <c r="BJ257" t="s">
        <v>785</v>
      </c>
      <c r="BK257" t="s">
        <v>1021</v>
      </c>
      <c r="BL257" t="s">
        <v>143</v>
      </c>
      <c r="BM257" t="s">
        <v>756</v>
      </c>
      <c r="BN257" t="s">
        <v>757</v>
      </c>
      <c r="BO257" t="s">
        <v>233</v>
      </c>
      <c r="BP257" t="s">
        <v>760</v>
      </c>
      <c r="BQ257" t="s">
        <v>2398</v>
      </c>
      <c r="BR257" t="s">
        <v>2339</v>
      </c>
      <c r="BS257" t="s">
        <v>234</v>
      </c>
      <c r="BT257" t="s">
        <v>225</v>
      </c>
      <c r="BU257" t="s">
        <v>436</v>
      </c>
      <c r="BV257" t="s">
        <v>588</v>
      </c>
      <c r="BW257" t="s">
        <v>751</v>
      </c>
      <c r="BX257" t="s">
        <v>775</v>
      </c>
      <c r="BY257" t="s">
        <v>754</v>
      </c>
      <c r="BZ257" t="s">
        <v>757</v>
      </c>
      <c r="CA257" t="s">
        <v>780</v>
      </c>
      <c r="CB257" t="s">
        <v>925</v>
      </c>
      <c r="CC257" t="s">
        <v>981</v>
      </c>
      <c r="CD257" t="s">
        <v>992</v>
      </c>
      <c r="CE257" t="s">
        <v>1001</v>
      </c>
      <c r="CF257" t="s">
        <v>1229</v>
      </c>
      <c r="CG257" t="s">
        <v>239</v>
      </c>
      <c r="CH257" t="s">
        <v>241</v>
      </c>
      <c r="CI257" t="s">
        <v>805</v>
      </c>
      <c r="CJ257" t="s">
        <v>806</v>
      </c>
    </row>
    <row r="258" spans="1:108">
      <c r="A258" s="40">
        <v>242</v>
      </c>
      <c r="B258" s="40" t="s">
        <v>1428</v>
      </c>
      <c r="C258" s="2" t="s">
        <v>1429</v>
      </c>
      <c r="D258" s="2" t="s">
        <v>24</v>
      </c>
      <c r="E258" s="2"/>
      <c r="F258" s="2">
        <v>255</v>
      </c>
      <c r="G258" s="2">
        <v>10</v>
      </c>
      <c r="H258" s="2">
        <v>10</v>
      </c>
      <c r="I258" s="2">
        <v>75</v>
      </c>
      <c r="J258" s="2">
        <v>135</v>
      </c>
      <c r="K258" s="2">
        <v>55</v>
      </c>
      <c r="L258" s="2">
        <v>540</v>
      </c>
      <c r="M258" s="2" t="s">
        <v>1677</v>
      </c>
      <c r="N258" s="2" t="s">
        <v>1061</v>
      </c>
      <c r="O258" t="s">
        <v>376</v>
      </c>
      <c r="P258" t="s">
        <v>220</v>
      </c>
      <c r="Q258" t="s">
        <v>353</v>
      </c>
      <c r="R258" t="s">
        <v>266</v>
      </c>
      <c r="S258" t="s">
        <v>1106</v>
      </c>
      <c r="T258" t="s">
        <v>348</v>
      </c>
      <c r="U258" t="s">
        <v>583</v>
      </c>
      <c r="V258" t="s">
        <v>1139</v>
      </c>
      <c r="W258" t="s">
        <v>378</v>
      </c>
      <c r="X258" t="s">
        <v>223</v>
      </c>
      <c r="Y258" t="s">
        <v>377</v>
      </c>
      <c r="Z258" t="s">
        <v>974</v>
      </c>
      <c r="AA258" t="s">
        <v>1200</v>
      </c>
      <c r="AB258" t="s">
        <v>556</v>
      </c>
      <c r="AC258" t="s">
        <v>228</v>
      </c>
      <c r="AD258" t="s">
        <v>982</v>
      </c>
      <c r="AE258" t="s">
        <v>225</v>
      </c>
      <c r="AF258" t="s">
        <v>1062</v>
      </c>
      <c r="AG258" t="s">
        <v>227</v>
      </c>
      <c r="AH258" t="s">
        <v>1063</v>
      </c>
      <c r="AI258" t="s">
        <v>912</v>
      </c>
      <c r="AJ258" t="s">
        <v>148</v>
      </c>
      <c r="AK258" t="s">
        <v>1104</v>
      </c>
      <c r="AL258" t="s">
        <v>172</v>
      </c>
      <c r="AM258" t="s">
        <v>752</v>
      </c>
      <c r="AN258" t="s">
        <v>141</v>
      </c>
      <c r="AO258" t="s">
        <v>271</v>
      </c>
      <c r="AP258" t="s">
        <v>247</v>
      </c>
      <c r="AQ258" t="s">
        <v>228</v>
      </c>
      <c r="AR258" t="s">
        <v>1078</v>
      </c>
      <c r="AS258" t="s">
        <v>766</v>
      </c>
      <c r="AT258" t="s">
        <v>759</v>
      </c>
      <c r="AU258" t="s">
        <v>1079</v>
      </c>
      <c r="AV258" t="s">
        <v>229</v>
      </c>
      <c r="AW258" t="s">
        <v>146</v>
      </c>
      <c r="AX258" t="s">
        <v>321</v>
      </c>
      <c r="AY258" t="s">
        <v>136</v>
      </c>
      <c r="AZ258" t="s">
        <v>1080</v>
      </c>
      <c r="BA258" t="s">
        <v>9</v>
      </c>
      <c r="BB258" t="s">
        <v>174</v>
      </c>
      <c r="BC258" t="s">
        <v>1094</v>
      </c>
      <c r="BD258" t="s">
        <v>230</v>
      </c>
      <c r="BE258" t="s">
        <v>254</v>
      </c>
      <c r="BF258" t="s">
        <v>765</v>
      </c>
      <c r="BG258" t="s">
        <v>257</v>
      </c>
      <c r="BH258" t="s">
        <v>1095</v>
      </c>
      <c r="BI258" t="s">
        <v>917</v>
      </c>
      <c r="BJ258" t="s">
        <v>231</v>
      </c>
      <c r="BK258" t="s">
        <v>1082</v>
      </c>
      <c r="BL258" t="s">
        <v>1037</v>
      </c>
      <c r="BM258" t="s">
        <v>1083</v>
      </c>
      <c r="BN258" t="s">
        <v>1102</v>
      </c>
      <c r="BO258" t="s">
        <v>974</v>
      </c>
      <c r="BP258" t="s">
        <v>963</v>
      </c>
      <c r="BQ258" t="s">
        <v>1031</v>
      </c>
      <c r="BR258" t="s">
        <v>1036</v>
      </c>
      <c r="BS258" t="s">
        <v>976</v>
      </c>
      <c r="BT258" t="s">
        <v>232</v>
      </c>
      <c r="BU258" t="s">
        <v>322</v>
      </c>
      <c r="BV258" t="s">
        <v>785</v>
      </c>
      <c r="BW258" t="s">
        <v>1021</v>
      </c>
      <c r="BX258" t="s">
        <v>143</v>
      </c>
      <c r="BY258" t="s">
        <v>293</v>
      </c>
      <c r="BZ258" t="s">
        <v>977</v>
      </c>
      <c r="CA258" t="s">
        <v>756</v>
      </c>
      <c r="CB258" t="s">
        <v>757</v>
      </c>
      <c r="CC258" t="s">
        <v>233</v>
      </c>
      <c r="CD258" t="s">
        <v>1047</v>
      </c>
      <c r="CE258" t="s">
        <v>760</v>
      </c>
      <c r="CF258" t="s">
        <v>2398</v>
      </c>
      <c r="CG258" t="s">
        <v>2342</v>
      </c>
      <c r="CH258" t="s">
        <v>2339</v>
      </c>
      <c r="CI258" t="s">
        <v>234</v>
      </c>
      <c r="CJ258" t="s">
        <v>259</v>
      </c>
      <c r="CK258" t="s">
        <v>436</v>
      </c>
      <c r="CL258" t="s">
        <v>379</v>
      </c>
      <c r="CM258" t="s">
        <v>754</v>
      </c>
      <c r="CN258" t="s">
        <v>795</v>
      </c>
      <c r="CO258" t="s">
        <v>780</v>
      </c>
      <c r="CP258" t="s">
        <v>925</v>
      </c>
      <c r="CQ258" t="s">
        <v>1153</v>
      </c>
      <c r="CR258" t="s">
        <v>978</v>
      </c>
      <c r="CS258" t="s">
        <v>992</v>
      </c>
      <c r="CT258" t="s">
        <v>986</v>
      </c>
      <c r="CU258" t="s">
        <v>990</v>
      </c>
      <c r="CV258" t="s">
        <v>239</v>
      </c>
      <c r="CW258" t="s">
        <v>241</v>
      </c>
      <c r="CX258" t="s">
        <v>781</v>
      </c>
      <c r="CY258" t="s">
        <v>964</v>
      </c>
      <c r="CZ258" t="s">
        <v>782</v>
      </c>
      <c r="DA258" t="s">
        <v>805</v>
      </c>
      <c r="DB258" t="s">
        <v>806</v>
      </c>
    </row>
    <row r="259" spans="1:108">
      <c r="A259" s="40">
        <v>243</v>
      </c>
      <c r="B259" s="40" t="s">
        <v>1431</v>
      </c>
      <c r="C259" s="2" t="s">
        <v>1432</v>
      </c>
      <c r="D259" s="2" t="s">
        <v>17</v>
      </c>
      <c r="E259" s="2"/>
      <c r="F259" s="2">
        <v>90</v>
      </c>
      <c r="G259" s="2">
        <v>85</v>
      </c>
      <c r="H259" s="2">
        <v>75</v>
      </c>
      <c r="I259" s="2">
        <v>115</v>
      </c>
      <c r="J259" s="2">
        <v>100</v>
      </c>
      <c r="K259" s="2">
        <v>115</v>
      </c>
      <c r="L259" s="2">
        <v>580</v>
      </c>
      <c r="M259" s="2" t="s">
        <v>1131</v>
      </c>
      <c r="N259" s="2" t="s">
        <v>1061</v>
      </c>
      <c r="O259" t="s">
        <v>330</v>
      </c>
      <c r="P259" t="s">
        <v>258</v>
      </c>
      <c r="Q259" t="s">
        <v>346</v>
      </c>
      <c r="R259" t="s">
        <v>246</v>
      </c>
      <c r="S259" t="s">
        <v>310</v>
      </c>
      <c r="T259" t="s">
        <v>1203</v>
      </c>
      <c r="U259" t="s">
        <v>380</v>
      </c>
      <c r="V259" t="s">
        <v>777</v>
      </c>
      <c r="W259" t="s">
        <v>1010</v>
      </c>
      <c r="X259" t="s">
        <v>1138</v>
      </c>
      <c r="Y259" t="s">
        <v>1154</v>
      </c>
      <c r="Z259" t="s">
        <v>766</v>
      </c>
      <c r="AA259" t="s">
        <v>912</v>
      </c>
      <c r="AB259" t="s">
        <v>321</v>
      </c>
      <c r="AC259" t="s">
        <v>1062</v>
      </c>
      <c r="AD259" t="s">
        <v>226</v>
      </c>
      <c r="AE259" t="s">
        <v>227</v>
      </c>
      <c r="AF259" t="s">
        <v>1063</v>
      </c>
      <c r="AG259" t="s">
        <v>912</v>
      </c>
      <c r="AH259" t="s">
        <v>246</v>
      </c>
      <c r="AI259" t="s">
        <v>148</v>
      </c>
      <c r="AJ259" t="s">
        <v>172</v>
      </c>
      <c r="AK259" t="s">
        <v>752</v>
      </c>
      <c r="AL259" t="s">
        <v>247</v>
      </c>
      <c r="AM259" t="s">
        <v>228</v>
      </c>
      <c r="AN259" t="s">
        <v>1078</v>
      </c>
      <c r="AO259" t="s">
        <v>766</v>
      </c>
      <c r="AP259" t="s">
        <v>1079</v>
      </c>
      <c r="AQ259" t="s">
        <v>146</v>
      </c>
      <c r="AR259" t="s">
        <v>321</v>
      </c>
      <c r="AS259" t="s">
        <v>1080</v>
      </c>
      <c r="AT259" t="s">
        <v>256</v>
      </c>
      <c r="AU259" t="s">
        <v>174</v>
      </c>
      <c r="AV259" t="s">
        <v>230</v>
      </c>
      <c r="AW259" t="s">
        <v>380</v>
      </c>
      <c r="AX259" t="s">
        <v>765</v>
      </c>
      <c r="AY259" t="s">
        <v>917</v>
      </c>
      <c r="AZ259" t="s">
        <v>231</v>
      </c>
      <c r="BA259" t="s">
        <v>1037</v>
      </c>
      <c r="BB259" t="s">
        <v>963</v>
      </c>
      <c r="BC259" t="s">
        <v>1034</v>
      </c>
      <c r="BD259" t="s">
        <v>976</v>
      </c>
      <c r="BE259" t="s">
        <v>232</v>
      </c>
      <c r="BF259" t="s">
        <v>1045</v>
      </c>
      <c r="BG259" t="s">
        <v>322</v>
      </c>
      <c r="BH259" t="s">
        <v>785</v>
      </c>
      <c r="BI259" t="s">
        <v>1021</v>
      </c>
      <c r="BJ259" t="s">
        <v>756</v>
      </c>
      <c r="BK259" t="s">
        <v>233</v>
      </c>
      <c r="BL259" t="s">
        <v>1047</v>
      </c>
      <c r="BM259" t="s">
        <v>760</v>
      </c>
      <c r="BN259" t="s">
        <v>1040</v>
      </c>
      <c r="BO259" t="s">
        <v>234</v>
      </c>
      <c r="BP259" t="s">
        <v>239</v>
      </c>
      <c r="BQ259" t="s">
        <v>241</v>
      </c>
      <c r="BR259" t="s">
        <v>805</v>
      </c>
      <c r="BS259" t="s">
        <v>806</v>
      </c>
    </row>
    <row r="260" spans="1:108">
      <c r="A260" s="40">
        <v>244</v>
      </c>
      <c r="B260" s="40" t="s">
        <v>1433</v>
      </c>
      <c r="C260" s="2" t="s">
        <v>1434</v>
      </c>
      <c r="D260" s="2" t="s">
        <v>19</v>
      </c>
      <c r="E260" s="2"/>
      <c r="F260" s="2">
        <v>115</v>
      </c>
      <c r="G260" s="2">
        <v>115</v>
      </c>
      <c r="H260" s="2">
        <v>85</v>
      </c>
      <c r="I260" s="2">
        <v>90</v>
      </c>
      <c r="J260" s="2">
        <v>75</v>
      </c>
      <c r="K260" s="2">
        <v>100</v>
      </c>
      <c r="L260" s="2">
        <v>580</v>
      </c>
      <c r="M260" s="2" t="s">
        <v>1188</v>
      </c>
      <c r="N260" s="2" t="s">
        <v>1061</v>
      </c>
      <c r="O260" t="s">
        <v>330</v>
      </c>
      <c r="P260" t="s">
        <v>258</v>
      </c>
      <c r="Q260" t="s">
        <v>250</v>
      </c>
      <c r="R260" t="s">
        <v>246</v>
      </c>
      <c r="S260" t="s">
        <v>255</v>
      </c>
      <c r="T260" t="s">
        <v>493</v>
      </c>
      <c r="U260" t="s">
        <v>254</v>
      </c>
      <c r="V260" t="s">
        <v>756</v>
      </c>
      <c r="W260" t="s">
        <v>182</v>
      </c>
      <c r="X260" t="s">
        <v>1231</v>
      </c>
      <c r="Y260" t="s">
        <v>1154</v>
      </c>
      <c r="Z260" t="s">
        <v>257</v>
      </c>
      <c r="AA260" t="s">
        <v>912</v>
      </c>
      <c r="AB260" t="s">
        <v>1244</v>
      </c>
      <c r="AC260" t="s">
        <v>1062</v>
      </c>
      <c r="AD260" t="s">
        <v>226</v>
      </c>
      <c r="AE260" t="s">
        <v>227</v>
      </c>
      <c r="AF260" t="s">
        <v>1063</v>
      </c>
      <c r="AG260" t="s">
        <v>912</v>
      </c>
      <c r="AH260" t="s">
        <v>246</v>
      </c>
      <c r="AI260" t="s">
        <v>148</v>
      </c>
      <c r="AJ260" t="s">
        <v>172</v>
      </c>
      <c r="AK260" t="s">
        <v>752</v>
      </c>
      <c r="AL260" t="s">
        <v>247</v>
      </c>
      <c r="AM260" t="s">
        <v>1078</v>
      </c>
      <c r="AN260" t="s">
        <v>766</v>
      </c>
      <c r="AO260" t="s">
        <v>1079</v>
      </c>
      <c r="AP260" t="s">
        <v>229</v>
      </c>
      <c r="AQ260" t="s">
        <v>1080</v>
      </c>
      <c r="AR260" t="s">
        <v>256</v>
      </c>
      <c r="AS260" t="s">
        <v>174</v>
      </c>
      <c r="AT260" t="s">
        <v>230</v>
      </c>
      <c r="AU260" t="s">
        <v>380</v>
      </c>
      <c r="AV260" t="s">
        <v>254</v>
      </c>
      <c r="AW260" t="s">
        <v>765</v>
      </c>
      <c r="AX260" t="s">
        <v>257</v>
      </c>
      <c r="AY260" t="s">
        <v>917</v>
      </c>
      <c r="AZ260" t="s">
        <v>1097</v>
      </c>
      <c r="BA260" t="s">
        <v>231</v>
      </c>
      <c r="BB260" t="s">
        <v>1037</v>
      </c>
      <c r="BC260" t="s">
        <v>1098</v>
      </c>
      <c r="BD260" t="s">
        <v>1031</v>
      </c>
      <c r="BE260" t="s">
        <v>1034</v>
      </c>
      <c r="BF260" t="s">
        <v>956</v>
      </c>
      <c r="BG260" t="s">
        <v>976</v>
      </c>
      <c r="BH260" t="s">
        <v>232</v>
      </c>
      <c r="BI260" t="s">
        <v>183</v>
      </c>
      <c r="BJ260" t="s">
        <v>785</v>
      </c>
      <c r="BK260" t="s">
        <v>1021</v>
      </c>
      <c r="BL260" t="s">
        <v>756</v>
      </c>
      <c r="BM260" t="s">
        <v>233</v>
      </c>
      <c r="BN260" t="s">
        <v>760</v>
      </c>
      <c r="BO260" t="s">
        <v>1040</v>
      </c>
      <c r="BP260" t="s">
        <v>234</v>
      </c>
      <c r="BQ260" t="s">
        <v>239</v>
      </c>
      <c r="BR260" t="s">
        <v>241</v>
      </c>
      <c r="BS260" t="s">
        <v>805</v>
      </c>
      <c r="BT260" t="s">
        <v>806</v>
      </c>
    </row>
    <row r="261" spans="1:108">
      <c r="A261" s="40">
        <v>245</v>
      </c>
      <c r="B261" s="40" t="s">
        <v>1435</v>
      </c>
      <c r="C261" s="2" t="s">
        <v>1436</v>
      </c>
      <c r="D261" s="2" t="s">
        <v>27</v>
      </c>
      <c r="E261" s="2"/>
      <c r="F261" s="2">
        <v>100</v>
      </c>
      <c r="G261" s="2">
        <v>75</v>
      </c>
      <c r="H261" s="2">
        <v>115</v>
      </c>
      <c r="I261" s="2">
        <v>90</v>
      </c>
      <c r="J261" s="2">
        <v>115</v>
      </c>
      <c r="K261" s="2">
        <v>85</v>
      </c>
      <c r="L261" s="2">
        <v>580</v>
      </c>
      <c r="M261" s="2" t="s">
        <v>1120</v>
      </c>
      <c r="N261" s="2" t="s">
        <v>1061</v>
      </c>
      <c r="O261" t="s">
        <v>330</v>
      </c>
      <c r="P261" t="s">
        <v>258</v>
      </c>
      <c r="Q261" t="s">
        <v>446</v>
      </c>
      <c r="R261" t="s">
        <v>766</v>
      </c>
      <c r="S261" t="s">
        <v>289</v>
      </c>
      <c r="T261" t="s">
        <v>478</v>
      </c>
      <c r="U261" t="s">
        <v>273</v>
      </c>
      <c r="V261" t="s">
        <v>772</v>
      </c>
      <c r="W261" t="s">
        <v>983</v>
      </c>
      <c r="X261" t="s">
        <v>1009</v>
      </c>
      <c r="Y261" t="s">
        <v>1154</v>
      </c>
      <c r="Z261" t="s">
        <v>140</v>
      </c>
      <c r="AA261" t="s">
        <v>912</v>
      </c>
      <c r="AB261" t="s">
        <v>271</v>
      </c>
      <c r="AC261" t="s">
        <v>1062</v>
      </c>
      <c r="AD261" t="s">
        <v>226</v>
      </c>
      <c r="AE261" t="s">
        <v>144</v>
      </c>
      <c r="AF261" t="s">
        <v>270</v>
      </c>
      <c r="AG261" t="s">
        <v>914</v>
      </c>
      <c r="AH261" t="s">
        <v>1063</v>
      </c>
      <c r="AI261" t="s">
        <v>912</v>
      </c>
      <c r="AJ261" t="s">
        <v>246</v>
      </c>
      <c r="AK261" t="s">
        <v>148</v>
      </c>
      <c r="AL261" t="s">
        <v>1104</v>
      </c>
      <c r="AM261" t="s">
        <v>172</v>
      </c>
      <c r="AN261" t="s">
        <v>752</v>
      </c>
      <c r="AO261" t="s">
        <v>141</v>
      </c>
      <c r="AP261" t="s">
        <v>271</v>
      </c>
      <c r="AQ261" t="s">
        <v>247</v>
      </c>
      <c r="AR261" t="s">
        <v>1078</v>
      </c>
      <c r="AS261" t="s">
        <v>766</v>
      </c>
      <c r="AT261" t="s">
        <v>1079</v>
      </c>
      <c r="AU261" t="s">
        <v>1080</v>
      </c>
      <c r="AV261" t="s">
        <v>256</v>
      </c>
      <c r="AW261" t="s">
        <v>174</v>
      </c>
      <c r="AX261" t="s">
        <v>230</v>
      </c>
      <c r="AY261" t="s">
        <v>380</v>
      </c>
      <c r="AZ261" t="s">
        <v>765</v>
      </c>
      <c r="BA261" t="s">
        <v>917</v>
      </c>
      <c r="BB261" t="s">
        <v>231</v>
      </c>
      <c r="BC261" t="s">
        <v>1037</v>
      </c>
      <c r="BD261" t="s">
        <v>1038</v>
      </c>
      <c r="BE261" t="s">
        <v>1034</v>
      </c>
      <c r="BF261" t="s">
        <v>976</v>
      </c>
      <c r="BG261" t="s">
        <v>785</v>
      </c>
      <c r="BH261" t="s">
        <v>1021</v>
      </c>
      <c r="BI261" t="s">
        <v>756</v>
      </c>
      <c r="BJ261" t="s">
        <v>233</v>
      </c>
      <c r="BK261" t="s">
        <v>760</v>
      </c>
      <c r="BL261" t="s">
        <v>1040</v>
      </c>
      <c r="BM261" t="s">
        <v>234</v>
      </c>
      <c r="BN261" t="s">
        <v>239</v>
      </c>
      <c r="BO261" t="s">
        <v>241</v>
      </c>
      <c r="BP261" t="s">
        <v>805</v>
      </c>
      <c r="BQ261" t="s">
        <v>806</v>
      </c>
    </row>
    <row r="262" spans="1:108">
      <c r="A262" s="40">
        <v>246</v>
      </c>
      <c r="B262" s="40" t="s">
        <v>1437</v>
      </c>
      <c r="C262" s="2" t="s">
        <v>1438</v>
      </c>
      <c r="D262" s="2" t="s">
        <v>25</v>
      </c>
      <c r="E262" s="2" t="s">
        <v>22</v>
      </c>
      <c r="F262" s="2">
        <v>50</v>
      </c>
      <c r="G262" s="2">
        <v>64</v>
      </c>
      <c r="H262" s="2">
        <v>50</v>
      </c>
      <c r="I262" s="2">
        <v>45</v>
      </c>
      <c r="J262" s="2">
        <v>50</v>
      </c>
      <c r="K262" s="2">
        <v>41</v>
      </c>
      <c r="L262" s="2">
        <v>300</v>
      </c>
      <c r="M262" s="2" t="s">
        <v>1177</v>
      </c>
      <c r="N262" s="2" t="s">
        <v>1061</v>
      </c>
      <c r="O262" t="s">
        <v>330</v>
      </c>
      <c r="P262" t="s">
        <v>258</v>
      </c>
      <c r="Q262" t="s">
        <v>765</v>
      </c>
      <c r="R262" t="s">
        <v>324</v>
      </c>
      <c r="S262" t="s">
        <v>1142</v>
      </c>
      <c r="T262" t="s">
        <v>143</v>
      </c>
      <c r="U262" t="s">
        <v>1092</v>
      </c>
      <c r="V262" t="s">
        <v>373</v>
      </c>
      <c r="W262" t="s">
        <v>1157</v>
      </c>
      <c r="X262" t="s">
        <v>995</v>
      </c>
      <c r="Y262" t="s">
        <v>777</v>
      </c>
      <c r="Z262" t="s">
        <v>136</v>
      </c>
      <c r="AA262" t="s">
        <v>183</v>
      </c>
      <c r="AB262" t="s">
        <v>247</v>
      </c>
      <c r="AC262" t="s">
        <v>1062</v>
      </c>
      <c r="AD262" t="s">
        <v>1063</v>
      </c>
      <c r="AE262" t="s">
        <v>148</v>
      </c>
      <c r="AF262" t="s">
        <v>172</v>
      </c>
      <c r="AG262" t="s">
        <v>752</v>
      </c>
      <c r="AH262" t="s">
        <v>1126</v>
      </c>
      <c r="AI262" t="s">
        <v>247</v>
      </c>
      <c r="AJ262" t="s">
        <v>1078</v>
      </c>
      <c r="AK262" t="s">
        <v>766</v>
      </c>
      <c r="AL262" t="s">
        <v>1079</v>
      </c>
      <c r="AM262" t="s">
        <v>1109</v>
      </c>
      <c r="AN262" t="s">
        <v>136</v>
      </c>
      <c r="AO262" t="s">
        <v>1080</v>
      </c>
      <c r="AP262" t="s">
        <v>256</v>
      </c>
      <c r="AQ262" t="s">
        <v>1094</v>
      </c>
      <c r="AR262" t="s">
        <v>230</v>
      </c>
      <c r="AS262" t="s">
        <v>765</v>
      </c>
      <c r="AT262" t="s">
        <v>1095</v>
      </c>
      <c r="AU262" t="s">
        <v>951</v>
      </c>
      <c r="AV262" t="s">
        <v>917</v>
      </c>
      <c r="AW262" t="s">
        <v>231</v>
      </c>
      <c r="AX262" t="s">
        <v>1082</v>
      </c>
      <c r="AY262" t="s">
        <v>1037</v>
      </c>
      <c r="AZ262" t="s">
        <v>995</v>
      </c>
      <c r="BA262" t="s">
        <v>1036</v>
      </c>
      <c r="BB262" t="s">
        <v>1003</v>
      </c>
      <c r="BC262" t="s">
        <v>183</v>
      </c>
      <c r="BD262" t="s">
        <v>1021</v>
      </c>
      <c r="BE262" t="s">
        <v>143</v>
      </c>
      <c r="BF262" t="s">
        <v>756</v>
      </c>
      <c r="BG262" t="s">
        <v>757</v>
      </c>
      <c r="BH262" t="s">
        <v>233</v>
      </c>
      <c r="BI262" t="s">
        <v>760</v>
      </c>
      <c r="BJ262" t="s">
        <v>1040</v>
      </c>
      <c r="BK262" t="s">
        <v>1157</v>
      </c>
      <c r="BL262" t="s">
        <v>2398</v>
      </c>
      <c r="BM262" t="s">
        <v>2339</v>
      </c>
      <c r="BN262" t="s">
        <v>234</v>
      </c>
      <c r="BO262" t="s">
        <v>493</v>
      </c>
      <c r="BP262" t="s">
        <v>302</v>
      </c>
      <c r="BQ262" t="s">
        <v>751</v>
      </c>
      <c r="BR262" t="s">
        <v>764</v>
      </c>
      <c r="BS262" t="s">
        <v>773</v>
      </c>
      <c r="BT262" t="s">
        <v>761</v>
      </c>
      <c r="BU262" t="s">
        <v>170</v>
      </c>
      <c r="BV262" t="s">
        <v>177</v>
      </c>
      <c r="BW262" t="s">
        <v>915</v>
      </c>
      <c r="BX262" t="s">
        <v>960</v>
      </c>
      <c r="BY262" t="s">
        <v>985</v>
      </c>
      <c r="BZ262" t="s">
        <v>1007</v>
      </c>
      <c r="CA262" t="s">
        <v>239</v>
      </c>
      <c r="CB262" t="s">
        <v>241</v>
      </c>
      <c r="CC262" t="s">
        <v>805</v>
      </c>
      <c r="CD262" t="s">
        <v>806</v>
      </c>
    </row>
    <row r="263" spans="1:108">
      <c r="A263" s="40">
        <v>247</v>
      </c>
      <c r="B263" s="40" t="s">
        <v>1439</v>
      </c>
      <c r="C263" s="2" t="s">
        <v>1440</v>
      </c>
      <c r="D263" s="2" t="s">
        <v>25</v>
      </c>
      <c r="E263" s="2" t="s">
        <v>22</v>
      </c>
      <c r="F263" s="2">
        <v>70</v>
      </c>
      <c r="G263" s="2">
        <v>84</v>
      </c>
      <c r="H263" s="2">
        <v>70</v>
      </c>
      <c r="I263" s="2">
        <v>65</v>
      </c>
      <c r="J263" s="2">
        <v>70</v>
      </c>
      <c r="K263" s="2">
        <v>51</v>
      </c>
      <c r="L263" s="2">
        <v>410</v>
      </c>
      <c r="M263" s="2" t="s">
        <v>1141</v>
      </c>
      <c r="N263" s="2" t="s">
        <v>1061</v>
      </c>
      <c r="O263" t="s">
        <v>330</v>
      </c>
      <c r="P263" t="s">
        <v>258</v>
      </c>
      <c r="Q263" t="s">
        <v>324</v>
      </c>
      <c r="R263" t="s">
        <v>765</v>
      </c>
      <c r="S263" t="s">
        <v>765</v>
      </c>
      <c r="T263" t="s">
        <v>324</v>
      </c>
      <c r="U263" t="s">
        <v>1142</v>
      </c>
      <c r="V263" t="s">
        <v>143</v>
      </c>
      <c r="W263" t="s">
        <v>1092</v>
      </c>
      <c r="X263" t="s">
        <v>373</v>
      </c>
      <c r="Y263" t="s">
        <v>1157</v>
      </c>
      <c r="Z263" t="s">
        <v>995</v>
      </c>
      <c r="AA263" t="s">
        <v>777</v>
      </c>
      <c r="AB263" t="s">
        <v>136</v>
      </c>
      <c r="AC263" t="s">
        <v>183</v>
      </c>
      <c r="AD263" t="s">
        <v>247</v>
      </c>
      <c r="AE263" t="s">
        <v>1062</v>
      </c>
      <c r="AF263" t="s">
        <v>1063</v>
      </c>
      <c r="AG263" t="s">
        <v>148</v>
      </c>
      <c r="AH263" t="s">
        <v>172</v>
      </c>
      <c r="AI263" t="s">
        <v>752</v>
      </c>
      <c r="AJ263" t="s">
        <v>1126</v>
      </c>
      <c r="AK263" t="s">
        <v>247</v>
      </c>
      <c r="AL263" t="s">
        <v>1078</v>
      </c>
      <c r="AM263" t="s">
        <v>766</v>
      </c>
      <c r="AN263" t="s">
        <v>1079</v>
      </c>
      <c r="AO263" t="s">
        <v>1109</v>
      </c>
      <c r="AP263" t="s">
        <v>136</v>
      </c>
      <c r="AQ263" t="s">
        <v>1080</v>
      </c>
      <c r="AR263" t="s">
        <v>256</v>
      </c>
      <c r="AS263" t="s">
        <v>1094</v>
      </c>
      <c r="AT263" t="s">
        <v>230</v>
      </c>
      <c r="AU263" t="s">
        <v>765</v>
      </c>
      <c r="AV263" t="s">
        <v>1095</v>
      </c>
      <c r="AW263" t="s">
        <v>951</v>
      </c>
      <c r="AX263" t="s">
        <v>917</v>
      </c>
      <c r="AY263" t="s">
        <v>231</v>
      </c>
      <c r="AZ263" t="s">
        <v>1082</v>
      </c>
      <c r="BA263" t="s">
        <v>1037</v>
      </c>
      <c r="BB263" t="s">
        <v>995</v>
      </c>
      <c r="BC263" t="s">
        <v>1036</v>
      </c>
      <c r="BD263" t="s">
        <v>1003</v>
      </c>
      <c r="BE263" t="s">
        <v>183</v>
      </c>
      <c r="BF263" t="s">
        <v>1021</v>
      </c>
      <c r="BG263" t="s">
        <v>143</v>
      </c>
      <c r="BH263" t="s">
        <v>756</v>
      </c>
      <c r="BI263" t="s">
        <v>757</v>
      </c>
      <c r="BJ263" t="s">
        <v>233</v>
      </c>
      <c r="BK263" t="s">
        <v>760</v>
      </c>
      <c r="BL263" t="s">
        <v>1040</v>
      </c>
      <c r="BM263" t="s">
        <v>1157</v>
      </c>
      <c r="BN263" t="s">
        <v>2398</v>
      </c>
      <c r="BO263" t="s">
        <v>2339</v>
      </c>
      <c r="BP263" t="s">
        <v>234</v>
      </c>
      <c r="BQ263" t="s">
        <v>493</v>
      </c>
      <c r="BR263" t="s">
        <v>302</v>
      </c>
      <c r="BS263" t="s">
        <v>751</v>
      </c>
      <c r="BT263" t="s">
        <v>764</v>
      </c>
      <c r="BU263" t="s">
        <v>773</v>
      </c>
      <c r="BV263" t="s">
        <v>761</v>
      </c>
      <c r="BW263" t="s">
        <v>170</v>
      </c>
      <c r="BX263" t="s">
        <v>177</v>
      </c>
      <c r="BY263" t="s">
        <v>915</v>
      </c>
      <c r="BZ263" t="s">
        <v>960</v>
      </c>
      <c r="CA263" t="s">
        <v>985</v>
      </c>
      <c r="CB263" t="s">
        <v>1007</v>
      </c>
      <c r="CC263" t="s">
        <v>239</v>
      </c>
      <c r="CD263" t="s">
        <v>241</v>
      </c>
      <c r="CE263" t="s">
        <v>805</v>
      </c>
      <c r="CF263" t="s">
        <v>806</v>
      </c>
    </row>
    <row r="264" spans="1:108">
      <c r="A264" s="40">
        <v>248</v>
      </c>
      <c r="B264" s="40" t="s">
        <v>1441</v>
      </c>
      <c r="C264" s="2" t="s">
        <v>1442</v>
      </c>
      <c r="D264" s="2" t="s">
        <v>25</v>
      </c>
      <c r="E264" s="2" t="s">
        <v>15</v>
      </c>
      <c r="F264" s="2">
        <v>100</v>
      </c>
      <c r="G264" s="2">
        <v>134</v>
      </c>
      <c r="H264" s="2">
        <v>110</v>
      </c>
      <c r="I264" s="2">
        <v>95</v>
      </c>
      <c r="J264" s="2">
        <v>100</v>
      </c>
      <c r="K264" s="2">
        <v>61</v>
      </c>
      <c r="L264" s="2">
        <v>600</v>
      </c>
      <c r="M264" s="2" t="s">
        <v>1755</v>
      </c>
      <c r="N264" s="2" t="s">
        <v>1061</v>
      </c>
      <c r="O264" t="s">
        <v>330</v>
      </c>
      <c r="P264" t="s">
        <v>258</v>
      </c>
      <c r="Q264" t="s">
        <v>324</v>
      </c>
      <c r="R264" t="s">
        <v>765</v>
      </c>
      <c r="S264" t="s">
        <v>1010</v>
      </c>
      <c r="T264" t="s">
        <v>983</v>
      </c>
      <c r="U264" t="s">
        <v>182</v>
      </c>
      <c r="V264" t="s">
        <v>765</v>
      </c>
      <c r="W264" t="s">
        <v>324</v>
      </c>
      <c r="X264" t="s">
        <v>1142</v>
      </c>
      <c r="Y264" t="s">
        <v>143</v>
      </c>
      <c r="Z264" t="s">
        <v>1092</v>
      </c>
      <c r="AA264" t="s">
        <v>373</v>
      </c>
      <c r="AB264" t="s">
        <v>1157</v>
      </c>
      <c r="AC264" t="s">
        <v>995</v>
      </c>
      <c r="AD264" t="s">
        <v>777</v>
      </c>
      <c r="AE264" t="s">
        <v>136</v>
      </c>
      <c r="AF264" t="s">
        <v>183</v>
      </c>
      <c r="AG264" t="s">
        <v>247</v>
      </c>
      <c r="AH264" t="s">
        <v>976</v>
      </c>
      <c r="AI264" t="s">
        <v>1062</v>
      </c>
      <c r="AJ264" t="s">
        <v>226</v>
      </c>
      <c r="AK264" t="s">
        <v>144</v>
      </c>
      <c r="AL264" t="s">
        <v>227</v>
      </c>
      <c r="AM264" t="s">
        <v>1063</v>
      </c>
      <c r="AN264" t="s">
        <v>1030</v>
      </c>
      <c r="AO264" t="s">
        <v>1093</v>
      </c>
      <c r="AP264" t="s">
        <v>246</v>
      </c>
      <c r="AQ264" t="s">
        <v>148</v>
      </c>
      <c r="AR264" t="s">
        <v>172</v>
      </c>
      <c r="AS264" t="s">
        <v>752</v>
      </c>
      <c r="AT264" t="s">
        <v>1126</v>
      </c>
      <c r="AU264" t="s">
        <v>141</v>
      </c>
      <c r="AV264" t="s">
        <v>271</v>
      </c>
      <c r="AW264" t="s">
        <v>247</v>
      </c>
      <c r="AX264" t="s">
        <v>1078</v>
      </c>
      <c r="AY264" t="s">
        <v>766</v>
      </c>
      <c r="AZ264" t="s">
        <v>1079</v>
      </c>
      <c r="BA264" t="s">
        <v>1109</v>
      </c>
      <c r="BB264" t="s">
        <v>146</v>
      </c>
      <c r="BC264" t="s">
        <v>321</v>
      </c>
      <c r="BD264" t="s">
        <v>136</v>
      </c>
      <c r="BE264" t="s">
        <v>1080</v>
      </c>
      <c r="BF264" t="s">
        <v>256</v>
      </c>
      <c r="BG264" t="s">
        <v>1094</v>
      </c>
      <c r="BH264" t="s">
        <v>230</v>
      </c>
      <c r="BI264" t="s">
        <v>254</v>
      </c>
      <c r="BJ264" t="s">
        <v>765</v>
      </c>
      <c r="BK264" t="s">
        <v>257</v>
      </c>
      <c r="BL264" t="s">
        <v>1095</v>
      </c>
      <c r="BM264" t="s">
        <v>1096</v>
      </c>
      <c r="BN264" t="s">
        <v>951</v>
      </c>
      <c r="BO264" t="s">
        <v>917</v>
      </c>
      <c r="BP264" t="s">
        <v>231</v>
      </c>
      <c r="BQ264" t="s">
        <v>1082</v>
      </c>
      <c r="BR264" t="s">
        <v>1037</v>
      </c>
      <c r="BS264" t="s">
        <v>1102</v>
      </c>
      <c r="BT264" t="s">
        <v>974</v>
      </c>
      <c r="BU264" t="s">
        <v>1031</v>
      </c>
      <c r="BV264" t="s">
        <v>1005</v>
      </c>
      <c r="BW264" t="s">
        <v>995</v>
      </c>
      <c r="BX264" t="s">
        <v>1036</v>
      </c>
      <c r="BY264" t="s">
        <v>976</v>
      </c>
      <c r="BZ264" t="s">
        <v>1003</v>
      </c>
      <c r="CA264" t="s">
        <v>183</v>
      </c>
      <c r="CB264" t="s">
        <v>322</v>
      </c>
      <c r="CC264" t="s">
        <v>1021</v>
      </c>
      <c r="CD264" t="s">
        <v>143</v>
      </c>
      <c r="CE264" t="s">
        <v>1022</v>
      </c>
      <c r="CF264" t="s">
        <v>756</v>
      </c>
      <c r="CG264" t="s">
        <v>757</v>
      </c>
      <c r="CH264" t="s">
        <v>233</v>
      </c>
      <c r="CI264" t="s">
        <v>760</v>
      </c>
      <c r="CJ264" t="s">
        <v>1040</v>
      </c>
      <c r="CK264" t="s">
        <v>1157</v>
      </c>
      <c r="CL264" t="s">
        <v>2398</v>
      </c>
      <c r="CM264" t="s">
        <v>2339</v>
      </c>
      <c r="CN264" t="s">
        <v>234</v>
      </c>
      <c r="CO264" t="s">
        <v>493</v>
      </c>
      <c r="CP264" t="s">
        <v>302</v>
      </c>
      <c r="CQ264" t="s">
        <v>751</v>
      </c>
      <c r="CR264" t="s">
        <v>764</v>
      </c>
      <c r="CS264" t="s">
        <v>773</v>
      </c>
      <c r="CT264" t="s">
        <v>761</v>
      </c>
      <c r="CU264" t="s">
        <v>170</v>
      </c>
      <c r="CV264" t="s">
        <v>177</v>
      </c>
      <c r="CW264" t="s">
        <v>915</v>
      </c>
      <c r="CX264" t="s">
        <v>960</v>
      </c>
      <c r="CY264" t="s">
        <v>985</v>
      </c>
      <c r="CZ264" t="s">
        <v>1007</v>
      </c>
      <c r="DA264" t="s">
        <v>239</v>
      </c>
      <c r="DB264" t="s">
        <v>241</v>
      </c>
      <c r="DC264" t="s">
        <v>805</v>
      </c>
      <c r="DD264" t="s">
        <v>806</v>
      </c>
    </row>
    <row r="265" spans="1:108">
      <c r="A265" s="40">
        <v>248.1</v>
      </c>
      <c r="B265" s="40" t="s">
        <v>2307</v>
      </c>
      <c r="C265" s="2" t="s">
        <v>2308</v>
      </c>
      <c r="D265" s="2" t="s">
        <v>25</v>
      </c>
      <c r="E265" s="2" t="s">
        <v>15</v>
      </c>
      <c r="F265" s="2">
        <v>100</v>
      </c>
      <c r="G265" s="2">
        <v>164</v>
      </c>
      <c r="H265" s="2">
        <v>150</v>
      </c>
      <c r="I265" s="2">
        <v>95</v>
      </c>
      <c r="J265" s="2">
        <v>120</v>
      </c>
      <c r="K265" s="2">
        <v>71</v>
      </c>
      <c r="L265" s="2">
        <v>700</v>
      </c>
      <c r="M265" s="2" t="s">
        <v>1232</v>
      </c>
      <c r="N265" s="2" t="s">
        <v>1061</v>
      </c>
      <c r="O265" t="s">
        <v>1062</v>
      </c>
      <c r="P265" t="s">
        <v>1063</v>
      </c>
      <c r="Q265" t="s">
        <v>757</v>
      </c>
      <c r="R265" t="s">
        <v>1157</v>
      </c>
      <c r="S265" t="s">
        <v>2398</v>
      </c>
      <c r="T265" t="s">
        <v>2339</v>
      </c>
      <c r="U265" t="s">
        <v>234</v>
      </c>
      <c r="V265" t="s">
        <v>239</v>
      </c>
      <c r="W265" t="s">
        <v>241</v>
      </c>
      <c r="X265" t="s">
        <v>805</v>
      </c>
      <c r="Y265" t="s">
        <v>806</v>
      </c>
    </row>
    <row r="266" spans="1:108">
      <c r="A266" s="40">
        <v>249</v>
      </c>
      <c r="B266" s="40" t="s">
        <v>1443</v>
      </c>
      <c r="C266" s="2" t="s">
        <v>1444</v>
      </c>
      <c r="D266" s="2" t="s">
        <v>9</v>
      </c>
      <c r="E266" s="2" t="s">
        <v>20</v>
      </c>
      <c r="F266" s="2">
        <v>106</v>
      </c>
      <c r="G266" s="2">
        <v>90</v>
      </c>
      <c r="H266" s="2">
        <v>130</v>
      </c>
      <c r="I266" s="2">
        <v>90</v>
      </c>
      <c r="J266" s="2">
        <v>154</v>
      </c>
      <c r="K266" s="2">
        <v>110</v>
      </c>
      <c r="L266" s="2">
        <v>680</v>
      </c>
      <c r="M266" s="2" t="s">
        <v>1158</v>
      </c>
      <c r="N266" s="2" t="s">
        <v>1061</v>
      </c>
      <c r="O266" t="s">
        <v>291</v>
      </c>
      <c r="P266" t="s">
        <v>1192</v>
      </c>
      <c r="Q266" t="s">
        <v>289</v>
      </c>
      <c r="R266" t="s">
        <v>180</v>
      </c>
      <c r="S266" t="s">
        <v>1154</v>
      </c>
      <c r="T266" t="s">
        <v>766</v>
      </c>
      <c r="U266" t="s">
        <v>140</v>
      </c>
      <c r="V266" t="s">
        <v>1445</v>
      </c>
      <c r="W266" t="s">
        <v>1001</v>
      </c>
      <c r="X266" t="s">
        <v>170</v>
      </c>
      <c r="Y266" t="s">
        <v>759</v>
      </c>
      <c r="Z266" t="s">
        <v>459</v>
      </c>
      <c r="AA266" t="s">
        <v>790</v>
      </c>
      <c r="AB266" t="s">
        <v>992</v>
      </c>
      <c r="AC266" t="s">
        <v>912</v>
      </c>
      <c r="AD266" t="s">
        <v>316</v>
      </c>
      <c r="AE266" t="s">
        <v>1062</v>
      </c>
      <c r="AF266" t="s">
        <v>138</v>
      </c>
      <c r="AG266" t="s">
        <v>144</v>
      </c>
      <c r="AH266" t="s">
        <v>227</v>
      </c>
      <c r="AI266" t="s">
        <v>270</v>
      </c>
      <c r="AJ266" t="s">
        <v>914</v>
      </c>
      <c r="AK266" t="s">
        <v>1063</v>
      </c>
      <c r="AL266" t="s">
        <v>1151</v>
      </c>
      <c r="AM266" t="s">
        <v>912</v>
      </c>
      <c r="AN266" t="s">
        <v>246</v>
      </c>
      <c r="AO266" t="s">
        <v>148</v>
      </c>
      <c r="AP266" t="s">
        <v>1104</v>
      </c>
      <c r="AQ266" t="s">
        <v>172</v>
      </c>
      <c r="AR266" t="s">
        <v>752</v>
      </c>
      <c r="AS266" t="s">
        <v>141</v>
      </c>
      <c r="AT266" t="s">
        <v>271</v>
      </c>
      <c r="AU266" t="s">
        <v>247</v>
      </c>
      <c r="AV266" t="s">
        <v>228</v>
      </c>
      <c r="AW266" t="s">
        <v>1078</v>
      </c>
      <c r="AX266" t="s">
        <v>766</v>
      </c>
      <c r="AY266" t="s">
        <v>759</v>
      </c>
      <c r="AZ266" t="s">
        <v>1079</v>
      </c>
      <c r="BA266" t="s">
        <v>146</v>
      </c>
      <c r="BB266" t="s">
        <v>321</v>
      </c>
      <c r="BC266" t="s">
        <v>136</v>
      </c>
      <c r="BD266" t="s">
        <v>1080</v>
      </c>
      <c r="BE266" t="s">
        <v>9</v>
      </c>
      <c r="BF266" t="s">
        <v>174</v>
      </c>
      <c r="BG266" t="s">
        <v>230</v>
      </c>
      <c r="BH266" t="s">
        <v>380</v>
      </c>
      <c r="BI266" t="s">
        <v>765</v>
      </c>
      <c r="BJ266" t="s">
        <v>1096</v>
      </c>
      <c r="BK266" t="s">
        <v>917</v>
      </c>
      <c r="BL266" t="s">
        <v>231</v>
      </c>
      <c r="BM266" t="s">
        <v>1037</v>
      </c>
      <c r="BN266" t="s">
        <v>1083</v>
      </c>
      <c r="BO266" t="s">
        <v>963</v>
      </c>
      <c r="BP266" t="s">
        <v>1039</v>
      </c>
      <c r="BQ266" t="s">
        <v>976</v>
      </c>
      <c r="BR266" t="s">
        <v>232</v>
      </c>
      <c r="BS266" t="s">
        <v>322</v>
      </c>
      <c r="BT266" t="s">
        <v>785</v>
      </c>
      <c r="BU266" t="s">
        <v>1021</v>
      </c>
      <c r="BV266" t="s">
        <v>1022</v>
      </c>
      <c r="BW266" t="s">
        <v>293</v>
      </c>
      <c r="BX266" t="s">
        <v>756</v>
      </c>
      <c r="BY266" t="s">
        <v>233</v>
      </c>
      <c r="BZ266" t="s">
        <v>760</v>
      </c>
      <c r="CA266" t="s">
        <v>234</v>
      </c>
      <c r="CB266" t="s">
        <v>239</v>
      </c>
      <c r="CC266" t="s">
        <v>241</v>
      </c>
      <c r="CD266" t="s">
        <v>805</v>
      </c>
      <c r="CE266" t="s">
        <v>806</v>
      </c>
    </row>
    <row r="267" spans="1:108">
      <c r="A267" s="40">
        <v>250</v>
      </c>
      <c r="B267" s="40" t="s">
        <v>1446</v>
      </c>
      <c r="C267" s="2" t="s">
        <v>1447</v>
      </c>
      <c r="D267" s="2" t="s">
        <v>19</v>
      </c>
      <c r="E267" s="2" t="s">
        <v>20</v>
      </c>
      <c r="F267" s="2">
        <v>106</v>
      </c>
      <c r="G267" s="2">
        <v>130</v>
      </c>
      <c r="H267" s="2">
        <v>90</v>
      </c>
      <c r="I267" s="2">
        <v>110</v>
      </c>
      <c r="J267" s="2">
        <v>154</v>
      </c>
      <c r="K267" s="2">
        <v>90</v>
      </c>
      <c r="L267" s="2">
        <v>680</v>
      </c>
      <c r="M267" s="2" t="s">
        <v>1177</v>
      </c>
      <c r="N267" s="2" t="s">
        <v>1061</v>
      </c>
      <c r="O267" t="s">
        <v>291</v>
      </c>
      <c r="P267" t="s">
        <v>1192</v>
      </c>
      <c r="Q267" t="s">
        <v>289</v>
      </c>
      <c r="R267" t="s">
        <v>1123</v>
      </c>
      <c r="S267" t="s">
        <v>1154</v>
      </c>
      <c r="T267" t="s">
        <v>752</v>
      </c>
      <c r="U267" t="s">
        <v>257</v>
      </c>
      <c r="V267" t="s">
        <v>1448</v>
      </c>
      <c r="W267" t="s">
        <v>1001</v>
      </c>
      <c r="X267" t="s">
        <v>170</v>
      </c>
      <c r="Y267" t="s">
        <v>759</v>
      </c>
      <c r="Z267" t="s">
        <v>459</v>
      </c>
      <c r="AA267" t="s">
        <v>790</v>
      </c>
      <c r="AB267" t="s">
        <v>992</v>
      </c>
      <c r="AC267" t="s">
        <v>912</v>
      </c>
      <c r="AD267" t="s">
        <v>316</v>
      </c>
      <c r="AE267" t="s">
        <v>1062</v>
      </c>
      <c r="AF267" t="s">
        <v>138</v>
      </c>
      <c r="AG267" t="s">
        <v>227</v>
      </c>
      <c r="AH267" t="s">
        <v>1063</v>
      </c>
      <c r="AI267" t="s">
        <v>912</v>
      </c>
      <c r="AJ267" t="s">
        <v>246</v>
      </c>
      <c r="AK267" t="s">
        <v>148</v>
      </c>
      <c r="AL267" t="s">
        <v>172</v>
      </c>
      <c r="AM267" t="s">
        <v>752</v>
      </c>
      <c r="AN267" t="s">
        <v>247</v>
      </c>
      <c r="AO267" t="s">
        <v>228</v>
      </c>
      <c r="AP267" t="s">
        <v>1078</v>
      </c>
      <c r="AQ267" t="s">
        <v>766</v>
      </c>
      <c r="AR267" t="s">
        <v>759</v>
      </c>
      <c r="AS267" t="s">
        <v>1079</v>
      </c>
      <c r="AT267" t="s">
        <v>229</v>
      </c>
      <c r="AU267" t="s">
        <v>146</v>
      </c>
      <c r="AV267" t="s">
        <v>321</v>
      </c>
      <c r="AW267" t="s">
        <v>136</v>
      </c>
      <c r="AX267" t="s">
        <v>1080</v>
      </c>
      <c r="AY267" t="s">
        <v>9</v>
      </c>
      <c r="AZ267" t="s">
        <v>174</v>
      </c>
      <c r="BA267" t="s">
        <v>230</v>
      </c>
      <c r="BB267" t="s">
        <v>380</v>
      </c>
      <c r="BC267" t="s">
        <v>254</v>
      </c>
      <c r="BD267" t="s">
        <v>765</v>
      </c>
      <c r="BE267" t="s">
        <v>257</v>
      </c>
      <c r="BF267" t="s">
        <v>1096</v>
      </c>
      <c r="BG267" t="s">
        <v>917</v>
      </c>
      <c r="BH267" t="s">
        <v>1097</v>
      </c>
      <c r="BI267" t="s">
        <v>231</v>
      </c>
      <c r="BJ267" t="s">
        <v>1037</v>
      </c>
      <c r="BK267" t="s">
        <v>1083</v>
      </c>
      <c r="BL267" t="s">
        <v>1098</v>
      </c>
      <c r="BM267" t="s">
        <v>963</v>
      </c>
      <c r="BN267" t="s">
        <v>1039</v>
      </c>
      <c r="BO267" t="s">
        <v>1031</v>
      </c>
      <c r="BP267" t="s">
        <v>956</v>
      </c>
      <c r="BQ267" t="s">
        <v>976</v>
      </c>
      <c r="BR267" t="s">
        <v>232</v>
      </c>
      <c r="BS267" t="s">
        <v>322</v>
      </c>
      <c r="BT267" t="s">
        <v>785</v>
      </c>
      <c r="BU267" t="s">
        <v>1021</v>
      </c>
      <c r="BV267" t="s">
        <v>293</v>
      </c>
      <c r="BW267" t="s">
        <v>756</v>
      </c>
      <c r="BX267" t="s">
        <v>233</v>
      </c>
      <c r="BY267" t="s">
        <v>760</v>
      </c>
      <c r="BZ267" t="s">
        <v>234</v>
      </c>
      <c r="CA267" t="s">
        <v>239</v>
      </c>
      <c r="CB267" t="s">
        <v>241</v>
      </c>
      <c r="CC267" t="s">
        <v>805</v>
      </c>
      <c r="CD267" t="s">
        <v>806</v>
      </c>
    </row>
    <row r="268" spans="1:108">
      <c r="A268" s="40">
        <v>251</v>
      </c>
      <c r="B268" s="40" t="s">
        <v>1449</v>
      </c>
      <c r="C268" s="2" t="s">
        <v>1450</v>
      </c>
      <c r="D268" s="2" t="s">
        <v>9</v>
      </c>
      <c r="E268" s="2" t="s">
        <v>21</v>
      </c>
      <c r="F268" s="2">
        <v>100</v>
      </c>
      <c r="G268" s="2">
        <v>100</v>
      </c>
      <c r="H268" s="2">
        <v>100</v>
      </c>
      <c r="I268" s="2">
        <v>100</v>
      </c>
      <c r="J268" s="2">
        <v>100</v>
      </c>
      <c r="K268" s="2">
        <v>100</v>
      </c>
      <c r="L268" s="2">
        <v>600</v>
      </c>
      <c r="M268" s="2" t="s">
        <v>1188</v>
      </c>
      <c r="N268" s="2" t="s">
        <v>1061</v>
      </c>
      <c r="O268" t="s">
        <v>142</v>
      </c>
      <c r="P268" t="s">
        <v>287</v>
      </c>
      <c r="Q268" t="s">
        <v>459</v>
      </c>
      <c r="R268" t="s">
        <v>795</v>
      </c>
      <c r="S268" t="s">
        <v>759</v>
      </c>
      <c r="T268" t="s">
        <v>930</v>
      </c>
      <c r="U268" t="s">
        <v>170</v>
      </c>
      <c r="V268" t="s">
        <v>788</v>
      </c>
      <c r="W268" t="s">
        <v>992</v>
      </c>
      <c r="X268" t="s">
        <v>1451</v>
      </c>
      <c r="Y268" t="s">
        <v>790</v>
      </c>
      <c r="Z268" t="s">
        <v>982</v>
      </c>
      <c r="AA268" t="s">
        <v>1086</v>
      </c>
      <c r="AB268" t="s">
        <v>786</v>
      </c>
      <c r="AC268" t="s">
        <v>1062</v>
      </c>
      <c r="AD268" t="s">
        <v>226</v>
      </c>
      <c r="AE268" t="s">
        <v>1063</v>
      </c>
      <c r="AF268" t="s">
        <v>912</v>
      </c>
      <c r="AG268" t="s">
        <v>148</v>
      </c>
      <c r="AH268" t="s">
        <v>172</v>
      </c>
      <c r="AI268" t="s">
        <v>752</v>
      </c>
      <c r="AJ268" t="s">
        <v>247</v>
      </c>
      <c r="AK268" t="s">
        <v>228</v>
      </c>
      <c r="AL268" t="s">
        <v>1078</v>
      </c>
      <c r="AM268" t="s">
        <v>766</v>
      </c>
      <c r="AN268" t="s">
        <v>759</v>
      </c>
      <c r="AO268" t="s">
        <v>1079</v>
      </c>
      <c r="AP268" t="s">
        <v>229</v>
      </c>
      <c r="AQ268" t="s">
        <v>1080</v>
      </c>
      <c r="AR268" t="s">
        <v>9</v>
      </c>
      <c r="AS268" t="s">
        <v>174</v>
      </c>
      <c r="AT268" t="s">
        <v>230</v>
      </c>
      <c r="AU268" t="s">
        <v>380</v>
      </c>
      <c r="AV268" t="s">
        <v>765</v>
      </c>
      <c r="AW268" t="s">
        <v>1096</v>
      </c>
      <c r="AX268" t="s">
        <v>917</v>
      </c>
      <c r="AY268" t="s">
        <v>231</v>
      </c>
      <c r="AZ268" t="s">
        <v>1037</v>
      </c>
      <c r="BA268" t="s">
        <v>1083</v>
      </c>
      <c r="BB268" t="s">
        <v>970</v>
      </c>
      <c r="BC268" t="s">
        <v>974</v>
      </c>
      <c r="BD268" t="s">
        <v>963</v>
      </c>
      <c r="BE268" t="s">
        <v>976</v>
      </c>
      <c r="BF268" t="s">
        <v>232</v>
      </c>
      <c r="BG268" t="s">
        <v>322</v>
      </c>
      <c r="BH268" t="s">
        <v>145</v>
      </c>
      <c r="BI268" t="s">
        <v>785</v>
      </c>
      <c r="BJ268" t="s">
        <v>293</v>
      </c>
      <c r="BK268" t="s">
        <v>977</v>
      </c>
      <c r="BL268" t="s">
        <v>756</v>
      </c>
      <c r="BM268" t="s">
        <v>1014</v>
      </c>
      <c r="BN268" t="s">
        <v>233</v>
      </c>
      <c r="BO268" t="s">
        <v>1012</v>
      </c>
      <c r="BP268" t="s">
        <v>234</v>
      </c>
      <c r="BQ268" t="s">
        <v>239</v>
      </c>
      <c r="BR268" t="s">
        <v>241</v>
      </c>
      <c r="BS268" t="s">
        <v>805</v>
      </c>
      <c r="BT268" t="s">
        <v>806</v>
      </c>
    </row>
    <row r="269" spans="1:108">
      <c r="A269" s="40">
        <v>252</v>
      </c>
      <c r="B269" s="40" t="s">
        <v>1452</v>
      </c>
      <c r="C269" s="2" t="s">
        <v>1453</v>
      </c>
      <c r="D269" s="2" t="s">
        <v>21</v>
      </c>
      <c r="E269" s="2"/>
      <c r="F269" s="2">
        <v>40</v>
      </c>
      <c r="G269" s="2">
        <v>45</v>
      </c>
      <c r="H269" s="2">
        <v>35</v>
      </c>
      <c r="I269" s="2">
        <v>65</v>
      </c>
      <c r="J269" s="2">
        <v>55</v>
      </c>
      <c r="K269" s="2">
        <v>70</v>
      </c>
      <c r="L269" s="2">
        <v>310</v>
      </c>
      <c r="M269" s="2" t="s">
        <v>1103</v>
      </c>
      <c r="N269" s="2" t="s">
        <v>1061</v>
      </c>
      <c r="O269" t="s">
        <v>376</v>
      </c>
      <c r="P269" t="s">
        <v>330</v>
      </c>
      <c r="Q269" t="s">
        <v>402</v>
      </c>
      <c r="R269" t="s">
        <v>310</v>
      </c>
      <c r="S269" t="s">
        <v>773</v>
      </c>
      <c r="T269" t="s">
        <v>324</v>
      </c>
      <c r="U269" t="s">
        <v>403</v>
      </c>
      <c r="V269" t="s">
        <v>306</v>
      </c>
      <c r="W269" t="s">
        <v>341</v>
      </c>
      <c r="X269" t="s">
        <v>1220</v>
      </c>
      <c r="Y269" t="s">
        <v>171</v>
      </c>
      <c r="Z269" t="s">
        <v>970</v>
      </c>
      <c r="AA269" t="s">
        <v>1062</v>
      </c>
      <c r="AB269" t="s">
        <v>226</v>
      </c>
      <c r="AC269" t="s">
        <v>227</v>
      </c>
      <c r="AD269" t="s">
        <v>1063</v>
      </c>
      <c r="AE269" t="s">
        <v>148</v>
      </c>
      <c r="AF269" t="s">
        <v>172</v>
      </c>
      <c r="AG269" t="s">
        <v>752</v>
      </c>
      <c r="AH269" t="s">
        <v>1078</v>
      </c>
      <c r="AI269" t="s">
        <v>759</v>
      </c>
      <c r="AJ269" t="s">
        <v>1079</v>
      </c>
      <c r="AK269" t="s">
        <v>229</v>
      </c>
      <c r="AL269" t="s">
        <v>1080</v>
      </c>
      <c r="AM269" t="s">
        <v>256</v>
      </c>
      <c r="AN269" t="s">
        <v>1094</v>
      </c>
      <c r="AO269" t="s">
        <v>230</v>
      </c>
      <c r="AP269" t="s">
        <v>1095</v>
      </c>
      <c r="AQ269" t="s">
        <v>1096</v>
      </c>
      <c r="AR269" t="s">
        <v>917</v>
      </c>
      <c r="AS269" t="s">
        <v>231</v>
      </c>
      <c r="AT269" t="s">
        <v>1082</v>
      </c>
      <c r="AU269" t="s">
        <v>1037</v>
      </c>
      <c r="AV269" t="s">
        <v>970</v>
      </c>
      <c r="AW269" t="s">
        <v>974</v>
      </c>
      <c r="AX269" t="s">
        <v>1020</v>
      </c>
      <c r="AY269" t="s">
        <v>232</v>
      </c>
      <c r="AZ269" t="s">
        <v>145</v>
      </c>
      <c r="BA269" t="s">
        <v>143</v>
      </c>
      <c r="BB269" t="s">
        <v>977</v>
      </c>
      <c r="BC269" t="s">
        <v>756</v>
      </c>
      <c r="BD269" t="s">
        <v>233</v>
      </c>
      <c r="BE269" t="s">
        <v>760</v>
      </c>
      <c r="BF269" t="s">
        <v>234</v>
      </c>
      <c r="BG269" t="s">
        <v>332</v>
      </c>
      <c r="BH269" t="s">
        <v>359</v>
      </c>
      <c r="BI269" t="s">
        <v>142</v>
      </c>
      <c r="BJ269" t="s">
        <v>762</v>
      </c>
      <c r="BK269" t="s">
        <v>750</v>
      </c>
      <c r="BL269" t="s">
        <v>777</v>
      </c>
      <c r="BM269" t="s">
        <v>916</v>
      </c>
      <c r="BN269" t="s">
        <v>933</v>
      </c>
      <c r="BO269" t="s">
        <v>1143</v>
      </c>
      <c r="BP269" t="s">
        <v>1084</v>
      </c>
      <c r="BQ269" t="s">
        <v>1190</v>
      </c>
      <c r="BR269" t="s">
        <v>930</v>
      </c>
      <c r="BS269" t="s">
        <v>992</v>
      </c>
      <c r="BT269" t="s">
        <v>1017</v>
      </c>
      <c r="BU269" t="s">
        <v>1086</v>
      </c>
      <c r="BV269" t="s">
        <v>239</v>
      </c>
      <c r="BW269" t="s">
        <v>241</v>
      </c>
      <c r="BX269" t="s">
        <v>805</v>
      </c>
      <c r="BY269" t="s">
        <v>806</v>
      </c>
    </row>
    <row r="270" spans="1:108">
      <c r="A270" s="40">
        <v>253</v>
      </c>
      <c r="B270" s="40" t="s">
        <v>1454</v>
      </c>
      <c r="C270" s="2" t="s">
        <v>1455</v>
      </c>
      <c r="D270" s="2" t="s">
        <v>21</v>
      </c>
      <c r="E270" s="2"/>
      <c r="F270" s="2">
        <v>50</v>
      </c>
      <c r="G270" s="2">
        <v>65</v>
      </c>
      <c r="H270" s="2">
        <v>45</v>
      </c>
      <c r="I270" s="2">
        <v>85</v>
      </c>
      <c r="J270" s="2">
        <v>65</v>
      </c>
      <c r="K270" s="2">
        <v>95</v>
      </c>
      <c r="L270" s="2">
        <v>405</v>
      </c>
      <c r="M270" s="2" t="s">
        <v>1129</v>
      </c>
      <c r="N270" s="2" t="s">
        <v>1061</v>
      </c>
      <c r="O270" t="s">
        <v>376</v>
      </c>
      <c r="P270" t="s">
        <v>330</v>
      </c>
      <c r="Q270" t="s">
        <v>402</v>
      </c>
      <c r="R270" t="s">
        <v>310</v>
      </c>
      <c r="S270" t="s">
        <v>402</v>
      </c>
      <c r="T270" t="s">
        <v>310</v>
      </c>
      <c r="U270" t="s">
        <v>758</v>
      </c>
      <c r="V270" t="s">
        <v>773</v>
      </c>
      <c r="W270" t="s">
        <v>324</v>
      </c>
      <c r="X270" t="s">
        <v>1194</v>
      </c>
      <c r="Y270" t="s">
        <v>306</v>
      </c>
      <c r="Z270" t="s">
        <v>341</v>
      </c>
      <c r="AA270" t="s">
        <v>1220</v>
      </c>
      <c r="AB270" t="s">
        <v>776</v>
      </c>
      <c r="AC270" t="s">
        <v>1086</v>
      </c>
      <c r="AD270" t="s">
        <v>1062</v>
      </c>
      <c r="AE270" t="s">
        <v>226</v>
      </c>
      <c r="AF270" t="s">
        <v>227</v>
      </c>
      <c r="AG270" t="s">
        <v>1063</v>
      </c>
      <c r="AH270" t="s">
        <v>148</v>
      </c>
      <c r="AI270" t="s">
        <v>172</v>
      </c>
      <c r="AJ270" t="s">
        <v>752</v>
      </c>
      <c r="AK270" t="s">
        <v>1078</v>
      </c>
      <c r="AL270" t="s">
        <v>759</v>
      </c>
      <c r="AM270" t="s">
        <v>1079</v>
      </c>
      <c r="AN270" t="s">
        <v>229</v>
      </c>
      <c r="AO270" t="s">
        <v>1080</v>
      </c>
      <c r="AP270" t="s">
        <v>256</v>
      </c>
      <c r="AQ270" t="s">
        <v>1094</v>
      </c>
      <c r="AR270" t="s">
        <v>230</v>
      </c>
      <c r="AS270" t="s">
        <v>1095</v>
      </c>
      <c r="AT270" t="s">
        <v>1096</v>
      </c>
      <c r="AU270" t="s">
        <v>917</v>
      </c>
      <c r="AV270" t="s">
        <v>231</v>
      </c>
      <c r="AW270" t="s">
        <v>1082</v>
      </c>
      <c r="AX270" t="s">
        <v>1172</v>
      </c>
      <c r="AY270" t="s">
        <v>1037</v>
      </c>
      <c r="AZ270" t="s">
        <v>970</v>
      </c>
      <c r="BA270" t="s">
        <v>776</v>
      </c>
      <c r="BB270" t="s">
        <v>974</v>
      </c>
      <c r="BC270" t="s">
        <v>1020</v>
      </c>
      <c r="BD270" t="s">
        <v>232</v>
      </c>
      <c r="BE270" t="s">
        <v>145</v>
      </c>
      <c r="BF270" t="s">
        <v>143</v>
      </c>
      <c r="BG270" t="s">
        <v>1018</v>
      </c>
      <c r="BH270" t="s">
        <v>977</v>
      </c>
      <c r="BI270" t="s">
        <v>756</v>
      </c>
      <c r="BJ270" t="s">
        <v>233</v>
      </c>
      <c r="BK270" t="s">
        <v>760</v>
      </c>
      <c r="BL270" t="s">
        <v>234</v>
      </c>
      <c r="BM270" t="s">
        <v>332</v>
      </c>
      <c r="BN270" t="s">
        <v>359</v>
      </c>
      <c r="BO270" t="s">
        <v>142</v>
      </c>
      <c r="BP270" t="s">
        <v>762</v>
      </c>
      <c r="BQ270" t="s">
        <v>750</v>
      </c>
      <c r="BR270" t="s">
        <v>777</v>
      </c>
      <c r="BS270" t="s">
        <v>916</v>
      </c>
      <c r="BT270" t="s">
        <v>933</v>
      </c>
      <c r="BU270" t="s">
        <v>1143</v>
      </c>
      <c r="BV270" t="s">
        <v>1084</v>
      </c>
      <c r="BW270" t="s">
        <v>1190</v>
      </c>
      <c r="BX270" t="s">
        <v>930</v>
      </c>
      <c r="BY270" t="s">
        <v>992</v>
      </c>
      <c r="BZ270" t="s">
        <v>1017</v>
      </c>
      <c r="CA270" t="s">
        <v>1086</v>
      </c>
      <c r="CB270" t="s">
        <v>239</v>
      </c>
      <c r="CC270" t="s">
        <v>241</v>
      </c>
      <c r="CD270" t="s">
        <v>403</v>
      </c>
      <c r="CE270" t="s">
        <v>171</v>
      </c>
      <c r="CF270" t="s">
        <v>970</v>
      </c>
      <c r="CG270" t="s">
        <v>805</v>
      </c>
      <c r="CH270" t="s">
        <v>806</v>
      </c>
    </row>
    <row r="271" spans="1:108">
      <c r="A271" s="40">
        <v>254</v>
      </c>
      <c r="B271" s="40" t="s">
        <v>1456</v>
      </c>
      <c r="C271" s="2" t="s">
        <v>1457</v>
      </c>
      <c r="D271" s="2" t="s">
        <v>21</v>
      </c>
      <c r="E271" s="2"/>
      <c r="F271" s="2">
        <v>70</v>
      </c>
      <c r="G271" s="2">
        <v>85</v>
      </c>
      <c r="H271" s="2">
        <v>65</v>
      </c>
      <c r="I271" s="2">
        <v>105</v>
      </c>
      <c r="J271" s="2">
        <v>85</v>
      </c>
      <c r="K271" s="2">
        <v>120</v>
      </c>
      <c r="L271" s="2">
        <v>530</v>
      </c>
      <c r="M271" s="2" t="s">
        <v>1752</v>
      </c>
      <c r="N271" s="2" t="s">
        <v>1061</v>
      </c>
      <c r="O271" t="s">
        <v>376</v>
      </c>
      <c r="P271" t="s">
        <v>330</v>
      </c>
      <c r="Q271" t="s">
        <v>402</v>
      </c>
      <c r="R271" t="s">
        <v>310</v>
      </c>
      <c r="S271" t="s">
        <v>993</v>
      </c>
      <c r="T271" t="s">
        <v>402</v>
      </c>
      <c r="U271" t="s">
        <v>310</v>
      </c>
      <c r="V271" t="s">
        <v>1018</v>
      </c>
      <c r="W271" t="s">
        <v>773</v>
      </c>
      <c r="X271" t="s">
        <v>324</v>
      </c>
      <c r="Y271" t="s">
        <v>1194</v>
      </c>
      <c r="Z271" t="s">
        <v>306</v>
      </c>
      <c r="AA271" t="s">
        <v>341</v>
      </c>
      <c r="AB271" t="s">
        <v>1220</v>
      </c>
      <c r="AC271" t="s">
        <v>776</v>
      </c>
      <c r="AD271" t="s">
        <v>1086</v>
      </c>
      <c r="AE271" t="s">
        <v>1062</v>
      </c>
      <c r="AF271" t="s">
        <v>226</v>
      </c>
      <c r="AG271" t="s">
        <v>227</v>
      </c>
      <c r="AH271" t="s">
        <v>1063</v>
      </c>
      <c r="AI271" t="s">
        <v>1030</v>
      </c>
      <c r="AJ271" t="s">
        <v>1093</v>
      </c>
      <c r="AK271" t="s">
        <v>246</v>
      </c>
      <c r="AL271" t="s">
        <v>148</v>
      </c>
      <c r="AM271" t="s">
        <v>172</v>
      </c>
      <c r="AN271" t="s">
        <v>752</v>
      </c>
      <c r="AO271" t="s">
        <v>247</v>
      </c>
      <c r="AP271" t="s">
        <v>1078</v>
      </c>
      <c r="AQ271" t="s">
        <v>759</v>
      </c>
      <c r="AR271" t="s">
        <v>1079</v>
      </c>
      <c r="AS271" t="s">
        <v>229</v>
      </c>
      <c r="AT271" t="s">
        <v>136</v>
      </c>
      <c r="AU271" t="s">
        <v>1080</v>
      </c>
      <c r="AV271" t="s">
        <v>256</v>
      </c>
      <c r="AW271" t="s">
        <v>1094</v>
      </c>
      <c r="AX271" t="s">
        <v>230</v>
      </c>
      <c r="AY271" t="s">
        <v>1095</v>
      </c>
      <c r="AZ271" t="s">
        <v>1096</v>
      </c>
      <c r="BA271" t="s">
        <v>917</v>
      </c>
      <c r="BB271" t="s">
        <v>231</v>
      </c>
      <c r="BC271" t="s">
        <v>1082</v>
      </c>
      <c r="BD271" t="s">
        <v>1172</v>
      </c>
      <c r="BE271" t="s">
        <v>1037</v>
      </c>
      <c r="BF271" t="s">
        <v>1102</v>
      </c>
      <c r="BG271" t="s">
        <v>970</v>
      </c>
      <c r="BH271" t="s">
        <v>776</v>
      </c>
      <c r="BI271" t="s">
        <v>974</v>
      </c>
      <c r="BJ271" t="s">
        <v>1020</v>
      </c>
      <c r="BK271" t="s">
        <v>976</v>
      </c>
      <c r="BL271" t="s">
        <v>232</v>
      </c>
      <c r="BM271" t="s">
        <v>145</v>
      </c>
      <c r="BN271" t="s">
        <v>1021</v>
      </c>
      <c r="BO271" t="s">
        <v>143</v>
      </c>
      <c r="BP271" t="s">
        <v>1018</v>
      </c>
      <c r="BQ271" t="s">
        <v>977</v>
      </c>
      <c r="BR271" t="s">
        <v>756</v>
      </c>
      <c r="BS271" t="s">
        <v>233</v>
      </c>
      <c r="BT271" t="s">
        <v>760</v>
      </c>
      <c r="BU271" t="s">
        <v>234</v>
      </c>
      <c r="BV271" t="s">
        <v>332</v>
      </c>
      <c r="BW271" t="s">
        <v>359</v>
      </c>
      <c r="BX271" t="s">
        <v>142</v>
      </c>
      <c r="BY271" t="s">
        <v>762</v>
      </c>
      <c r="BZ271" t="s">
        <v>750</v>
      </c>
      <c r="CA271" t="s">
        <v>777</v>
      </c>
      <c r="CB271" t="s">
        <v>916</v>
      </c>
      <c r="CC271" t="s">
        <v>933</v>
      </c>
      <c r="CD271" t="s">
        <v>1143</v>
      </c>
      <c r="CE271" t="s">
        <v>1084</v>
      </c>
      <c r="CF271" t="s">
        <v>1190</v>
      </c>
      <c r="CG271" t="s">
        <v>930</v>
      </c>
      <c r="CH271" t="s">
        <v>992</v>
      </c>
      <c r="CI271" t="s">
        <v>1017</v>
      </c>
      <c r="CJ271" t="s">
        <v>1086</v>
      </c>
      <c r="CK271" t="s">
        <v>239</v>
      </c>
      <c r="CL271" t="s">
        <v>241</v>
      </c>
      <c r="CM271" t="s">
        <v>758</v>
      </c>
      <c r="CN271" t="s">
        <v>403</v>
      </c>
      <c r="CO271" t="s">
        <v>171</v>
      </c>
      <c r="CP271" t="s">
        <v>970</v>
      </c>
      <c r="CQ271" t="s">
        <v>805</v>
      </c>
      <c r="CR271" t="s">
        <v>806</v>
      </c>
    </row>
    <row r="272" spans="1:108">
      <c r="A272" s="40">
        <v>255</v>
      </c>
      <c r="B272" s="40" t="s">
        <v>1459</v>
      </c>
      <c r="C272" s="2" t="s">
        <v>1460</v>
      </c>
      <c r="D272" s="2" t="s">
        <v>19</v>
      </c>
      <c r="E272" s="2"/>
      <c r="F272" s="2">
        <v>45</v>
      </c>
      <c r="G272" s="2">
        <v>60</v>
      </c>
      <c r="H272" s="2">
        <v>40</v>
      </c>
      <c r="I272" s="2">
        <v>70</v>
      </c>
      <c r="J272" s="2">
        <v>50</v>
      </c>
      <c r="K272" s="2">
        <v>45</v>
      </c>
      <c r="L272" s="2">
        <v>310</v>
      </c>
      <c r="M272" s="2" t="s">
        <v>1145</v>
      </c>
      <c r="N272" s="2" t="s">
        <v>1061</v>
      </c>
      <c r="O272" t="s">
        <v>249</v>
      </c>
      <c r="P272" t="s">
        <v>220</v>
      </c>
      <c r="Q272" t="s">
        <v>302</v>
      </c>
      <c r="R272" t="s">
        <v>250</v>
      </c>
      <c r="S272" t="s">
        <v>329</v>
      </c>
      <c r="T272" t="s">
        <v>309</v>
      </c>
      <c r="U272" t="s">
        <v>255</v>
      </c>
      <c r="V272" t="s">
        <v>310</v>
      </c>
      <c r="W272" t="s">
        <v>253</v>
      </c>
      <c r="X272" t="s">
        <v>311</v>
      </c>
      <c r="Y272" t="s">
        <v>254</v>
      </c>
      <c r="Z272" t="s">
        <v>1062</v>
      </c>
      <c r="AA272" t="s">
        <v>226</v>
      </c>
      <c r="AB272" t="s">
        <v>227</v>
      </c>
      <c r="AC272" t="s">
        <v>1063</v>
      </c>
      <c r="AD272" t="s">
        <v>1030</v>
      </c>
      <c r="AE272" t="s">
        <v>148</v>
      </c>
      <c r="AF272" t="s">
        <v>172</v>
      </c>
      <c r="AG272" t="s">
        <v>752</v>
      </c>
      <c r="AH272" t="s">
        <v>1078</v>
      </c>
      <c r="AI272" t="s">
        <v>1079</v>
      </c>
      <c r="AJ272" t="s">
        <v>1080</v>
      </c>
      <c r="AK272" t="s">
        <v>256</v>
      </c>
      <c r="AL272" t="s">
        <v>230</v>
      </c>
      <c r="AM272" t="s">
        <v>254</v>
      </c>
      <c r="AN272" t="s">
        <v>257</v>
      </c>
      <c r="AO272" t="s">
        <v>1095</v>
      </c>
      <c r="AP272" t="s">
        <v>1096</v>
      </c>
      <c r="AQ272" t="s">
        <v>917</v>
      </c>
      <c r="AR272" t="s">
        <v>1097</v>
      </c>
      <c r="AS272" t="s">
        <v>231</v>
      </c>
      <c r="AT272" t="s">
        <v>1082</v>
      </c>
      <c r="AU272" t="s">
        <v>1037</v>
      </c>
      <c r="AV272" t="s">
        <v>1083</v>
      </c>
      <c r="AW272" t="s">
        <v>1098</v>
      </c>
      <c r="AX272" t="s">
        <v>1031</v>
      </c>
      <c r="AY272" t="s">
        <v>956</v>
      </c>
      <c r="AZ272" t="s">
        <v>1005</v>
      </c>
      <c r="BA272" t="s">
        <v>145</v>
      </c>
      <c r="BB272" t="s">
        <v>143</v>
      </c>
      <c r="BC272" t="s">
        <v>756</v>
      </c>
      <c r="BD272" t="s">
        <v>757</v>
      </c>
      <c r="BE272" t="s">
        <v>233</v>
      </c>
      <c r="BF272" t="s">
        <v>760</v>
      </c>
      <c r="BG272" t="s">
        <v>2339</v>
      </c>
      <c r="BH272" t="s">
        <v>234</v>
      </c>
      <c r="BI272" t="s">
        <v>432</v>
      </c>
      <c r="BJ272" t="s">
        <v>259</v>
      </c>
      <c r="BK272" t="s">
        <v>306</v>
      </c>
      <c r="BL272" t="s">
        <v>751</v>
      </c>
      <c r="BM272" t="s">
        <v>775</v>
      </c>
      <c r="BN272" t="s">
        <v>754</v>
      </c>
      <c r="BO272" t="s">
        <v>788</v>
      </c>
      <c r="BP272" t="s">
        <v>944</v>
      </c>
      <c r="BQ272" t="s">
        <v>1121</v>
      </c>
      <c r="BR272" t="s">
        <v>1143</v>
      </c>
      <c r="BS272" t="s">
        <v>971</v>
      </c>
      <c r="BT272" t="s">
        <v>986</v>
      </c>
      <c r="BU272" t="s">
        <v>993</v>
      </c>
      <c r="BV272" t="s">
        <v>1026</v>
      </c>
      <c r="BW272" t="s">
        <v>239</v>
      </c>
      <c r="BX272" t="s">
        <v>241</v>
      </c>
      <c r="BY272" t="s">
        <v>805</v>
      </c>
      <c r="BZ272" t="s">
        <v>806</v>
      </c>
    </row>
    <row r="273" spans="1:103">
      <c r="A273" s="40">
        <v>256</v>
      </c>
      <c r="B273" s="40" t="s">
        <v>1461</v>
      </c>
      <c r="C273" s="2" t="s">
        <v>1462</v>
      </c>
      <c r="D273" s="2" t="s">
        <v>19</v>
      </c>
      <c r="E273" s="2" t="s">
        <v>18</v>
      </c>
      <c r="F273" s="2">
        <v>60</v>
      </c>
      <c r="G273" s="2">
        <v>85</v>
      </c>
      <c r="H273" s="2">
        <v>60</v>
      </c>
      <c r="I273" s="2">
        <v>85</v>
      </c>
      <c r="J273" s="2">
        <v>60</v>
      </c>
      <c r="K273" s="2">
        <v>55</v>
      </c>
      <c r="L273" s="2">
        <v>405</v>
      </c>
      <c r="M273" s="2" t="s">
        <v>1159</v>
      </c>
      <c r="N273" s="2" t="s">
        <v>1061</v>
      </c>
      <c r="O273" t="s">
        <v>249</v>
      </c>
      <c r="P273" t="s">
        <v>220</v>
      </c>
      <c r="Q273" t="s">
        <v>250</v>
      </c>
      <c r="R273" t="s">
        <v>302</v>
      </c>
      <c r="S273" t="s">
        <v>302</v>
      </c>
      <c r="T273" t="s">
        <v>250</v>
      </c>
      <c r="U273" t="s">
        <v>359</v>
      </c>
      <c r="V273" t="s">
        <v>329</v>
      </c>
      <c r="W273" t="s">
        <v>309</v>
      </c>
      <c r="X273" t="s">
        <v>1175</v>
      </c>
      <c r="Y273" t="s">
        <v>310</v>
      </c>
      <c r="Z273" t="s">
        <v>253</v>
      </c>
      <c r="AA273" t="s">
        <v>311</v>
      </c>
      <c r="AB273" t="s">
        <v>942</v>
      </c>
      <c r="AC273" t="s">
        <v>972</v>
      </c>
      <c r="AD273" t="s">
        <v>1062</v>
      </c>
      <c r="AE273" t="s">
        <v>226</v>
      </c>
      <c r="AF273" t="s">
        <v>227</v>
      </c>
      <c r="AG273" t="s">
        <v>1063</v>
      </c>
      <c r="AH273" t="s">
        <v>1030</v>
      </c>
      <c r="AI273" t="s">
        <v>148</v>
      </c>
      <c r="AJ273" t="s">
        <v>1175</v>
      </c>
      <c r="AK273" t="s">
        <v>172</v>
      </c>
      <c r="AL273" t="s">
        <v>752</v>
      </c>
      <c r="AM273" t="s">
        <v>1078</v>
      </c>
      <c r="AN273" t="s">
        <v>1079</v>
      </c>
      <c r="AO273" t="s">
        <v>1080</v>
      </c>
      <c r="AP273" t="s">
        <v>256</v>
      </c>
      <c r="AQ273" t="s">
        <v>1094</v>
      </c>
      <c r="AR273" t="s">
        <v>230</v>
      </c>
      <c r="AS273" t="s">
        <v>254</v>
      </c>
      <c r="AT273" t="s">
        <v>257</v>
      </c>
      <c r="AU273" t="s">
        <v>1095</v>
      </c>
      <c r="AV273" t="s">
        <v>1096</v>
      </c>
      <c r="AW273" t="s">
        <v>917</v>
      </c>
      <c r="AX273" t="s">
        <v>1097</v>
      </c>
      <c r="AY273" t="s">
        <v>231</v>
      </c>
      <c r="AZ273" t="s">
        <v>1082</v>
      </c>
      <c r="BA273" t="s">
        <v>1172</v>
      </c>
      <c r="BB273" t="s">
        <v>1037</v>
      </c>
      <c r="BC273" t="s">
        <v>1083</v>
      </c>
      <c r="BD273" t="s">
        <v>1098</v>
      </c>
      <c r="BE273" t="s">
        <v>1102</v>
      </c>
      <c r="BF273" t="s">
        <v>974</v>
      </c>
      <c r="BG273" t="s">
        <v>1031</v>
      </c>
      <c r="BH273" t="s">
        <v>956</v>
      </c>
      <c r="BI273" t="s">
        <v>1005</v>
      </c>
      <c r="BJ273" t="s">
        <v>145</v>
      </c>
      <c r="BK273" t="s">
        <v>143</v>
      </c>
      <c r="BL273" t="s">
        <v>997</v>
      </c>
      <c r="BM273" t="s">
        <v>756</v>
      </c>
      <c r="BN273" t="s">
        <v>757</v>
      </c>
      <c r="BO273" t="s">
        <v>233</v>
      </c>
      <c r="BP273" t="s">
        <v>760</v>
      </c>
      <c r="BQ273" t="s">
        <v>2398</v>
      </c>
      <c r="BR273" t="s">
        <v>2339</v>
      </c>
      <c r="BS273" t="s">
        <v>234</v>
      </c>
      <c r="BT273" t="s">
        <v>432</v>
      </c>
      <c r="BU273" t="s">
        <v>259</v>
      </c>
      <c r="BV273" t="s">
        <v>306</v>
      </c>
      <c r="BW273" t="s">
        <v>751</v>
      </c>
      <c r="BX273" t="s">
        <v>775</v>
      </c>
      <c r="BY273" t="s">
        <v>754</v>
      </c>
      <c r="BZ273" t="s">
        <v>788</v>
      </c>
      <c r="CA273" t="s">
        <v>944</v>
      </c>
      <c r="CB273" t="s">
        <v>1121</v>
      </c>
      <c r="CC273" t="s">
        <v>1143</v>
      </c>
      <c r="CD273" t="s">
        <v>971</v>
      </c>
      <c r="CE273" t="s">
        <v>986</v>
      </c>
      <c r="CF273" t="s">
        <v>993</v>
      </c>
      <c r="CG273" t="s">
        <v>1026</v>
      </c>
      <c r="CH273" t="s">
        <v>239</v>
      </c>
      <c r="CI273" t="s">
        <v>241</v>
      </c>
      <c r="CJ273" t="s">
        <v>255</v>
      </c>
      <c r="CK273" t="s">
        <v>254</v>
      </c>
      <c r="CL273" t="s">
        <v>805</v>
      </c>
      <c r="CM273" t="s">
        <v>806</v>
      </c>
    </row>
    <row r="274" spans="1:103">
      <c r="A274" s="40">
        <v>257</v>
      </c>
      <c r="B274" s="40" t="s">
        <v>1463</v>
      </c>
      <c r="C274" s="2" t="s">
        <v>1464</v>
      </c>
      <c r="D274" s="2" t="s">
        <v>19</v>
      </c>
      <c r="E274" s="2" t="s">
        <v>18</v>
      </c>
      <c r="F274" s="2">
        <v>80</v>
      </c>
      <c r="G274" s="2">
        <v>120</v>
      </c>
      <c r="H274" s="2">
        <v>70</v>
      </c>
      <c r="I274" s="2">
        <v>110</v>
      </c>
      <c r="J274" s="2">
        <v>70</v>
      </c>
      <c r="K274" s="2">
        <v>80</v>
      </c>
      <c r="L274" s="2">
        <v>530</v>
      </c>
      <c r="M274" s="2" t="s">
        <v>1147</v>
      </c>
      <c r="N274" s="2" t="s">
        <v>1061</v>
      </c>
      <c r="O274" t="s">
        <v>137</v>
      </c>
      <c r="P274" t="s">
        <v>249</v>
      </c>
      <c r="Q274" t="s">
        <v>220</v>
      </c>
      <c r="R274" t="s">
        <v>250</v>
      </c>
      <c r="S274" t="s">
        <v>302</v>
      </c>
      <c r="T274" t="s">
        <v>566</v>
      </c>
      <c r="U274" t="s">
        <v>302</v>
      </c>
      <c r="V274" t="s">
        <v>250</v>
      </c>
      <c r="W274" t="s">
        <v>359</v>
      </c>
      <c r="X274" t="s">
        <v>329</v>
      </c>
      <c r="Y274" t="s">
        <v>309</v>
      </c>
      <c r="Z274" t="s">
        <v>1175</v>
      </c>
      <c r="AA274" t="s">
        <v>310</v>
      </c>
      <c r="AB274" t="s">
        <v>1222</v>
      </c>
      <c r="AC274" t="s">
        <v>253</v>
      </c>
      <c r="AD274" t="s">
        <v>1123</v>
      </c>
      <c r="AE274" t="s">
        <v>942</v>
      </c>
      <c r="AF274" t="s">
        <v>972</v>
      </c>
      <c r="AG274" t="s">
        <v>1062</v>
      </c>
      <c r="AH274" t="s">
        <v>226</v>
      </c>
      <c r="AI274" t="s">
        <v>227</v>
      </c>
      <c r="AJ274" t="s">
        <v>1063</v>
      </c>
      <c r="AK274" t="s">
        <v>1030</v>
      </c>
      <c r="AL274" t="s">
        <v>246</v>
      </c>
      <c r="AM274" t="s">
        <v>148</v>
      </c>
      <c r="AN274" t="s">
        <v>1175</v>
      </c>
      <c r="AO274" t="s">
        <v>172</v>
      </c>
      <c r="AP274" t="s">
        <v>752</v>
      </c>
      <c r="AQ274" t="s">
        <v>247</v>
      </c>
      <c r="AR274" t="s">
        <v>1078</v>
      </c>
      <c r="AS274" t="s">
        <v>1079</v>
      </c>
      <c r="AT274" t="s">
        <v>229</v>
      </c>
      <c r="AU274" t="s">
        <v>136</v>
      </c>
      <c r="AV274" t="s">
        <v>1080</v>
      </c>
      <c r="AW274" t="s">
        <v>256</v>
      </c>
      <c r="AX274" t="s">
        <v>1094</v>
      </c>
      <c r="AY274" t="s">
        <v>230</v>
      </c>
      <c r="AZ274" t="s">
        <v>254</v>
      </c>
      <c r="BA274" t="s">
        <v>257</v>
      </c>
      <c r="BB274" t="s">
        <v>1095</v>
      </c>
      <c r="BC274" t="s">
        <v>1096</v>
      </c>
      <c r="BD274" t="s">
        <v>917</v>
      </c>
      <c r="BE274" t="s">
        <v>1097</v>
      </c>
      <c r="BF274" t="s">
        <v>231</v>
      </c>
      <c r="BG274" t="s">
        <v>1082</v>
      </c>
      <c r="BH274" t="s">
        <v>1172</v>
      </c>
      <c r="BI274" t="s">
        <v>1037</v>
      </c>
      <c r="BJ274" t="s">
        <v>1083</v>
      </c>
      <c r="BK274" t="s">
        <v>1098</v>
      </c>
      <c r="BL274" t="s">
        <v>1102</v>
      </c>
      <c r="BM274" t="s">
        <v>974</v>
      </c>
      <c r="BN274" t="s">
        <v>1031</v>
      </c>
      <c r="BO274" t="s">
        <v>956</v>
      </c>
      <c r="BP274" t="s">
        <v>1020</v>
      </c>
      <c r="BQ274" t="s">
        <v>1005</v>
      </c>
      <c r="BR274" t="s">
        <v>976</v>
      </c>
      <c r="BS274" t="s">
        <v>183</v>
      </c>
      <c r="BT274" t="s">
        <v>145</v>
      </c>
      <c r="BU274" t="s">
        <v>1021</v>
      </c>
      <c r="BV274" t="s">
        <v>143</v>
      </c>
      <c r="BW274" t="s">
        <v>997</v>
      </c>
      <c r="BX274" t="s">
        <v>756</v>
      </c>
      <c r="BY274" t="s">
        <v>757</v>
      </c>
      <c r="BZ274" t="s">
        <v>233</v>
      </c>
      <c r="CA274" t="s">
        <v>760</v>
      </c>
      <c r="CB274" t="s">
        <v>2398</v>
      </c>
      <c r="CC274" t="s">
        <v>2339</v>
      </c>
      <c r="CD274" t="s">
        <v>234</v>
      </c>
      <c r="CE274" t="s">
        <v>432</v>
      </c>
      <c r="CF274" t="s">
        <v>259</v>
      </c>
      <c r="CG274" t="s">
        <v>306</v>
      </c>
      <c r="CH274" t="s">
        <v>751</v>
      </c>
      <c r="CI274" t="s">
        <v>775</v>
      </c>
      <c r="CJ274" t="s">
        <v>754</v>
      </c>
      <c r="CK274" t="s">
        <v>788</v>
      </c>
      <c r="CL274" t="s">
        <v>944</v>
      </c>
      <c r="CM274" t="s">
        <v>1121</v>
      </c>
      <c r="CN274" t="s">
        <v>1143</v>
      </c>
      <c r="CO274" t="s">
        <v>971</v>
      </c>
      <c r="CP274" t="s">
        <v>986</v>
      </c>
      <c r="CQ274" t="s">
        <v>993</v>
      </c>
      <c r="CR274" t="s">
        <v>1026</v>
      </c>
      <c r="CS274" t="s">
        <v>239</v>
      </c>
      <c r="CT274" t="s">
        <v>241</v>
      </c>
      <c r="CU274" t="s">
        <v>255</v>
      </c>
      <c r="CV274" t="s">
        <v>311</v>
      </c>
      <c r="CW274" t="s">
        <v>254</v>
      </c>
      <c r="CX274" t="s">
        <v>805</v>
      </c>
      <c r="CY274" t="s">
        <v>806</v>
      </c>
    </row>
    <row r="275" spans="1:103">
      <c r="A275" s="40">
        <v>257.10000000000002</v>
      </c>
      <c r="B275" s="40" t="s">
        <v>2309</v>
      </c>
      <c r="C275" s="2" t="s">
        <v>2310</v>
      </c>
      <c r="D275" s="2" t="s">
        <v>19</v>
      </c>
      <c r="E275" s="2" t="s">
        <v>18</v>
      </c>
      <c r="F275" s="2">
        <v>80</v>
      </c>
      <c r="G275" s="2">
        <v>160</v>
      </c>
      <c r="H275" s="2">
        <v>80</v>
      </c>
      <c r="I275" s="2">
        <v>130</v>
      </c>
      <c r="J275" s="2">
        <v>80</v>
      </c>
      <c r="K275" s="2">
        <v>100</v>
      </c>
      <c r="L275" s="2">
        <v>630</v>
      </c>
      <c r="M275" s="2" t="s">
        <v>1064</v>
      </c>
      <c r="N275" s="2" t="s">
        <v>1061</v>
      </c>
      <c r="O275" t="s">
        <v>1062</v>
      </c>
      <c r="P275" t="s">
        <v>1063</v>
      </c>
      <c r="Q275" t="s">
        <v>757</v>
      </c>
      <c r="R275" t="s">
        <v>2398</v>
      </c>
      <c r="S275" t="s">
        <v>2339</v>
      </c>
      <c r="T275" t="s">
        <v>234</v>
      </c>
      <c r="U275" t="s">
        <v>239</v>
      </c>
      <c r="V275" t="s">
        <v>241</v>
      </c>
      <c r="W275" t="s">
        <v>805</v>
      </c>
      <c r="X275" t="s">
        <v>806</v>
      </c>
    </row>
    <row r="276" spans="1:103">
      <c r="A276" s="40">
        <v>258</v>
      </c>
      <c r="B276" s="40" t="s">
        <v>1465</v>
      </c>
      <c r="C276" s="2" t="s">
        <v>1466</v>
      </c>
      <c r="D276" s="2" t="s">
        <v>27</v>
      </c>
      <c r="E276" s="2"/>
      <c r="F276" s="2">
        <v>50</v>
      </c>
      <c r="G276" s="2">
        <v>70</v>
      </c>
      <c r="H276" s="2">
        <v>50</v>
      </c>
      <c r="I276" s="2">
        <v>50</v>
      </c>
      <c r="J276" s="2">
        <v>50</v>
      </c>
      <c r="K276" s="2">
        <v>40</v>
      </c>
      <c r="L276" s="2">
        <v>310</v>
      </c>
      <c r="M276" s="2" t="s">
        <v>1075</v>
      </c>
      <c r="N276" s="2" t="s">
        <v>1061</v>
      </c>
      <c r="O276" t="s">
        <v>219</v>
      </c>
      <c r="P276" t="s">
        <v>220</v>
      </c>
      <c r="Q276" t="s">
        <v>755</v>
      </c>
      <c r="R276" t="s">
        <v>269</v>
      </c>
      <c r="S276" t="s">
        <v>347</v>
      </c>
      <c r="T276" t="s">
        <v>771</v>
      </c>
      <c r="U276" t="s">
        <v>933</v>
      </c>
      <c r="V276" t="s">
        <v>223</v>
      </c>
      <c r="W276" t="s">
        <v>767</v>
      </c>
      <c r="X276" t="s">
        <v>1078</v>
      </c>
      <c r="Y276" t="s">
        <v>140</v>
      </c>
      <c r="Z276" t="s">
        <v>916</v>
      </c>
      <c r="AA276" t="s">
        <v>1062</v>
      </c>
      <c r="AB276" t="s">
        <v>144</v>
      </c>
      <c r="AC276" t="s">
        <v>227</v>
      </c>
      <c r="AD276" t="s">
        <v>270</v>
      </c>
      <c r="AE276" t="s">
        <v>914</v>
      </c>
      <c r="AF276" t="s">
        <v>1063</v>
      </c>
      <c r="AG276" t="s">
        <v>148</v>
      </c>
      <c r="AH276" t="s">
        <v>1104</v>
      </c>
      <c r="AI276" t="s">
        <v>172</v>
      </c>
      <c r="AJ276" t="s">
        <v>141</v>
      </c>
      <c r="AK276" t="s">
        <v>271</v>
      </c>
      <c r="AL276" t="s">
        <v>1078</v>
      </c>
      <c r="AM276" t="s">
        <v>766</v>
      </c>
      <c r="AN276" t="s">
        <v>1079</v>
      </c>
      <c r="AO276" t="s">
        <v>1080</v>
      </c>
      <c r="AP276" t="s">
        <v>256</v>
      </c>
      <c r="AQ276" t="s">
        <v>230</v>
      </c>
      <c r="AR276" t="s">
        <v>186</v>
      </c>
      <c r="AS276" t="s">
        <v>1095</v>
      </c>
      <c r="AT276" t="s">
        <v>917</v>
      </c>
      <c r="AU276" t="s">
        <v>231</v>
      </c>
      <c r="AV276" t="s">
        <v>1082</v>
      </c>
      <c r="AW276" t="s">
        <v>1037</v>
      </c>
      <c r="AX276" t="s">
        <v>1083</v>
      </c>
      <c r="AY276" t="s">
        <v>1038</v>
      </c>
      <c r="AZ276" t="s">
        <v>143</v>
      </c>
      <c r="BA276" t="s">
        <v>756</v>
      </c>
      <c r="BB276" t="s">
        <v>233</v>
      </c>
      <c r="BC276" t="s">
        <v>760</v>
      </c>
      <c r="BD276" t="s">
        <v>234</v>
      </c>
      <c r="BE276" t="s">
        <v>493</v>
      </c>
      <c r="BF276" t="s">
        <v>225</v>
      </c>
      <c r="BG276" t="s">
        <v>258</v>
      </c>
      <c r="BH276" t="s">
        <v>259</v>
      </c>
      <c r="BI276" t="s">
        <v>238</v>
      </c>
      <c r="BJ276" t="s">
        <v>751</v>
      </c>
      <c r="BK276" t="s">
        <v>772</v>
      </c>
      <c r="BL276" t="s">
        <v>170</v>
      </c>
      <c r="BM276" t="s">
        <v>767</v>
      </c>
      <c r="BN276" t="s">
        <v>953</v>
      </c>
      <c r="BO276" t="s">
        <v>958</v>
      </c>
      <c r="BP276" t="s">
        <v>1106</v>
      </c>
      <c r="BQ276" t="s">
        <v>1178</v>
      </c>
      <c r="BR276" t="s">
        <v>1214</v>
      </c>
      <c r="BS276" t="s">
        <v>990</v>
      </c>
      <c r="BT276" t="s">
        <v>1187</v>
      </c>
      <c r="BU276" t="s">
        <v>239</v>
      </c>
      <c r="BV276" t="s">
        <v>241</v>
      </c>
      <c r="BW276" t="s">
        <v>805</v>
      </c>
      <c r="BX276" t="s">
        <v>806</v>
      </c>
    </row>
    <row r="277" spans="1:103">
      <c r="A277" s="40">
        <v>259</v>
      </c>
      <c r="B277" s="40" t="s">
        <v>1467</v>
      </c>
      <c r="C277" s="2" t="s">
        <v>1468</v>
      </c>
      <c r="D277" s="2" t="s">
        <v>27</v>
      </c>
      <c r="E277" s="2" t="s">
        <v>22</v>
      </c>
      <c r="F277" s="2">
        <v>70</v>
      </c>
      <c r="G277" s="2">
        <v>85</v>
      </c>
      <c r="H277" s="2">
        <v>70</v>
      </c>
      <c r="I277" s="2">
        <v>60</v>
      </c>
      <c r="J277" s="2">
        <v>70</v>
      </c>
      <c r="K277" s="2">
        <v>50</v>
      </c>
      <c r="L277" s="2">
        <v>405</v>
      </c>
      <c r="M277" s="2" t="s">
        <v>1129</v>
      </c>
      <c r="N277" s="2" t="s">
        <v>1061</v>
      </c>
      <c r="O277" t="s">
        <v>219</v>
      </c>
      <c r="P277" t="s">
        <v>220</v>
      </c>
      <c r="Q277" t="s">
        <v>269</v>
      </c>
      <c r="R277" t="s">
        <v>755</v>
      </c>
      <c r="S277" t="s">
        <v>755</v>
      </c>
      <c r="T277" t="s">
        <v>269</v>
      </c>
      <c r="U277" t="s">
        <v>347</v>
      </c>
      <c r="V277" t="s">
        <v>1144</v>
      </c>
      <c r="W277" t="s">
        <v>771</v>
      </c>
      <c r="X277" t="s">
        <v>990</v>
      </c>
      <c r="Y277" t="s">
        <v>223</v>
      </c>
      <c r="Z277" t="s">
        <v>1105</v>
      </c>
      <c r="AA277" t="s">
        <v>1078</v>
      </c>
      <c r="AB277" t="s">
        <v>136</v>
      </c>
      <c r="AC277" t="s">
        <v>916</v>
      </c>
      <c r="AD277" t="s">
        <v>1062</v>
      </c>
      <c r="AE277" t="s">
        <v>144</v>
      </c>
      <c r="AF277" t="s">
        <v>227</v>
      </c>
      <c r="AG277" t="s">
        <v>270</v>
      </c>
      <c r="AH277" t="s">
        <v>914</v>
      </c>
      <c r="AI277" t="s">
        <v>1063</v>
      </c>
      <c r="AJ277" t="s">
        <v>148</v>
      </c>
      <c r="AK277" t="s">
        <v>1104</v>
      </c>
      <c r="AL277" t="s">
        <v>172</v>
      </c>
      <c r="AM277" t="s">
        <v>141</v>
      </c>
      <c r="AN277" t="s">
        <v>271</v>
      </c>
      <c r="AO277" t="s">
        <v>1078</v>
      </c>
      <c r="AP277" t="s">
        <v>766</v>
      </c>
      <c r="AQ277" t="s">
        <v>1079</v>
      </c>
      <c r="AR277" t="s">
        <v>136</v>
      </c>
      <c r="AS277" t="s">
        <v>1080</v>
      </c>
      <c r="AT277" t="s">
        <v>256</v>
      </c>
      <c r="AU277" t="s">
        <v>1094</v>
      </c>
      <c r="AV277" t="s">
        <v>230</v>
      </c>
      <c r="AW277" t="s">
        <v>186</v>
      </c>
      <c r="AX277" t="s">
        <v>1095</v>
      </c>
      <c r="AY277" t="s">
        <v>917</v>
      </c>
      <c r="AZ277" t="s">
        <v>231</v>
      </c>
      <c r="BA277" t="s">
        <v>1082</v>
      </c>
      <c r="BB277" t="s">
        <v>1037</v>
      </c>
      <c r="BC277" t="s">
        <v>1083</v>
      </c>
      <c r="BD277" t="s">
        <v>1038</v>
      </c>
      <c r="BE277" t="s">
        <v>974</v>
      </c>
      <c r="BF277" t="s">
        <v>1021</v>
      </c>
      <c r="BG277" t="s">
        <v>143</v>
      </c>
      <c r="BH277" t="s">
        <v>756</v>
      </c>
      <c r="BI277" t="s">
        <v>233</v>
      </c>
      <c r="BJ277" t="s">
        <v>760</v>
      </c>
      <c r="BK277" t="s">
        <v>234</v>
      </c>
      <c r="BL277" t="s">
        <v>493</v>
      </c>
      <c r="BM277" t="s">
        <v>225</v>
      </c>
      <c r="BN277" t="s">
        <v>258</v>
      </c>
      <c r="BO277" t="s">
        <v>259</v>
      </c>
      <c r="BP277" t="s">
        <v>238</v>
      </c>
      <c r="BQ277" t="s">
        <v>751</v>
      </c>
      <c r="BR277" t="s">
        <v>772</v>
      </c>
      <c r="BS277" t="s">
        <v>170</v>
      </c>
      <c r="BT277" t="s">
        <v>767</v>
      </c>
      <c r="BU277" t="s">
        <v>953</v>
      </c>
      <c r="BV277" t="s">
        <v>958</v>
      </c>
      <c r="BW277" t="s">
        <v>1106</v>
      </c>
      <c r="BX277" t="s">
        <v>1178</v>
      </c>
      <c r="BY277" t="s">
        <v>1214</v>
      </c>
      <c r="BZ277" t="s">
        <v>990</v>
      </c>
      <c r="CA277" t="s">
        <v>1187</v>
      </c>
      <c r="CB277" t="s">
        <v>239</v>
      </c>
      <c r="CC277" t="s">
        <v>241</v>
      </c>
      <c r="CD277" t="s">
        <v>933</v>
      </c>
      <c r="CE277" t="s">
        <v>767</v>
      </c>
      <c r="CF277" t="s">
        <v>140</v>
      </c>
      <c r="CG277" t="s">
        <v>805</v>
      </c>
      <c r="CH277" t="s">
        <v>806</v>
      </c>
    </row>
    <row r="278" spans="1:103">
      <c r="A278" s="40">
        <v>260</v>
      </c>
      <c r="B278" s="40" t="s">
        <v>1469</v>
      </c>
      <c r="C278" s="2" t="s">
        <v>1470</v>
      </c>
      <c r="D278" s="2" t="s">
        <v>27</v>
      </c>
      <c r="E278" s="2" t="s">
        <v>22</v>
      </c>
      <c r="F278" s="2">
        <v>100</v>
      </c>
      <c r="G278" s="2">
        <v>110</v>
      </c>
      <c r="H278" s="2">
        <v>90</v>
      </c>
      <c r="I278" s="2">
        <v>85</v>
      </c>
      <c r="J278" s="2">
        <v>90</v>
      </c>
      <c r="K278" s="2">
        <v>60</v>
      </c>
      <c r="L278" s="2">
        <v>535</v>
      </c>
      <c r="M278" s="2" t="s">
        <v>1108</v>
      </c>
      <c r="N278" s="2" t="s">
        <v>1061</v>
      </c>
      <c r="O278" t="s">
        <v>219</v>
      </c>
      <c r="P278" t="s">
        <v>220</v>
      </c>
      <c r="Q278" t="s">
        <v>269</v>
      </c>
      <c r="R278" t="s">
        <v>755</v>
      </c>
      <c r="S278" t="s">
        <v>755</v>
      </c>
      <c r="T278" t="s">
        <v>269</v>
      </c>
      <c r="U278" t="s">
        <v>347</v>
      </c>
      <c r="V278" t="s">
        <v>1144</v>
      </c>
      <c r="W278" t="s">
        <v>771</v>
      </c>
      <c r="X278" t="s">
        <v>990</v>
      </c>
      <c r="Y278" t="s">
        <v>223</v>
      </c>
      <c r="Z278" t="s">
        <v>1105</v>
      </c>
      <c r="AA278" t="s">
        <v>1078</v>
      </c>
      <c r="AB278" t="s">
        <v>136</v>
      </c>
      <c r="AC278" t="s">
        <v>916</v>
      </c>
      <c r="AD278" t="s">
        <v>981</v>
      </c>
      <c r="AE278" t="s">
        <v>1062</v>
      </c>
      <c r="AF278" t="s">
        <v>144</v>
      </c>
      <c r="AG278" t="s">
        <v>227</v>
      </c>
      <c r="AH278" t="s">
        <v>270</v>
      </c>
      <c r="AI278" t="s">
        <v>914</v>
      </c>
      <c r="AJ278" t="s">
        <v>1063</v>
      </c>
      <c r="AK278" t="s">
        <v>246</v>
      </c>
      <c r="AL278" t="s">
        <v>148</v>
      </c>
      <c r="AM278" t="s">
        <v>1104</v>
      </c>
      <c r="AN278" t="s">
        <v>172</v>
      </c>
      <c r="AO278" t="s">
        <v>141</v>
      </c>
      <c r="AP278" t="s">
        <v>271</v>
      </c>
      <c r="AQ278" t="s">
        <v>247</v>
      </c>
      <c r="AR278" t="s">
        <v>1078</v>
      </c>
      <c r="AS278" t="s">
        <v>766</v>
      </c>
      <c r="AT278" t="s">
        <v>1079</v>
      </c>
      <c r="AU278" t="s">
        <v>136</v>
      </c>
      <c r="AV278" t="s">
        <v>1080</v>
      </c>
      <c r="AW278" t="s">
        <v>256</v>
      </c>
      <c r="AX278" t="s">
        <v>1094</v>
      </c>
      <c r="AY278" t="s">
        <v>230</v>
      </c>
      <c r="AZ278" t="s">
        <v>186</v>
      </c>
      <c r="BA278" t="s">
        <v>1095</v>
      </c>
      <c r="BB278" t="s">
        <v>917</v>
      </c>
      <c r="BC278" t="s">
        <v>231</v>
      </c>
      <c r="BD278" t="s">
        <v>1082</v>
      </c>
      <c r="BE278" t="s">
        <v>1037</v>
      </c>
      <c r="BF278" t="s">
        <v>1083</v>
      </c>
      <c r="BG278" t="s">
        <v>1102</v>
      </c>
      <c r="BH278" t="s">
        <v>1038</v>
      </c>
      <c r="BI278" t="s">
        <v>974</v>
      </c>
      <c r="BJ278" t="s">
        <v>976</v>
      </c>
      <c r="BK278" t="s">
        <v>183</v>
      </c>
      <c r="BL278" t="s">
        <v>1021</v>
      </c>
      <c r="BM278" t="s">
        <v>143</v>
      </c>
      <c r="BN278" t="s">
        <v>756</v>
      </c>
      <c r="BO278" t="s">
        <v>233</v>
      </c>
      <c r="BP278" t="s">
        <v>760</v>
      </c>
      <c r="BQ278" t="s">
        <v>234</v>
      </c>
      <c r="BR278" t="s">
        <v>493</v>
      </c>
      <c r="BS278" t="s">
        <v>225</v>
      </c>
      <c r="BT278" t="s">
        <v>258</v>
      </c>
      <c r="BU278" t="s">
        <v>259</v>
      </c>
      <c r="BV278" t="s">
        <v>238</v>
      </c>
      <c r="BW278" t="s">
        <v>751</v>
      </c>
      <c r="BX278" t="s">
        <v>772</v>
      </c>
      <c r="BY278" t="s">
        <v>170</v>
      </c>
      <c r="BZ278" t="s">
        <v>767</v>
      </c>
      <c r="CA278" t="s">
        <v>953</v>
      </c>
      <c r="CB278" t="s">
        <v>958</v>
      </c>
      <c r="CC278" t="s">
        <v>1106</v>
      </c>
      <c r="CD278" t="s">
        <v>1178</v>
      </c>
      <c r="CE278" t="s">
        <v>1214</v>
      </c>
      <c r="CF278" t="s">
        <v>990</v>
      </c>
      <c r="CG278" t="s">
        <v>1187</v>
      </c>
      <c r="CH278" t="s">
        <v>239</v>
      </c>
      <c r="CI278" t="s">
        <v>241</v>
      </c>
      <c r="CJ278" t="s">
        <v>933</v>
      </c>
      <c r="CK278" t="s">
        <v>767</v>
      </c>
      <c r="CL278" t="s">
        <v>140</v>
      </c>
      <c r="CM278" t="s">
        <v>805</v>
      </c>
      <c r="CN278" t="s">
        <v>806</v>
      </c>
    </row>
    <row r="279" spans="1:103">
      <c r="A279" s="40">
        <v>261</v>
      </c>
      <c r="B279" s="40" t="s">
        <v>1471</v>
      </c>
      <c r="C279" s="2" t="s">
        <v>1472</v>
      </c>
      <c r="D279" s="2" t="s">
        <v>15</v>
      </c>
      <c r="E279" s="2"/>
      <c r="F279" s="2">
        <v>35</v>
      </c>
      <c r="G279" s="2">
        <v>55</v>
      </c>
      <c r="H279" s="2">
        <v>35</v>
      </c>
      <c r="I279" s="2">
        <v>30</v>
      </c>
      <c r="J279" s="2">
        <v>30</v>
      </c>
      <c r="K279" s="2">
        <v>35</v>
      </c>
      <c r="L279" s="2">
        <v>220</v>
      </c>
      <c r="M279" s="2" t="s">
        <v>1103</v>
      </c>
      <c r="N279" s="2" t="s">
        <v>1061</v>
      </c>
      <c r="O279" t="s">
        <v>219</v>
      </c>
      <c r="P279" t="s">
        <v>1155</v>
      </c>
      <c r="Q279" t="s">
        <v>309</v>
      </c>
      <c r="R279" t="s">
        <v>258</v>
      </c>
      <c r="S279" t="s">
        <v>934</v>
      </c>
      <c r="T279" t="s">
        <v>246</v>
      </c>
      <c r="U279" t="s">
        <v>756</v>
      </c>
      <c r="V279" t="s">
        <v>960</v>
      </c>
      <c r="W279" t="s">
        <v>1092</v>
      </c>
      <c r="X279" t="s">
        <v>1126</v>
      </c>
      <c r="Y279" t="s">
        <v>969</v>
      </c>
      <c r="Z279" t="s">
        <v>223</v>
      </c>
      <c r="AA279" t="s">
        <v>1008</v>
      </c>
      <c r="AB279" t="s">
        <v>777</v>
      </c>
      <c r="AC279" t="s">
        <v>1062</v>
      </c>
      <c r="AD279" t="s">
        <v>1063</v>
      </c>
      <c r="AE279" t="s">
        <v>246</v>
      </c>
      <c r="AF279" t="s">
        <v>148</v>
      </c>
      <c r="AG279" t="s">
        <v>172</v>
      </c>
      <c r="AH279" t="s">
        <v>752</v>
      </c>
      <c r="AI279" t="s">
        <v>1126</v>
      </c>
      <c r="AJ279" t="s">
        <v>1078</v>
      </c>
      <c r="AK279" t="s">
        <v>766</v>
      </c>
      <c r="AL279" t="s">
        <v>1079</v>
      </c>
      <c r="AM279" t="s">
        <v>1080</v>
      </c>
      <c r="AN279" t="s">
        <v>256</v>
      </c>
      <c r="AO279" t="s">
        <v>174</v>
      </c>
      <c r="AP279" t="s">
        <v>230</v>
      </c>
      <c r="AQ279" t="s">
        <v>951</v>
      </c>
      <c r="AR279" t="s">
        <v>917</v>
      </c>
      <c r="AS279" t="s">
        <v>231</v>
      </c>
      <c r="AT279" t="s">
        <v>1082</v>
      </c>
      <c r="AU279" t="s">
        <v>1117</v>
      </c>
      <c r="AV279" t="s">
        <v>1037</v>
      </c>
      <c r="AW279" t="s">
        <v>1031</v>
      </c>
      <c r="AX279" t="s">
        <v>969</v>
      </c>
      <c r="AY279" t="s">
        <v>995</v>
      </c>
      <c r="AZ279" t="s">
        <v>1036</v>
      </c>
      <c r="BA279" t="s">
        <v>756</v>
      </c>
      <c r="BB279" t="s">
        <v>757</v>
      </c>
      <c r="BC279" t="s">
        <v>233</v>
      </c>
      <c r="BD279" t="s">
        <v>760</v>
      </c>
      <c r="BE279" t="s">
        <v>1040</v>
      </c>
      <c r="BF279" t="s">
        <v>1157</v>
      </c>
      <c r="BG279" t="s">
        <v>2339</v>
      </c>
      <c r="BH279" t="s">
        <v>234</v>
      </c>
      <c r="BI279" t="s">
        <v>330</v>
      </c>
      <c r="BJ279" t="s">
        <v>757</v>
      </c>
      <c r="BK279" t="s">
        <v>958</v>
      </c>
      <c r="BL279" t="s">
        <v>945</v>
      </c>
      <c r="BM279" t="s">
        <v>935</v>
      </c>
      <c r="BN279" t="s">
        <v>1130</v>
      </c>
      <c r="BO279" t="s">
        <v>913</v>
      </c>
      <c r="BP279" t="s">
        <v>989</v>
      </c>
      <c r="BQ279" t="s">
        <v>1008</v>
      </c>
      <c r="BR279" t="s">
        <v>1010</v>
      </c>
      <c r="BS279" t="s">
        <v>983</v>
      </c>
      <c r="BT279" t="s">
        <v>182</v>
      </c>
      <c r="BU279" t="s">
        <v>2395</v>
      </c>
      <c r="BV279" t="s">
        <v>239</v>
      </c>
      <c r="BW279" t="s">
        <v>241</v>
      </c>
      <c r="BX279" t="s">
        <v>805</v>
      </c>
      <c r="BY279" t="s">
        <v>806</v>
      </c>
    </row>
    <row r="280" spans="1:103">
      <c r="A280" s="40">
        <v>262</v>
      </c>
      <c r="B280" s="40" t="s">
        <v>1473</v>
      </c>
      <c r="C280" s="2" t="s">
        <v>1474</v>
      </c>
      <c r="D280" s="2" t="s">
        <v>15</v>
      </c>
      <c r="E280" s="2"/>
      <c r="F280" s="2">
        <v>70</v>
      </c>
      <c r="G280" s="2">
        <v>90</v>
      </c>
      <c r="H280" s="2">
        <v>70</v>
      </c>
      <c r="I280" s="2">
        <v>60</v>
      </c>
      <c r="J280" s="2">
        <v>60</v>
      </c>
      <c r="K280" s="2">
        <v>70</v>
      </c>
      <c r="L280" s="2">
        <v>420</v>
      </c>
      <c r="M280" s="2" t="s">
        <v>1141</v>
      </c>
      <c r="N280" s="2" t="s">
        <v>1061</v>
      </c>
      <c r="O280" t="s">
        <v>309</v>
      </c>
      <c r="P280" t="s">
        <v>219</v>
      </c>
      <c r="Q280" t="s">
        <v>258</v>
      </c>
      <c r="R280" t="s">
        <v>1155</v>
      </c>
      <c r="S280" t="s">
        <v>1155</v>
      </c>
      <c r="T280" t="s">
        <v>309</v>
      </c>
      <c r="U280" t="s">
        <v>258</v>
      </c>
      <c r="V280" t="s">
        <v>934</v>
      </c>
      <c r="W280" t="s">
        <v>246</v>
      </c>
      <c r="X280" t="s">
        <v>756</v>
      </c>
      <c r="Y280" t="s">
        <v>960</v>
      </c>
      <c r="Z280" t="s">
        <v>1092</v>
      </c>
      <c r="AA280" t="s">
        <v>1126</v>
      </c>
      <c r="AB280" t="s">
        <v>969</v>
      </c>
      <c r="AC280" t="s">
        <v>223</v>
      </c>
      <c r="AD280" t="s">
        <v>1117</v>
      </c>
      <c r="AE280" t="s">
        <v>1008</v>
      </c>
      <c r="AF280" t="s">
        <v>1062</v>
      </c>
      <c r="AG280" t="s">
        <v>227</v>
      </c>
      <c r="AH280" t="s">
        <v>1063</v>
      </c>
      <c r="AI280" t="s">
        <v>246</v>
      </c>
      <c r="AJ280" t="s">
        <v>148</v>
      </c>
      <c r="AK280" t="s">
        <v>172</v>
      </c>
      <c r="AL280" t="s">
        <v>752</v>
      </c>
      <c r="AM280" t="s">
        <v>1126</v>
      </c>
      <c r="AN280" t="s">
        <v>247</v>
      </c>
      <c r="AO280" t="s">
        <v>1078</v>
      </c>
      <c r="AP280" t="s">
        <v>766</v>
      </c>
      <c r="AQ280" t="s">
        <v>1079</v>
      </c>
      <c r="AR280" t="s">
        <v>1080</v>
      </c>
      <c r="AS280" t="s">
        <v>256</v>
      </c>
      <c r="AT280" t="s">
        <v>174</v>
      </c>
      <c r="AU280" t="s">
        <v>230</v>
      </c>
      <c r="AV280" t="s">
        <v>951</v>
      </c>
      <c r="AW280" t="s">
        <v>917</v>
      </c>
      <c r="AX280" t="s">
        <v>231</v>
      </c>
      <c r="AY280" t="s">
        <v>1082</v>
      </c>
      <c r="AZ280" t="s">
        <v>1117</v>
      </c>
      <c r="BA280" t="s">
        <v>1037</v>
      </c>
      <c r="BB280" t="s">
        <v>1031</v>
      </c>
      <c r="BC280" t="s">
        <v>969</v>
      </c>
      <c r="BD280" t="s">
        <v>995</v>
      </c>
      <c r="BE280" t="s">
        <v>1036</v>
      </c>
      <c r="BF280" t="s">
        <v>976</v>
      </c>
      <c r="BG280" t="s">
        <v>756</v>
      </c>
      <c r="BH280" t="s">
        <v>757</v>
      </c>
      <c r="BI280" t="s">
        <v>233</v>
      </c>
      <c r="BJ280" t="s">
        <v>760</v>
      </c>
      <c r="BK280" t="s">
        <v>1040</v>
      </c>
      <c r="BL280" t="s">
        <v>1157</v>
      </c>
      <c r="BM280" t="s">
        <v>2339</v>
      </c>
      <c r="BN280" t="s">
        <v>234</v>
      </c>
      <c r="BO280" t="s">
        <v>330</v>
      </c>
      <c r="BP280" t="s">
        <v>757</v>
      </c>
      <c r="BQ280" t="s">
        <v>958</v>
      </c>
      <c r="BR280" t="s">
        <v>945</v>
      </c>
      <c r="BS280" t="s">
        <v>935</v>
      </c>
      <c r="BT280" t="s">
        <v>1130</v>
      </c>
      <c r="BU280" t="s">
        <v>913</v>
      </c>
      <c r="BV280" t="s">
        <v>989</v>
      </c>
      <c r="BW280" t="s">
        <v>1008</v>
      </c>
      <c r="BX280" t="s">
        <v>1010</v>
      </c>
      <c r="BY280" t="s">
        <v>983</v>
      </c>
      <c r="BZ280" t="s">
        <v>182</v>
      </c>
      <c r="CA280" t="s">
        <v>2395</v>
      </c>
      <c r="CB280" t="s">
        <v>239</v>
      </c>
      <c r="CC280" t="s">
        <v>241</v>
      </c>
      <c r="CD280" t="s">
        <v>777</v>
      </c>
      <c r="CE280" t="s">
        <v>805</v>
      </c>
      <c r="CF280" t="s">
        <v>806</v>
      </c>
    </row>
    <row r="281" spans="1:103">
      <c r="A281" s="40">
        <v>263</v>
      </c>
      <c r="B281" s="40" t="s">
        <v>1475</v>
      </c>
      <c r="C281" s="2" t="s">
        <v>1476</v>
      </c>
      <c r="D281" s="2" t="s">
        <v>24</v>
      </c>
      <c r="E281" s="2"/>
      <c r="F281" s="2">
        <v>38</v>
      </c>
      <c r="G281" s="2">
        <v>30</v>
      </c>
      <c r="H281" s="2">
        <v>41</v>
      </c>
      <c r="I281" s="2">
        <v>30</v>
      </c>
      <c r="J281" s="2">
        <v>41</v>
      </c>
      <c r="K281" s="2">
        <v>60</v>
      </c>
      <c r="L281" s="2">
        <v>240</v>
      </c>
      <c r="M281" s="2" t="s">
        <v>1145</v>
      </c>
      <c r="N281" s="2" t="s">
        <v>1061</v>
      </c>
      <c r="O281" t="s">
        <v>219</v>
      </c>
      <c r="P281" t="s">
        <v>220</v>
      </c>
      <c r="Q281" t="s">
        <v>266</v>
      </c>
      <c r="R281" t="s">
        <v>420</v>
      </c>
      <c r="S281" t="s">
        <v>2333</v>
      </c>
      <c r="T281" t="s">
        <v>309</v>
      </c>
      <c r="U281" t="s">
        <v>934</v>
      </c>
      <c r="V281" t="s">
        <v>933</v>
      </c>
      <c r="W281" t="s">
        <v>305</v>
      </c>
      <c r="X281" t="s">
        <v>913</v>
      </c>
      <c r="Y281" t="s">
        <v>1139</v>
      </c>
      <c r="Z281" t="s">
        <v>770</v>
      </c>
      <c r="AA281" t="s">
        <v>231</v>
      </c>
      <c r="AB281" t="s">
        <v>1099</v>
      </c>
      <c r="AC281" t="s">
        <v>974</v>
      </c>
      <c r="AD281" t="s">
        <v>1062</v>
      </c>
      <c r="AE281" t="s">
        <v>226</v>
      </c>
      <c r="AF281" t="s">
        <v>144</v>
      </c>
      <c r="AG281" t="s">
        <v>1063</v>
      </c>
      <c r="AH281" t="s">
        <v>1030</v>
      </c>
      <c r="AI281" t="s">
        <v>148</v>
      </c>
      <c r="AJ281" t="s">
        <v>172</v>
      </c>
      <c r="AK281" t="s">
        <v>752</v>
      </c>
      <c r="AL281" t="s">
        <v>141</v>
      </c>
      <c r="AM281" t="s">
        <v>271</v>
      </c>
      <c r="AN281" t="s">
        <v>1078</v>
      </c>
      <c r="AO281" t="s">
        <v>766</v>
      </c>
      <c r="AP281" t="s">
        <v>1079</v>
      </c>
      <c r="AQ281" t="s">
        <v>146</v>
      </c>
      <c r="AR281" t="s">
        <v>321</v>
      </c>
      <c r="AS281" t="s">
        <v>1080</v>
      </c>
      <c r="AT281" t="s">
        <v>256</v>
      </c>
      <c r="AU281" t="s">
        <v>174</v>
      </c>
      <c r="AV281" t="s">
        <v>230</v>
      </c>
      <c r="AW281" t="s">
        <v>917</v>
      </c>
      <c r="AX281" t="s">
        <v>231</v>
      </c>
      <c r="AY281" t="s">
        <v>1082</v>
      </c>
      <c r="AZ281" t="s">
        <v>1117</v>
      </c>
      <c r="BA281" t="s">
        <v>1037</v>
      </c>
      <c r="BB281" t="s">
        <v>1083</v>
      </c>
      <c r="BC281" t="s">
        <v>974</v>
      </c>
      <c r="BD281" t="s">
        <v>963</v>
      </c>
      <c r="BE281" t="s">
        <v>1036</v>
      </c>
      <c r="BF281" t="s">
        <v>322</v>
      </c>
      <c r="BG281" t="s">
        <v>977</v>
      </c>
      <c r="BH281" t="s">
        <v>756</v>
      </c>
      <c r="BI281" t="s">
        <v>757</v>
      </c>
      <c r="BJ281" t="s">
        <v>233</v>
      </c>
      <c r="BK281" t="s">
        <v>760</v>
      </c>
      <c r="BL281" t="s">
        <v>2339</v>
      </c>
      <c r="BM281" t="s">
        <v>234</v>
      </c>
      <c r="BN281" t="s">
        <v>755</v>
      </c>
      <c r="BO281" t="s">
        <v>781</v>
      </c>
      <c r="BP281" t="s">
        <v>757</v>
      </c>
      <c r="BQ281" t="s">
        <v>773</v>
      </c>
      <c r="BR281" t="s">
        <v>925</v>
      </c>
      <c r="BS281" t="s">
        <v>952</v>
      </c>
      <c r="BT281" t="s">
        <v>950</v>
      </c>
      <c r="BU281" t="s">
        <v>1002</v>
      </c>
      <c r="BV281" t="s">
        <v>1477</v>
      </c>
      <c r="BW281" t="s">
        <v>239</v>
      </c>
      <c r="BX281" t="s">
        <v>241</v>
      </c>
      <c r="BY281" t="s">
        <v>805</v>
      </c>
      <c r="BZ281" t="s">
        <v>806</v>
      </c>
    </row>
    <row r="282" spans="1:103">
      <c r="A282" s="40">
        <v>264</v>
      </c>
      <c r="B282" s="40" t="s">
        <v>1478</v>
      </c>
      <c r="C282" s="2" t="s">
        <v>1479</v>
      </c>
      <c r="D282" s="2" t="s">
        <v>24</v>
      </c>
      <c r="E282" s="2"/>
      <c r="F282" s="2">
        <v>78</v>
      </c>
      <c r="G282" s="2">
        <v>70</v>
      </c>
      <c r="H282" s="2">
        <v>61</v>
      </c>
      <c r="I282" s="2">
        <v>50</v>
      </c>
      <c r="J282" s="2">
        <v>61</v>
      </c>
      <c r="K282" s="2">
        <v>100</v>
      </c>
      <c r="L282" s="2">
        <v>420</v>
      </c>
      <c r="M282" s="2" t="s">
        <v>1168</v>
      </c>
      <c r="N282" s="2" t="s">
        <v>1061</v>
      </c>
      <c r="O282" t="s">
        <v>420</v>
      </c>
      <c r="P282" t="s">
        <v>219</v>
      </c>
      <c r="Q282" t="s">
        <v>266</v>
      </c>
      <c r="R282" t="s">
        <v>220</v>
      </c>
      <c r="S282" t="s">
        <v>1136</v>
      </c>
      <c r="T282" t="s">
        <v>2395</v>
      </c>
      <c r="U282" t="s">
        <v>2400</v>
      </c>
      <c r="V282" t="s">
        <v>266</v>
      </c>
      <c r="W282" t="s">
        <v>420</v>
      </c>
      <c r="X282" t="s">
        <v>309</v>
      </c>
      <c r="Y282" t="s">
        <v>934</v>
      </c>
      <c r="Z282" t="s">
        <v>933</v>
      </c>
      <c r="AA282" t="s">
        <v>323</v>
      </c>
      <c r="AB282" t="s">
        <v>913</v>
      </c>
      <c r="AC282" t="s">
        <v>1139</v>
      </c>
      <c r="AD282" t="s">
        <v>253</v>
      </c>
      <c r="AE282" t="s">
        <v>231</v>
      </c>
      <c r="AF282" t="s">
        <v>1099</v>
      </c>
      <c r="AG282" t="s">
        <v>974</v>
      </c>
      <c r="AH282" t="s">
        <v>1062</v>
      </c>
      <c r="AI282" t="s">
        <v>226</v>
      </c>
      <c r="AJ282" t="s">
        <v>144</v>
      </c>
      <c r="AK282" t="s">
        <v>227</v>
      </c>
      <c r="AL282" t="s">
        <v>1063</v>
      </c>
      <c r="AM282" t="s">
        <v>1030</v>
      </c>
      <c r="AN282" t="s">
        <v>246</v>
      </c>
      <c r="AO282" t="s">
        <v>148</v>
      </c>
      <c r="AP282" t="s">
        <v>172</v>
      </c>
      <c r="AQ282" t="s">
        <v>752</v>
      </c>
      <c r="AR282" t="s">
        <v>141</v>
      </c>
      <c r="AS282" t="s">
        <v>271</v>
      </c>
      <c r="AT282" t="s">
        <v>247</v>
      </c>
      <c r="AU282" t="s">
        <v>1078</v>
      </c>
      <c r="AV282" t="s">
        <v>766</v>
      </c>
      <c r="AW282" t="s">
        <v>1079</v>
      </c>
      <c r="AX282" t="s">
        <v>146</v>
      </c>
      <c r="AY282" t="s">
        <v>321</v>
      </c>
      <c r="AZ282" t="s">
        <v>1080</v>
      </c>
      <c r="BA282" t="s">
        <v>256</v>
      </c>
      <c r="BB282" t="s">
        <v>174</v>
      </c>
      <c r="BC282" t="s">
        <v>230</v>
      </c>
      <c r="BD282" t="s">
        <v>917</v>
      </c>
      <c r="BE282" t="s">
        <v>231</v>
      </c>
      <c r="BF282" t="s">
        <v>1082</v>
      </c>
      <c r="BG282" t="s">
        <v>1117</v>
      </c>
      <c r="BH282" t="s">
        <v>1037</v>
      </c>
      <c r="BI282" t="s">
        <v>1083</v>
      </c>
      <c r="BJ282" t="s">
        <v>974</v>
      </c>
      <c r="BK282" t="s">
        <v>963</v>
      </c>
      <c r="BL282" t="s">
        <v>1005</v>
      </c>
      <c r="BM282" t="s">
        <v>1036</v>
      </c>
      <c r="BN282" t="s">
        <v>976</v>
      </c>
      <c r="BO282" t="s">
        <v>322</v>
      </c>
      <c r="BP282" t="s">
        <v>977</v>
      </c>
      <c r="BQ282" t="s">
        <v>756</v>
      </c>
      <c r="BR282" t="s">
        <v>757</v>
      </c>
      <c r="BS282" t="s">
        <v>233</v>
      </c>
      <c r="BT282" t="s">
        <v>760</v>
      </c>
      <c r="BU282" t="s">
        <v>2339</v>
      </c>
      <c r="BV282" t="s">
        <v>234</v>
      </c>
      <c r="BW282" t="s">
        <v>755</v>
      </c>
      <c r="BX282" t="s">
        <v>781</v>
      </c>
      <c r="BY282" t="s">
        <v>757</v>
      </c>
      <c r="BZ282" t="s">
        <v>773</v>
      </c>
      <c r="CA282" t="s">
        <v>925</v>
      </c>
      <c r="CB282" t="s">
        <v>952</v>
      </c>
      <c r="CC282" t="s">
        <v>950</v>
      </c>
      <c r="CD282" t="s">
        <v>1002</v>
      </c>
      <c r="CE282" t="s">
        <v>1477</v>
      </c>
      <c r="CF282" t="s">
        <v>239</v>
      </c>
      <c r="CG282" t="s">
        <v>241</v>
      </c>
      <c r="CH282" t="s">
        <v>2333</v>
      </c>
      <c r="CI282" t="s">
        <v>305</v>
      </c>
      <c r="CJ282" t="s">
        <v>770</v>
      </c>
      <c r="CK282" t="s">
        <v>805</v>
      </c>
      <c r="CL282" t="s">
        <v>806</v>
      </c>
    </row>
    <row r="283" spans="1:103">
      <c r="A283" s="40">
        <v>265</v>
      </c>
      <c r="B283" s="40" t="s">
        <v>1480</v>
      </c>
      <c r="C283" s="2" t="s">
        <v>1481</v>
      </c>
      <c r="D283" s="2" t="s">
        <v>14</v>
      </c>
      <c r="E283" s="2"/>
      <c r="F283" s="2">
        <v>45</v>
      </c>
      <c r="G283" s="2">
        <v>45</v>
      </c>
      <c r="H283" s="2">
        <v>35</v>
      </c>
      <c r="I283" s="2">
        <v>20</v>
      </c>
      <c r="J283" s="2">
        <v>30</v>
      </c>
      <c r="K283" s="2">
        <v>20</v>
      </c>
      <c r="L283" s="2">
        <v>195</v>
      </c>
      <c r="M283" s="2" t="s">
        <v>1232</v>
      </c>
      <c r="N283" s="2" t="s">
        <v>1061</v>
      </c>
      <c r="O283" t="s">
        <v>219</v>
      </c>
      <c r="P283" t="s">
        <v>281</v>
      </c>
      <c r="Q283" t="s">
        <v>296</v>
      </c>
      <c r="R283" t="s">
        <v>1110</v>
      </c>
      <c r="S283" t="s">
        <v>1062</v>
      </c>
      <c r="T283" t="s">
        <v>1063</v>
      </c>
      <c r="U283" t="s">
        <v>234</v>
      </c>
      <c r="V283" t="s">
        <v>239</v>
      </c>
      <c r="W283" t="s">
        <v>241</v>
      </c>
      <c r="X283" t="s">
        <v>805</v>
      </c>
      <c r="Y283" t="s">
        <v>806</v>
      </c>
    </row>
    <row r="284" spans="1:103">
      <c r="A284" s="40">
        <v>266</v>
      </c>
      <c r="B284" s="40" t="s">
        <v>1482</v>
      </c>
      <c r="C284" s="2" t="s">
        <v>1483</v>
      </c>
      <c r="D284" s="2" t="s">
        <v>14</v>
      </c>
      <c r="E284" s="2"/>
      <c r="F284" s="2">
        <v>50</v>
      </c>
      <c r="G284" s="2">
        <v>35</v>
      </c>
      <c r="H284" s="2">
        <v>55</v>
      </c>
      <c r="I284" s="2">
        <v>25</v>
      </c>
      <c r="J284" s="2">
        <v>25</v>
      </c>
      <c r="K284" s="2">
        <v>15</v>
      </c>
      <c r="L284" s="2">
        <v>205</v>
      </c>
      <c r="M284" s="2" t="s">
        <v>1484</v>
      </c>
      <c r="N284" s="2" t="s">
        <v>1061</v>
      </c>
      <c r="O284" t="s">
        <v>284</v>
      </c>
      <c r="P284" t="s">
        <v>284</v>
      </c>
      <c r="Q284" t="s">
        <v>1062</v>
      </c>
      <c r="R284" t="s">
        <v>1063</v>
      </c>
      <c r="S284" t="s">
        <v>234</v>
      </c>
      <c r="T284" t="s">
        <v>239</v>
      </c>
      <c r="U284" t="s">
        <v>241</v>
      </c>
      <c r="V284" t="s">
        <v>219</v>
      </c>
      <c r="W284" t="s">
        <v>281</v>
      </c>
      <c r="X284" t="s">
        <v>296</v>
      </c>
      <c r="Y284" t="s">
        <v>1110</v>
      </c>
      <c r="Z284" t="s">
        <v>805</v>
      </c>
      <c r="AA284" t="s">
        <v>806</v>
      </c>
    </row>
    <row r="285" spans="1:103">
      <c r="A285" s="40">
        <v>267</v>
      </c>
      <c r="B285" s="40" t="s">
        <v>1485</v>
      </c>
      <c r="C285" s="2" t="s">
        <v>1486</v>
      </c>
      <c r="D285" s="2" t="s">
        <v>14</v>
      </c>
      <c r="E285" s="2" t="s">
        <v>20</v>
      </c>
      <c r="F285" s="2">
        <v>60</v>
      </c>
      <c r="G285" s="2">
        <v>70</v>
      </c>
      <c r="H285" s="2">
        <v>50</v>
      </c>
      <c r="I285" s="2">
        <v>90</v>
      </c>
      <c r="J285" s="2">
        <v>50</v>
      </c>
      <c r="K285" s="2">
        <v>65</v>
      </c>
      <c r="L285" s="2">
        <v>385</v>
      </c>
      <c r="M285" s="2" t="s">
        <v>1120</v>
      </c>
      <c r="N285" s="2" t="s">
        <v>1061</v>
      </c>
      <c r="O285" t="s">
        <v>402</v>
      </c>
      <c r="P285" t="s">
        <v>402</v>
      </c>
      <c r="Q285" t="s">
        <v>289</v>
      </c>
      <c r="R285" t="s">
        <v>288</v>
      </c>
      <c r="S285" t="s">
        <v>1164</v>
      </c>
      <c r="T285" t="s">
        <v>403</v>
      </c>
      <c r="U285" t="s">
        <v>291</v>
      </c>
      <c r="V285" t="s">
        <v>1082</v>
      </c>
      <c r="W285" t="s">
        <v>1113</v>
      </c>
      <c r="X285" t="s">
        <v>171</v>
      </c>
      <c r="Y285" t="s">
        <v>1115</v>
      </c>
      <c r="Z285" t="s">
        <v>1116</v>
      </c>
      <c r="AA285" t="s">
        <v>1062</v>
      </c>
      <c r="AB285" t="s">
        <v>1063</v>
      </c>
      <c r="AC285" t="s">
        <v>148</v>
      </c>
      <c r="AD285" t="s">
        <v>1077</v>
      </c>
      <c r="AE285" t="s">
        <v>172</v>
      </c>
      <c r="AF285" t="s">
        <v>752</v>
      </c>
      <c r="AG285" t="s">
        <v>247</v>
      </c>
      <c r="AH285" t="s">
        <v>1078</v>
      </c>
      <c r="AI285" t="s">
        <v>1119</v>
      </c>
      <c r="AJ285" t="s">
        <v>759</v>
      </c>
      <c r="AK285" t="s">
        <v>1079</v>
      </c>
      <c r="AL285" t="s">
        <v>229</v>
      </c>
      <c r="AM285" t="s">
        <v>1080</v>
      </c>
      <c r="AN285" t="s">
        <v>9</v>
      </c>
      <c r="AO285" t="s">
        <v>174</v>
      </c>
      <c r="AP285" t="s">
        <v>230</v>
      </c>
      <c r="AQ285" t="s">
        <v>1096</v>
      </c>
      <c r="AR285" t="s">
        <v>917</v>
      </c>
      <c r="AS285" t="s">
        <v>231</v>
      </c>
      <c r="AT285" t="s">
        <v>1082</v>
      </c>
      <c r="AU285" t="s">
        <v>1117</v>
      </c>
      <c r="AV285" t="s">
        <v>1037</v>
      </c>
      <c r="AW285" t="s">
        <v>970</v>
      </c>
      <c r="AX285" t="s">
        <v>1020</v>
      </c>
      <c r="AY285" t="s">
        <v>976</v>
      </c>
      <c r="AZ285" t="s">
        <v>232</v>
      </c>
      <c r="BA285" t="s">
        <v>1042</v>
      </c>
      <c r="BB285" t="s">
        <v>2369</v>
      </c>
      <c r="BC285" t="s">
        <v>756</v>
      </c>
      <c r="BD285" t="s">
        <v>757</v>
      </c>
      <c r="BE285" t="s">
        <v>1014</v>
      </c>
      <c r="BF285" t="s">
        <v>233</v>
      </c>
      <c r="BG285" t="s">
        <v>2339</v>
      </c>
      <c r="BH285" t="s">
        <v>234</v>
      </c>
      <c r="BI285" t="s">
        <v>239</v>
      </c>
      <c r="BJ285" t="s">
        <v>241</v>
      </c>
      <c r="BK285" t="s">
        <v>219</v>
      </c>
      <c r="BL285" t="s">
        <v>281</v>
      </c>
      <c r="BM285" t="s">
        <v>284</v>
      </c>
      <c r="BN285" t="s">
        <v>296</v>
      </c>
      <c r="BO285" t="s">
        <v>1110</v>
      </c>
      <c r="BP285" t="s">
        <v>805</v>
      </c>
      <c r="BQ285" t="s">
        <v>806</v>
      </c>
    </row>
    <row r="286" spans="1:103">
      <c r="A286" s="40">
        <v>268</v>
      </c>
      <c r="B286" s="40" t="s">
        <v>1487</v>
      </c>
      <c r="C286" s="2" t="s">
        <v>1488</v>
      </c>
      <c r="D286" s="2" t="s">
        <v>14</v>
      </c>
      <c r="E286" s="2"/>
      <c r="F286" s="2">
        <v>50</v>
      </c>
      <c r="G286" s="2">
        <v>35</v>
      </c>
      <c r="H286" s="2">
        <v>55</v>
      </c>
      <c r="I286" s="2">
        <v>25</v>
      </c>
      <c r="J286" s="2">
        <v>25</v>
      </c>
      <c r="K286" s="2">
        <v>15</v>
      </c>
      <c r="L286" s="2">
        <v>205</v>
      </c>
      <c r="M286" s="2" t="s">
        <v>1484</v>
      </c>
      <c r="N286" s="2" t="s">
        <v>1061</v>
      </c>
      <c r="O286" t="s">
        <v>284</v>
      </c>
      <c r="P286" t="s">
        <v>284</v>
      </c>
      <c r="Q286" t="s">
        <v>1062</v>
      </c>
      <c r="R286" t="s">
        <v>1063</v>
      </c>
      <c r="S286" t="s">
        <v>234</v>
      </c>
      <c r="T286" t="s">
        <v>239</v>
      </c>
      <c r="U286" t="s">
        <v>241</v>
      </c>
      <c r="V286" t="s">
        <v>219</v>
      </c>
      <c r="W286" t="s">
        <v>281</v>
      </c>
      <c r="X286" t="s">
        <v>296</v>
      </c>
      <c r="Y286" t="s">
        <v>1110</v>
      </c>
      <c r="Z286" t="s">
        <v>805</v>
      </c>
      <c r="AA286" t="s">
        <v>806</v>
      </c>
    </row>
    <row r="287" spans="1:103">
      <c r="A287" s="40">
        <v>269</v>
      </c>
      <c r="B287" s="40" t="s">
        <v>1489</v>
      </c>
      <c r="C287" s="2" t="s">
        <v>1490</v>
      </c>
      <c r="D287" s="2" t="s">
        <v>14</v>
      </c>
      <c r="E287" s="2" t="s">
        <v>11</v>
      </c>
      <c r="F287" s="2">
        <v>60</v>
      </c>
      <c r="G287" s="2">
        <v>50</v>
      </c>
      <c r="H287" s="2">
        <v>70</v>
      </c>
      <c r="I287" s="2">
        <v>50</v>
      </c>
      <c r="J287" s="2">
        <v>90</v>
      </c>
      <c r="K287" s="2">
        <v>65</v>
      </c>
      <c r="L287" s="2">
        <v>385</v>
      </c>
      <c r="M287" s="2" t="s">
        <v>1199</v>
      </c>
      <c r="N287" s="2" t="s">
        <v>1061</v>
      </c>
      <c r="O287" t="s">
        <v>287</v>
      </c>
      <c r="P287" t="s">
        <v>287</v>
      </c>
      <c r="Q287" t="s">
        <v>289</v>
      </c>
      <c r="R287" t="s">
        <v>1078</v>
      </c>
      <c r="S287" t="s">
        <v>784</v>
      </c>
      <c r="T287" t="s">
        <v>292</v>
      </c>
      <c r="U287" t="s">
        <v>291</v>
      </c>
      <c r="V287" t="s">
        <v>228</v>
      </c>
      <c r="W287" t="s">
        <v>1113</v>
      </c>
      <c r="X287" t="s">
        <v>148</v>
      </c>
      <c r="Y287" t="s">
        <v>1115</v>
      </c>
      <c r="Z287" t="s">
        <v>1116</v>
      </c>
      <c r="AA287" t="s">
        <v>1062</v>
      </c>
      <c r="AB287" t="s">
        <v>1063</v>
      </c>
      <c r="AC287" t="s">
        <v>148</v>
      </c>
      <c r="AD287" t="s">
        <v>1077</v>
      </c>
      <c r="AE287" t="s">
        <v>172</v>
      </c>
      <c r="AF287" t="s">
        <v>752</v>
      </c>
      <c r="AG287" t="s">
        <v>247</v>
      </c>
      <c r="AH287" t="s">
        <v>228</v>
      </c>
      <c r="AI287" t="s">
        <v>1078</v>
      </c>
      <c r="AJ287" t="s">
        <v>1119</v>
      </c>
      <c r="AK287" t="s">
        <v>1079</v>
      </c>
      <c r="AL287" t="s">
        <v>229</v>
      </c>
      <c r="AM287" t="s">
        <v>1080</v>
      </c>
      <c r="AN287" t="s">
        <v>9</v>
      </c>
      <c r="AO287" t="s">
        <v>174</v>
      </c>
      <c r="AP287" t="s">
        <v>230</v>
      </c>
      <c r="AQ287" t="s">
        <v>1081</v>
      </c>
      <c r="AR287" t="s">
        <v>1096</v>
      </c>
      <c r="AS287" t="s">
        <v>917</v>
      </c>
      <c r="AT287" t="s">
        <v>231</v>
      </c>
      <c r="AU287" t="s">
        <v>1082</v>
      </c>
      <c r="AV287" t="s">
        <v>1117</v>
      </c>
      <c r="AW287" t="s">
        <v>1037</v>
      </c>
      <c r="AX287" t="s">
        <v>970</v>
      </c>
      <c r="AY287" t="s">
        <v>1020</v>
      </c>
      <c r="AZ287" t="s">
        <v>976</v>
      </c>
      <c r="BA287" t="s">
        <v>232</v>
      </c>
      <c r="BB287" t="s">
        <v>1042</v>
      </c>
      <c r="BC287" t="s">
        <v>2369</v>
      </c>
      <c r="BD287" t="s">
        <v>756</v>
      </c>
      <c r="BE287" t="s">
        <v>757</v>
      </c>
      <c r="BF287" t="s">
        <v>1014</v>
      </c>
      <c r="BG287" t="s">
        <v>233</v>
      </c>
      <c r="BH287" t="s">
        <v>2339</v>
      </c>
      <c r="BI287" t="s">
        <v>234</v>
      </c>
      <c r="BJ287" t="s">
        <v>239</v>
      </c>
      <c r="BK287" t="s">
        <v>241</v>
      </c>
      <c r="BL287" t="s">
        <v>219</v>
      </c>
      <c r="BM287" t="s">
        <v>281</v>
      </c>
      <c r="BN287" t="s">
        <v>284</v>
      </c>
      <c r="BO287" t="s">
        <v>296</v>
      </c>
      <c r="BP287" t="s">
        <v>1110</v>
      </c>
      <c r="BQ287" t="s">
        <v>805</v>
      </c>
      <c r="BR287" t="s">
        <v>806</v>
      </c>
    </row>
    <row r="288" spans="1:103">
      <c r="A288" s="40">
        <v>270</v>
      </c>
      <c r="B288" s="40" t="s">
        <v>1491</v>
      </c>
      <c r="C288" s="2" t="s">
        <v>1492</v>
      </c>
      <c r="D288" s="2" t="s">
        <v>27</v>
      </c>
      <c r="E288" s="2" t="s">
        <v>21</v>
      </c>
      <c r="F288" s="2">
        <v>40</v>
      </c>
      <c r="G288" s="2">
        <v>30</v>
      </c>
      <c r="H288" s="2">
        <v>30</v>
      </c>
      <c r="I288" s="2">
        <v>40</v>
      </c>
      <c r="J288" s="2">
        <v>50</v>
      </c>
      <c r="K288" s="2">
        <v>30</v>
      </c>
      <c r="L288" s="2">
        <v>220</v>
      </c>
      <c r="M288" s="2" t="s">
        <v>1131</v>
      </c>
      <c r="N288" s="2" t="s">
        <v>1061</v>
      </c>
      <c r="O288" t="s">
        <v>1130</v>
      </c>
      <c r="P288" t="s">
        <v>220</v>
      </c>
      <c r="Q288" t="s">
        <v>402</v>
      </c>
      <c r="R288" t="s">
        <v>1087</v>
      </c>
      <c r="S288" t="s">
        <v>273</v>
      </c>
      <c r="T288" t="s">
        <v>992</v>
      </c>
      <c r="U288" t="s">
        <v>403</v>
      </c>
      <c r="V288" t="s">
        <v>446</v>
      </c>
      <c r="W288" t="s">
        <v>1019</v>
      </c>
      <c r="X288" t="s">
        <v>766</v>
      </c>
      <c r="Y288" t="s">
        <v>970</v>
      </c>
      <c r="Z288" t="s">
        <v>1062</v>
      </c>
      <c r="AA288" t="s">
        <v>144</v>
      </c>
      <c r="AB288" t="s">
        <v>1063</v>
      </c>
      <c r="AC288" t="s">
        <v>148</v>
      </c>
      <c r="AD288" t="s">
        <v>1104</v>
      </c>
      <c r="AE288" t="s">
        <v>172</v>
      </c>
      <c r="AF288" t="s">
        <v>752</v>
      </c>
      <c r="AG288" t="s">
        <v>141</v>
      </c>
      <c r="AH288" t="s">
        <v>271</v>
      </c>
      <c r="AI288" t="s">
        <v>1078</v>
      </c>
      <c r="AJ288" t="s">
        <v>766</v>
      </c>
      <c r="AK288" t="s">
        <v>1079</v>
      </c>
      <c r="AL288" t="s">
        <v>229</v>
      </c>
      <c r="AM288" t="s">
        <v>1080</v>
      </c>
      <c r="AN288" t="s">
        <v>230</v>
      </c>
      <c r="AO288" t="s">
        <v>917</v>
      </c>
      <c r="AP288" t="s">
        <v>231</v>
      </c>
      <c r="AQ288" t="s">
        <v>1082</v>
      </c>
      <c r="AR288" t="s">
        <v>1117</v>
      </c>
      <c r="AS288" t="s">
        <v>1037</v>
      </c>
      <c r="AT288" t="s">
        <v>1083</v>
      </c>
      <c r="AU288" t="s">
        <v>970</v>
      </c>
      <c r="AV288" t="s">
        <v>1038</v>
      </c>
      <c r="AW288" t="s">
        <v>232</v>
      </c>
      <c r="AX288" t="s">
        <v>145</v>
      </c>
      <c r="AY288" t="s">
        <v>977</v>
      </c>
      <c r="AZ288" t="s">
        <v>756</v>
      </c>
      <c r="BA288" t="s">
        <v>757</v>
      </c>
      <c r="BB288" t="s">
        <v>233</v>
      </c>
      <c r="BC288" t="s">
        <v>1087</v>
      </c>
      <c r="BD288" t="s">
        <v>2339</v>
      </c>
      <c r="BE288" t="s">
        <v>234</v>
      </c>
      <c r="BF288" t="s">
        <v>269</v>
      </c>
      <c r="BG288" t="s">
        <v>259</v>
      </c>
      <c r="BH288" t="s">
        <v>142</v>
      </c>
      <c r="BI288" t="s">
        <v>224</v>
      </c>
      <c r="BJ288" t="s">
        <v>770</v>
      </c>
      <c r="BK288" t="s">
        <v>171</v>
      </c>
      <c r="BL288" t="s">
        <v>1076</v>
      </c>
      <c r="BM288" t="s">
        <v>750</v>
      </c>
      <c r="BN288" t="s">
        <v>949</v>
      </c>
      <c r="BO288" t="s">
        <v>950</v>
      </c>
      <c r="BP288" t="s">
        <v>239</v>
      </c>
      <c r="BQ288" t="s">
        <v>241</v>
      </c>
      <c r="BR288" t="s">
        <v>805</v>
      </c>
      <c r="BS288" t="s">
        <v>806</v>
      </c>
    </row>
    <row r="289" spans="1:100">
      <c r="A289" s="40">
        <v>271</v>
      </c>
      <c r="B289" s="40" t="s">
        <v>1493</v>
      </c>
      <c r="C289" s="2" t="s">
        <v>1494</v>
      </c>
      <c r="D289" s="2" t="s">
        <v>27</v>
      </c>
      <c r="E289" s="2" t="s">
        <v>21</v>
      </c>
      <c r="F289" s="2">
        <v>60</v>
      </c>
      <c r="G289" s="2">
        <v>50</v>
      </c>
      <c r="H289" s="2">
        <v>50</v>
      </c>
      <c r="I289" s="2">
        <v>60</v>
      </c>
      <c r="J289" s="2">
        <v>70</v>
      </c>
      <c r="K289" s="2">
        <v>50</v>
      </c>
      <c r="L289" s="2">
        <v>340</v>
      </c>
      <c r="M289" s="2" t="s">
        <v>1141</v>
      </c>
      <c r="N289" s="2" t="s">
        <v>1061</v>
      </c>
      <c r="O289" t="s">
        <v>1130</v>
      </c>
      <c r="P289" t="s">
        <v>220</v>
      </c>
      <c r="Q289" t="s">
        <v>402</v>
      </c>
      <c r="R289" t="s">
        <v>1087</v>
      </c>
      <c r="S289" t="s">
        <v>176</v>
      </c>
      <c r="T289" t="s">
        <v>323</v>
      </c>
      <c r="U289" t="s">
        <v>955</v>
      </c>
      <c r="V289" t="s">
        <v>446</v>
      </c>
      <c r="W289" t="s">
        <v>1019</v>
      </c>
      <c r="X289" t="s">
        <v>953</v>
      </c>
      <c r="Y289" t="s">
        <v>140</v>
      </c>
      <c r="Z289" t="s">
        <v>1062</v>
      </c>
      <c r="AA289" t="s">
        <v>144</v>
      </c>
      <c r="AB289" t="s">
        <v>227</v>
      </c>
      <c r="AC289" t="s">
        <v>270</v>
      </c>
      <c r="AD289" t="s">
        <v>914</v>
      </c>
      <c r="AE289" t="s">
        <v>1063</v>
      </c>
      <c r="AF289" t="s">
        <v>1030</v>
      </c>
      <c r="AG289" t="s">
        <v>148</v>
      </c>
      <c r="AH289" t="s">
        <v>1104</v>
      </c>
      <c r="AI289" t="s">
        <v>172</v>
      </c>
      <c r="AJ289" t="s">
        <v>752</v>
      </c>
      <c r="AK289" t="s">
        <v>141</v>
      </c>
      <c r="AL289" t="s">
        <v>271</v>
      </c>
      <c r="AM289" t="s">
        <v>1078</v>
      </c>
      <c r="AN289" t="s">
        <v>766</v>
      </c>
      <c r="AO289" t="s">
        <v>1079</v>
      </c>
      <c r="AP289" t="s">
        <v>229</v>
      </c>
      <c r="AQ289" t="s">
        <v>1080</v>
      </c>
      <c r="AR289" t="s">
        <v>1094</v>
      </c>
      <c r="AS289" t="s">
        <v>230</v>
      </c>
      <c r="AT289" t="s">
        <v>917</v>
      </c>
      <c r="AU289" t="s">
        <v>231</v>
      </c>
      <c r="AV289" t="s">
        <v>1082</v>
      </c>
      <c r="AW289" t="s">
        <v>1117</v>
      </c>
      <c r="AX289" t="s">
        <v>1037</v>
      </c>
      <c r="AY289" t="s">
        <v>1083</v>
      </c>
      <c r="AZ289" t="s">
        <v>970</v>
      </c>
      <c r="BA289" t="s">
        <v>1038</v>
      </c>
      <c r="BB289" t="s">
        <v>974</v>
      </c>
      <c r="BC289" t="s">
        <v>232</v>
      </c>
      <c r="BD289" t="s">
        <v>145</v>
      </c>
      <c r="BE289" t="s">
        <v>977</v>
      </c>
      <c r="BF289" t="s">
        <v>756</v>
      </c>
      <c r="BG289" t="s">
        <v>757</v>
      </c>
      <c r="BH289" t="s">
        <v>233</v>
      </c>
      <c r="BI289" t="s">
        <v>760</v>
      </c>
      <c r="BJ289" t="s">
        <v>1087</v>
      </c>
      <c r="BK289" t="s">
        <v>2398</v>
      </c>
      <c r="BL289" t="s">
        <v>2339</v>
      </c>
      <c r="BM289" t="s">
        <v>234</v>
      </c>
      <c r="BN289" t="s">
        <v>269</v>
      </c>
      <c r="BO289" t="s">
        <v>259</v>
      </c>
      <c r="BP289" t="s">
        <v>142</v>
      </c>
      <c r="BQ289" t="s">
        <v>224</v>
      </c>
      <c r="BR289" t="s">
        <v>770</v>
      </c>
      <c r="BS289" t="s">
        <v>171</v>
      </c>
      <c r="BT289" t="s">
        <v>1076</v>
      </c>
      <c r="BU289" t="s">
        <v>750</v>
      </c>
      <c r="BV289" t="s">
        <v>949</v>
      </c>
      <c r="BW289" t="s">
        <v>950</v>
      </c>
      <c r="BX289" t="s">
        <v>239</v>
      </c>
      <c r="BY289" t="s">
        <v>241</v>
      </c>
      <c r="BZ289" t="s">
        <v>273</v>
      </c>
      <c r="CA289" t="s">
        <v>992</v>
      </c>
      <c r="CB289" t="s">
        <v>403</v>
      </c>
      <c r="CC289" t="s">
        <v>766</v>
      </c>
      <c r="CD289" t="s">
        <v>970</v>
      </c>
      <c r="CE289" t="s">
        <v>805</v>
      </c>
      <c r="CF289" t="s">
        <v>806</v>
      </c>
    </row>
    <row r="290" spans="1:100">
      <c r="A290" s="40">
        <v>272</v>
      </c>
      <c r="B290" s="40" t="s">
        <v>1495</v>
      </c>
      <c r="C290" s="2" t="s">
        <v>1496</v>
      </c>
      <c r="D290" s="2" t="s">
        <v>27</v>
      </c>
      <c r="E290" s="2" t="s">
        <v>21</v>
      </c>
      <c r="F290" s="2">
        <v>80</v>
      </c>
      <c r="G290" s="2">
        <v>70</v>
      </c>
      <c r="H290" s="2">
        <v>70</v>
      </c>
      <c r="I290" s="2">
        <v>90</v>
      </c>
      <c r="J290" s="2">
        <v>100</v>
      </c>
      <c r="K290" s="2">
        <v>70</v>
      </c>
      <c r="L290" s="2">
        <v>480</v>
      </c>
      <c r="M290" s="2" t="s">
        <v>1090</v>
      </c>
      <c r="N290" s="2" t="s">
        <v>1061</v>
      </c>
      <c r="O290" t="s">
        <v>220</v>
      </c>
      <c r="P290" t="s">
        <v>403</v>
      </c>
      <c r="Q290" t="s">
        <v>1087</v>
      </c>
      <c r="R290" t="s">
        <v>1130</v>
      </c>
      <c r="S290" t="s">
        <v>1062</v>
      </c>
      <c r="T290" t="s">
        <v>144</v>
      </c>
      <c r="U290" t="s">
        <v>227</v>
      </c>
      <c r="V290" t="s">
        <v>270</v>
      </c>
      <c r="W290" t="s">
        <v>914</v>
      </c>
      <c r="X290" t="s">
        <v>1063</v>
      </c>
      <c r="Y290" t="s">
        <v>1030</v>
      </c>
      <c r="Z290" t="s">
        <v>148</v>
      </c>
      <c r="AA290" t="s">
        <v>1104</v>
      </c>
      <c r="AB290" t="s">
        <v>172</v>
      </c>
      <c r="AC290" t="s">
        <v>752</v>
      </c>
      <c r="AD290" t="s">
        <v>141</v>
      </c>
      <c r="AE290" t="s">
        <v>271</v>
      </c>
      <c r="AF290" t="s">
        <v>247</v>
      </c>
      <c r="AG290" t="s">
        <v>1078</v>
      </c>
      <c r="AH290" t="s">
        <v>766</v>
      </c>
      <c r="AI290" t="s">
        <v>1079</v>
      </c>
      <c r="AJ290" t="s">
        <v>229</v>
      </c>
      <c r="AK290" t="s">
        <v>1080</v>
      </c>
      <c r="AL290" t="s">
        <v>1094</v>
      </c>
      <c r="AM290" t="s">
        <v>230</v>
      </c>
      <c r="AN290" t="s">
        <v>917</v>
      </c>
      <c r="AO290" t="s">
        <v>231</v>
      </c>
      <c r="AP290" t="s">
        <v>1082</v>
      </c>
      <c r="AQ290" t="s">
        <v>1117</v>
      </c>
      <c r="AR290" t="s">
        <v>1037</v>
      </c>
      <c r="AS290" t="s">
        <v>1083</v>
      </c>
      <c r="AT290" t="s">
        <v>1102</v>
      </c>
      <c r="AU290" t="s">
        <v>970</v>
      </c>
      <c r="AV290" t="s">
        <v>1038</v>
      </c>
      <c r="AW290" t="s">
        <v>974</v>
      </c>
      <c r="AX290" t="s">
        <v>976</v>
      </c>
      <c r="AY290" t="s">
        <v>232</v>
      </c>
      <c r="AZ290" t="s">
        <v>145</v>
      </c>
      <c r="BA290" t="s">
        <v>977</v>
      </c>
      <c r="BB290" t="s">
        <v>756</v>
      </c>
      <c r="BC290" t="s">
        <v>757</v>
      </c>
      <c r="BD290" t="s">
        <v>233</v>
      </c>
      <c r="BE290" t="s">
        <v>760</v>
      </c>
      <c r="BF290" t="s">
        <v>1087</v>
      </c>
      <c r="BG290" t="s">
        <v>2398</v>
      </c>
      <c r="BH290" t="s">
        <v>2339</v>
      </c>
      <c r="BI290" t="s">
        <v>234</v>
      </c>
      <c r="BJ290" t="s">
        <v>269</v>
      </c>
      <c r="BK290" t="s">
        <v>259</v>
      </c>
      <c r="BL290" t="s">
        <v>142</v>
      </c>
      <c r="BM290" t="s">
        <v>224</v>
      </c>
      <c r="BN290" t="s">
        <v>770</v>
      </c>
      <c r="BO290" t="s">
        <v>171</v>
      </c>
      <c r="BP290" t="s">
        <v>1076</v>
      </c>
      <c r="BQ290" t="s">
        <v>750</v>
      </c>
      <c r="BR290" t="s">
        <v>949</v>
      </c>
      <c r="BS290" t="s">
        <v>950</v>
      </c>
      <c r="BT290" t="s">
        <v>239</v>
      </c>
      <c r="BU290" t="s">
        <v>241</v>
      </c>
      <c r="BV290" t="s">
        <v>402</v>
      </c>
      <c r="BW290" t="s">
        <v>273</v>
      </c>
      <c r="BX290" t="s">
        <v>176</v>
      </c>
      <c r="BY290" t="s">
        <v>323</v>
      </c>
      <c r="BZ290" t="s">
        <v>992</v>
      </c>
      <c r="CA290" t="s">
        <v>955</v>
      </c>
      <c r="CB290" t="s">
        <v>446</v>
      </c>
      <c r="CC290" t="s">
        <v>1019</v>
      </c>
      <c r="CD290" t="s">
        <v>766</v>
      </c>
      <c r="CE290" t="s">
        <v>953</v>
      </c>
      <c r="CF290" t="s">
        <v>140</v>
      </c>
      <c r="CG290" t="s">
        <v>970</v>
      </c>
      <c r="CH290" t="s">
        <v>805</v>
      </c>
      <c r="CI290" t="s">
        <v>806</v>
      </c>
    </row>
    <row r="291" spans="1:100">
      <c r="A291" s="40">
        <v>273</v>
      </c>
      <c r="B291" s="40" t="s">
        <v>1497</v>
      </c>
      <c r="C291" s="2" t="s">
        <v>1498</v>
      </c>
      <c r="D291" s="2" t="s">
        <v>21</v>
      </c>
      <c r="E291" s="2"/>
      <c r="F291" s="2">
        <v>40</v>
      </c>
      <c r="G291" s="2">
        <v>40</v>
      </c>
      <c r="H291" s="2">
        <v>50</v>
      </c>
      <c r="I291" s="2">
        <v>30</v>
      </c>
      <c r="J291" s="2">
        <v>30</v>
      </c>
      <c r="K291" s="2">
        <v>30</v>
      </c>
      <c r="L291" s="2">
        <v>220</v>
      </c>
      <c r="M291" s="2" t="s">
        <v>1208</v>
      </c>
      <c r="N291" s="2" t="s">
        <v>1061</v>
      </c>
      <c r="O291" t="s">
        <v>347</v>
      </c>
      <c r="P291" t="s">
        <v>284</v>
      </c>
      <c r="Q291" t="s">
        <v>215</v>
      </c>
      <c r="R291" t="s">
        <v>1087</v>
      </c>
      <c r="S291" t="s">
        <v>750</v>
      </c>
      <c r="T291" t="s">
        <v>752</v>
      </c>
      <c r="U291" t="s">
        <v>485</v>
      </c>
      <c r="V291" t="s">
        <v>1062</v>
      </c>
      <c r="W291" t="s">
        <v>1063</v>
      </c>
      <c r="X291" t="s">
        <v>148</v>
      </c>
      <c r="Y291" t="s">
        <v>172</v>
      </c>
      <c r="Z291" t="s">
        <v>752</v>
      </c>
      <c r="AA291" t="s">
        <v>1078</v>
      </c>
      <c r="AB291" t="s">
        <v>1079</v>
      </c>
      <c r="AC291" t="s">
        <v>229</v>
      </c>
      <c r="AD291" t="s">
        <v>1080</v>
      </c>
      <c r="AE291" t="s">
        <v>256</v>
      </c>
      <c r="AF291" t="s">
        <v>174</v>
      </c>
      <c r="AG291" t="s">
        <v>230</v>
      </c>
      <c r="AH291" t="s">
        <v>917</v>
      </c>
      <c r="AI291" t="s">
        <v>231</v>
      </c>
      <c r="AJ291" t="s">
        <v>1082</v>
      </c>
      <c r="AK291" t="s">
        <v>1037</v>
      </c>
      <c r="AL291" t="s">
        <v>970</v>
      </c>
      <c r="AM291" t="s">
        <v>776</v>
      </c>
      <c r="AN291" t="s">
        <v>485</v>
      </c>
      <c r="AO291" t="s">
        <v>1036</v>
      </c>
      <c r="AP291" t="s">
        <v>232</v>
      </c>
      <c r="AQ291" t="s">
        <v>145</v>
      </c>
      <c r="AR291" t="s">
        <v>977</v>
      </c>
      <c r="AS291" t="s">
        <v>756</v>
      </c>
      <c r="AT291" t="s">
        <v>757</v>
      </c>
      <c r="AU291" t="s">
        <v>233</v>
      </c>
      <c r="AV291" t="s">
        <v>760</v>
      </c>
      <c r="AW291" t="s">
        <v>1087</v>
      </c>
      <c r="AX291" t="s">
        <v>2339</v>
      </c>
      <c r="AY291" t="s">
        <v>234</v>
      </c>
      <c r="AZ291" t="s">
        <v>332</v>
      </c>
      <c r="BA291" t="s">
        <v>223</v>
      </c>
      <c r="BB291" t="s">
        <v>142</v>
      </c>
      <c r="BC291" t="s">
        <v>310</v>
      </c>
      <c r="BD291" t="s">
        <v>235</v>
      </c>
      <c r="BE291" t="s">
        <v>763</v>
      </c>
      <c r="BF291" t="s">
        <v>1190</v>
      </c>
      <c r="BG291" t="s">
        <v>998</v>
      </c>
      <c r="BH291" t="s">
        <v>1017</v>
      </c>
      <c r="BI291" t="s">
        <v>991</v>
      </c>
      <c r="BJ291" t="s">
        <v>1124</v>
      </c>
      <c r="BK291" t="s">
        <v>1167</v>
      </c>
      <c r="BL291" t="s">
        <v>2367</v>
      </c>
      <c r="BM291" t="s">
        <v>239</v>
      </c>
      <c r="BN291" t="s">
        <v>241</v>
      </c>
      <c r="BO291" t="s">
        <v>805</v>
      </c>
      <c r="BP291" t="s">
        <v>806</v>
      </c>
    </row>
    <row r="292" spans="1:100">
      <c r="A292" s="40">
        <v>274</v>
      </c>
      <c r="B292" s="40" t="s">
        <v>1499</v>
      </c>
      <c r="C292" s="2" t="s">
        <v>1500</v>
      </c>
      <c r="D292" s="2" t="s">
        <v>21</v>
      </c>
      <c r="E292" s="2" t="s">
        <v>15</v>
      </c>
      <c r="F292" s="2">
        <v>70</v>
      </c>
      <c r="G292" s="2">
        <v>70</v>
      </c>
      <c r="H292" s="2">
        <v>40</v>
      </c>
      <c r="I292" s="2">
        <v>60</v>
      </c>
      <c r="J292" s="2">
        <v>40</v>
      </c>
      <c r="K292" s="2">
        <v>60</v>
      </c>
      <c r="L292" s="2">
        <v>340</v>
      </c>
      <c r="M292" s="2" t="s">
        <v>1108</v>
      </c>
      <c r="N292" s="2" t="s">
        <v>1061</v>
      </c>
      <c r="O292" t="s">
        <v>376</v>
      </c>
      <c r="P292" t="s">
        <v>224</v>
      </c>
      <c r="Q292" t="s">
        <v>284</v>
      </c>
      <c r="R292" t="s">
        <v>215</v>
      </c>
      <c r="S292" t="s">
        <v>1087</v>
      </c>
      <c r="T292" t="s">
        <v>176</v>
      </c>
      <c r="U292" t="s">
        <v>951</v>
      </c>
      <c r="V292" t="s">
        <v>774</v>
      </c>
      <c r="W292" t="s">
        <v>332</v>
      </c>
      <c r="X292" t="s">
        <v>756</v>
      </c>
      <c r="Y292" t="s">
        <v>1154</v>
      </c>
      <c r="Z292" t="s">
        <v>1062</v>
      </c>
      <c r="AA292" t="s">
        <v>226</v>
      </c>
      <c r="AB292" t="s">
        <v>227</v>
      </c>
      <c r="AC292" t="s">
        <v>1063</v>
      </c>
      <c r="AD292" t="s">
        <v>148</v>
      </c>
      <c r="AE292" t="s">
        <v>172</v>
      </c>
      <c r="AF292" t="s">
        <v>752</v>
      </c>
      <c r="AG292" t="s">
        <v>247</v>
      </c>
      <c r="AH292" t="s">
        <v>1078</v>
      </c>
      <c r="AI292" t="s">
        <v>1079</v>
      </c>
      <c r="AJ292" t="s">
        <v>229</v>
      </c>
      <c r="AK292" t="s">
        <v>1080</v>
      </c>
      <c r="AL292" t="s">
        <v>256</v>
      </c>
      <c r="AM292" t="s">
        <v>174</v>
      </c>
      <c r="AN292" t="s">
        <v>1094</v>
      </c>
      <c r="AO292" t="s">
        <v>230</v>
      </c>
      <c r="AP292" t="s">
        <v>1095</v>
      </c>
      <c r="AQ292" t="s">
        <v>951</v>
      </c>
      <c r="AR292" t="s">
        <v>917</v>
      </c>
      <c r="AS292" t="s">
        <v>231</v>
      </c>
      <c r="AT292" t="s">
        <v>1082</v>
      </c>
      <c r="AU292" t="s">
        <v>1117</v>
      </c>
      <c r="AV292" t="s">
        <v>1172</v>
      </c>
      <c r="AW292" t="s">
        <v>1037</v>
      </c>
      <c r="AX292" t="s">
        <v>970</v>
      </c>
      <c r="AY292" t="s">
        <v>776</v>
      </c>
      <c r="AZ292" t="s">
        <v>974</v>
      </c>
      <c r="BA292" t="s">
        <v>969</v>
      </c>
      <c r="BB292" t="s">
        <v>485</v>
      </c>
      <c r="BC292" t="s">
        <v>995</v>
      </c>
      <c r="BD292" t="s">
        <v>1036</v>
      </c>
      <c r="BE292" t="s">
        <v>232</v>
      </c>
      <c r="BF292" t="s">
        <v>145</v>
      </c>
      <c r="BG292" t="s">
        <v>785</v>
      </c>
      <c r="BH292" t="s">
        <v>143</v>
      </c>
      <c r="BI292" t="s">
        <v>977</v>
      </c>
      <c r="BJ292" t="s">
        <v>756</v>
      </c>
      <c r="BK292" t="s">
        <v>757</v>
      </c>
      <c r="BL292" t="s">
        <v>233</v>
      </c>
      <c r="BM292" t="s">
        <v>760</v>
      </c>
      <c r="BN292" t="s">
        <v>1040</v>
      </c>
      <c r="BO292" t="s">
        <v>1087</v>
      </c>
      <c r="BP292" t="s">
        <v>1157</v>
      </c>
      <c r="BQ292" t="s">
        <v>2398</v>
      </c>
      <c r="BR292" t="s">
        <v>2339</v>
      </c>
      <c r="BS292" t="s">
        <v>234</v>
      </c>
      <c r="BT292" t="s">
        <v>332</v>
      </c>
      <c r="BU292" t="s">
        <v>223</v>
      </c>
      <c r="BV292" t="s">
        <v>142</v>
      </c>
      <c r="BW292" t="s">
        <v>310</v>
      </c>
      <c r="BX292" t="s">
        <v>235</v>
      </c>
      <c r="BY292" t="s">
        <v>763</v>
      </c>
      <c r="BZ292" t="s">
        <v>1190</v>
      </c>
      <c r="CA292" t="s">
        <v>998</v>
      </c>
      <c r="CB292" t="s">
        <v>1017</v>
      </c>
      <c r="CC292" t="s">
        <v>991</v>
      </c>
      <c r="CD292" t="s">
        <v>1124</v>
      </c>
      <c r="CE292" t="s">
        <v>1167</v>
      </c>
      <c r="CF292" t="s">
        <v>2367</v>
      </c>
      <c r="CG292" t="s">
        <v>239</v>
      </c>
      <c r="CH292" t="s">
        <v>241</v>
      </c>
      <c r="CI292" t="s">
        <v>347</v>
      </c>
      <c r="CJ292" t="s">
        <v>750</v>
      </c>
      <c r="CK292" t="s">
        <v>752</v>
      </c>
      <c r="CL292" t="s">
        <v>485</v>
      </c>
      <c r="CM292" t="s">
        <v>805</v>
      </c>
      <c r="CN292" t="s">
        <v>806</v>
      </c>
    </row>
    <row r="293" spans="1:100">
      <c r="A293" s="40">
        <v>275</v>
      </c>
      <c r="B293" s="40" t="s">
        <v>1501</v>
      </c>
      <c r="C293" s="2" t="s">
        <v>1502</v>
      </c>
      <c r="D293" s="2" t="s">
        <v>21</v>
      </c>
      <c r="E293" s="2" t="s">
        <v>15</v>
      </c>
      <c r="F293" s="2">
        <v>90</v>
      </c>
      <c r="G293" s="2">
        <v>100</v>
      </c>
      <c r="H293" s="2">
        <v>60</v>
      </c>
      <c r="I293" s="2">
        <v>90</v>
      </c>
      <c r="J293" s="2">
        <v>60</v>
      </c>
      <c r="K293" s="2">
        <v>80</v>
      </c>
      <c r="L293" s="2">
        <v>480</v>
      </c>
      <c r="M293" s="2" t="s">
        <v>1224</v>
      </c>
      <c r="N293" s="2" t="s">
        <v>1061</v>
      </c>
      <c r="O293" t="s">
        <v>291</v>
      </c>
      <c r="P293" t="s">
        <v>224</v>
      </c>
      <c r="Q293" t="s">
        <v>774</v>
      </c>
      <c r="R293" t="s">
        <v>991</v>
      </c>
      <c r="S293" t="s">
        <v>1193</v>
      </c>
      <c r="T293" t="s">
        <v>1086</v>
      </c>
      <c r="U293" t="s">
        <v>1062</v>
      </c>
      <c r="V293" t="s">
        <v>226</v>
      </c>
      <c r="W293" t="s">
        <v>227</v>
      </c>
      <c r="X293" t="s">
        <v>1063</v>
      </c>
      <c r="Y293" t="s">
        <v>148</v>
      </c>
      <c r="Z293" t="s">
        <v>172</v>
      </c>
      <c r="AA293" t="s">
        <v>752</v>
      </c>
      <c r="AB293" t="s">
        <v>247</v>
      </c>
      <c r="AC293" t="s">
        <v>1078</v>
      </c>
      <c r="AD293" t="s">
        <v>1079</v>
      </c>
      <c r="AE293" t="s">
        <v>229</v>
      </c>
      <c r="AF293" t="s">
        <v>1080</v>
      </c>
      <c r="AG293" t="s">
        <v>256</v>
      </c>
      <c r="AH293" t="s">
        <v>174</v>
      </c>
      <c r="AI293" t="s">
        <v>1094</v>
      </c>
      <c r="AJ293" t="s">
        <v>230</v>
      </c>
      <c r="AK293" t="s">
        <v>1095</v>
      </c>
      <c r="AL293" t="s">
        <v>1096</v>
      </c>
      <c r="AM293" t="s">
        <v>951</v>
      </c>
      <c r="AN293" t="s">
        <v>917</v>
      </c>
      <c r="AO293" t="s">
        <v>231</v>
      </c>
      <c r="AP293" t="s">
        <v>1082</v>
      </c>
      <c r="AQ293" t="s">
        <v>1117</v>
      </c>
      <c r="AR293" t="s">
        <v>1172</v>
      </c>
      <c r="AS293" t="s">
        <v>1037</v>
      </c>
      <c r="AT293" t="s">
        <v>1102</v>
      </c>
      <c r="AU293" t="s">
        <v>970</v>
      </c>
      <c r="AV293" t="s">
        <v>776</v>
      </c>
      <c r="AW293" t="s">
        <v>974</v>
      </c>
      <c r="AX293" t="s">
        <v>969</v>
      </c>
      <c r="AY293" t="s">
        <v>485</v>
      </c>
      <c r="AZ293" t="s">
        <v>995</v>
      </c>
      <c r="BA293" t="s">
        <v>1036</v>
      </c>
      <c r="BB293" t="s">
        <v>976</v>
      </c>
      <c r="BC293" t="s">
        <v>232</v>
      </c>
      <c r="BD293" t="s">
        <v>145</v>
      </c>
      <c r="BE293" t="s">
        <v>785</v>
      </c>
      <c r="BF293" t="s">
        <v>143</v>
      </c>
      <c r="BG293" t="s">
        <v>1018</v>
      </c>
      <c r="BH293" t="s">
        <v>977</v>
      </c>
      <c r="BI293" t="s">
        <v>756</v>
      </c>
      <c r="BJ293" t="s">
        <v>757</v>
      </c>
      <c r="BK293" t="s">
        <v>233</v>
      </c>
      <c r="BL293" t="s">
        <v>760</v>
      </c>
      <c r="BM293" t="s">
        <v>1040</v>
      </c>
      <c r="BN293" t="s">
        <v>1087</v>
      </c>
      <c r="BO293" t="s">
        <v>1157</v>
      </c>
      <c r="BP293" t="s">
        <v>2398</v>
      </c>
      <c r="BQ293" t="s">
        <v>2339</v>
      </c>
      <c r="BR293" t="s">
        <v>234</v>
      </c>
      <c r="BS293" t="s">
        <v>332</v>
      </c>
      <c r="BT293" t="s">
        <v>223</v>
      </c>
      <c r="BU293" t="s">
        <v>142</v>
      </c>
      <c r="BV293" t="s">
        <v>310</v>
      </c>
      <c r="BW293" t="s">
        <v>235</v>
      </c>
      <c r="BX293" t="s">
        <v>763</v>
      </c>
      <c r="BY293" t="s">
        <v>1190</v>
      </c>
      <c r="BZ293" t="s">
        <v>998</v>
      </c>
      <c r="CA293" t="s">
        <v>1017</v>
      </c>
      <c r="CB293" t="s">
        <v>991</v>
      </c>
      <c r="CC293" t="s">
        <v>1124</v>
      </c>
      <c r="CD293" t="s">
        <v>1167</v>
      </c>
      <c r="CE293" t="s">
        <v>2367</v>
      </c>
      <c r="CF293" t="s">
        <v>239</v>
      </c>
      <c r="CG293" t="s">
        <v>241</v>
      </c>
      <c r="CH293" t="s">
        <v>376</v>
      </c>
      <c r="CI293" t="s">
        <v>347</v>
      </c>
      <c r="CJ293" t="s">
        <v>284</v>
      </c>
      <c r="CK293" t="s">
        <v>215</v>
      </c>
      <c r="CL293" t="s">
        <v>1087</v>
      </c>
      <c r="CM293" t="s">
        <v>176</v>
      </c>
      <c r="CN293" t="s">
        <v>750</v>
      </c>
      <c r="CO293" t="s">
        <v>951</v>
      </c>
      <c r="CP293" t="s">
        <v>752</v>
      </c>
      <c r="CQ293" t="s">
        <v>332</v>
      </c>
      <c r="CR293" t="s">
        <v>485</v>
      </c>
      <c r="CS293" t="s">
        <v>756</v>
      </c>
      <c r="CT293" t="s">
        <v>1154</v>
      </c>
      <c r="CU293" t="s">
        <v>805</v>
      </c>
      <c r="CV293" t="s">
        <v>806</v>
      </c>
    </row>
    <row r="294" spans="1:100">
      <c r="A294" s="40">
        <v>276</v>
      </c>
      <c r="B294" s="40" t="s">
        <v>1503</v>
      </c>
      <c r="C294" s="2" t="s">
        <v>1504</v>
      </c>
      <c r="D294" s="2" t="s">
        <v>24</v>
      </c>
      <c r="E294" s="2" t="s">
        <v>20</v>
      </c>
      <c r="F294" s="2">
        <v>40</v>
      </c>
      <c r="G294" s="2">
        <v>55</v>
      </c>
      <c r="H294" s="2">
        <v>30</v>
      </c>
      <c r="I294" s="2">
        <v>30</v>
      </c>
      <c r="J294" s="2">
        <v>30</v>
      </c>
      <c r="K294" s="2">
        <v>85</v>
      </c>
      <c r="L294" s="2">
        <v>270</v>
      </c>
      <c r="M294" s="2" t="s">
        <v>1073</v>
      </c>
      <c r="N294" s="2" t="s">
        <v>1061</v>
      </c>
      <c r="O294" t="s">
        <v>220</v>
      </c>
      <c r="P294" t="s">
        <v>329</v>
      </c>
      <c r="Q294" t="s">
        <v>302</v>
      </c>
      <c r="R294" t="s">
        <v>310</v>
      </c>
      <c r="S294" t="s">
        <v>264</v>
      </c>
      <c r="T294" t="s">
        <v>230</v>
      </c>
      <c r="U294" t="s">
        <v>916</v>
      </c>
      <c r="V294" t="s">
        <v>1096</v>
      </c>
      <c r="W294" t="s">
        <v>306</v>
      </c>
      <c r="X294" t="s">
        <v>1101</v>
      </c>
      <c r="Y294" t="s">
        <v>1062</v>
      </c>
      <c r="Z294" t="s">
        <v>138</v>
      </c>
      <c r="AA294" t="s">
        <v>1063</v>
      </c>
      <c r="AB294" t="s">
        <v>148</v>
      </c>
      <c r="AC294" t="s">
        <v>172</v>
      </c>
      <c r="AD294" t="s">
        <v>752</v>
      </c>
      <c r="AE294" t="s">
        <v>1078</v>
      </c>
      <c r="AF294" t="s">
        <v>766</v>
      </c>
      <c r="AG294" t="s">
        <v>1119</v>
      </c>
      <c r="AH294" t="s">
        <v>1079</v>
      </c>
      <c r="AI294" t="s">
        <v>1080</v>
      </c>
      <c r="AJ294" t="s">
        <v>230</v>
      </c>
      <c r="AK294" t="s">
        <v>1096</v>
      </c>
      <c r="AL294" t="s">
        <v>917</v>
      </c>
      <c r="AM294" t="s">
        <v>231</v>
      </c>
      <c r="AN294" t="s">
        <v>1082</v>
      </c>
      <c r="AO294" t="s">
        <v>1117</v>
      </c>
      <c r="AP294" t="s">
        <v>1037</v>
      </c>
      <c r="AQ294" t="s">
        <v>1083</v>
      </c>
      <c r="AR294" t="s">
        <v>1125</v>
      </c>
      <c r="AS294" t="s">
        <v>756</v>
      </c>
      <c r="AT294" t="s">
        <v>757</v>
      </c>
      <c r="AU294" t="s">
        <v>1014</v>
      </c>
      <c r="AV294" t="s">
        <v>233</v>
      </c>
      <c r="AW294" t="s">
        <v>2339</v>
      </c>
      <c r="AX294" t="s">
        <v>234</v>
      </c>
      <c r="AY294" t="s">
        <v>291</v>
      </c>
      <c r="AZ294" t="s">
        <v>290</v>
      </c>
      <c r="BA294" t="s">
        <v>304</v>
      </c>
      <c r="BB294" t="s">
        <v>311</v>
      </c>
      <c r="BC294" t="s">
        <v>316</v>
      </c>
      <c r="BD294" t="s">
        <v>1125</v>
      </c>
      <c r="BE294" t="s">
        <v>773</v>
      </c>
      <c r="BF294" t="s">
        <v>1106</v>
      </c>
      <c r="BG294" t="s">
        <v>1119</v>
      </c>
      <c r="BH294" t="s">
        <v>1123</v>
      </c>
      <c r="BI294" t="s">
        <v>1124</v>
      </c>
      <c r="BJ294" t="s">
        <v>2337</v>
      </c>
      <c r="BK294" t="s">
        <v>239</v>
      </c>
      <c r="BL294" t="s">
        <v>241</v>
      </c>
      <c r="BM294" t="s">
        <v>805</v>
      </c>
      <c r="BN294" t="s">
        <v>806</v>
      </c>
    </row>
    <row r="295" spans="1:100">
      <c r="A295" s="40">
        <v>277</v>
      </c>
      <c r="B295" s="40" t="s">
        <v>1505</v>
      </c>
      <c r="C295" s="2" t="s">
        <v>1506</v>
      </c>
      <c r="D295" s="2" t="s">
        <v>24</v>
      </c>
      <c r="E295" s="2" t="s">
        <v>20</v>
      </c>
      <c r="F295" s="2">
        <v>60</v>
      </c>
      <c r="G295" s="2">
        <v>85</v>
      </c>
      <c r="H295" s="2">
        <v>60</v>
      </c>
      <c r="I295" s="2">
        <v>50</v>
      </c>
      <c r="J295" s="2">
        <v>50</v>
      </c>
      <c r="K295" s="2">
        <v>125</v>
      </c>
      <c r="L295" s="2">
        <v>430</v>
      </c>
      <c r="M295" s="2" t="s">
        <v>1131</v>
      </c>
      <c r="N295" s="2" t="s">
        <v>1061</v>
      </c>
      <c r="O295" t="s">
        <v>220</v>
      </c>
      <c r="P295" t="s">
        <v>329</v>
      </c>
      <c r="Q295" t="s">
        <v>310</v>
      </c>
      <c r="R295" t="s">
        <v>302</v>
      </c>
      <c r="S295" t="s">
        <v>996</v>
      </c>
      <c r="T295" t="s">
        <v>302</v>
      </c>
      <c r="U295" t="s">
        <v>310</v>
      </c>
      <c r="V295" t="s">
        <v>264</v>
      </c>
      <c r="W295" t="s">
        <v>230</v>
      </c>
      <c r="X295" t="s">
        <v>916</v>
      </c>
      <c r="Y295" t="s">
        <v>1096</v>
      </c>
      <c r="Z295" t="s">
        <v>306</v>
      </c>
      <c r="AA295" t="s">
        <v>1101</v>
      </c>
      <c r="AB295" t="s">
        <v>1062</v>
      </c>
      <c r="AC295" t="s">
        <v>138</v>
      </c>
      <c r="AD295" t="s">
        <v>1063</v>
      </c>
      <c r="AE295" t="s">
        <v>148</v>
      </c>
      <c r="AF295" t="s">
        <v>172</v>
      </c>
      <c r="AG295" t="s">
        <v>752</v>
      </c>
      <c r="AH295" t="s">
        <v>247</v>
      </c>
      <c r="AI295" t="s">
        <v>1078</v>
      </c>
      <c r="AJ295" t="s">
        <v>766</v>
      </c>
      <c r="AK295" t="s">
        <v>1119</v>
      </c>
      <c r="AL295" t="s">
        <v>1079</v>
      </c>
      <c r="AM295" t="s">
        <v>1080</v>
      </c>
      <c r="AN295" t="s">
        <v>230</v>
      </c>
      <c r="AO295" t="s">
        <v>1096</v>
      </c>
      <c r="AP295" t="s">
        <v>917</v>
      </c>
      <c r="AQ295" t="s">
        <v>231</v>
      </c>
      <c r="AR295" t="s">
        <v>1082</v>
      </c>
      <c r="AS295" t="s">
        <v>1117</v>
      </c>
      <c r="AT295" t="s">
        <v>1037</v>
      </c>
      <c r="AU295" t="s">
        <v>1083</v>
      </c>
      <c r="AV295" t="s">
        <v>1125</v>
      </c>
      <c r="AW295" t="s">
        <v>976</v>
      </c>
      <c r="AX295" t="s">
        <v>756</v>
      </c>
      <c r="AY295" t="s">
        <v>757</v>
      </c>
      <c r="AZ295" t="s">
        <v>1014</v>
      </c>
      <c r="BA295" t="s">
        <v>233</v>
      </c>
      <c r="BB295" t="s">
        <v>2339</v>
      </c>
      <c r="BC295" t="s">
        <v>234</v>
      </c>
      <c r="BD295" t="s">
        <v>291</v>
      </c>
      <c r="BE295" t="s">
        <v>290</v>
      </c>
      <c r="BF295" t="s">
        <v>304</v>
      </c>
      <c r="BG295" t="s">
        <v>311</v>
      </c>
      <c r="BH295" t="s">
        <v>316</v>
      </c>
      <c r="BI295" t="s">
        <v>1125</v>
      </c>
      <c r="BJ295" t="s">
        <v>773</v>
      </c>
      <c r="BK295" t="s">
        <v>1106</v>
      </c>
      <c r="BL295" t="s">
        <v>1119</v>
      </c>
      <c r="BM295" t="s">
        <v>1123</v>
      </c>
      <c r="BN295" t="s">
        <v>1124</v>
      </c>
      <c r="BO295" t="s">
        <v>2337</v>
      </c>
      <c r="BP295" t="s">
        <v>239</v>
      </c>
      <c r="BQ295" t="s">
        <v>241</v>
      </c>
      <c r="BR295" t="s">
        <v>805</v>
      </c>
      <c r="BS295" t="s">
        <v>806</v>
      </c>
    </row>
    <row r="296" spans="1:100">
      <c r="A296" s="40">
        <v>278</v>
      </c>
      <c r="B296" s="40" t="s">
        <v>1507</v>
      </c>
      <c r="C296" s="2" t="s">
        <v>1508</v>
      </c>
      <c r="D296" s="2" t="s">
        <v>27</v>
      </c>
      <c r="E296" s="2" t="s">
        <v>20</v>
      </c>
      <c r="F296" s="2">
        <v>40</v>
      </c>
      <c r="G296" s="2">
        <v>30</v>
      </c>
      <c r="H296" s="2">
        <v>30</v>
      </c>
      <c r="I296" s="2">
        <v>55</v>
      </c>
      <c r="J296" s="2">
        <v>30</v>
      </c>
      <c r="K296" s="2">
        <v>85</v>
      </c>
      <c r="L296" s="2">
        <v>270</v>
      </c>
      <c r="M296" s="2" t="s">
        <v>1188</v>
      </c>
      <c r="N296" s="2" t="s">
        <v>1061</v>
      </c>
      <c r="O296" t="s">
        <v>220</v>
      </c>
      <c r="P296" t="s">
        <v>269</v>
      </c>
      <c r="Q296" t="s">
        <v>290</v>
      </c>
      <c r="R296" t="s">
        <v>264</v>
      </c>
      <c r="S296" t="s">
        <v>273</v>
      </c>
      <c r="T296" t="s">
        <v>954</v>
      </c>
      <c r="U296" t="s">
        <v>310</v>
      </c>
      <c r="V296" t="s">
        <v>1119</v>
      </c>
      <c r="W296" t="s">
        <v>773</v>
      </c>
      <c r="X296" t="s">
        <v>1118</v>
      </c>
      <c r="Y296" t="s">
        <v>306</v>
      </c>
      <c r="Z296" t="s">
        <v>1096</v>
      </c>
      <c r="AA296" t="s">
        <v>1101</v>
      </c>
      <c r="AB296" t="s">
        <v>1122</v>
      </c>
      <c r="AC296" t="s">
        <v>1062</v>
      </c>
      <c r="AD296" t="s">
        <v>138</v>
      </c>
      <c r="AE296" t="s">
        <v>1063</v>
      </c>
      <c r="AF296" t="s">
        <v>148</v>
      </c>
      <c r="AG296" t="s">
        <v>1104</v>
      </c>
      <c r="AH296" t="s">
        <v>172</v>
      </c>
      <c r="AI296" t="s">
        <v>141</v>
      </c>
      <c r="AJ296" t="s">
        <v>271</v>
      </c>
      <c r="AK296" t="s">
        <v>1078</v>
      </c>
      <c r="AL296" t="s">
        <v>766</v>
      </c>
      <c r="AM296" t="s">
        <v>1119</v>
      </c>
      <c r="AN296" t="s">
        <v>1079</v>
      </c>
      <c r="AO296" t="s">
        <v>1080</v>
      </c>
      <c r="AP296" t="s">
        <v>230</v>
      </c>
      <c r="AQ296" t="s">
        <v>1096</v>
      </c>
      <c r="AR296" t="s">
        <v>917</v>
      </c>
      <c r="AS296" t="s">
        <v>231</v>
      </c>
      <c r="AT296" t="s">
        <v>1082</v>
      </c>
      <c r="AU296" t="s">
        <v>1117</v>
      </c>
      <c r="AV296" t="s">
        <v>1037</v>
      </c>
      <c r="AW296" t="s">
        <v>1083</v>
      </c>
      <c r="AX296" t="s">
        <v>1125</v>
      </c>
      <c r="AY296" t="s">
        <v>1038</v>
      </c>
      <c r="AZ296" t="s">
        <v>756</v>
      </c>
      <c r="BA296" t="s">
        <v>757</v>
      </c>
      <c r="BB296" t="s">
        <v>1014</v>
      </c>
      <c r="BC296" t="s">
        <v>233</v>
      </c>
      <c r="BD296" t="s">
        <v>2339</v>
      </c>
      <c r="BE296" t="s">
        <v>234</v>
      </c>
      <c r="BF296" t="s">
        <v>289</v>
      </c>
      <c r="BG296" t="s">
        <v>273</v>
      </c>
      <c r="BH296" t="s">
        <v>306</v>
      </c>
      <c r="BI296" t="s">
        <v>796</v>
      </c>
      <c r="BJ296" t="s">
        <v>928</v>
      </c>
      <c r="BK296" t="s">
        <v>955</v>
      </c>
      <c r="BL296" t="s">
        <v>1119</v>
      </c>
      <c r="BM296" t="s">
        <v>961</v>
      </c>
      <c r="BN296" t="s">
        <v>178</v>
      </c>
      <c r="BO296" t="s">
        <v>1187</v>
      </c>
      <c r="BP296" t="s">
        <v>1170</v>
      </c>
      <c r="BQ296" t="s">
        <v>239</v>
      </c>
      <c r="BR296" t="s">
        <v>241</v>
      </c>
      <c r="BS296" t="s">
        <v>805</v>
      </c>
      <c r="BT296" t="s">
        <v>806</v>
      </c>
    </row>
    <row r="297" spans="1:100">
      <c r="A297" s="40">
        <v>279</v>
      </c>
      <c r="B297" s="40" t="s">
        <v>1509</v>
      </c>
      <c r="C297" s="2" t="s">
        <v>1510</v>
      </c>
      <c r="D297" s="2" t="s">
        <v>27</v>
      </c>
      <c r="E297" s="2" t="s">
        <v>20</v>
      </c>
      <c r="F297" s="2">
        <v>60</v>
      </c>
      <c r="G297" s="2">
        <v>50</v>
      </c>
      <c r="H297" s="2">
        <v>100</v>
      </c>
      <c r="I297" s="2">
        <v>85</v>
      </c>
      <c r="J297" s="2">
        <v>70</v>
      </c>
      <c r="K297" s="2">
        <v>65</v>
      </c>
      <c r="L297" s="2">
        <v>430</v>
      </c>
      <c r="M297" s="2" t="s">
        <v>1168</v>
      </c>
      <c r="N297" s="2" t="s">
        <v>1061</v>
      </c>
      <c r="O297" t="s">
        <v>264</v>
      </c>
      <c r="P297" t="s">
        <v>220</v>
      </c>
      <c r="Q297" t="s">
        <v>269</v>
      </c>
      <c r="R297" t="s">
        <v>955</v>
      </c>
      <c r="S297" t="s">
        <v>1170</v>
      </c>
      <c r="T297" t="s">
        <v>290</v>
      </c>
      <c r="U297" t="s">
        <v>264</v>
      </c>
      <c r="V297" t="s">
        <v>273</v>
      </c>
      <c r="W297" t="s">
        <v>954</v>
      </c>
      <c r="X297" t="s">
        <v>995</v>
      </c>
      <c r="Y297" t="s">
        <v>1078</v>
      </c>
      <c r="Z297" t="s">
        <v>1119</v>
      </c>
      <c r="AA297" t="s">
        <v>961</v>
      </c>
      <c r="AB297" t="s">
        <v>946</v>
      </c>
      <c r="AC297" t="s">
        <v>1133</v>
      </c>
      <c r="AD297" t="s">
        <v>948</v>
      </c>
      <c r="AE297" t="s">
        <v>974</v>
      </c>
      <c r="AF297" t="s">
        <v>1009</v>
      </c>
      <c r="AG297" t="s">
        <v>140</v>
      </c>
      <c r="AH297" t="s">
        <v>1122</v>
      </c>
      <c r="AI297" t="s">
        <v>1062</v>
      </c>
      <c r="AJ297" t="s">
        <v>138</v>
      </c>
      <c r="AK297" t="s">
        <v>144</v>
      </c>
      <c r="AL297" t="s">
        <v>1063</v>
      </c>
      <c r="AM297" t="s">
        <v>148</v>
      </c>
      <c r="AN297" t="s">
        <v>1104</v>
      </c>
      <c r="AO297" t="s">
        <v>172</v>
      </c>
      <c r="AP297" t="s">
        <v>141</v>
      </c>
      <c r="AQ297" t="s">
        <v>271</v>
      </c>
      <c r="AR297" t="s">
        <v>247</v>
      </c>
      <c r="AS297" t="s">
        <v>1078</v>
      </c>
      <c r="AT297" t="s">
        <v>766</v>
      </c>
      <c r="AU297" t="s">
        <v>1119</v>
      </c>
      <c r="AV297" t="s">
        <v>1079</v>
      </c>
      <c r="AW297" t="s">
        <v>1080</v>
      </c>
      <c r="AX297" t="s">
        <v>230</v>
      </c>
      <c r="AY297" t="s">
        <v>1096</v>
      </c>
      <c r="AZ297" t="s">
        <v>917</v>
      </c>
      <c r="BA297" t="s">
        <v>231</v>
      </c>
      <c r="BB297" t="s">
        <v>1082</v>
      </c>
      <c r="BC297" t="s">
        <v>1117</v>
      </c>
      <c r="BD297" t="s">
        <v>1037</v>
      </c>
      <c r="BE297" t="s">
        <v>1083</v>
      </c>
      <c r="BF297" t="s">
        <v>1125</v>
      </c>
      <c r="BG297" t="s">
        <v>1038</v>
      </c>
      <c r="BH297" t="s">
        <v>974</v>
      </c>
      <c r="BI297" t="s">
        <v>1039</v>
      </c>
      <c r="BJ297" t="s">
        <v>995</v>
      </c>
      <c r="BK297" t="s">
        <v>976</v>
      </c>
      <c r="BL297" t="s">
        <v>756</v>
      </c>
      <c r="BM297" t="s">
        <v>757</v>
      </c>
      <c r="BN297" t="s">
        <v>1014</v>
      </c>
      <c r="BO297" t="s">
        <v>233</v>
      </c>
      <c r="BP297" t="s">
        <v>2339</v>
      </c>
      <c r="BQ297" t="s">
        <v>234</v>
      </c>
      <c r="BR297" t="s">
        <v>289</v>
      </c>
      <c r="BS297" t="s">
        <v>273</v>
      </c>
      <c r="BT297" t="s">
        <v>306</v>
      </c>
      <c r="BU297" t="s">
        <v>796</v>
      </c>
      <c r="BV297" t="s">
        <v>928</v>
      </c>
      <c r="BW297" t="s">
        <v>955</v>
      </c>
      <c r="BX297" t="s">
        <v>1119</v>
      </c>
      <c r="BY297" t="s">
        <v>961</v>
      </c>
      <c r="BZ297" t="s">
        <v>178</v>
      </c>
      <c r="CA297" t="s">
        <v>1187</v>
      </c>
      <c r="CB297" t="s">
        <v>1170</v>
      </c>
      <c r="CC297" t="s">
        <v>239</v>
      </c>
      <c r="CD297" t="s">
        <v>241</v>
      </c>
      <c r="CE297" t="s">
        <v>310</v>
      </c>
      <c r="CF297" t="s">
        <v>773</v>
      </c>
      <c r="CG297" t="s">
        <v>1118</v>
      </c>
      <c r="CH297" t="s">
        <v>306</v>
      </c>
      <c r="CI297" t="s">
        <v>1096</v>
      </c>
      <c r="CJ297" t="s">
        <v>1101</v>
      </c>
      <c r="CK297" t="s">
        <v>805</v>
      </c>
      <c r="CL297" t="s">
        <v>806</v>
      </c>
    </row>
    <row r="298" spans="1:100">
      <c r="A298" s="40">
        <v>280</v>
      </c>
      <c r="B298" s="40" t="s">
        <v>1511</v>
      </c>
      <c r="C298" s="2" t="s">
        <v>1512</v>
      </c>
      <c r="D298" s="2" t="s">
        <v>9</v>
      </c>
      <c r="E298" s="2" t="s">
        <v>894</v>
      </c>
      <c r="F298" s="2">
        <v>28</v>
      </c>
      <c r="G298" s="2">
        <v>25</v>
      </c>
      <c r="H298" s="2">
        <v>25</v>
      </c>
      <c r="I298" s="2">
        <v>45</v>
      </c>
      <c r="J298" s="2">
        <v>35</v>
      </c>
      <c r="K298" s="2">
        <v>40</v>
      </c>
      <c r="L298" s="2">
        <v>198</v>
      </c>
      <c r="M298" s="2" t="s">
        <v>1137</v>
      </c>
      <c r="N298" s="2" t="s">
        <v>1061</v>
      </c>
      <c r="O298" t="s">
        <v>220</v>
      </c>
      <c r="P298" t="s">
        <v>287</v>
      </c>
      <c r="Q298" t="s">
        <v>230</v>
      </c>
      <c r="R298" t="s">
        <v>454</v>
      </c>
      <c r="S298" t="s">
        <v>987</v>
      </c>
      <c r="T298" t="s">
        <v>930</v>
      </c>
      <c r="U298" t="s">
        <v>1200</v>
      </c>
      <c r="V298" t="s">
        <v>912</v>
      </c>
      <c r="W298" t="s">
        <v>9</v>
      </c>
      <c r="X298" t="s">
        <v>927</v>
      </c>
      <c r="Y298" t="s">
        <v>790</v>
      </c>
      <c r="Z298" t="s">
        <v>781</v>
      </c>
      <c r="AA298" t="s">
        <v>388</v>
      </c>
      <c r="AB298" t="s">
        <v>293</v>
      </c>
      <c r="AC298" t="s">
        <v>1041</v>
      </c>
      <c r="AD298" t="s">
        <v>1062</v>
      </c>
      <c r="AE298" t="s">
        <v>1063</v>
      </c>
      <c r="AF298" t="s">
        <v>1151</v>
      </c>
      <c r="AG298" t="s">
        <v>912</v>
      </c>
      <c r="AH298" t="s">
        <v>148</v>
      </c>
      <c r="AI298" t="s">
        <v>172</v>
      </c>
      <c r="AJ298" t="s">
        <v>752</v>
      </c>
      <c r="AK298" t="s">
        <v>1126</v>
      </c>
      <c r="AL298" t="s">
        <v>228</v>
      </c>
      <c r="AM298" t="s">
        <v>1078</v>
      </c>
      <c r="AN298" t="s">
        <v>766</v>
      </c>
      <c r="AO298" t="s">
        <v>759</v>
      </c>
      <c r="AP298" t="s">
        <v>1079</v>
      </c>
      <c r="AQ298" t="s">
        <v>146</v>
      </c>
      <c r="AR298" t="s">
        <v>1080</v>
      </c>
      <c r="AS298" t="s">
        <v>9</v>
      </c>
      <c r="AT298" t="s">
        <v>174</v>
      </c>
      <c r="AU298" t="s">
        <v>230</v>
      </c>
      <c r="AV298" t="s">
        <v>380</v>
      </c>
      <c r="AW298" t="s">
        <v>951</v>
      </c>
      <c r="AX298" t="s">
        <v>917</v>
      </c>
      <c r="AY298" t="s">
        <v>231</v>
      </c>
      <c r="AZ298" t="s">
        <v>1082</v>
      </c>
      <c r="BA298" t="s">
        <v>1117</v>
      </c>
      <c r="BB298" t="s">
        <v>1037</v>
      </c>
      <c r="BC298" t="s">
        <v>1083</v>
      </c>
      <c r="BD298" t="s">
        <v>974</v>
      </c>
      <c r="BE298" t="s">
        <v>963</v>
      </c>
      <c r="BF298" t="s">
        <v>956</v>
      </c>
      <c r="BG298" t="s">
        <v>232</v>
      </c>
      <c r="BH298" t="s">
        <v>322</v>
      </c>
      <c r="BI298" t="s">
        <v>785</v>
      </c>
      <c r="BJ298" t="s">
        <v>293</v>
      </c>
      <c r="BK298" t="s">
        <v>977</v>
      </c>
      <c r="BL298" t="s">
        <v>756</v>
      </c>
      <c r="BM298" t="s">
        <v>757</v>
      </c>
      <c r="BN298" t="s">
        <v>233</v>
      </c>
      <c r="BO298" t="s">
        <v>1012</v>
      </c>
      <c r="BP298" t="s">
        <v>2342</v>
      </c>
      <c r="BQ298" t="s">
        <v>2339</v>
      </c>
      <c r="BR298" t="s">
        <v>234</v>
      </c>
      <c r="BS298" t="s">
        <v>340</v>
      </c>
      <c r="BT298" t="s">
        <v>387</v>
      </c>
      <c r="BU298" t="s">
        <v>793</v>
      </c>
      <c r="BV298" t="s">
        <v>787</v>
      </c>
      <c r="BW298" t="s">
        <v>779</v>
      </c>
      <c r="BX298" t="s">
        <v>931</v>
      </c>
      <c r="BY298" t="s">
        <v>941</v>
      </c>
      <c r="BZ298" t="s">
        <v>923</v>
      </c>
      <c r="CA298" t="s">
        <v>1006</v>
      </c>
      <c r="CB298" t="s">
        <v>1043</v>
      </c>
      <c r="CC298" t="s">
        <v>2379</v>
      </c>
      <c r="CD298" t="s">
        <v>239</v>
      </c>
      <c r="CE298" t="s">
        <v>241</v>
      </c>
      <c r="CF298" t="s">
        <v>805</v>
      </c>
      <c r="CG298" t="s">
        <v>806</v>
      </c>
    </row>
    <row r="299" spans="1:100">
      <c r="A299" s="40">
        <v>281</v>
      </c>
      <c r="B299" s="40" t="s">
        <v>1513</v>
      </c>
      <c r="C299" s="2" t="s">
        <v>1514</v>
      </c>
      <c r="D299" s="2" t="s">
        <v>9</v>
      </c>
      <c r="E299" s="2" t="s">
        <v>894</v>
      </c>
      <c r="F299" s="2">
        <v>38</v>
      </c>
      <c r="G299" s="2">
        <v>35</v>
      </c>
      <c r="H299" s="2">
        <v>35</v>
      </c>
      <c r="I299" s="2">
        <v>65</v>
      </c>
      <c r="J299" s="2">
        <v>55</v>
      </c>
      <c r="K299" s="2">
        <v>50</v>
      </c>
      <c r="L299" s="2">
        <v>278</v>
      </c>
      <c r="M299" s="2" t="s">
        <v>1221</v>
      </c>
      <c r="N299" s="2" t="s">
        <v>1061</v>
      </c>
      <c r="O299" t="s">
        <v>220</v>
      </c>
      <c r="P299" t="s">
        <v>287</v>
      </c>
      <c r="Q299" t="s">
        <v>454</v>
      </c>
      <c r="R299" t="s">
        <v>230</v>
      </c>
      <c r="S299" t="s">
        <v>287</v>
      </c>
      <c r="T299" t="s">
        <v>230</v>
      </c>
      <c r="U299" t="s">
        <v>454</v>
      </c>
      <c r="V299" t="s">
        <v>987</v>
      </c>
      <c r="W299" t="s">
        <v>930</v>
      </c>
      <c r="X299" t="s">
        <v>1200</v>
      </c>
      <c r="Y299" t="s">
        <v>912</v>
      </c>
      <c r="Z299" t="s">
        <v>9</v>
      </c>
      <c r="AA299" t="s">
        <v>927</v>
      </c>
      <c r="AB299" t="s">
        <v>790</v>
      </c>
      <c r="AC299" t="s">
        <v>781</v>
      </c>
      <c r="AD299" t="s">
        <v>388</v>
      </c>
      <c r="AE299" t="s">
        <v>293</v>
      </c>
      <c r="AF299" t="s">
        <v>1041</v>
      </c>
      <c r="AG299" t="s">
        <v>1062</v>
      </c>
      <c r="AH299" t="s">
        <v>1063</v>
      </c>
      <c r="AI299" t="s">
        <v>1151</v>
      </c>
      <c r="AJ299" t="s">
        <v>912</v>
      </c>
      <c r="AK299" t="s">
        <v>148</v>
      </c>
      <c r="AL299" t="s">
        <v>172</v>
      </c>
      <c r="AM299" t="s">
        <v>752</v>
      </c>
      <c r="AN299" t="s">
        <v>1126</v>
      </c>
      <c r="AO299" t="s">
        <v>228</v>
      </c>
      <c r="AP299" t="s">
        <v>1078</v>
      </c>
      <c r="AQ299" t="s">
        <v>766</v>
      </c>
      <c r="AR299" t="s">
        <v>759</v>
      </c>
      <c r="AS299" t="s">
        <v>1079</v>
      </c>
      <c r="AT299" t="s">
        <v>146</v>
      </c>
      <c r="AU299" t="s">
        <v>1080</v>
      </c>
      <c r="AV299" t="s">
        <v>9</v>
      </c>
      <c r="AW299" t="s">
        <v>174</v>
      </c>
      <c r="AX299" t="s">
        <v>230</v>
      </c>
      <c r="AY299" t="s">
        <v>380</v>
      </c>
      <c r="AZ299" t="s">
        <v>951</v>
      </c>
      <c r="BA299" t="s">
        <v>917</v>
      </c>
      <c r="BB299" t="s">
        <v>231</v>
      </c>
      <c r="BC299" t="s">
        <v>1082</v>
      </c>
      <c r="BD299" t="s">
        <v>1117</v>
      </c>
      <c r="BE299" t="s">
        <v>1037</v>
      </c>
      <c r="BF299" t="s">
        <v>1083</v>
      </c>
      <c r="BG299" t="s">
        <v>974</v>
      </c>
      <c r="BH299" t="s">
        <v>963</v>
      </c>
      <c r="BI299" t="s">
        <v>956</v>
      </c>
      <c r="BJ299" t="s">
        <v>232</v>
      </c>
      <c r="BK299" t="s">
        <v>322</v>
      </c>
      <c r="BL299" t="s">
        <v>785</v>
      </c>
      <c r="BM299" t="s">
        <v>293</v>
      </c>
      <c r="BN299" t="s">
        <v>977</v>
      </c>
      <c r="BO299" t="s">
        <v>756</v>
      </c>
      <c r="BP299" t="s">
        <v>757</v>
      </c>
      <c r="BQ299" t="s">
        <v>233</v>
      </c>
      <c r="BR299" t="s">
        <v>1012</v>
      </c>
      <c r="BS299" t="s">
        <v>2342</v>
      </c>
      <c r="BT299" t="s">
        <v>2339</v>
      </c>
      <c r="BU299" t="s">
        <v>234</v>
      </c>
      <c r="BV299" t="s">
        <v>340</v>
      </c>
      <c r="BW299" t="s">
        <v>387</v>
      </c>
      <c r="BX299" t="s">
        <v>793</v>
      </c>
      <c r="BY299" t="s">
        <v>787</v>
      </c>
      <c r="BZ299" t="s">
        <v>779</v>
      </c>
      <c r="CA299" t="s">
        <v>931</v>
      </c>
      <c r="CB299" t="s">
        <v>941</v>
      </c>
      <c r="CC299" t="s">
        <v>923</v>
      </c>
      <c r="CD299" t="s">
        <v>1006</v>
      </c>
      <c r="CE299" t="s">
        <v>1043</v>
      </c>
      <c r="CF299" t="s">
        <v>2379</v>
      </c>
      <c r="CG299" t="s">
        <v>239</v>
      </c>
      <c r="CH299" t="s">
        <v>241</v>
      </c>
      <c r="CI299" t="s">
        <v>805</v>
      </c>
      <c r="CJ299" t="s">
        <v>806</v>
      </c>
    </row>
    <row r="300" spans="1:100">
      <c r="A300" s="40">
        <v>282</v>
      </c>
      <c r="B300" s="40" t="s">
        <v>1515</v>
      </c>
      <c r="C300" s="2" t="s">
        <v>1516</v>
      </c>
      <c r="D300" s="2" t="s">
        <v>9</v>
      </c>
      <c r="E300" s="2" t="s">
        <v>894</v>
      </c>
      <c r="F300" s="2">
        <v>68</v>
      </c>
      <c r="G300" s="2">
        <v>65</v>
      </c>
      <c r="H300" s="2">
        <v>65</v>
      </c>
      <c r="I300" s="2">
        <v>125</v>
      </c>
      <c r="J300" s="2">
        <v>115</v>
      </c>
      <c r="K300" s="2">
        <v>80</v>
      </c>
      <c r="L300" s="2">
        <v>518</v>
      </c>
      <c r="M300" s="2" t="s">
        <v>1201</v>
      </c>
      <c r="N300" s="2" t="s">
        <v>1061</v>
      </c>
      <c r="O300" t="s">
        <v>220</v>
      </c>
      <c r="P300" t="s">
        <v>287</v>
      </c>
      <c r="Q300" t="s">
        <v>454</v>
      </c>
      <c r="R300" t="s">
        <v>230</v>
      </c>
      <c r="S300" t="s">
        <v>982</v>
      </c>
      <c r="T300" t="s">
        <v>2379</v>
      </c>
      <c r="U300" t="s">
        <v>287</v>
      </c>
      <c r="V300" t="s">
        <v>230</v>
      </c>
      <c r="W300" t="s">
        <v>454</v>
      </c>
      <c r="X300" t="s">
        <v>957</v>
      </c>
      <c r="Y300" t="s">
        <v>930</v>
      </c>
      <c r="Z300" t="s">
        <v>1200</v>
      </c>
      <c r="AA300" t="s">
        <v>912</v>
      </c>
      <c r="AB300" t="s">
        <v>9</v>
      </c>
      <c r="AC300" t="s">
        <v>927</v>
      </c>
      <c r="AD300" t="s">
        <v>790</v>
      </c>
      <c r="AE300" t="s">
        <v>962</v>
      </c>
      <c r="AF300" t="s">
        <v>388</v>
      </c>
      <c r="AG300" t="s">
        <v>293</v>
      </c>
      <c r="AH300" t="s">
        <v>1041</v>
      </c>
      <c r="AI300" t="s">
        <v>2381</v>
      </c>
      <c r="AJ300" t="s">
        <v>1062</v>
      </c>
      <c r="AK300" t="s">
        <v>1063</v>
      </c>
      <c r="AL300" t="s">
        <v>1151</v>
      </c>
      <c r="AM300" t="s">
        <v>912</v>
      </c>
      <c r="AN300" t="s">
        <v>148</v>
      </c>
      <c r="AO300" t="s">
        <v>172</v>
      </c>
      <c r="AP300" t="s">
        <v>752</v>
      </c>
      <c r="AQ300" t="s">
        <v>1126</v>
      </c>
      <c r="AR300" t="s">
        <v>247</v>
      </c>
      <c r="AS300" t="s">
        <v>228</v>
      </c>
      <c r="AT300" t="s">
        <v>1078</v>
      </c>
      <c r="AU300" t="s">
        <v>766</v>
      </c>
      <c r="AV300" t="s">
        <v>759</v>
      </c>
      <c r="AW300" t="s">
        <v>1079</v>
      </c>
      <c r="AX300" t="s">
        <v>146</v>
      </c>
      <c r="AY300" t="s">
        <v>1080</v>
      </c>
      <c r="AZ300" t="s">
        <v>9</v>
      </c>
      <c r="BA300" t="s">
        <v>174</v>
      </c>
      <c r="BB300" t="s">
        <v>230</v>
      </c>
      <c r="BC300" t="s">
        <v>380</v>
      </c>
      <c r="BD300" t="s">
        <v>951</v>
      </c>
      <c r="BE300" t="s">
        <v>917</v>
      </c>
      <c r="BF300" t="s">
        <v>231</v>
      </c>
      <c r="BG300" t="s">
        <v>1082</v>
      </c>
      <c r="BH300" t="s">
        <v>1117</v>
      </c>
      <c r="BI300" t="s">
        <v>1037</v>
      </c>
      <c r="BJ300" t="s">
        <v>1083</v>
      </c>
      <c r="BK300" t="s">
        <v>1102</v>
      </c>
      <c r="BL300" t="s">
        <v>970</v>
      </c>
      <c r="BM300" t="s">
        <v>974</v>
      </c>
      <c r="BN300" t="s">
        <v>963</v>
      </c>
      <c r="BO300" t="s">
        <v>956</v>
      </c>
      <c r="BP300" t="s">
        <v>976</v>
      </c>
      <c r="BQ300" t="s">
        <v>232</v>
      </c>
      <c r="BR300" t="s">
        <v>322</v>
      </c>
      <c r="BS300" t="s">
        <v>785</v>
      </c>
      <c r="BT300" t="s">
        <v>293</v>
      </c>
      <c r="BU300" t="s">
        <v>977</v>
      </c>
      <c r="BV300" t="s">
        <v>756</v>
      </c>
      <c r="BW300" t="s">
        <v>757</v>
      </c>
      <c r="BX300" t="s">
        <v>233</v>
      </c>
      <c r="BY300" t="s">
        <v>1012</v>
      </c>
      <c r="BZ300" t="s">
        <v>2342</v>
      </c>
      <c r="CA300" t="s">
        <v>2339</v>
      </c>
      <c r="CB300" t="s">
        <v>234</v>
      </c>
      <c r="CC300" t="s">
        <v>340</v>
      </c>
      <c r="CD300" t="s">
        <v>387</v>
      </c>
      <c r="CE300" t="s">
        <v>793</v>
      </c>
      <c r="CF300" t="s">
        <v>787</v>
      </c>
      <c r="CG300" t="s">
        <v>779</v>
      </c>
      <c r="CH300" t="s">
        <v>931</v>
      </c>
      <c r="CI300" t="s">
        <v>941</v>
      </c>
      <c r="CJ300" t="s">
        <v>923</v>
      </c>
      <c r="CK300" t="s">
        <v>1006</v>
      </c>
      <c r="CL300" t="s">
        <v>1043</v>
      </c>
      <c r="CM300" t="s">
        <v>2379</v>
      </c>
      <c r="CN300" t="s">
        <v>239</v>
      </c>
      <c r="CO300" t="s">
        <v>241</v>
      </c>
      <c r="CP300" t="s">
        <v>987</v>
      </c>
      <c r="CQ300" t="s">
        <v>781</v>
      </c>
      <c r="CR300" t="s">
        <v>805</v>
      </c>
      <c r="CS300" t="s">
        <v>806</v>
      </c>
    </row>
    <row r="301" spans="1:100">
      <c r="A301" s="40">
        <v>282.10000000000002</v>
      </c>
      <c r="B301" s="40" t="s">
        <v>2311</v>
      </c>
      <c r="C301" s="2" t="s">
        <v>2312</v>
      </c>
      <c r="D301" s="2" t="s">
        <v>9</v>
      </c>
      <c r="E301" s="2" t="s">
        <v>894</v>
      </c>
      <c r="F301" s="2">
        <v>68</v>
      </c>
      <c r="G301" s="2">
        <v>85</v>
      </c>
      <c r="H301" s="2">
        <v>65</v>
      </c>
      <c r="I301" s="2">
        <v>165</v>
      </c>
      <c r="J301" s="2">
        <v>135</v>
      </c>
      <c r="K301" s="2">
        <v>100</v>
      </c>
      <c r="L301" s="2">
        <v>618</v>
      </c>
      <c r="M301" s="2" t="s">
        <v>1064</v>
      </c>
      <c r="N301" s="2" t="s">
        <v>1061</v>
      </c>
      <c r="O301" t="s">
        <v>1062</v>
      </c>
      <c r="P301" t="s">
        <v>1063</v>
      </c>
      <c r="Q301" t="s">
        <v>757</v>
      </c>
      <c r="R301" t="s">
        <v>2342</v>
      </c>
      <c r="S301" t="s">
        <v>2339</v>
      </c>
      <c r="T301" t="s">
        <v>234</v>
      </c>
      <c r="U301" t="s">
        <v>239</v>
      </c>
      <c r="V301" t="s">
        <v>241</v>
      </c>
      <c r="W301" t="s">
        <v>805</v>
      </c>
      <c r="X301" t="s">
        <v>806</v>
      </c>
    </row>
    <row r="302" spans="1:100">
      <c r="A302" s="40">
        <v>283</v>
      </c>
      <c r="B302" s="40" t="s">
        <v>1517</v>
      </c>
      <c r="C302" s="2" t="s">
        <v>1518</v>
      </c>
      <c r="D302" s="2" t="s">
        <v>14</v>
      </c>
      <c r="E302" s="2" t="s">
        <v>27</v>
      </c>
      <c r="F302" s="2">
        <v>40</v>
      </c>
      <c r="G302" s="2">
        <v>30</v>
      </c>
      <c r="H302" s="2">
        <v>32</v>
      </c>
      <c r="I302" s="2">
        <v>50</v>
      </c>
      <c r="J302" s="2">
        <v>52</v>
      </c>
      <c r="K302" s="2">
        <v>65</v>
      </c>
      <c r="L302" s="2">
        <v>269</v>
      </c>
      <c r="M302" s="2" t="s">
        <v>1208</v>
      </c>
      <c r="N302" s="2" t="s">
        <v>1061</v>
      </c>
      <c r="O302" t="s">
        <v>267</v>
      </c>
      <c r="P302" t="s">
        <v>310</v>
      </c>
      <c r="Q302" t="s">
        <v>1076</v>
      </c>
      <c r="R302" t="s">
        <v>955</v>
      </c>
      <c r="S302" t="s">
        <v>446</v>
      </c>
      <c r="T302" t="s">
        <v>306</v>
      </c>
      <c r="U302" t="s">
        <v>273</v>
      </c>
      <c r="V302" t="s">
        <v>272</v>
      </c>
      <c r="W302" t="s">
        <v>788</v>
      </c>
      <c r="X302" t="s">
        <v>2404</v>
      </c>
      <c r="Y302" t="s">
        <v>1062</v>
      </c>
      <c r="Z302" t="s">
        <v>1063</v>
      </c>
      <c r="AA302" t="s">
        <v>148</v>
      </c>
      <c r="AB302" t="s">
        <v>172</v>
      </c>
      <c r="AC302" t="s">
        <v>752</v>
      </c>
      <c r="AD302" t="s">
        <v>141</v>
      </c>
      <c r="AE302" t="s">
        <v>271</v>
      </c>
      <c r="AF302" t="s">
        <v>1078</v>
      </c>
      <c r="AG302" t="s">
        <v>766</v>
      </c>
      <c r="AH302" t="s">
        <v>1079</v>
      </c>
      <c r="AI302" t="s">
        <v>229</v>
      </c>
      <c r="AJ302" t="s">
        <v>1080</v>
      </c>
      <c r="AK302" t="s">
        <v>174</v>
      </c>
      <c r="AL302" t="s">
        <v>230</v>
      </c>
      <c r="AM302" t="s">
        <v>917</v>
      </c>
      <c r="AN302" t="s">
        <v>231</v>
      </c>
      <c r="AO302" t="s">
        <v>1082</v>
      </c>
      <c r="AP302" t="s">
        <v>1117</v>
      </c>
      <c r="AQ302" t="s">
        <v>1037</v>
      </c>
      <c r="AR302" t="s">
        <v>1038</v>
      </c>
      <c r="AS302" t="s">
        <v>232</v>
      </c>
      <c r="AT302" t="s">
        <v>1042</v>
      </c>
      <c r="AU302" t="s">
        <v>785</v>
      </c>
      <c r="AV302" t="s">
        <v>2369</v>
      </c>
      <c r="AW302" t="s">
        <v>756</v>
      </c>
      <c r="AX302" t="s">
        <v>757</v>
      </c>
      <c r="AY302" t="s">
        <v>233</v>
      </c>
      <c r="AZ302" t="s">
        <v>2339</v>
      </c>
      <c r="BA302" t="s">
        <v>234</v>
      </c>
      <c r="BB302" t="s">
        <v>140</v>
      </c>
      <c r="BC302" t="s">
        <v>292</v>
      </c>
      <c r="BD302" t="s">
        <v>792</v>
      </c>
      <c r="BE302" t="s">
        <v>771</v>
      </c>
      <c r="BF302" t="s">
        <v>754</v>
      </c>
      <c r="BG302" t="s">
        <v>216</v>
      </c>
      <c r="BH302" t="s">
        <v>1144</v>
      </c>
      <c r="BI302" t="s">
        <v>1110</v>
      </c>
      <c r="BJ302" t="s">
        <v>959</v>
      </c>
      <c r="BK302" t="s">
        <v>1033</v>
      </c>
      <c r="BL302" t="s">
        <v>2355</v>
      </c>
      <c r="BM302" t="s">
        <v>239</v>
      </c>
      <c r="BN302" t="s">
        <v>241</v>
      </c>
      <c r="BO302" t="s">
        <v>805</v>
      </c>
      <c r="BP302" t="s">
        <v>806</v>
      </c>
    </row>
    <row r="303" spans="1:100">
      <c r="A303" s="40">
        <v>284</v>
      </c>
      <c r="B303" s="40" t="s">
        <v>1519</v>
      </c>
      <c r="C303" s="2" t="s">
        <v>1520</v>
      </c>
      <c r="D303" s="2" t="s">
        <v>14</v>
      </c>
      <c r="E303" s="2" t="s">
        <v>20</v>
      </c>
      <c r="F303" s="2">
        <v>70</v>
      </c>
      <c r="G303" s="2">
        <v>60</v>
      </c>
      <c r="H303" s="2">
        <v>62</v>
      </c>
      <c r="I303" s="2">
        <v>80</v>
      </c>
      <c r="J303" s="2">
        <v>82</v>
      </c>
      <c r="K303" s="2">
        <v>60</v>
      </c>
      <c r="L303" s="2">
        <v>414</v>
      </c>
      <c r="M303" s="2" t="s">
        <v>1129</v>
      </c>
      <c r="N303" s="2" t="s">
        <v>1061</v>
      </c>
      <c r="O303" t="s">
        <v>310</v>
      </c>
      <c r="P303" t="s">
        <v>267</v>
      </c>
      <c r="Q303" t="s">
        <v>1076</v>
      </c>
      <c r="R303" t="s">
        <v>955</v>
      </c>
      <c r="S303" t="s">
        <v>994</v>
      </c>
      <c r="T303" t="s">
        <v>310</v>
      </c>
      <c r="U303" t="s">
        <v>1076</v>
      </c>
      <c r="V303" t="s">
        <v>955</v>
      </c>
      <c r="W303" t="s">
        <v>289</v>
      </c>
      <c r="X303" t="s">
        <v>1092</v>
      </c>
      <c r="Y303" t="s">
        <v>288</v>
      </c>
      <c r="Z303" t="s">
        <v>1113</v>
      </c>
      <c r="AA303" t="s">
        <v>1101</v>
      </c>
      <c r="AB303" t="s">
        <v>291</v>
      </c>
      <c r="AC303" t="s">
        <v>1115</v>
      </c>
      <c r="AD303" t="s">
        <v>1116</v>
      </c>
      <c r="AE303" t="s">
        <v>1062</v>
      </c>
      <c r="AF303" t="s">
        <v>1063</v>
      </c>
      <c r="AG303" t="s">
        <v>148</v>
      </c>
      <c r="AH303" t="s">
        <v>172</v>
      </c>
      <c r="AI303" t="s">
        <v>752</v>
      </c>
      <c r="AJ303" t="s">
        <v>141</v>
      </c>
      <c r="AK303" t="s">
        <v>271</v>
      </c>
      <c r="AL303" t="s">
        <v>247</v>
      </c>
      <c r="AM303" t="s">
        <v>1078</v>
      </c>
      <c r="AN303" t="s">
        <v>766</v>
      </c>
      <c r="AO303" t="s">
        <v>1119</v>
      </c>
      <c r="AP303" t="s">
        <v>1079</v>
      </c>
      <c r="AQ303" t="s">
        <v>229</v>
      </c>
      <c r="AR303" t="s">
        <v>1080</v>
      </c>
      <c r="AS303" t="s">
        <v>174</v>
      </c>
      <c r="AT303" t="s">
        <v>230</v>
      </c>
      <c r="AU303" t="s">
        <v>1096</v>
      </c>
      <c r="AV303" t="s">
        <v>917</v>
      </c>
      <c r="AW303" t="s">
        <v>231</v>
      </c>
      <c r="AX303" t="s">
        <v>1082</v>
      </c>
      <c r="AY303" t="s">
        <v>1117</v>
      </c>
      <c r="AZ303" t="s">
        <v>1037</v>
      </c>
      <c r="BA303" t="s">
        <v>970</v>
      </c>
      <c r="BB303" t="s">
        <v>1038</v>
      </c>
      <c r="BC303" t="s">
        <v>976</v>
      </c>
      <c r="BD303" t="s">
        <v>232</v>
      </c>
      <c r="BE303" t="s">
        <v>1042</v>
      </c>
      <c r="BF303" t="s">
        <v>785</v>
      </c>
      <c r="BG303" t="s">
        <v>2369</v>
      </c>
      <c r="BH303" t="s">
        <v>756</v>
      </c>
      <c r="BI303" t="s">
        <v>757</v>
      </c>
      <c r="BJ303" t="s">
        <v>1014</v>
      </c>
      <c r="BK303" t="s">
        <v>233</v>
      </c>
      <c r="BL303" t="s">
        <v>2339</v>
      </c>
      <c r="BM303" t="s">
        <v>234</v>
      </c>
      <c r="BN303" t="s">
        <v>140</v>
      </c>
      <c r="BO303" t="s">
        <v>292</v>
      </c>
      <c r="BP303" t="s">
        <v>792</v>
      </c>
      <c r="BQ303" t="s">
        <v>771</v>
      </c>
      <c r="BR303" t="s">
        <v>754</v>
      </c>
      <c r="BS303" t="s">
        <v>216</v>
      </c>
      <c r="BT303" t="s">
        <v>1144</v>
      </c>
      <c r="BU303" t="s">
        <v>1110</v>
      </c>
      <c r="BV303" t="s">
        <v>959</v>
      </c>
      <c r="BW303" t="s">
        <v>1033</v>
      </c>
      <c r="BX303" t="s">
        <v>2355</v>
      </c>
      <c r="BY303" t="s">
        <v>239</v>
      </c>
      <c r="BZ303" t="s">
        <v>241</v>
      </c>
      <c r="CA303" t="s">
        <v>446</v>
      </c>
      <c r="CB303" t="s">
        <v>306</v>
      </c>
      <c r="CC303" t="s">
        <v>273</v>
      </c>
      <c r="CD303" t="s">
        <v>272</v>
      </c>
      <c r="CE303" t="s">
        <v>788</v>
      </c>
      <c r="CF303" t="s">
        <v>2404</v>
      </c>
      <c r="CG303" t="s">
        <v>805</v>
      </c>
      <c r="CH303" t="s">
        <v>806</v>
      </c>
    </row>
    <row r="304" spans="1:100">
      <c r="A304" s="40">
        <v>285</v>
      </c>
      <c r="B304" s="40" t="s">
        <v>1521</v>
      </c>
      <c r="C304" s="2" t="s">
        <v>1522</v>
      </c>
      <c r="D304" s="2" t="s">
        <v>21</v>
      </c>
      <c r="E304" s="2"/>
      <c r="F304" s="2">
        <v>60</v>
      </c>
      <c r="G304" s="2">
        <v>40</v>
      </c>
      <c r="H304" s="2">
        <v>60</v>
      </c>
      <c r="I304" s="2">
        <v>40</v>
      </c>
      <c r="J304" s="2">
        <v>60</v>
      </c>
      <c r="K304" s="2">
        <v>35</v>
      </c>
      <c r="L304" s="2">
        <v>295</v>
      </c>
      <c r="M304" s="2" t="s">
        <v>1071</v>
      </c>
      <c r="N304" s="2" t="s">
        <v>1061</v>
      </c>
      <c r="O304" t="s">
        <v>402</v>
      </c>
      <c r="P304" t="s">
        <v>219</v>
      </c>
      <c r="Q304" t="s">
        <v>288</v>
      </c>
      <c r="R304" t="s">
        <v>142</v>
      </c>
      <c r="S304" t="s">
        <v>403</v>
      </c>
      <c r="T304" t="s">
        <v>420</v>
      </c>
      <c r="U304" t="s">
        <v>221</v>
      </c>
      <c r="V304" t="s">
        <v>1017</v>
      </c>
      <c r="W304" t="s">
        <v>215</v>
      </c>
      <c r="X304" t="s">
        <v>171</v>
      </c>
      <c r="Y304" t="s">
        <v>1004</v>
      </c>
      <c r="Z304" t="s">
        <v>410</v>
      </c>
      <c r="AA304" t="s">
        <v>1062</v>
      </c>
      <c r="AB304" t="s">
        <v>1063</v>
      </c>
      <c r="AC304" t="s">
        <v>148</v>
      </c>
      <c r="AD304" t="s">
        <v>1077</v>
      </c>
      <c r="AE304" t="s">
        <v>172</v>
      </c>
      <c r="AF304" t="s">
        <v>752</v>
      </c>
      <c r="AG304" t="s">
        <v>1078</v>
      </c>
      <c r="AH304" t="s">
        <v>759</v>
      </c>
      <c r="AI304" t="s">
        <v>1079</v>
      </c>
      <c r="AJ304" t="s">
        <v>229</v>
      </c>
      <c r="AK304" t="s">
        <v>1080</v>
      </c>
      <c r="AL304" t="s">
        <v>230</v>
      </c>
      <c r="AM304" t="s">
        <v>1081</v>
      </c>
      <c r="AN304" t="s">
        <v>917</v>
      </c>
      <c r="AO304" t="s">
        <v>231</v>
      </c>
      <c r="AP304" t="s">
        <v>1082</v>
      </c>
      <c r="AQ304" t="s">
        <v>1037</v>
      </c>
      <c r="AR304" t="s">
        <v>970</v>
      </c>
      <c r="AS304" t="s">
        <v>776</v>
      </c>
      <c r="AT304" t="s">
        <v>232</v>
      </c>
      <c r="AU304" t="s">
        <v>145</v>
      </c>
      <c r="AV304" t="s">
        <v>977</v>
      </c>
      <c r="AW304" t="s">
        <v>756</v>
      </c>
      <c r="AX304" t="s">
        <v>757</v>
      </c>
      <c r="AY304" t="s">
        <v>233</v>
      </c>
      <c r="AZ304" t="s">
        <v>2339</v>
      </c>
      <c r="BA304" t="s">
        <v>234</v>
      </c>
      <c r="BB304" t="s">
        <v>781</v>
      </c>
      <c r="BC304" t="s">
        <v>920</v>
      </c>
      <c r="BD304" t="s">
        <v>925</v>
      </c>
      <c r="BE304" t="s">
        <v>918</v>
      </c>
      <c r="BF304" t="s">
        <v>1190</v>
      </c>
      <c r="BG304" t="s">
        <v>1016</v>
      </c>
      <c r="BH304" t="s">
        <v>992</v>
      </c>
      <c r="BI304" t="s">
        <v>1017</v>
      </c>
      <c r="BJ304" t="s">
        <v>1004</v>
      </c>
      <c r="BK304" t="s">
        <v>181</v>
      </c>
      <c r="BL304" t="s">
        <v>239</v>
      </c>
      <c r="BM304" t="s">
        <v>241</v>
      </c>
      <c r="BN304" t="s">
        <v>805</v>
      </c>
      <c r="BO304" t="s">
        <v>806</v>
      </c>
    </row>
    <row r="305" spans="1:100">
      <c r="A305" s="40">
        <v>286</v>
      </c>
      <c r="B305" s="40" t="s">
        <v>1523</v>
      </c>
      <c r="C305" s="2" t="s">
        <v>1524</v>
      </c>
      <c r="D305" s="2" t="s">
        <v>21</v>
      </c>
      <c r="E305" s="2" t="s">
        <v>18</v>
      </c>
      <c r="F305" s="2">
        <v>60</v>
      </c>
      <c r="G305" s="2">
        <v>130</v>
      </c>
      <c r="H305" s="2">
        <v>80</v>
      </c>
      <c r="I305" s="2">
        <v>60</v>
      </c>
      <c r="J305" s="2">
        <v>60</v>
      </c>
      <c r="K305" s="2">
        <v>70</v>
      </c>
      <c r="L305" s="2">
        <v>460</v>
      </c>
      <c r="M305" s="2" t="s">
        <v>1159</v>
      </c>
      <c r="N305" s="2" t="s">
        <v>1061</v>
      </c>
      <c r="O305" t="s">
        <v>219</v>
      </c>
      <c r="P305" t="s">
        <v>402</v>
      </c>
      <c r="Q305" t="s">
        <v>142</v>
      </c>
      <c r="R305" t="s">
        <v>288</v>
      </c>
      <c r="S305" t="s">
        <v>219</v>
      </c>
      <c r="T305" t="s">
        <v>288</v>
      </c>
      <c r="U305" t="s">
        <v>142</v>
      </c>
      <c r="V305" t="s">
        <v>403</v>
      </c>
      <c r="W305" t="s">
        <v>420</v>
      </c>
      <c r="X305" t="s">
        <v>1223</v>
      </c>
      <c r="Y305" t="s">
        <v>259</v>
      </c>
      <c r="Z305" t="s">
        <v>1525</v>
      </c>
      <c r="AA305" t="s">
        <v>942</v>
      </c>
      <c r="AB305" t="s">
        <v>792</v>
      </c>
      <c r="AC305" t="s">
        <v>1004</v>
      </c>
      <c r="AD305" t="s">
        <v>1179</v>
      </c>
      <c r="AE305" t="s">
        <v>1062</v>
      </c>
      <c r="AF305" t="s">
        <v>226</v>
      </c>
      <c r="AG305" t="s">
        <v>227</v>
      </c>
      <c r="AH305" t="s">
        <v>1063</v>
      </c>
      <c r="AI305" t="s">
        <v>148</v>
      </c>
      <c r="AJ305" t="s">
        <v>1175</v>
      </c>
      <c r="AK305" t="s">
        <v>1077</v>
      </c>
      <c r="AL305" t="s">
        <v>172</v>
      </c>
      <c r="AM305" t="s">
        <v>752</v>
      </c>
      <c r="AN305" t="s">
        <v>247</v>
      </c>
      <c r="AO305" t="s">
        <v>1078</v>
      </c>
      <c r="AP305" t="s">
        <v>759</v>
      </c>
      <c r="AQ305" t="s">
        <v>1079</v>
      </c>
      <c r="AR305" t="s">
        <v>229</v>
      </c>
      <c r="AS305" t="s">
        <v>1080</v>
      </c>
      <c r="AT305" t="s">
        <v>1094</v>
      </c>
      <c r="AU305" t="s">
        <v>230</v>
      </c>
      <c r="AV305" t="s">
        <v>1081</v>
      </c>
      <c r="AW305" t="s">
        <v>1095</v>
      </c>
      <c r="AX305" t="s">
        <v>917</v>
      </c>
      <c r="AY305" t="s">
        <v>231</v>
      </c>
      <c r="AZ305" t="s">
        <v>1082</v>
      </c>
      <c r="BA305" t="s">
        <v>1172</v>
      </c>
      <c r="BB305" t="s">
        <v>1037</v>
      </c>
      <c r="BC305" t="s">
        <v>1102</v>
      </c>
      <c r="BD305" t="s">
        <v>970</v>
      </c>
      <c r="BE305" t="s">
        <v>776</v>
      </c>
      <c r="BF305" t="s">
        <v>974</v>
      </c>
      <c r="BG305" t="s">
        <v>1036</v>
      </c>
      <c r="BH305" t="s">
        <v>976</v>
      </c>
      <c r="BI305" t="s">
        <v>232</v>
      </c>
      <c r="BJ305" t="s">
        <v>183</v>
      </c>
      <c r="BK305" t="s">
        <v>145</v>
      </c>
      <c r="BL305" t="s">
        <v>143</v>
      </c>
      <c r="BM305" t="s">
        <v>977</v>
      </c>
      <c r="BN305" t="s">
        <v>756</v>
      </c>
      <c r="BO305" t="s">
        <v>757</v>
      </c>
      <c r="BP305" t="s">
        <v>233</v>
      </c>
      <c r="BQ305" t="s">
        <v>760</v>
      </c>
      <c r="BR305" t="s">
        <v>2398</v>
      </c>
      <c r="BS305" t="s">
        <v>2339</v>
      </c>
      <c r="BT305" t="s">
        <v>234</v>
      </c>
      <c r="BU305" t="s">
        <v>781</v>
      </c>
      <c r="BV305" t="s">
        <v>920</v>
      </c>
      <c r="BW305" t="s">
        <v>925</v>
      </c>
      <c r="BX305" t="s">
        <v>918</v>
      </c>
      <c r="BY305" t="s">
        <v>1190</v>
      </c>
      <c r="BZ305" t="s">
        <v>1016</v>
      </c>
      <c r="CA305" t="s">
        <v>992</v>
      </c>
      <c r="CB305" t="s">
        <v>1017</v>
      </c>
      <c r="CC305" t="s">
        <v>1004</v>
      </c>
      <c r="CD305" t="s">
        <v>181</v>
      </c>
      <c r="CE305" t="s">
        <v>239</v>
      </c>
      <c r="CF305" t="s">
        <v>241</v>
      </c>
      <c r="CG305" t="s">
        <v>221</v>
      </c>
      <c r="CH305" t="s">
        <v>1017</v>
      </c>
      <c r="CI305" t="s">
        <v>215</v>
      </c>
      <c r="CJ305" t="s">
        <v>171</v>
      </c>
      <c r="CK305" t="s">
        <v>410</v>
      </c>
      <c r="CL305" t="s">
        <v>805</v>
      </c>
      <c r="CM305" t="s">
        <v>806</v>
      </c>
    </row>
    <row r="306" spans="1:100">
      <c r="A306" s="40">
        <v>287</v>
      </c>
      <c r="B306" s="40" t="s">
        <v>1526</v>
      </c>
      <c r="C306" s="2" t="s">
        <v>1527</v>
      </c>
      <c r="D306" s="2" t="s">
        <v>24</v>
      </c>
      <c r="E306" s="2"/>
      <c r="F306" s="2">
        <v>60</v>
      </c>
      <c r="G306" s="2">
        <v>60</v>
      </c>
      <c r="H306" s="2">
        <v>60</v>
      </c>
      <c r="I306" s="2">
        <v>35</v>
      </c>
      <c r="J306" s="2">
        <v>35</v>
      </c>
      <c r="K306" s="2">
        <v>30</v>
      </c>
      <c r="L306" s="2">
        <v>280</v>
      </c>
      <c r="M306" s="2" t="s">
        <v>1103</v>
      </c>
      <c r="N306" s="2" t="s">
        <v>1061</v>
      </c>
      <c r="O306" t="s">
        <v>249</v>
      </c>
      <c r="P306" t="s">
        <v>958</v>
      </c>
      <c r="Q306" t="s">
        <v>779</v>
      </c>
      <c r="R306" t="s">
        <v>943</v>
      </c>
      <c r="S306" t="s">
        <v>774</v>
      </c>
      <c r="T306" t="s">
        <v>235</v>
      </c>
      <c r="U306" t="s">
        <v>913</v>
      </c>
      <c r="V306" t="s">
        <v>1142</v>
      </c>
      <c r="W306" t="s">
        <v>259</v>
      </c>
      <c r="X306" t="s">
        <v>770</v>
      </c>
      <c r="Y306" t="s">
        <v>1062</v>
      </c>
      <c r="Z306" t="s">
        <v>226</v>
      </c>
      <c r="AA306" t="s">
        <v>227</v>
      </c>
      <c r="AB306" t="s">
        <v>1063</v>
      </c>
      <c r="AC306" t="s">
        <v>1030</v>
      </c>
      <c r="AD306" t="s">
        <v>148</v>
      </c>
      <c r="AE306" t="s">
        <v>1175</v>
      </c>
      <c r="AF306" t="s">
        <v>172</v>
      </c>
      <c r="AG306" t="s">
        <v>752</v>
      </c>
      <c r="AH306" t="s">
        <v>141</v>
      </c>
      <c r="AI306" t="s">
        <v>271</v>
      </c>
      <c r="AJ306" t="s">
        <v>1078</v>
      </c>
      <c r="AK306" t="s">
        <v>766</v>
      </c>
      <c r="AL306" t="s">
        <v>1079</v>
      </c>
      <c r="AM306" t="s">
        <v>229</v>
      </c>
      <c r="AN306" t="s">
        <v>146</v>
      </c>
      <c r="AO306" t="s">
        <v>321</v>
      </c>
      <c r="AP306" t="s">
        <v>1080</v>
      </c>
      <c r="AQ306" t="s">
        <v>174</v>
      </c>
      <c r="AR306" t="s">
        <v>1094</v>
      </c>
      <c r="AS306" t="s">
        <v>230</v>
      </c>
      <c r="AT306" t="s">
        <v>254</v>
      </c>
      <c r="AU306" t="s">
        <v>257</v>
      </c>
      <c r="AV306" t="s">
        <v>1095</v>
      </c>
      <c r="AW306" t="s">
        <v>1096</v>
      </c>
      <c r="AX306" t="s">
        <v>917</v>
      </c>
      <c r="AY306" t="s">
        <v>231</v>
      </c>
      <c r="AZ306" t="s">
        <v>1082</v>
      </c>
      <c r="BA306" t="s">
        <v>1037</v>
      </c>
      <c r="BB306" t="s">
        <v>974</v>
      </c>
      <c r="BC306" t="s">
        <v>1031</v>
      </c>
      <c r="BD306" t="s">
        <v>1005</v>
      </c>
      <c r="BE306" t="s">
        <v>1036</v>
      </c>
      <c r="BF306" t="s">
        <v>143</v>
      </c>
      <c r="BG306" t="s">
        <v>756</v>
      </c>
      <c r="BH306" t="s">
        <v>233</v>
      </c>
      <c r="BI306" t="s">
        <v>760</v>
      </c>
      <c r="BJ306" t="s">
        <v>234</v>
      </c>
      <c r="BK306" t="s">
        <v>364</v>
      </c>
      <c r="BL306" t="s">
        <v>253</v>
      </c>
      <c r="BM306" t="s">
        <v>753</v>
      </c>
      <c r="BN306" t="s">
        <v>751</v>
      </c>
      <c r="BO306" t="s">
        <v>757</v>
      </c>
      <c r="BP306" t="s">
        <v>773</v>
      </c>
      <c r="BQ306" t="s">
        <v>1143</v>
      </c>
      <c r="BR306" t="s">
        <v>950</v>
      </c>
      <c r="BS306" t="s">
        <v>981</v>
      </c>
      <c r="BT306" t="s">
        <v>993</v>
      </c>
      <c r="BU306" t="s">
        <v>1150</v>
      </c>
      <c r="BV306" t="s">
        <v>239</v>
      </c>
      <c r="BW306" t="s">
        <v>241</v>
      </c>
      <c r="BX306" t="s">
        <v>805</v>
      </c>
      <c r="BY306" t="s">
        <v>806</v>
      </c>
    </row>
    <row r="307" spans="1:100">
      <c r="A307" s="40">
        <v>288</v>
      </c>
      <c r="B307" s="40" t="s">
        <v>1528</v>
      </c>
      <c r="C307" s="2" t="s">
        <v>1529</v>
      </c>
      <c r="D307" s="2" t="s">
        <v>24</v>
      </c>
      <c r="E307" s="2"/>
      <c r="F307" s="2">
        <v>80</v>
      </c>
      <c r="G307" s="2">
        <v>80</v>
      </c>
      <c r="H307" s="2">
        <v>80</v>
      </c>
      <c r="I307" s="2">
        <v>55</v>
      </c>
      <c r="J307" s="2">
        <v>55</v>
      </c>
      <c r="K307" s="2">
        <v>90</v>
      </c>
      <c r="L307" s="2">
        <v>440</v>
      </c>
      <c r="M307" s="2" t="s">
        <v>1108</v>
      </c>
      <c r="N307" s="2" t="s">
        <v>1061</v>
      </c>
      <c r="O307" t="s">
        <v>249</v>
      </c>
      <c r="P307" t="s">
        <v>302</v>
      </c>
      <c r="Q307" t="s">
        <v>779</v>
      </c>
      <c r="R307" t="s">
        <v>953</v>
      </c>
      <c r="S307" t="s">
        <v>779</v>
      </c>
      <c r="T307" t="s">
        <v>953</v>
      </c>
      <c r="U307" t="s">
        <v>323</v>
      </c>
      <c r="V307" t="s">
        <v>754</v>
      </c>
      <c r="W307" t="s">
        <v>253</v>
      </c>
      <c r="X307" t="s">
        <v>259</v>
      </c>
      <c r="Y307" t="s">
        <v>1142</v>
      </c>
      <c r="Z307" t="s">
        <v>920</v>
      </c>
      <c r="AA307" t="s">
        <v>775</v>
      </c>
      <c r="AB307" t="s">
        <v>1062</v>
      </c>
      <c r="AC307" t="s">
        <v>226</v>
      </c>
      <c r="AD307" t="s">
        <v>227</v>
      </c>
      <c r="AE307" t="s">
        <v>1063</v>
      </c>
      <c r="AF307" t="s">
        <v>1030</v>
      </c>
      <c r="AG307" t="s">
        <v>246</v>
      </c>
      <c r="AH307" t="s">
        <v>148</v>
      </c>
      <c r="AI307" t="s">
        <v>1175</v>
      </c>
      <c r="AJ307" t="s">
        <v>172</v>
      </c>
      <c r="AK307" t="s">
        <v>752</v>
      </c>
      <c r="AL307" t="s">
        <v>1126</v>
      </c>
      <c r="AM307" t="s">
        <v>141</v>
      </c>
      <c r="AN307" t="s">
        <v>271</v>
      </c>
      <c r="AO307" t="s">
        <v>1078</v>
      </c>
      <c r="AP307" t="s">
        <v>766</v>
      </c>
      <c r="AQ307" t="s">
        <v>1079</v>
      </c>
      <c r="AR307" t="s">
        <v>229</v>
      </c>
      <c r="AS307" t="s">
        <v>146</v>
      </c>
      <c r="AT307" t="s">
        <v>321</v>
      </c>
      <c r="AU307" t="s">
        <v>136</v>
      </c>
      <c r="AV307" t="s">
        <v>1080</v>
      </c>
      <c r="AW307" t="s">
        <v>174</v>
      </c>
      <c r="AX307" t="s">
        <v>1094</v>
      </c>
      <c r="AY307" t="s">
        <v>230</v>
      </c>
      <c r="AZ307" t="s">
        <v>254</v>
      </c>
      <c r="BA307" t="s">
        <v>257</v>
      </c>
      <c r="BB307" t="s">
        <v>1095</v>
      </c>
      <c r="BC307" t="s">
        <v>1096</v>
      </c>
      <c r="BD307" t="s">
        <v>917</v>
      </c>
      <c r="BE307" t="s">
        <v>231</v>
      </c>
      <c r="BF307" t="s">
        <v>1082</v>
      </c>
      <c r="BG307" t="s">
        <v>1172</v>
      </c>
      <c r="BH307" t="s">
        <v>1037</v>
      </c>
      <c r="BI307" t="s">
        <v>1102</v>
      </c>
      <c r="BJ307" t="s">
        <v>974</v>
      </c>
      <c r="BK307" t="s">
        <v>1031</v>
      </c>
      <c r="BL307" t="s">
        <v>1005</v>
      </c>
      <c r="BM307" t="s">
        <v>1036</v>
      </c>
      <c r="BN307" t="s">
        <v>1021</v>
      </c>
      <c r="BO307" t="s">
        <v>143</v>
      </c>
      <c r="BP307" t="s">
        <v>756</v>
      </c>
      <c r="BQ307" t="s">
        <v>233</v>
      </c>
      <c r="BR307" t="s">
        <v>760</v>
      </c>
      <c r="BS307" t="s">
        <v>234</v>
      </c>
      <c r="BT307" t="s">
        <v>364</v>
      </c>
      <c r="BU307" t="s">
        <v>253</v>
      </c>
      <c r="BV307" t="s">
        <v>753</v>
      </c>
      <c r="BW307" t="s">
        <v>751</v>
      </c>
      <c r="BX307" t="s">
        <v>757</v>
      </c>
      <c r="BY307" t="s">
        <v>773</v>
      </c>
      <c r="BZ307" t="s">
        <v>1143</v>
      </c>
      <c r="CA307" t="s">
        <v>950</v>
      </c>
      <c r="CB307" t="s">
        <v>981</v>
      </c>
      <c r="CC307" t="s">
        <v>993</v>
      </c>
      <c r="CD307" t="s">
        <v>1150</v>
      </c>
      <c r="CE307" t="s">
        <v>239</v>
      </c>
      <c r="CF307" t="s">
        <v>241</v>
      </c>
      <c r="CG307" t="s">
        <v>958</v>
      </c>
      <c r="CH307" t="s">
        <v>943</v>
      </c>
      <c r="CI307" t="s">
        <v>774</v>
      </c>
      <c r="CJ307" t="s">
        <v>235</v>
      </c>
      <c r="CK307" t="s">
        <v>913</v>
      </c>
      <c r="CL307" t="s">
        <v>770</v>
      </c>
      <c r="CM307" t="s">
        <v>805</v>
      </c>
      <c r="CN307" t="s">
        <v>806</v>
      </c>
    </row>
    <row r="308" spans="1:100">
      <c r="A308" s="40">
        <v>289</v>
      </c>
      <c r="B308" s="40" t="s">
        <v>1530</v>
      </c>
      <c r="C308" s="2" t="s">
        <v>1531</v>
      </c>
      <c r="D308" s="2" t="s">
        <v>24</v>
      </c>
      <c r="E308" s="2"/>
      <c r="F308" s="2">
        <v>150</v>
      </c>
      <c r="G308" s="2">
        <v>160</v>
      </c>
      <c r="H308" s="2">
        <v>100</v>
      </c>
      <c r="I308" s="2">
        <v>95</v>
      </c>
      <c r="J308" s="2">
        <v>65</v>
      </c>
      <c r="K308" s="2">
        <v>100</v>
      </c>
      <c r="L308" s="2">
        <v>670</v>
      </c>
      <c r="M308" s="2" t="s">
        <v>1224</v>
      </c>
      <c r="N308" s="2" t="s">
        <v>1061</v>
      </c>
      <c r="O308" t="s">
        <v>249</v>
      </c>
      <c r="P308" t="s">
        <v>779</v>
      </c>
      <c r="Q308" t="s">
        <v>958</v>
      </c>
      <c r="R308" t="s">
        <v>943</v>
      </c>
      <c r="S308" t="s">
        <v>779</v>
      </c>
      <c r="T308" t="s">
        <v>943</v>
      </c>
      <c r="U308" t="s">
        <v>774</v>
      </c>
      <c r="V308" t="s">
        <v>235</v>
      </c>
      <c r="W308" t="s">
        <v>913</v>
      </c>
      <c r="X308" t="s">
        <v>756</v>
      </c>
      <c r="Y308" t="s">
        <v>1142</v>
      </c>
      <c r="Z308" t="s">
        <v>259</v>
      </c>
      <c r="AA308" t="s">
        <v>770</v>
      </c>
      <c r="AB308" t="s">
        <v>974</v>
      </c>
      <c r="AC308" t="s">
        <v>1001</v>
      </c>
      <c r="AD308" t="s">
        <v>981</v>
      </c>
      <c r="AE308" t="s">
        <v>1062</v>
      </c>
      <c r="AF308" t="s">
        <v>226</v>
      </c>
      <c r="AG308" t="s">
        <v>227</v>
      </c>
      <c r="AH308" t="s">
        <v>1063</v>
      </c>
      <c r="AI308" t="s">
        <v>1030</v>
      </c>
      <c r="AJ308" t="s">
        <v>246</v>
      </c>
      <c r="AK308" t="s">
        <v>148</v>
      </c>
      <c r="AL308" t="s">
        <v>1175</v>
      </c>
      <c r="AM308" t="s">
        <v>172</v>
      </c>
      <c r="AN308" t="s">
        <v>752</v>
      </c>
      <c r="AO308" t="s">
        <v>1126</v>
      </c>
      <c r="AP308" t="s">
        <v>141</v>
      </c>
      <c r="AQ308" t="s">
        <v>271</v>
      </c>
      <c r="AR308" t="s">
        <v>247</v>
      </c>
      <c r="AS308" t="s">
        <v>1078</v>
      </c>
      <c r="AT308" t="s">
        <v>766</v>
      </c>
      <c r="AU308" t="s">
        <v>1079</v>
      </c>
      <c r="AV308" t="s">
        <v>229</v>
      </c>
      <c r="AW308" t="s">
        <v>1109</v>
      </c>
      <c r="AX308" t="s">
        <v>146</v>
      </c>
      <c r="AY308" t="s">
        <v>321</v>
      </c>
      <c r="AZ308" t="s">
        <v>136</v>
      </c>
      <c r="BA308" t="s">
        <v>1080</v>
      </c>
      <c r="BB308" t="s">
        <v>174</v>
      </c>
      <c r="BC308" t="s">
        <v>1094</v>
      </c>
      <c r="BD308" t="s">
        <v>230</v>
      </c>
      <c r="BE308" t="s">
        <v>254</v>
      </c>
      <c r="BF308" t="s">
        <v>257</v>
      </c>
      <c r="BG308" t="s">
        <v>1095</v>
      </c>
      <c r="BH308" t="s">
        <v>1096</v>
      </c>
      <c r="BI308" t="s">
        <v>917</v>
      </c>
      <c r="BJ308" t="s">
        <v>231</v>
      </c>
      <c r="BK308" t="s">
        <v>1082</v>
      </c>
      <c r="BL308" t="s">
        <v>1172</v>
      </c>
      <c r="BM308" t="s">
        <v>1037</v>
      </c>
      <c r="BN308" t="s">
        <v>1102</v>
      </c>
      <c r="BO308" t="s">
        <v>974</v>
      </c>
      <c r="BP308" t="s">
        <v>1031</v>
      </c>
      <c r="BQ308" t="s">
        <v>1034</v>
      </c>
      <c r="BR308" t="s">
        <v>1005</v>
      </c>
      <c r="BS308" t="s">
        <v>1036</v>
      </c>
      <c r="BT308" t="s">
        <v>976</v>
      </c>
      <c r="BU308" t="s">
        <v>1021</v>
      </c>
      <c r="BV308" t="s">
        <v>143</v>
      </c>
      <c r="BW308" t="s">
        <v>756</v>
      </c>
      <c r="BX308" t="s">
        <v>233</v>
      </c>
      <c r="BY308" t="s">
        <v>760</v>
      </c>
      <c r="BZ308" t="s">
        <v>234</v>
      </c>
      <c r="CA308" t="s">
        <v>364</v>
      </c>
      <c r="CB308" t="s">
        <v>253</v>
      </c>
      <c r="CC308" t="s">
        <v>753</v>
      </c>
      <c r="CD308" t="s">
        <v>751</v>
      </c>
      <c r="CE308" t="s">
        <v>757</v>
      </c>
      <c r="CF308" t="s">
        <v>773</v>
      </c>
      <c r="CG308" t="s">
        <v>1143</v>
      </c>
      <c r="CH308" t="s">
        <v>950</v>
      </c>
      <c r="CI308" t="s">
        <v>981</v>
      </c>
      <c r="CJ308" t="s">
        <v>993</v>
      </c>
      <c r="CK308" t="s">
        <v>1150</v>
      </c>
      <c r="CL308" t="s">
        <v>239</v>
      </c>
      <c r="CM308" t="s">
        <v>241</v>
      </c>
      <c r="CN308" t="s">
        <v>302</v>
      </c>
      <c r="CO308" t="s">
        <v>953</v>
      </c>
      <c r="CP308" t="s">
        <v>323</v>
      </c>
      <c r="CQ308" t="s">
        <v>754</v>
      </c>
      <c r="CR308" t="s">
        <v>253</v>
      </c>
      <c r="CS308" t="s">
        <v>920</v>
      </c>
      <c r="CT308" t="s">
        <v>775</v>
      </c>
      <c r="CU308" t="s">
        <v>805</v>
      </c>
      <c r="CV308" t="s">
        <v>806</v>
      </c>
    </row>
    <row r="309" spans="1:100">
      <c r="A309" s="40">
        <v>290</v>
      </c>
      <c r="B309" s="40" t="s">
        <v>1532</v>
      </c>
      <c r="C309" s="2" t="s">
        <v>1533</v>
      </c>
      <c r="D309" s="2" t="s">
        <v>14</v>
      </c>
      <c r="E309" s="2" t="s">
        <v>22</v>
      </c>
      <c r="F309" s="2">
        <v>31</v>
      </c>
      <c r="G309" s="2">
        <v>45</v>
      </c>
      <c r="H309" s="2">
        <v>90</v>
      </c>
      <c r="I309" s="2">
        <v>30</v>
      </c>
      <c r="J309" s="2">
        <v>30</v>
      </c>
      <c r="K309" s="2">
        <v>40</v>
      </c>
      <c r="L309" s="2">
        <v>266</v>
      </c>
      <c r="M309" s="2" t="s">
        <v>1065</v>
      </c>
      <c r="N309" s="2" t="s">
        <v>1061</v>
      </c>
      <c r="O309" t="s">
        <v>249</v>
      </c>
      <c r="P309" t="s">
        <v>284</v>
      </c>
      <c r="Q309" t="s">
        <v>397</v>
      </c>
      <c r="R309" t="s">
        <v>309</v>
      </c>
      <c r="S309" t="s">
        <v>323</v>
      </c>
      <c r="T309" t="s">
        <v>792</v>
      </c>
      <c r="U309" t="s">
        <v>776</v>
      </c>
      <c r="V309" t="s">
        <v>755</v>
      </c>
      <c r="W309" t="s">
        <v>783</v>
      </c>
      <c r="X309" t="s">
        <v>256</v>
      </c>
      <c r="Y309" t="s">
        <v>1062</v>
      </c>
      <c r="Z309" t="s">
        <v>226</v>
      </c>
      <c r="AA309" t="s">
        <v>1063</v>
      </c>
      <c r="AB309" t="s">
        <v>1030</v>
      </c>
      <c r="AC309" t="s">
        <v>148</v>
      </c>
      <c r="AD309" t="s">
        <v>172</v>
      </c>
      <c r="AE309" t="s">
        <v>752</v>
      </c>
      <c r="AF309" t="s">
        <v>1078</v>
      </c>
      <c r="AG309" t="s">
        <v>1079</v>
      </c>
      <c r="AH309" t="s">
        <v>229</v>
      </c>
      <c r="AI309" t="s">
        <v>1080</v>
      </c>
      <c r="AJ309" t="s">
        <v>256</v>
      </c>
      <c r="AK309" t="s">
        <v>174</v>
      </c>
      <c r="AL309" t="s">
        <v>230</v>
      </c>
      <c r="AM309" t="s">
        <v>765</v>
      </c>
      <c r="AN309" t="s">
        <v>1096</v>
      </c>
      <c r="AO309" t="s">
        <v>917</v>
      </c>
      <c r="AP309" t="s">
        <v>231</v>
      </c>
      <c r="AQ309" t="s">
        <v>1037</v>
      </c>
      <c r="AR309" t="s">
        <v>776</v>
      </c>
      <c r="AS309" t="s">
        <v>232</v>
      </c>
      <c r="AT309" t="s">
        <v>1042</v>
      </c>
      <c r="AU309" t="s">
        <v>1018</v>
      </c>
      <c r="AV309" t="s">
        <v>756</v>
      </c>
      <c r="AW309" t="s">
        <v>757</v>
      </c>
      <c r="AX309" t="s">
        <v>233</v>
      </c>
      <c r="AY309" t="s">
        <v>2339</v>
      </c>
      <c r="AZ309" t="s">
        <v>234</v>
      </c>
      <c r="BA309" t="s">
        <v>289</v>
      </c>
      <c r="BB309" t="s">
        <v>774</v>
      </c>
      <c r="BC309" t="s">
        <v>754</v>
      </c>
      <c r="BD309" t="s">
        <v>1113</v>
      </c>
      <c r="BE309" t="s">
        <v>993</v>
      </c>
      <c r="BF309" t="s">
        <v>1115</v>
      </c>
      <c r="BG309" t="s">
        <v>1110</v>
      </c>
      <c r="BH309" t="s">
        <v>1024</v>
      </c>
      <c r="BI309" t="s">
        <v>239</v>
      </c>
      <c r="BJ309" t="s">
        <v>241</v>
      </c>
      <c r="BK309" t="s">
        <v>805</v>
      </c>
      <c r="BL309" t="s">
        <v>806</v>
      </c>
    </row>
    <row r="310" spans="1:100">
      <c r="A310" s="40">
        <v>291</v>
      </c>
      <c r="B310" s="40" t="s">
        <v>1534</v>
      </c>
      <c r="C310" s="2" t="s">
        <v>1535</v>
      </c>
      <c r="D310" s="2" t="s">
        <v>14</v>
      </c>
      <c r="E310" s="2" t="s">
        <v>20</v>
      </c>
      <c r="F310" s="2">
        <v>61</v>
      </c>
      <c r="G310" s="2">
        <v>90</v>
      </c>
      <c r="H310" s="2">
        <v>45</v>
      </c>
      <c r="I310" s="2">
        <v>50</v>
      </c>
      <c r="J310" s="2">
        <v>50</v>
      </c>
      <c r="K310" s="2">
        <v>160</v>
      </c>
      <c r="L310" s="2">
        <v>456</v>
      </c>
      <c r="M310" s="2" t="s">
        <v>1177</v>
      </c>
      <c r="N310" s="2" t="s">
        <v>1061</v>
      </c>
      <c r="O310" t="s">
        <v>249</v>
      </c>
      <c r="P310" t="s">
        <v>309</v>
      </c>
      <c r="Q310" t="s">
        <v>284</v>
      </c>
      <c r="R310" t="s">
        <v>397</v>
      </c>
      <c r="S310" t="s">
        <v>1110</v>
      </c>
      <c r="T310" t="s">
        <v>397</v>
      </c>
      <c r="U310" t="s">
        <v>309</v>
      </c>
      <c r="V310" t="s">
        <v>323</v>
      </c>
      <c r="W310" t="s">
        <v>792</v>
      </c>
      <c r="X310" t="s">
        <v>324</v>
      </c>
      <c r="Y310" t="s">
        <v>230</v>
      </c>
      <c r="Z310" t="s">
        <v>758</v>
      </c>
      <c r="AA310" t="s">
        <v>145</v>
      </c>
      <c r="AB310" t="s">
        <v>253</v>
      </c>
      <c r="AC310" t="s">
        <v>306</v>
      </c>
      <c r="AD310" t="s">
        <v>788</v>
      </c>
      <c r="AE310" t="s">
        <v>1018</v>
      </c>
      <c r="AF310" t="s">
        <v>1062</v>
      </c>
      <c r="AG310" t="s">
        <v>226</v>
      </c>
      <c r="AH310" t="s">
        <v>1063</v>
      </c>
      <c r="AI310" t="s">
        <v>1030</v>
      </c>
      <c r="AJ310" t="s">
        <v>148</v>
      </c>
      <c r="AK310" t="s">
        <v>172</v>
      </c>
      <c r="AL310" t="s">
        <v>752</v>
      </c>
      <c r="AM310" t="s">
        <v>247</v>
      </c>
      <c r="AN310" t="s">
        <v>1078</v>
      </c>
      <c r="AO310" t="s">
        <v>1119</v>
      </c>
      <c r="AP310" t="s">
        <v>1079</v>
      </c>
      <c r="AQ310" t="s">
        <v>229</v>
      </c>
      <c r="AR310" t="s">
        <v>1080</v>
      </c>
      <c r="AS310" t="s">
        <v>256</v>
      </c>
      <c r="AT310" t="s">
        <v>174</v>
      </c>
      <c r="AU310" t="s">
        <v>230</v>
      </c>
      <c r="AV310" t="s">
        <v>765</v>
      </c>
      <c r="AW310" t="s">
        <v>1096</v>
      </c>
      <c r="AX310" t="s">
        <v>917</v>
      </c>
      <c r="AY310" t="s">
        <v>231</v>
      </c>
      <c r="AZ310" t="s">
        <v>1082</v>
      </c>
      <c r="BA310" t="s">
        <v>1117</v>
      </c>
      <c r="BB310" t="s">
        <v>1037</v>
      </c>
      <c r="BC310" t="s">
        <v>776</v>
      </c>
      <c r="BD310" t="s">
        <v>976</v>
      </c>
      <c r="BE310" t="s">
        <v>232</v>
      </c>
      <c r="BF310" t="s">
        <v>145</v>
      </c>
      <c r="BG310" t="s">
        <v>1042</v>
      </c>
      <c r="BH310" t="s">
        <v>1018</v>
      </c>
      <c r="BI310" t="s">
        <v>756</v>
      </c>
      <c r="BJ310" t="s">
        <v>757</v>
      </c>
      <c r="BK310" t="s">
        <v>1014</v>
      </c>
      <c r="BL310" t="s">
        <v>233</v>
      </c>
      <c r="BM310" t="s">
        <v>2339</v>
      </c>
      <c r="BN310" t="s">
        <v>234</v>
      </c>
      <c r="BO310" t="s">
        <v>289</v>
      </c>
      <c r="BP310" t="s">
        <v>774</v>
      </c>
      <c r="BQ310" t="s">
        <v>754</v>
      </c>
      <c r="BR310" t="s">
        <v>1113</v>
      </c>
      <c r="BS310" t="s">
        <v>993</v>
      </c>
      <c r="BT310" t="s">
        <v>1115</v>
      </c>
      <c r="BU310" t="s">
        <v>1110</v>
      </c>
      <c r="BV310" t="s">
        <v>1024</v>
      </c>
      <c r="BW310" t="s">
        <v>239</v>
      </c>
      <c r="BX310" t="s">
        <v>241</v>
      </c>
      <c r="BY310" t="s">
        <v>776</v>
      </c>
      <c r="BZ310" t="s">
        <v>755</v>
      </c>
      <c r="CA310" t="s">
        <v>783</v>
      </c>
      <c r="CB310" t="s">
        <v>256</v>
      </c>
      <c r="CC310" t="s">
        <v>805</v>
      </c>
      <c r="CD310" t="s">
        <v>806</v>
      </c>
    </row>
    <row r="311" spans="1:100">
      <c r="A311" s="40">
        <v>292</v>
      </c>
      <c r="B311" s="40" t="s">
        <v>1536</v>
      </c>
      <c r="C311" s="2" t="s">
        <v>1537</v>
      </c>
      <c r="D311" s="2" t="s">
        <v>14</v>
      </c>
      <c r="E311" s="2" t="s">
        <v>10</v>
      </c>
      <c r="F311" s="2">
        <v>1</v>
      </c>
      <c r="G311" s="2">
        <v>90</v>
      </c>
      <c r="H311" s="2">
        <v>45</v>
      </c>
      <c r="I311" s="2">
        <v>30</v>
      </c>
      <c r="J311" s="2">
        <v>30</v>
      </c>
      <c r="K311" s="2">
        <v>40</v>
      </c>
      <c r="L311" s="2">
        <v>236</v>
      </c>
      <c r="M311" s="2" t="s">
        <v>1103</v>
      </c>
      <c r="N311" s="2" t="s">
        <v>1061</v>
      </c>
      <c r="O311" t="s">
        <v>249</v>
      </c>
      <c r="P311" t="s">
        <v>284</v>
      </c>
      <c r="Q311" t="s">
        <v>397</v>
      </c>
      <c r="R311" t="s">
        <v>309</v>
      </c>
      <c r="S311" t="s">
        <v>323</v>
      </c>
      <c r="T311" t="s">
        <v>792</v>
      </c>
      <c r="U311" t="s">
        <v>778</v>
      </c>
      <c r="V311" t="s">
        <v>387</v>
      </c>
      <c r="W311" t="s">
        <v>1006</v>
      </c>
      <c r="X311" t="s">
        <v>923</v>
      </c>
      <c r="Y311" t="s">
        <v>2392</v>
      </c>
      <c r="Z311" t="s">
        <v>1451</v>
      </c>
      <c r="AA311" t="s">
        <v>174</v>
      </c>
      <c r="AB311" t="s">
        <v>1062</v>
      </c>
      <c r="AC311" t="s">
        <v>226</v>
      </c>
      <c r="AD311" t="s">
        <v>1063</v>
      </c>
      <c r="AE311" t="s">
        <v>1030</v>
      </c>
      <c r="AF311" t="s">
        <v>148</v>
      </c>
      <c r="AG311" t="s">
        <v>172</v>
      </c>
      <c r="AH311" t="s">
        <v>752</v>
      </c>
      <c r="AI311" t="s">
        <v>247</v>
      </c>
      <c r="AJ311" t="s">
        <v>1078</v>
      </c>
      <c r="AK311" t="s">
        <v>1079</v>
      </c>
      <c r="AL311" t="s">
        <v>229</v>
      </c>
      <c r="AM311" t="s">
        <v>1080</v>
      </c>
      <c r="AN311" t="s">
        <v>256</v>
      </c>
      <c r="AO311" t="s">
        <v>174</v>
      </c>
      <c r="AP311" t="s">
        <v>230</v>
      </c>
      <c r="AQ311" t="s">
        <v>765</v>
      </c>
      <c r="AR311" t="s">
        <v>1096</v>
      </c>
      <c r="AS311" t="s">
        <v>917</v>
      </c>
      <c r="AT311" t="s">
        <v>231</v>
      </c>
      <c r="AU311" t="s">
        <v>1117</v>
      </c>
      <c r="AV311" t="s">
        <v>1037</v>
      </c>
      <c r="AW311" t="s">
        <v>776</v>
      </c>
      <c r="AX311" t="s">
        <v>956</v>
      </c>
      <c r="AY311" t="s">
        <v>1005</v>
      </c>
      <c r="AZ311" t="s">
        <v>976</v>
      </c>
      <c r="BA311" t="s">
        <v>232</v>
      </c>
      <c r="BB311" t="s">
        <v>1042</v>
      </c>
      <c r="BC311" t="s">
        <v>1018</v>
      </c>
      <c r="BD311" t="s">
        <v>293</v>
      </c>
      <c r="BE311" t="s">
        <v>756</v>
      </c>
      <c r="BF311" t="s">
        <v>757</v>
      </c>
      <c r="BG311" t="s">
        <v>233</v>
      </c>
      <c r="BH311" t="s">
        <v>2339</v>
      </c>
      <c r="BI311" t="s">
        <v>234</v>
      </c>
      <c r="BJ311" t="s">
        <v>289</v>
      </c>
      <c r="BK311" t="s">
        <v>774</v>
      </c>
      <c r="BL311" t="s">
        <v>754</v>
      </c>
      <c r="BM311" t="s">
        <v>1113</v>
      </c>
      <c r="BN311" t="s">
        <v>993</v>
      </c>
      <c r="BO311" t="s">
        <v>1115</v>
      </c>
      <c r="BP311" t="s">
        <v>1110</v>
      </c>
      <c r="BQ311" t="s">
        <v>1024</v>
      </c>
      <c r="BR311" t="s">
        <v>239</v>
      </c>
      <c r="BS311" t="s">
        <v>241</v>
      </c>
      <c r="BT311" t="s">
        <v>776</v>
      </c>
      <c r="BU311" t="s">
        <v>755</v>
      </c>
      <c r="BV311" t="s">
        <v>783</v>
      </c>
      <c r="BW311" t="s">
        <v>256</v>
      </c>
      <c r="BX311" t="s">
        <v>805</v>
      </c>
      <c r="BY311" t="s">
        <v>806</v>
      </c>
    </row>
    <row r="312" spans="1:100">
      <c r="A312" s="40">
        <v>293</v>
      </c>
      <c r="B312" s="40" t="s">
        <v>1538</v>
      </c>
      <c r="C312" s="2" t="s">
        <v>1539</v>
      </c>
      <c r="D312" s="2" t="s">
        <v>24</v>
      </c>
      <c r="E312" s="2"/>
      <c r="F312" s="2">
        <v>64</v>
      </c>
      <c r="G312" s="2">
        <v>51</v>
      </c>
      <c r="H312" s="2">
        <v>23</v>
      </c>
      <c r="I312" s="2">
        <v>51</v>
      </c>
      <c r="J312" s="2">
        <v>23</v>
      </c>
      <c r="K312" s="2">
        <v>28</v>
      </c>
      <c r="L312" s="2">
        <v>240</v>
      </c>
      <c r="M312" s="2" t="s">
        <v>1199</v>
      </c>
      <c r="N312" s="2" t="s">
        <v>1061</v>
      </c>
      <c r="O312" t="s">
        <v>376</v>
      </c>
      <c r="P312" t="s">
        <v>953</v>
      </c>
      <c r="Q312" t="s">
        <v>1130</v>
      </c>
      <c r="R312" t="s">
        <v>1155</v>
      </c>
      <c r="S312" t="s">
        <v>290</v>
      </c>
      <c r="T312" t="s">
        <v>493</v>
      </c>
      <c r="U312" t="s">
        <v>324</v>
      </c>
      <c r="V312" t="s">
        <v>246</v>
      </c>
      <c r="W312" t="s">
        <v>1043</v>
      </c>
      <c r="X312" t="s">
        <v>231</v>
      </c>
      <c r="Y312" t="s">
        <v>757</v>
      </c>
      <c r="Z312" t="s">
        <v>1160</v>
      </c>
      <c r="AA312" t="s">
        <v>1062</v>
      </c>
      <c r="AB312" t="s">
        <v>1063</v>
      </c>
      <c r="AC312" t="s">
        <v>246</v>
      </c>
      <c r="AD312" t="s">
        <v>148</v>
      </c>
      <c r="AE312" t="s">
        <v>172</v>
      </c>
      <c r="AF312" t="s">
        <v>752</v>
      </c>
      <c r="AG312" t="s">
        <v>141</v>
      </c>
      <c r="AH312" t="s">
        <v>271</v>
      </c>
      <c r="AI312" t="s">
        <v>1078</v>
      </c>
      <c r="AJ312" t="s">
        <v>766</v>
      </c>
      <c r="AK312" t="s">
        <v>1079</v>
      </c>
      <c r="AL312" t="s">
        <v>229</v>
      </c>
      <c r="AM312" t="s">
        <v>1080</v>
      </c>
      <c r="AN312" t="s">
        <v>174</v>
      </c>
      <c r="AO312" t="s">
        <v>230</v>
      </c>
      <c r="AP312" t="s">
        <v>254</v>
      </c>
      <c r="AQ312" t="s">
        <v>257</v>
      </c>
      <c r="AR312" t="s">
        <v>917</v>
      </c>
      <c r="AS312" t="s">
        <v>231</v>
      </c>
      <c r="AT312" t="s">
        <v>1082</v>
      </c>
      <c r="AU312" t="s">
        <v>1037</v>
      </c>
      <c r="AV312" t="s">
        <v>1083</v>
      </c>
      <c r="AW312" t="s">
        <v>974</v>
      </c>
      <c r="AX312" t="s">
        <v>1031</v>
      </c>
      <c r="AY312" t="s">
        <v>1036</v>
      </c>
      <c r="AZ312" t="s">
        <v>756</v>
      </c>
      <c r="BA312" t="s">
        <v>757</v>
      </c>
      <c r="BB312" t="s">
        <v>233</v>
      </c>
      <c r="BC312" t="s">
        <v>2339</v>
      </c>
      <c r="BD312" t="s">
        <v>234</v>
      </c>
      <c r="BE312" t="s">
        <v>223</v>
      </c>
      <c r="BF312" t="s">
        <v>251</v>
      </c>
      <c r="BG312" t="s">
        <v>753</v>
      </c>
      <c r="BH312" t="s">
        <v>944</v>
      </c>
      <c r="BI312" t="s">
        <v>916</v>
      </c>
      <c r="BJ312" t="s">
        <v>918</v>
      </c>
      <c r="BK312" t="s">
        <v>1154</v>
      </c>
      <c r="BL312" t="s">
        <v>981</v>
      </c>
      <c r="BM312" t="s">
        <v>1180</v>
      </c>
      <c r="BN312" t="s">
        <v>2343</v>
      </c>
      <c r="BO312" t="s">
        <v>239</v>
      </c>
      <c r="BP312" t="s">
        <v>241</v>
      </c>
      <c r="BQ312" t="s">
        <v>805</v>
      </c>
      <c r="BR312" t="s">
        <v>806</v>
      </c>
    </row>
    <row r="313" spans="1:100">
      <c r="A313" s="40">
        <v>294</v>
      </c>
      <c r="B313" s="40" t="s">
        <v>1540</v>
      </c>
      <c r="C313" s="2" t="s">
        <v>1541</v>
      </c>
      <c r="D313" s="2" t="s">
        <v>24</v>
      </c>
      <c r="E313" s="2"/>
      <c r="F313" s="2">
        <v>84</v>
      </c>
      <c r="G313" s="2">
        <v>71</v>
      </c>
      <c r="H313" s="2">
        <v>43</v>
      </c>
      <c r="I313" s="2">
        <v>71</v>
      </c>
      <c r="J313" s="2">
        <v>43</v>
      </c>
      <c r="K313" s="2">
        <v>48</v>
      </c>
      <c r="L313" s="2">
        <v>360</v>
      </c>
      <c r="M313" s="2" t="s">
        <v>1129</v>
      </c>
      <c r="N313" s="2" t="s">
        <v>1061</v>
      </c>
      <c r="O313" t="s">
        <v>376</v>
      </c>
      <c r="P313" t="s">
        <v>953</v>
      </c>
      <c r="Q313" t="s">
        <v>1130</v>
      </c>
      <c r="R313" t="s">
        <v>1155</v>
      </c>
      <c r="S313" t="s">
        <v>953</v>
      </c>
      <c r="T313" t="s">
        <v>1130</v>
      </c>
      <c r="U313" t="s">
        <v>1155</v>
      </c>
      <c r="V313" t="s">
        <v>258</v>
      </c>
      <c r="W313" t="s">
        <v>290</v>
      </c>
      <c r="X313" t="s">
        <v>493</v>
      </c>
      <c r="Y313" t="s">
        <v>324</v>
      </c>
      <c r="Z313" t="s">
        <v>246</v>
      </c>
      <c r="AA313" t="s">
        <v>1043</v>
      </c>
      <c r="AB313" t="s">
        <v>231</v>
      </c>
      <c r="AC313" t="s">
        <v>757</v>
      </c>
      <c r="AD313" t="s">
        <v>1160</v>
      </c>
      <c r="AE313" t="s">
        <v>1062</v>
      </c>
      <c r="AF313" t="s">
        <v>227</v>
      </c>
      <c r="AG313" t="s">
        <v>1063</v>
      </c>
      <c r="AH313" t="s">
        <v>246</v>
      </c>
      <c r="AI313" t="s">
        <v>148</v>
      </c>
      <c r="AJ313" t="s">
        <v>172</v>
      </c>
      <c r="AK313" t="s">
        <v>752</v>
      </c>
      <c r="AL313" t="s">
        <v>1126</v>
      </c>
      <c r="AM313" t="s">
        <v>141</v>
      </c>
      <c r="AN313" t="s">
        <v>271</v>
      </c>
      <c r="AO313" t="s">
        <v>1078</v>
      </c>
      <c r="AP313" t="s">
        <v>766</v>
      </c>
      <c r="AQ313" t="s">
        <v>1079</v>
      </c>
      <c r="AR313" t="s">
        <v>229</v>
      </c>
      <c r="AS313" t="s">
        <v>1109</v>
      </c>
      <c r="AT313" t="s">
        <v>136</v>
      </c>
      <c r="AU313" t="s">
        <v>1080</v>
      </c>
      <c r="AV313" t="s">
        <v>174</v>
      </c>
      <c r="AW313" t="s">
        <v>1094</v>
      </c>
      <c r="AX313" t="s">
        <v>230</v>
      </c>
      <c r="AY313" t="s">
        <v>254</v>
      </c>
      <c r="AZ313" t="s">
        <v>257</v>
      </c>
      <c r="BA313" t="s">
        <v>1095</v>
      </c>
      <c r="BB313" t="s">
        <v>951</v>
      </c>
      <c r="BC313" t="s">
        <v>917</v>
      </c>
      <c r="BD313" t="s">
        <v>231</v>
      </c>
      <c r="BE313" t="s">
        <v>1082</v>
      </c>
      <c r="BF313" t="s">
        <v>1037</v>
      </c>
      <c r="BG313" t="s">
        <v>1083</v>
      </c>
      <c r="BH313" t="s">
        <v>1098</v>
      </c>
      <c r="BI313" t="s">
        <v>974</v>
      </c>
      <c r="BJ313" t="s">
        <v>1031</v>
      </c>
      <c r="BK313" t="s">
        <v>1036</v>
      </c>
      <c r="BL313" t="s">
        <v>1021</v>
      </c>
      <c r="BM313" t="s">
        <v>143</v>
      </c>
      <c r="BN313" t="s">
        <v>756</v>
      </c>
      <c r="BO313" t="s">
        <v>757</v>
      </c>
      <c r="BP313" t="s">
        <v>233</v>
      </c>
      <c r="BQ313" t="s">
        <v>760</v>
      </c>
      <c r="BR313" t="s">
        <v>2398</v>
      </c>
      <c r="BS313" t="s">
        <v>2339</v>
      </c>
      <c r="BT313" t="s">
        <v>234</v>
      </c>
      <c r="BU313" t="s">
        <v>223</v>
      </c>
      <c r="BV313" t="s">
        <v>251</v>
      </c>
      <c r="BW313" t="s">
        <v>753</v>
      </c>
      <c r="BX313" t="s">
        <v>944</v>
      </c>
      <c r="BY313" t="s">
        <v>916</v>
      </c>
      <c r="BZ313" t="s">
        <v>918</v>
      </c>
      <c r="CA313" t="s">
        <v>1154</v>
      </c>
      <c r="CB313" t="s">
        <v>981</v>
      </c>
      <c r="CC313" t="s">
        <v>1180</v>
      </c>
      <c r="CD313" t="s">
        <v>2343</v>
      </c>
      <c r="CE313" t="s">
        <v>239</v>
      </c>
      <c r="CF313" t="s">
        <v>241</v>
      </c>
      <c r="CG313" t="s">
        <v>805</v>
      </c>
      <c r="CH313" t="s">
        <v>806</v>
      </c>
    </row>
    <row r="314" spans="1:100">
      <c r="A314" s="40">
        <v>295</v>
      </c>
      <c r="B314" s="40" t="s">
        <v>1542</v>
      </c>
      <c r="C314" s="2" t="s">
        <v>1543</v>
      </c>
      <c r="D314" s="2" t="s">
        <v>24</v>
      </c>
      <c r="E314" s="2"/>
      <c r="F314" s="2">
        <v>104</v>
      </c>
      <c r="G314" s="2">
        <v>91</v>
      </c>
      <c r="H314" s="2">
        <v>63</v>
      </c>
      <c r="I314" s="2">
        <v>91</v>
      </c>
      <c r="J314" s="2">
        <v>63</v>
      </c>
      <c r="K314" s="2">
        <v>68</v>
      </c>
      <c r="L314" s="2">
        <v>480</v>
      </c>
      <c r="M314" s="2" t="s">
        <v>1752</v>
      </c>
      <c r="N314" s="2" t="s">
        <v>1061</v>
      </c>
      <c r="O314" t="s">
        <v>376</v>
      </c>
      <c r="P314" t="s">
        <v>953</v>
      </c>
      <c r="Q314" t="s">
        <v>1130</v>
      </c>
      <c r="R314" t="s">
        <v>1155</v>
      </c>
      <c r="S314" t="s">
        <v>1010</v>
      </c>
      <c r="T314" t="s">
        <v>983</v>
      </c>
      <c r="U314" t="s">
        <v>182</v>
      </c>
      <c r="V314" t="s">
        <v>953</v>
      </c>
      <c r="W314" t="s">
        <v>1130</v>
      </c>
      <c r="X314" t="s">
        <v>1155</v>
      </c>
      <c r="Y314" t="s">
        <v>258</v>
      </c>
      <c r="Z314" t="s">
        <v>290</v>
      </c>
      <c r="AA314" t="s">
        <v>493</v>
      </c>
      <c r="AB314" t="s">
        <v>324</v>
      </c>
      <c r="AC314" t="s">
        <v>777</v>
      </c>
      <c r="AD314" t="s">
        <v>246</v>
      </c>
      <c r="AE314" t="s">
        <v>231</v>
      </c>
      <c r="AF314" t="s">
        <v>1043</v>
      </c>
      <c r="AG314" t="s">
        <v>757</v>
      </c>
      <c r="AH314" t="s">
        <v>1160</v>
      </c>
      <c r="AI314" t="s">
        <v>247</v>
      </c>
      <c r="AJ314" t="s">
        <v>2337</v>
      </c>
      <c r="AK314" t="s">
        <v>1062</v>
      </c>
      <c r="AL314" t="s">
        <v>144</v>
      </c>
      <c r="AM314" t="s">
        <v>227</v>
      </c>
      <c r="AN314" t="s">
        <v>1063</v>
      </c>
      <c r="AO314" t="s">
        <v>246</v>
      </c>
      <c r="AP314" t="s">
        <v>148</v>
      </c>
      <c r="AQ314" t="s">
        <v>172</v>
      </c>
      <c r="AR314" t="s">
        <v>752</v>
      </c>
      <c r="AS314" t="s">
        <v>1126</v>
      </c>
      <c r="AT314" t="s">
        <v>141</v>
      </c>
      <c r="AU314" t="s">
        <v>271</v>
      </c>
      <c r="AV314" t="s">
        <v>247</v>
      </c>
      <c r="AW314" t="s">
        <v>1078</v>
      </c>
      <c r="AX314" t="s">
        <v>766</v>
      </c>
      <c r="AY314" t="s">
        <v>1079</v>
      </c>
      <c r="AZ314" t="s">
        <v>229</v>
      </c>
      <c r="BA314" t="s">
        <v>1109</v>
      </c>
      <c r="BB314" t="s">
        <v>136</v>
      </c>
      <c r="BC314" t="s">
        <v>1080</v>
      </c>
      <c r="BD314" t="s">
        <v>174</v>
      </c>
      <c r="BE314" t="s">
        <v>1094</v>
      </c>
      <c r="BF314" t="s">
        <v>230</v>
      </c>
      <c r="BG314" t="s">
        <v>254</v>
      </c>
      <c r="BH314" t="s">
        <v>257</v>
      </c>
      <c r="BI314" t="s">
        <v>1095</v>
      </c>
      <c r="BJ314" t="s">
        <v>951</v>
      </c>
      <c r="BK314" t="s">
        <v>917</v>
      </c>
      <c r="BL314" t="s">
        <v>231</v>
      </c>
      <c r="BM314" t="s">
        <v>1082</v>
      </c>
      <c r="BN314" t="s">
        <v>1037</v>
      </c>
      <c r="BO314" t="s">
        <v>1083</v>
      </c>
      <c r="BP314" t="s">
        <v>1098</v>
      </c>
      <c r="BQ314" t="s">
        <v>1102</v>
      </c>
      <c r="BR314" t="s">
        <v>974</v>
      </c>
      <c r="BS314" t="s">
        <v>1031</v>
      </c>
      <c r="BT314" t="s">
        <v>1036</v>
      </c>
      <c r="BU314" t="s">
        <v>976</v>
      </c>
      <c r="BV314" t="s">
        <v>1021</v>
      </c>
      <c r="BW314" t="s">
        <v>143</v>
      </c>
      <c r="BX314" t="s">
        <v>756</v>
      </c>
      <c r="BY314" t="s">
        <v>757</v>
      </c>
      <c r="BZ314" t="s">
        <v>233</v>
      </c>
      <c r="CA314" t="s">
        <v>760</v>
      </c>
      <c r="CB314" t="s">
        <v>2398</v>
      </c>
      <c r="CC314" t="s">
        <v>2339</v>
      </c>
      <c r="CD314" t="s">
        <v>234</v>
      </c>
      <c r="CE314" t="s">
        <v>223</v>
      </c>
      <c r="CF314" t="s">
        <v>251</v>
      </c>
      <c r="CG314" t="s">
        <v>753</v>
      </c>
      <c r="CH314" t="s">
        <v>944</v>
      </c>
      <c r="CI314" t="s">
        <v>916</v>
      </c>
      <c r="CJ314" t="s">
        <v>918</v>
      </c>
      <c r="CK314" t="s">
        <v>1154</v>
      </c>
      <c r="CL314" t="s">
        <v>981</v>
      </c>
      <c r="CM314" t="s">
        <v>1180</v>
      </c>
      <c r="CN314" t="s">
        <v>2343</v>
      </c>
      <c r="CO314" t="s">
        <v>239</v>
      </c>
      <c r="CP314" t="s">
        <v>241</v>
      </c>
      <c r="CQ314" t="s">
        <v>805</v>
      </c>
      <c r="CR314" t="s">
        <v>806</v>
      </c>
    </row>
    <row r="315" spans="1:100">
      <c r="A315" s="40">
        <v>296</v>
      </c>
      <c r="B315" s="40" t="s">
        <v>1544</v>
      </c>
      <c r="C315" s="2" t="s">
        <v>1545</v>
      </c>
      <c r="D315" s="2" t="s">
        <v>18</v>
      </c>
      <c r="E315" s="2"/>
      <c r="F315" s="2">
        <v>72</v>
      </c>
      <c r="G315" s="2">
        <v>60</v>
      </c>
      <c r="H315" s="2">
        <v>30</v>
      </c>
      <c r="I315" s="2">
        <v>20</v>
      </c>
      <c r="J315" s="2">
        <v>30</v>
      </c>
      <c r="K315" s="2">
        <v>25</v>
      </c>
      <c r="L315" s="2">
        <v>237</v>
      </c>
      <c r="M315" s="2" t="s">
        <v>1137</v>
      </c>
      <c r="N315" s="2" t="s">
        <v>1061</v>
      </c>
      <c r="O315" t="s">
        <v>219</v>
      </c>
      <c r="P315" t="s">
        <v>302</v>
      </c>
      <c r="Q315" t="s">
        <v>309</v>
      </c>
      <c r="R315" t="s">
        <v>1546</v>
      </c>
      <c r="S315" t="s">
        <v>1185</v>
      </c>
      <c r="T315" t="s">
        <v>176</v>
      </c>
      <c r="U315" t="s">
        <v>291</v>
      </c>
      <c r="V315" t="s">
        <v>928</v>
      </c>
      <c r="W315" t="s">
        <v>944</v>
      </c>
      <c r="X315" t="s">
        <v>1099</v>
      </c>
      <c r="Y315" t="s">
        <v>1525</v>
      </c>
      <c r="Z315" t="s">
        <v>436</v>
      </c>
      <c r="AA315" t="s">
        <v>1016</v>
      </c>
      <c r="AB315" t="s">
        <v>754</v>
      </c>
      <c r="AC315" t="s">
        <v>1174</v>
      </c>
      <c r="AD315" t="s">
        <v>775</v>
      </c>
      <c r="AE315" t="s">
        <v>184</v>
      </c>
      <c r="AF315" t="s">
        <v>1062</v>
      </c>
      <c r="AG315" t="s">
        <v>144</v>
      </c>
      <c r="AH315" t="s">
        <v>227</v>
      </c>
      <c r="AI315" t="s">
        <v>1063</v>
      </c>
      <c r="AJ315" t="s">
        <v>148</v>
      </c>
      <c r="AK315" t="s">
        <v>1175</v>
      </c>
      <c r="AL315" t="s">
        <v>172</v>
      </c>
      <c r="AM315" t="s">
        <v>752</v>
      </c>
      <c r="AN315" t="s">
        <v>1078</v>
      </c>
      <c r="AO315" t="s">
        <v>766</v>
      </c>
      <c r="AP315" t="s">
        <v>1079</v>
      </c>
      <c r="AQ315" t="s">
        <v>1109</v>
      </c>
      <c r="AR315" t="s">
        <v>136</v>
      </c>
      <c r="AS315" t="s">
        <v>1080</v>
      </c>
      <c r="AT315" t="s">
        <v>256</v>
      </c>
      <c r="AU315" t="s">
        <v>1094</v>
      </c>
      <c r="AV315" t="s">
        <v>230</v>
      </c>
      <c r="AW315" t="s">
        <v>1095</v>
      </c>
      <c r="AX315" t="s">
        <v>917</v>
      </c>
      <c r="AY315" t="s">
        <v>231</v>
      </c>
      <c r="AZ315" t="s">
        <v>1082</v>
      </c>
      <c r="BA315" t="s">
        <v>1172</v>
      </c>
      <c r="BB315" t="s">
        <v>1037</v>
      </c>
      <c r="BC315" t="s">
        <v>1102</v>
      </c>
      <c r="BD315" t="s">
        <v>974</v>
      </c>
      <c r="BE315" t="s">
        <v>1036</v>
      </c>
      <c r="BF315" t="s">
        <v>1021</v>
      </c>
      <c r="BG315" t="s">
        <v>143</v>
      </c>
      <c r="BH315" t="s">
        <v>997</v>
      </c>
      <c r="BI315" t="s">
        <v>756</v>
      </c>
      <c r="BJ315" t="s">
        <v>757</v>
      </c>
      <c r="BK315" t="s">
        <v>233</v>
      </c>
      <c r="BL315" t="s">
        <v>760</v>
      </c>
      <c r="BM315" t="s">
        <v>2398</v>
      </c>
      <c r="BN315" t="s">
        <v>2339</v>
      </c>
      <c r="BO315" t="s">
        <v>234</v>
      </c>
      <c r="BP315" t="s">
        <v>259</v>
      </c>
      <c r="BQ315" t="s">
        <v>774</v>
      </c>
      <c r="BR315" t="s">
        <v>771</v>
      </c>
      <c r="BS315" t="s">
        <v>1220</v>
      </c>
      <c r="BT315" t="s">
        <v>1179</v>
      </c>
      <c r="BU315" t="s">
        <v>1171</v>
      </c>
      <c r="BV315" t="s">
        <v>920</v>
      </c>
      <c r="BW315" t="s">
        <v>925</v>
      </c>
      <c r="BX315" t="s">
        <v>1128</v>
      </c>
      <c r="BY315" t="s">
        <v>1016</v>
      </c>
      <c r="BZ315" t="s">
        <v>971</v>
      </c>
      <c r="CA315" t="s">
        <v>1186</v>
      </c>
      <c r="CB315" t="s">
        <v>1187</v>
      </c>
      <c r="CC315" t="s">
        <v>1142</v>
      </c>
      <c r="CD315" t="s">
        <v>239</v>
      </c>
      <c r="CE315" t="s">
        <v>241</v>
      </c>
      <c r="CF315" t="s">
        <v>805</v>
      </c>
      <c r="CG315" t="s">
        <v>806</v>
      </c>
    </row>
    <row r="316" spans="1:100">
      <c r="A316" s="40">
        <v>297</v>
      </c>
      <c r="B316" s="40" t="s">
        <v>1547</v>
      </c>
      <c r="C316" s="2" t="s">
        <v>1548</v>
      </c>
      <c r="D316" s="2" t="s">
        <v>18</v>
      </c>
      <c r="E316" s="2"/>
      <c r="F316" s="2">
        <v>144</v>
      </c>
      <c r="G316" s="2">
        <v>120</v>
      </c>
      <c r="H316" s="2">
        <v>60</v>
      </c>
      <c r="I316" s="2">
        <v>40</v>
      </c>
      <c r="J316" s="2">
        <v>60</v>
      </c>
      <c r="K316" s="2">
        <v>50</v>
      </c>
      <c r="L316" s="2">
        <v>474</v>
      </c>
      <c r="M316" s="2" t="s">
        <v>1108</v>
      </c>
      <c r="N316" s="2" t="s">
        <v>1061</v>
      </c>
      <c r="O316" t="s">
        <v>309</v>
      </c>
      <c r="P316" t="s">
        <v>219</v>
      </c>
      <c r="Q316" t="s">
        <v>302</v>
      </c>
      <c r="R316" t="s">
        <v>1546</v>
      </c>
      <c r="S316" t="s">
        <v>961</v>
      </c>
      <c r="T316" t="s">
        <v>309</v>
      </c>
      <c r="U316" t="s">
        <v>1546</v>
      </c>
      <c r="V316" t="s">
        <v>1185</v>
      </c>
      <c r="W316" t="s">
        <v>176</v>
      </c>
      <c r="X316" t="s">
        <v>291</v>
      </c>
      <c r="Y316" t="s">
        <v>928</v>
      </c>
      <c r="Z316" t="s">
        <v>944</v>
      </c>
      <c r="AA316" t="s">
        <v>1099</v>
      </c>
      <c r="AB316" t="s">
        <v>1525</v>
      </c>
      <c r="AC316" t="s">
        <v>436</v>
      </c>
      <c r="AD316" t="s">
        <v>1016</v>
      </c>
      <c r="AE316" t="s">
        <v>754</v>
      </c>
      <c r="AF316" t="s">
        <v>1174</v>
      </c>
      <c r="AG316" t="s">
        <v>775</v>
      </c>
      <c r="AH316" t="s">
        <v>184</v>
      </c>
      <c r="AI316" t="s">
        <v>1062</v>
      </c>
      <c r="AJ316" t="s">
        <v>144</v>
      </c>
      <c r="AK316" t="s">
        <v>227</v>
      </c>
      <c r="AL316" t="s">
        <v>1063</v>
      </c>
      <c r="AM316" t="s">
        <v>148</v>
      </c>
      <c r="AN316" t="s">
        <v>1175</v>
      </c>
      <c r="AO316" t="s">
        <v>172</v>
      </c>
      <c r="AP316" t="s">
        <v>752</v>
      </c>
      <c r="AQ316" t="s">
        <v>247</v>
      </c>
      <c r="AR316" t="s">
        <v>1078</v>
      </c>
      <c r="AS316" t="s">
        <v>766</v>
      </c>
      <c r="AT316" t="s">
        <v>1079</v>
      </c>
      <c r="AU316" t="s">
        <v>1109</v>
      </c>
      <c r="AV316" t="s">
        <v>136</v>
      </c>
      <c r="AW316" t="s">
        <v>1080</v>
      </c>
      <c r="AX316" t="s">
        <v>256</v>
      </c>
      <c r="AY316" t="s">
        <v>1094</v>
      </c>
      <c r="AZ316" t="s">
        <v>230</v>
      </c>
      <c r="BA316" t="s">
        <v>1095</v>
      </c>
      <c r="BB316" t="s">
        <v>917</v>
      </c>
      <c r="BC316" t="s">
        <v>231</v>
      </c>
      <c r="BD316" t="s">
        <v>1082</v>
      </c>
      <c r="BE316" t="s">
        <v>1172</v>
      </c>
      <c r="BF316" t="s">
        <v>1037</v>
      </c>
      <c r="BG316" t="s">
        <v>1102</v>
      </c>
      <c r="BH316" t="s">
        <v>974</v>
      </c>
      <c r="BI316" t="s">
        <v>995</v>
      </c>
      <c r="BJ316" t="s">
        <v>1036</v>
      </c>
      <c r="BK316" t="s">
        <v>976</v>
      </c>
      <c r="BL316" t="s">
        <v>183</v>
      </c>
      <c r="BM316" t="s">
        <v>1021</v>
      </c>
      <c r="BN316" t="s">
        <v>143</v>
      </c>
      <c r="BO316" t="s">
        <v>997</v>
      </c>
      <c r="BP316" t="s">
        <v>756</v>
      </c>
      <c r="BQ316" t="s">
        <v>757</v>
      </c>
      <c r="BR316" t="s">
        <v>233</v>
      </c>
      <c r="BS316" t="s">
        <v>760</v>
      </c>
      <c r="BT316" t="s">
        <v>2398</v>
      </c>
      <c r="BU316" t="s">
        <v>2339</v>
      </c>
      <c r="BV316" t="s">
        <v>234</v>
      </c>
      <c r="BW316" t="s">
        <v>259</v>
      </c>
      <c r="BX316" t="s">
        <v>774</v>
      </c>
      <c r="BY316" t="s">
        <v>771</v>
      </c>
      <c r="BZ316" t="s">
        <v>1220</v>
      </c>
      <c r="CA316" t="s">
        <v>1179</v>
      </c>
      <c r="CB316" t="s">
        <v>1171</v>
      </c>
      <c r="CC316" t="s">
        <v>920</v>
      </c>
      <c r="CD316" t="s">
        <v>925</v>
      </c>
      <c r="CE316" t="s">
        <v>1128</v>
      </c>
      <c r="CF316" t="s">
        <v>1016</v>
      </c>
      <c r="CG316" t="s">
        <v>971</v>
      </c>
      <c r="CH316" t="s">
        <v>1186</v>
      </c>
      <c r="CI316" t="s">
        <v>1187</v>
      </c>
      <c r="CJ316" t="s">
        <v>1142</v>
      </c>
      <c r="CK316" t="s">
        <v>239</v>
      </c>
      <c r="CL316" t="s">
        <v>241</v>
      </c>
      <c r="CM316" t="s">
        <v>805</v>
      </c>
      <c r="CN316" t="s">
        <v>806</v>
      </c>
    </row>
    <row r="317" spans="1:100">
      <c r="A317" s="40">
        <v>298</v>
      </c>
      <c r="B317" s="40" t="s">
        <v>1549</v>
      </c>
      <c r="C317" s="2" t="s">
        <v>1550</v>
      </c>
      <c r="D317" s="2" t="s">
        <v>24</v>
      </c>
      <c r="E317" s="2" t="s">
        <v>894</v>
      </c>
      <c r="F317" s="2">
        <v>50</v>
      </c>
      <c r="G317" s="2">
        <v>20</v>
      </c>
      <c r="H317" s="2">
        <v>40</v>
      </c>
      <c r="I317" s="2">
        <v>20</v>
      </c>
      <c r="J317" s="2">
        <v>40</v>
      </c>
      <c r="K317" s="2">
        <v>20</v>
      </c>
      <c r="L317" s="2">
        <v>190</v>
      </c>
      <c r="M317" s="2" t="s">
        <v>1065</v>
      </c>
      <c r="N317" s="2" t="s">
        <v>1061</v>
      </c>
      <c r="O317" t="s">
        <v>267</v>
      </c>
      <c r="P317" t="s">
        <v>382</v>
      </c>
      <c r="Q317" t="s">
        <v>266</v>
      </c>
      <c r="R317" t="s">
        <v>955</v>
      </c>
      <c r="S317" t="s">
        <v>269</v>
      </c>
      <c r="T317" t="s">
        <v>781</v>
      </c>
      <c r="U317" t="s">
        <v>446</v>
      </c>
      <c r="V317" t="s">
        <v>925</v>
      </c>
      <c r="W317" t="s">
        <v>341</v>
      </c>
      <c r="X317" t="s">
        <v>175</v>
      </c>
      <c r="Y317" t="s">
        <v>1062</v>
      </c>
      <c r="Z317" t="s">
        <v>144</v>
      </c>
      <c r="AA317" t="s">
        <v>270</v>
      </c>
      <c r="AB317" t="s">
        <v>1063</v>
      </c>
      <c r="AC317" t="s">
        <v>148</v>
      </c>
      <c r="AD317" t="s">
        <v>1104</v>
      </c>
      <c r="AE317" t="s">
        <v>172</v>
      </c>
      <c r="AF317" t="s">
        <v>141</v>
      </c>
      <c r="AG317" t="s">
        <v>271</v>
      </c>
      <c r="AH317" t="s">
        <v>228</v>
      </c>
      <c r="AI317" t="s">
        <v>1078</v>
      </c>
      <c r="AJ317" t="s">
        <v>766</v>
      </c>
      <c r="AK317" t="s">
        <v>1079</v>
      </c>
      <c r="AL317" t="s">
        <v>1080</v>
      </c>
      <c r="AM317" t="s">
        <v>230</v>
      </c>
      <c r="AN317" t="s">
        <v>917</v>
      </c>
      <c r="AO317" t="s">
        <v>231</v>
      </c>
      <c r="AP317" t="s">
        <v>1082</v>
      </c>
      <c r="AQ317" t="s">
        <v>1037</v>
      </c>
      <c r="AR317" t="s">
        <v>1038</v>
      </c>
      <c r="AS317" t="s">
        <v>756</v>
      </c>
      <c r="AT317" t="s">
        <v>757</v>
      </c>
      <c r="AU317" t="s">
        <v>233</v>
      </c>
      <c r="AV317" t="s">
        <v>2339</v>
      </c>
      <c r="AW317" t="s">
        <v>234</v>
      </c>
      <c r="AX317" t="s">
        <v>341</v>
      </c>
      <c r="AY317" t="s">
        <v>364</v>
      </c>
      <c r="AZ317" t="s">
        <v>377</v>
      </c>
      <c r="BA317" t="s">
        <v>779</v>
      </c>
      <c r="BB317" t="s">
        <v>1106</v>
      </c>
      <c r="BC317" t="s">
        <v>918</v>
      </c>
      <c r="BD317" t="s">
        <v>950</v>
      </c>
      <c r="BE317" t="s">
        <v>1105</v>
      </c>
      <c r="BF317" t="s">
        <v>955</v>
      </c>
      <c r="BG317" t="s">
        <v>964</v>
      </c>
      <c r="BH317" t="s">
        <v>1170</v>
      </c>
      <c r="BI317" t="s">
        <v>239</v>
      </c>
      <c r="BJ317" t="s">
        <v>241</v>
      </c>
      <c r="BK317" t="s">
        <v>805</v>
      </c>
      <c r="BL317" t="s">
        <v>806</v>
      </c>
    </row>
    <row r="318" spans="1:100">
      <c r="A318" s="40">
        <v>299</v>
      </c>
      <c r="B318" s="40" t="s">
        <v>1551</v>
      </c>
      <c r="C318" s="2" t="s">
        <v>1552</v>
      </c>
      <c r="D318" s="2" t="s">
        <v>25</v>
      </c>
      <c r="E318" s="2"/>
      <c r="F318" s="2">
        <v>30</v>
      </c>
      <c r="G318" s="2">
        <v>45</v>
      </c>
      <c r="H318" s="2">
        <v>135</v>
      </c>
      <c r="I318" s="2">
        <v>45</v>
      </c>
      <c r="J318" s="2">
        <v>90</v>
      </c>
      <c r="K318" s="2">
        <v>30</v>
      </c>
      <c r="L318" s="2">
        <v>375</v>
      </c>
      <c r="M318" s="2" t="s">
        <v>1075</v>
      </c>
      <c r="N318" s="2" t="s">
        <v>1061</v>
      </c>
      <c r="O318" t="s">
        <v>219</v>
      </c>
      <c r="P318" t="s">
        <v>284</v>
      </c>
      <c r="Q318" t="s">
        <v>911</v>
      </c>
      <c r="R318" t="s">
        <v>483</v>
      </c>
      <c r="S318" t="s">
        <v>322</v>
      </c>
      <c r="T318" t="s">
        <v>1196</v>
      </c>
      <c r="U318" t="s">
        <v>231</v>
      </c>
      <c r="V318" t="s">
        <v>1203</v>
      </c>
      <c r="W318" t="s">
        <v>143</v>
      </c>
      <c r="X318" t="s">
        <v>1169</v>
      </c>
      <c r="Y318" t="s">
        <v>765</v>
      </c>
      <c r="Z318" t="s">
        <v>1138</v>
      </c>
      <c r="AA318" t="s">
        <v>968</v>
      </c>
      <c r="AB318" t="s">
        <v>183</v>
      </c>
      <c r="AC318" t="s">
        <v>1207</v>
      </c>
      <c r="AD318" t="s">
        <v>1204</v>
      </c>
      <c r="AE318" t="s">
        <v>1062</v>
      </c>
      <c r="AF318" t="s">
        <v>227</v>
      </c>
      <c r="AG318" t="s">
        <v>1063</v>
      </c>
      <c r="AH318" t="s">
        <v>148</v>
      </c>
      <c r="AI318" t="s">
        <v>172</v>
      </c>
      <c r="AJ318" t="s">
        <v>752</v>
      </c>
      <c r="AK318" t="s">
        <v>1126</v>
      </c>
      <c r="AL318" t="s">
        <v>1078</v>
      </c>
      <c r="AM318" t="s">
        <v>1079</v>
      </c>
      <c r="AN318" t="s">
        <v>1109</v>
      </c>
      <c r="AO318" t="s">
        <v>146</v>
      </c>
      <c r="AP318" t="s">
        <v>321</v>
      </c>
      <c r="AQ318" t="s">
        <v>136</v>
      </c>
      <c r="AR318" t="s">
        <v>1080</v>
      </c>
      <c r="AS318" t="s">
        <v>230</v>
      </c>
      <c r="AT318" t="s">
        <v>765</v>
      </c>
      <c r="AU318" t="s">
        <v>1095</v>
      </c>
      <c r="AV318" t="s">
        <v>951</v>
      </c>
      <c r="AW318" t="s">
        <v>917</v>
      </c>
      <c r="AX318" t="s">
        <v>231</v>
      </c>
      <c r="AY318" t="s">
        <v>1082</v>
      </c>
      <c r="AZ318" t="s">
        <v>1037</v>
      </c>
      <c r="BA318" t="s">
        <v>485</v>
      </c>
      <c r="BB318" t="s">
        <v>1003</v>
      </c>
      <c r="BC318" t="s">
        <v>183</v>
      </c>
      <c r="BD318" t="s">
        <v>1045</v>
      </c>
      <c r="BE318" t="s">
        <v>322</v>
      </c>
      <c r="BF318" t="s">
        <v>1021</v>
      </c>
      <c r="BG318" t="s">
        <v>143</v>
      </c>
      <c r="BH318" t="s">
        <v>756</v>
      </c>
      <c r="BI318" t="s">
        <v>757</v>
      </c>
      <c r="BJ318" t="s">
        <v>233</v>
      </c>
      <c r="BK318" t="s">
        <v>760</v>
      </c>
      <c r="BL318" t="s">
        <v>2342</v>
      </c>
      <c r="BM318" t="s">
        <v>2339</v>
      </c>
      <c r="BN318" t="s">
        <v>234</v>
      </c>
      <c r="BO318" t="s">
        <v>225</v>
      </c>
      <c r="BP318" t="s">
        <v>754</v>
      </c>
      <c r="BQ318" t="s">
        <v>768</v>
      </c>
      <c r="BR318" t="s">
        <v>789</v>
      </c>
      <c r="BS318" t="s">
        <v>911</v>
      </c>
      <c r="BT318" t="s">
        <v>1007</v>
      </c>
      <c r="BU318" t="s">
        <v>239</v>
      </c>
      <c r="BV318" t="s">
        <v>241</v>
      </c>
      <c r="BW318" t="s">
        <v>805</v>
      </c>
      <c r="BX318" t="s">
        <v>806</v>
      </c>
    </row>
    <row r="319" spans="1:100">
      <c r="A319" s="40">
        <v>300</v>
      </c>
      <c r="B319" s="40" t="s">
        <v>1553</v>
      </c>
      <c r="C319" s="2" t="s">
        <v>1554</v>
      </c>
      <c r="D319" s="2" t="s">
        <v>24</v>
      </c>
      <c r="E319" s="2"/>
      <c r="F319" s="2">
        <v>50</v>
      </c>
      <c r="G319" s="2">
        <v>45</v>
      </c>
      <c r="H319" s="2">
        <v>45</v>
      </c>
      <c r="I319" s="2">
        <v>35</v>
      </c>
      <c r="J319" s="2">
        <v>35</v>
      </c>
      <c r="K319" s="2">
        <v>50</v>
      </c>
      <c r="L319" s="2">
        <v>260</v>
      </c>
      <c r="M319" s="2" t="s">
        <v>1221</v>
      </c>
      <c r="N319" s="2" t="s">
        <v>1061</v>
      </c>
      <c r="O319" t="s">
        <v>219</v>
      </c>
      <c r="P319" t="s">
        <v>266</v>
      </c>
      <c r="Q319" t="s">
        <v>220</v>
      </c>
      <c r="R319" t="s">
        <v>176</v>
      </c>
      <c r="S319" t="s">
        <v>771</v>
      </c>
      <c r="T319" t="s">
        <v>1082</v>
      </c>
      <c r="U319" t="s">
        <v>377</v>
      </c>
      <c r="V319" t="s">
        <v>348</v>
      </c>
      <c r="W319" t="s">
        <v>964</v>
      </c>
      <c r="X319" t="s">
        <v>1166</v>
      </c>
      <c r="Y319" t="s">
        <v>781</v>
      </c>
      <c r="Z319" t="s">
        <v>774</v>
      </c>
      <c r="AA319" t="s">
        <v>1016</v>
      </c>
      <c r="AB319" t="s">
        <v>913</v>
      </c>
      <c r="AC319" t="s">
        <v>795</v>
      </c>
      <c r="AD319" t="s">
        <v>225</v>
      </c>
      <c r="AE319" t="s">
        <v>962</v>
      </c>
      <c r="AF319" t="s">
        <v>2395</v>
      </c>
      <c r="AG319" t="s">
        <v>1062</v>
      </c>
      <c r="AH319" t="s">
        <v>1063</v>
      </c>
      <c r="AI319" t="s">
        <v>912</v>
      </c>
      <c r="AJ319" t="s">
        <v>148</v>
      </c>
      <c r="AK319" t="s">
        <v>172</v>
      </c>
      <c r="AL319" t="s">
        <v>752</v>
      </c>
      <c r="AM319" t="s">
        <v>141</v>
      </c>
      <c r="AN319" t="s">
        <v>271</v>
      </c>
      <c r="AO319" t="s">
        <v>1078</v>
      </c>
      <c r="AP319" t="s">
        <v>766</v>
      </c>
      <c r="AQ319" t="s">
        <v>759</v>
      </c>
      <c r="AR319" t="s">
        <v>1079</v>
      </c>
      <c r="AS319" t="s">
        <v>229</v>
      </c>
      <c r="AT319" t="s">
        <v>146</v>
      </c>
      <c r="AU319" t="s">
        <v>321</v>
      </c>
      <c r="AV319" t="s">
        <v>1080</v>
      </c>
      <c r="AW319" t="s">
        <v>256</v>
      </c>
      <c r="AX319" t="s">
        <v>174</v>
      </c>
      <c r="AY319" t="s">
        <v>230</v>
      </c>
      <c r="AZ319" t="s">
        <v>917</v>
      </c>
      <c r="BA319" t="s">
        <v>231</v>
      </c>
      <c r="BB319" t="s">
        <v>1082</v>
      </c>
      <c r="BC319" t="s">
        <v>1037</v>
      </c>
      <c r="BD319" t="s">
        <v>1083</v>
      </c>
      <c r="BE319" t="s">
        <v>963</v>
      </c>
      <c r="BF319" t="s">
        <v>995</v>
      </c>
      <c r="BG319" t="s">
        <v>1036</v>
      </c>
      <c r="BH319" t="s">
        <v>232</v>
      </c>
      <c r="BI319" t="s">
        <v>322</v>
      </c>
      <c r="BJ319" t="s">
        <v>785</v>
      </c>
      <c r="BK319" t="s">
        <v>293</v>
      </c>
      <c r="BL319" t="s">
        <v>977</v>
      </c>
      <c r="BM319" t="s">
        <v>756</v>
      </c>
      <c r="BN319" t="s">
        <v>757</v>
      </c>
      <c r="BO319" t="s">
        <v>233</v>
      </c>
      <c r="BP319" t="s">
        <v>1047</v>
      </c>
      <c r="BQ319" t="s">
        <v>2339</v>
      </c>
      <c r="BR319" t="s">
        <v>234</v>
      </c>
      <c r="BS319" t="s">
        <v>788</v>
      </c>
      <c r="BT319" t="s">
        <v>176</v>
      </c>
      <c r="BU319" t="s">
        <v>953</v>
      </c>
      <c r="BV319" t="s">
        <v>925</v>
      </c>
      <c r="BW319" t="s">
        <v>957</v>
      </c>
      <c r="BX319" t="s">
        <v>918</v>
      </c>
      <c r="BY319" t="s">
        <v>950</v>
      </c>
      <c r="BZ319" t="s">
        <v>1149</v>
      </c>
      <c r="CA319" t="s">
        <v>986</v>
      </c>
      <c r="CB319" t="s">
        <v>1008</v>
      </c>
      <c r="CC319" t="s">
        <v>990</v>
      </c>
      <c r="CD319" t="s">
        <v>1019</v>
      </c>
      <c r="CE319" t="s">
        <v>962</v>
      </c>
      <c r="CF319" t="s">
        <v>1477</v>
      </c>
      <c r="CG319" t="s">
        <v>239</v>
      </c>
      <c r="CH319" t="s">
        <v>241</v>
      </c>
      <c r="CI319" t="s">
        <v>805</v>
      </c>
      <c r="CJ319" t="s">
        <v>806</v>
      </c>
    </row>
    <row r="320" spans="1:100">
      <c r="A320" s="40">
        <v>301</v>
      </c>
      <c r="B320" s="40" t="s">
        <v>1555</v>
      </c>
      <c r="C320" s="2" t="s">
        <v>1556</v>
      </c>
      <c r="D320" s="2" t="s">
        <v>24</v>
      </c>
      <c r="E320" s="2"/>
      <c r="F320" s="2">
        <v>70</v>
      </c>
      <c r="G320" s="2">
        <v>65</v>
      </c>
      <c r="H320" s="2">
        <v>65</v>
      </c>
      <c r="I320" s="2">
        <v>55</v>
      </c>
      <c r="J320" s="2">
        <v>55</v>
      </c>
      <c r="K320" s="2">
        <v>70</v>
      </c>
      <c r="L320" s="2">
        <v>380</v>
      </c>
      <c r="M320" s="2" t="s">
        <v>1108</v>
      </c>
      <c r="N320" s="2" t="s">
        <v>1061</v>
      </c>
      <c r="O320" t="s">
        <v>348</v>
      </c>
      <c r="P320" t="s">
        <v>377</v>
      </c>
      <c r="Q320" t="s">
        <v>1082</v>
      </c>
      <c r="R320" t="s">
        <v>176</v>
      </c>
      <c r="S320" t="s">
        <v>1062</v>
      </c>
      <c r="T320" t="s">
        <v>227</v>
      </c>
      <c r="U320" t="s">
        <v>1063</v>
      </c>
      <c r="V320" t="s">
        <v>912</v>
      </c>
      <c r="W320" t="s">
        <v>148</v>
      </c>
      <c r="X320" t="s">
        <v>172</v>
      </c>
      <c r="Y320" t="s">
        <v>752</v>
      </c>
      <c r="Z320" t="s">
        <v>141</v>
      </c>
      <c r="AA320" t="s">
        <v>271</v>
      </c>
      <c r="AB320" t="s">
        <v>247</v>
      </c>
      <c r="AC320" t="s">
        <v>1078</v>
      </c>
      <c r="AD320" t="s">
        <v>766</v>
      </c>
      <c r="AE320" t="s">
        <v>759</v>
      </c>
      <c r="AF320" t="s">
        <v>1079</v>
      </c>
      <c r="AG320" t="s">
        <v>229</v>
      </c>
      <c r="AH320" t="s">
        <v>146</v>
      </c>
      <c r="AI320" t="s">
        <v>321</v>
      </c>
      <c r="AJ320" t="s">
        <v>1080</v>
      </c>
      <c r="AK320" t="s">
        <v>256</v>
      </c>
      <c r="AL320" t="s">
        <v>174</v>
      </c>
      <c r="AM320" t="s">
        <v>230</v>
      </c>
      <c r="AN320" t="s">
        <v>917</v>
      </c>
      <c r="AO320" t="s">
        <v>231</v>
      </c>
      <c r="AP320" t="s">
        <v>1082</v>
      </c>
      <c r="AQ320" t="s">
        <v>1037</v>
      </c>
      <c r="AR320" t="s">
        <v>1083</v>
      </c>
      <c r="AS320" t="s">
        <v>963</v>
      </c>
      <c r="AT320" t="s">
        <v>995</v>
      </c>
      <c r="AU320" t="s">
        <v>1036</v>
      </c>
      <c r="AV320" t="s">
        <v>976</v>
      </c>
      <c r="AW320" t="s">
        <v>232</v>
      </c>
      <c r="AX320" t="s">
        <v>322</v>
      </c>
      <c r="AY320" t="s">
        <v>785</v>
      </c>
      <c r="AZ320" t="s">
        <v>293</v>
      </c>
      <c r="BA320" t="s">
        <v>977</v>
      </c>
      <c r="BB320" t="s">
        <v>756</v>
      </c>
      <c r="BC320" t="s">
        <v>757</v>
      </c>
      <c r="BD320" t="s">
        <v>233</v>
      </c>
      <c r="BE320" t="s">
        <v>1047</v>
      </c>
      <c r="BF320" t="s">
        <v>760</v>
      </c>
      <c r="BG320" t="s">
        <v>2339</v>
      </c>
      <c r="BH320" t="s">
        <v>234</v>
      </c>
      <c r="BI320" t="s">
        <v>788</v>
      </c>
      <c r="BJ320" t="s">
        <v>176</v>
      </c>
      <c r="BK320" t="s">
        <v>953</v>
      </c>
      <c r="BL320" t="s">
        <v>925</v>
      </c>
      <c r="BM320" t="s">
        <v>957</v>
      </c>
      <c r="BN320" t="s">
        <v>918</v>
      </c>
      <c r="BO320" t="s">
        <v>950</v>
      </c>
      <c r="BP320" t="s">
        <v>1149</v>
      </c>
      <c r="BQ320" t="s">
        <v>986</v>
      </c>
      <c r="BR320" t="s">
        <v>1008</v>
      </c>
      <c r="BS320" t="s">
        <v>990</v>
      </c>
      <c r="BT320" t="s">
        <v>1019</v>
      </c>
      <c r="BU320" t="s">
        <v>962</v>
      </c>
      <c r="BV320" t="s">
        <v>1477</v>
      </c>
      <c r="BW320" t="s">
        <v>239</v>
      </c>
      <c r="BX320" t="s">
        <v>241</v>
      </c>
      <c r="BY320" t="s">
        <v>219</v>
      </c>
      <c r="BZ320" t="s">
        <v>266</v>
      </c>
      <c r="CA320" t="s">
        <v>220</v>
      </c>
      <c r="CB320" t="s">
        <v>771</v>
      </c>
      <c r="CC320" t="s">
        <v>964</v>
      </c>
      <c r="CD320" t="s">
        <v>1166</v>
      </c>
      <c r="CE320" t="s">
        <v>781</v>
      </c>
      <c r="CF320" t="s">
        <v>774</v>
      </c>
      <c r="CG320" t="s">
        <v>1016</v>
      </c>
      <c r="CH320" t="s">
        <v>913</v>
      </c>
      <c r="CI320" t="s">
        <v>795</v>
      </c>
      <c r="CJ320" t="s">
        <v>225</v>
      </c>
      <c r="CK320" t="s">
        <v>962</v>
      </c>
      <c r="CL320" t="s">
        <v>2395</v>
      </c>
      <c r="CM320" t="s">
        <v>805</v>
      </c>
      <c r="CN320" t="s">
        <v>806</v>
      </c>
    </row>
    <row r="321" spans="1:104">
      <c r="A321" s="40">
        <v>302</v>
      </c>
      <c r="B321" s="40" t="s">
        <v>1557</v>
      </c>
      <c r="C321" s="2" t="s">
        <v>1558</v>
      </c>
      <c r="D321" s="2" t="s">
        <v>15</v>
      </c>
      <c r="E321" s="2" t="s">
        <v>10</v>
      </c>
      <c r="F321" s="2">
        <v>50</v>
      </c>
      <c r="G321" s="2">
        <v>75</v>
      </c>
      <c r="H321" s="2">
        <v>75</v>
      </c>
      <c r="I321" s="2">
        <v>65</v>
      </c>
      <c r="J321" s="2">
        <v>65</v>
      </c>
      <c r="K321" s="2">
        <v>50</v>
      </c>
      <c r="L321" s="2">
        <v>380</v>
      </c>
      <c r="M321" s="2" t="s">
        <v>1255</v>
      </c>
      <c r="N321" s="2" t="s">
        <v>1061</v>
      </c>
      <c r="O321" t="s">
        <v>249</v>
      </c>
      <c r="P321" t="s">
        <v>330</v>
      </c>
      <c r="Q321" t="s">
        <v>771</v>
      </c>
      <c r="R321" t="s">
        <v>528</v>
      </c>
      <c r="S321" t="s">
        <v>1130</v>
      </c>
      <c r="T321" t="s">
        <v>323</v>
      </c>
      <c r="U321" t="s">
        <v>176</v>
      </c>
      <c r="V321" t="s">
        <v>1220</v>
      </c>
      <c r="W321" t="s">
        <v>1006</v>
      </c>
      <c r="X321" t="s">
        <v>928</v>
      </c>
      <c r="Y321" t="s">
        <v>774</v>
      </c>
      <c r="Z321" t="s">
        <v>1001</v>
      </c>
      <c r="AA321" t="s">
        <v>1005</v>
      </c>
      <c r="AB321" t="s">
        <v>1169</v>
      </c>
      <c r="AC321" t="s">
        <v>387</v>
      </c>
      <c r="AD321" t="s">
        <v>1167</v>
      </c>
      <c r="AE321" t="s">
        <v>1019</v>
      </c>
      <c r="AF321" t="s">
        <v>174</v>
      </c>
      <c r="AG321" t="s">
        <v>787</v>
      </c>
      <c r="AH321" t="s">
        <v>1062</v>
      </c>
      <c r="AI321" t="s">
        <v>226</v>
      </c>
      <c r="AJ321" t="s">
        <v>1063</v>
      </c>
      <c r="AK321" t="s">
        <v>1030</v>
      </c>
      <c r="AL321" t="s">
        <v>912</v>
      </c>
      <c r="AM321" t="s">
        <v>148</v>
      </c>
      <c r="AN321" t="s">
        <v>172</v>
      </c>
      <c r="AO321" t="s">
        <v>752</v>
      </c>
      <c r="AP321" t="s">
        <v>1126</v>
      </c>
      <c r="AQ321" t="s">
        <v>1078</v>
      </c>
      <c r="AR321" t="s">
        <v>766</v>
      </c>
      <c r="AS321" t="s">
        <v>1079</v>
      </c>
      <c r="AT321" t="s">
        <v>1080</v>
      </c>
      <c r="AU321" t="s">
        <v>256</v>
      </c>
      <c r="AV321" t="s">
        <v>9</v>
      </c>
      <c r="AW321" t="s">
        <v>174</v>
      </c>
      <c r="AX321" t="s">
        <v>1094</v>
      </c>
      <c r="AY321" t="s">
        <v>230</v>
      </c>
      <c r="AZ321" t="s">
        <v>1095</v>
      </c>
      <c r="BA321" t="s">
        <v>1096</v>
      </c>
      <c r="BB321" t="s">
        <v>951</v>
      </c>
      <c r="BC321" t="s">
        <v>917</v>
      </c>
      <c r="BD321" t="s">
        <v>231</v>
      </c>
      <c r="BE321" t="s">
        <v>1082</v>
      </c>
      <c r="BF321" t="s">
        <v>1117</v>
      </c>
      <c r="BG321" t="s">
        <v>1172</v>
      </c>
      <c r="BH321" t="s">
        <v>1037</v>
      </c>
      <c r="BI321" t="s">
        <v>974</v>
      </c>
      <c r="BJ321" t="s">
        <v>1031</v>
      </c>
      <c r="BK321" t="s">
        <v>956</v>
      </c>
      <c r="BL321" t="s">
        <v>969</v>
      </c>
      <c r="BM321" t="s">
        <v>1005</v>
      </c>
      <c r="BN321" t="s">
        <v>995</v>
      </c>
      <c r="BO321" t="s">
        <v>1036</v>
      </c>
      <c r="BP321" t="s">
        <v>232</v>
      </c>
      <c r="BQ321" t="s">
        <v>785</v>
      </c>
      <c r="BR321" t="s">
        <v>997</v>
      </c>
      <c r="BS321" t="s">
        <v>293</v>
      </c>
      <c r="BT321" t="s">
        <v>756</v>
      </c>
      <c r="BU321" t="s">
        <v>757</v>
      </c>
      <c r="BV321" t="s">
        <v>233</v>
      </c>
      <c r="BW321" t="s">
        <v>760</v>
      </c>
      <c r="BX321" t="s">
        <v>1040</v>
      </c>
      <c r="BY321" t="s">
        <v>1157</v>
      </c>
      <c r="BZ321" t="s">
        <v>2398</v>
      </c>
      <c r="CA321" t="s">
        <v>2342</v>
      </c>
      <c r="CB321" t="s">
        <v>2339</v>
      </c>
      <c r="CC321" t="s">
        <v>234</v>
      </c>
      <c r="CD321" t="s">
        <v>459</v>
      </c>
      <c r="CE321" t="s">
        <v>787</v>
      </c>
      <c r="CF321" t="s">
        <v>784</v>
      </c>
      <c r="CG321" t="s">
        <v>919</v>
      </c>
      <c r="CH321" t="s">
        <v>952</v>
      </c>
      <c r="CI321" t="s">
        <v>971</v>
      </c>
      <c r="CJ321" t="s">
        <v>1559</v>
      </c>
      <c r="CK321" t="s">
        <v>1008</v>
      </c>
      <c r="CL321" t="s">
        <v>991</v>
      </c>
      <c r="CM321" t="s">
        <v>962</v>
      </c>
      <c r="CN321" t="s">
        <v>239</v>
      </c>
      <c r="CO321" t="s">
        <v>241</v>
      </c>
      <c r="CP321" t="s">
        <v>805</v>
      </c>
      <c r="CQ321" t="s">
        <v>806</v>
      </c>
    </row>
    <row r="322" spans="1:104">
      <c r="A322" s="40">
        <v>303</v>
      </c>
      <c r="B322" s="40" t="s">
        <v>1560</v>
      </c>
      <c r="C322" s="2" t="s">
        <v>1561</v>
      </c>
      <c r="D322" s="2" t="s">
        <v>26</v>
      </c>
      <c r="E322" s="2" t="s">
        <v>894</v>
      </c>
      <c r="F322" s="2">
        <v>50</v>
      </c>
      <c r="G322" s="2">
        <v>85</v>
      </c>
      <c r="H322" s="2">
        <v>85</v>
      </c>
      <c r="I322" s="2">
        <v>55</v>
      </c>
      <c r="J322" s="2">
        <v>55</v>
      </c>
      <c r="K322" s="2">
        <v>50</v>
      </c>
      <c r="L322" s="2">
        <v>380</v>
      </c>
      <c r="M322" s="2" t="s">
        <v>1201</v>
      </c>
      <c r="N322" s="2" t="s">
        <v>1061</v>
      </c>
      <c r="O322" t="s">
        <v>1130</v>
      </c>
      <c r="P322" t="s">
        <v>2354</v>
      </c>
      <c r="Q322" t="s">
        <v>918</v>
      </c>
      <c r="R322" t="s">
        <v>258</v>
      </c>
      <c r="S322" t="s">
        <v>1076</v>
      </c>
      <c r="T322" t="s">
        <v>542</v>
      </c>
      <c r="U322" t="s">
        <v>774</v>
      </c>
      <c r="V322" t="s">
        <v>788</v>
      </c>
      <c r="W322" t="s">
        <v>777</v>
      </c>
      <c r="X322" t="s">
        <v>177</v>
      </c>
      <c r="Y322" t="s">
        <v>1008</v>
      </c>
      <c r="Z322" t="s">
        <v>946</v>
      </c>
      <c r="AA322" t="s">
        <v>1133</v>
      </c>
      <c r="AB322" t="s">
        <v>948</v>
      </c>
      <c r="AC322" t="s">
        <v>985</v>
      </c>
      <c r="AD322" t="s">
        <v>2395</v>
      </c>
      <c r="AE322" t="s">
        <v>1062</v>
      </c>
      <c r="AF322" t="s">
        <v>227</v>
      </c>
      <c r="AG322" t="s">
        <v>1063</v>
      </c>
      <c r="AH322" t="s">
        <v>148</v>
      </c>
      <c r="AI322" t="s">
        <v>172</v>
      </c>
      <c r="AJ322" t="s">
        <v>752</v>
      </c>
      <c r="AK322" t="s">
        <v>1126</v>
      </c>
      <c r="AL322" t="s">
        <v>141</v>
      </c>
      <c r="AM322" t="s">
        <v>247</v>
      </c>
      <c r="AN322" t="s">
        <v>1078</v>
      </c>
      <c r="AO322" t="s">
        <v>766</v>
      </c>
      <c r="AP322" t="s">
        <v>1079</v>
      </c>
      <c r="AQ322" t="s">
        <v>229</v>
      </c>
      <c r="AR322" t="s">
        <v>1080</v>
      </c>
      <c r="AS322" t="s">
        <v>174</v>
      </c>
      <c r="AT322" t="s">
        <v>1094</v>
      </c>
      <c r="AU322" t="s">
        <v>230</v>
      </c>
      <c r="AV322" t="s">
        <v>254</v>
      </c>
      <c r="AW322" t="s">
        <v>1081</v>
      </c>
      <c r="AX322" t="s">
        <v>765</v>
      </c>
      <c r="AY322" t="s">
        <v>257</v>
      </c>
      <c r="AZ322" t="s">
        <v>1095</v>
      </c>
      <c r="BA322" t="s">
        <v>951</v>
      </c>
      <c r="BB322" t="s">
        <v>917</v>
      </c>
      <c r="BC322" t="s">
        <v>231</v>
      </c>
      <c r="BD322" t="s">
        <v>1082</v>
      </c>
      <c r="BE322" t="s">
        <v>1037</v>
      </c>
      <c r="BF322" t="s">
        <v>1102</v>
      </c>
      <c r="BG322" t="s">
        <v>776</v>
      </c>
      <c r="BH322" t="s">
        <v>974</v>
      </c>
      <c r="BI322" t="s">
        <v>963</v>
      </c>
      <c r="BJ322" t="s">
        <v>1031</v>
      </c>
      <c r="BK322" t="s">
        <v>969</v>
      </c>
      <c r="BL322" t="s">
        <v>995</v>
      </c>
      <c r="BM322" t="s">
        <v>976</v>
      </c>
      <c r="BN322" t="s">
        <v>183</v>
      </c>
      <c r="BO322" t="s">
        <v>145</v>
      </c>
      <c r="BP322" t="s">
        <v>785</v>
      </c>
      <c r="BQ322" t="s">
        <v>143</v>
      </c>
      <c r="BR322" t="s">
        <v>977</v>
      </c>
      <c r="BS322" t="s">
        <v>756</v>
      </c>
      <c r="BT322" t="s">
        <v>757</v>
      </c>
      <c r="BU322" t="s">
        <v>233</v>
      </c>
      <c r="BV322" t="s">
        <v>973</v>
      </c>
      <c r="BW322" t="s">
        <v>760</v>
      </c>
      <c r="BX322" t="s">
        <v>1157</v>
      </c>
      <c r="BY322" t="s">
        <v>2398</v>
      </c>
      <c r="BZ322" t="s">
        <v>2339</v>
      </c>
      <c r="CA322" t="s">
        <v>234</v>
      </c>
      <c r="CB322" t="s">
        <v>341</v>
      </c>
      <c r="CC322" t="s">
        <v>436</v>
      </c>
      <c r="CD322" t="s">
        <v>170</v>
      </c>
      <c r="CE322" t="s">
        <v>935</v>
      </c>
      <c r="CF322" t="s">
        <v>950</v>
      </c>
      <c r="CG322" t="s">
        <v>1559</v>
      </c>
      <c r="CH322" t="s">
        <v>1183</v>
      </c>
      <c r="CI322" t="s">
        <v>1001</v>
      </c>
      <c r="CJ322" t="s">
        <v>1008</v>
      </c>
      <c r="CK322" t="s">
        <v>1010</v>
      </c>
      <c r="CL322" t="s">
        <v>983</v>
      </c>
      <c r="CM322" t="s">
        <v>182</v>
      </c>
      <c r="CN322" t="s">
        <v>962</v>
      </c>
      <c r="CO322" t="s">
        <v>2379</v>
      </c>
      <c r="CP322" t="s">
        <v>239</v>
      </c>
      <c r="CQ322" t="s">
        <v>241</v>
      </c>
      <c r="CR322" t="s">
        <v>805</v>
      </c>
      <c r="CS322" t="s">
        <v>806</v>
      </c>
    </row>
    <row r="323" spans="1:104">
      <c r="A323" s="40">
        <v>303.10000000000002</v>
      </c>
      <c r="B323" s="40" t="s">
        <v>2313</v>
      </c>
      <c r="C323" s="2" t="s">
        <v>2314</v>
      </c>
      <c r="D323" s="2" t="s">
        <v>26</v>
      </c>
      <c r="E323" s="2" t="s">
        <v>894</v>
      </c>
      <c r="F323" s="2">
        <v>50</v>
      </c>
      <c r="G323" s="2">
        <v>105</v>
      </c>
      <c r="H323" s="2">
        <v>125</v>
      </c>
      <c r="I323" s="2">
        <v>55</v>
      </c>
      <c r="J323" s="2">
        <v>95</v>
      </c>
      <c r="K323" s="2">
        <v>90</v>
      </c>
      <c r="L323" s="2">
        <v>520</v>
      </c>
      <c r="M323" s="2" t="s">
        <v>2422</v>
      </c>
      <c r="N323" s="2" t="s">
        <v>1061</v>
      </c>
      <c r="O323" t="s">
        <v>1062</v>
      </c>
      <c r="P323" t="s">
        <v>1063</v>
      </c>
      <c r="Q323" t="s">
        <v>757</v>
      </c>
      <c r="R323" t="s">
        <v>1157</v>
      </c>
      <c r="S323" t="s">
        <v>2398</v>
      </c>
      <c r="T323" t="s">
        <v>2339</v>
      </c>
      <c r="U323" t="s">
        <v>234</v>
      </c>
      <c r="V323" t="s">
        <v>341</v>
      </c>
      <c r="W323" t="s">
        <v>436</v>
      </c>
      <c r="X323" t="s">
        <v>170</v>
      </c>
      <c r="Y323" t="s">
        <v>935</v>
      </c>
      <c r="Z323" t="s">
        <v>950</v>
      </c>
      <c r="AA323" t="s">
        <v>1559</v>
      </c>
      <c r="AB323" t="s">
        <v>1183</v>
      </c>
      <c r="AC323" t="s">
        <v>1001</v>
      </c>
      <c r="AD323" t="s">
        <v>1008</v>
      </c>
      <c r="AE323" t="s">
        <v>1010</v>
      </c>
      <c r="AF323" t="s">
        <v>983</v>
      </c>
      <c r="AG323" t="s">
        <v>182</v>
      </c>
      <c r="AH323" t="s">
        <v>962</v>
      </c>
      <c r="AI323" t="s">
        <v>2379</v>
      </c>
      <c r="AJ323" t="s">
        <v>239</v>
      </c>
      <c r="AK323" t="s">
        <v>241</v>
      </c>
      <c r="AL323" t="s">
        <v>805</v>
      </c>
      <c r="AM323" t="s">
        <v>806</v>
      </c>
    </row>
    <row r="324" spans="1:104">
      <c r="A324" s="40">
        <v>304</v>
      </c>
      <c r="B324" s="40" t="s">
        <v>1562</v>
      </c>
      <c r="C324" s="2" t="s">
        <v>1563</v>
      </c>
      <c r="D324" s="2" t="s">
        <v>26</v>
      </c>
      <c r="E324" s="2" t="s">
        <v>25</v>
      </c>
      <c r="F324" s="2">
        <v>50</v>
      </c>
      <c r="G324" s="2">
        <v>70</v>
      </c>
      <c r="H324" s="2">
        <v>100</v>
      </c>
      <c r="I324" s="2">
        <v>40</v>
      </c>
      <c r="J324" s="2">
        <v>40</v>
      </c>
      <c r="K324" s="2">
        <v>30</v>
      </c>
      <c r="L324" s="2">
        <v>330</v>
      </c>
      <c r="M324" s="2" t="s">
        <v>1145</v>
      </c>
      <c r="N324" s="2" t="s">
        <v>1061</v>
      </c>
      <c r="O324" t="s">
        <v>219</v>
      </c>
      <c r="P324" t="s">
        <v>284</v>
      </c>
      <c r="Q324" t="s">
        <v>755</v>
      </c>
      <c r="R324" t="s">
        <v>420</v>
      </c>
      <c r="S324" t="s">
        <v>783</v>
      </c>
      <c r="T324" t="s">
        <v>177</v>
      </c>
      <c r="U324" t="s">
        <v>246</v>
      </c>
      <c r="V324" t="s">
        <v>223</v>
      </c>
      <c r="W324" t="s">
        <v>985</v>
      </c>
      <c r="X324" t="s">
        <v>1078</v>
      </c>
      <c r="Y324" t="s">
        <v>1202</v>
      </c>
      <c r="Z324" t="s">
        <v>761</v>
      </c>
      <c r="AA324" t="s">
        <v>1197</v>
      </c>
      <c r="AB324" t="s">
        <v>184</v>
      </c>
      <c r="AC324" t="s">
        <v>225</v>
      </c>
      <c r="AD324" t="s">
        <v>1559</v>
      </c>
      <c r="AE324" t="s">
        <v>1062</v>
      </c>
      <c r="AF324" t="s">
        <v>226</v>
      </c>
      <c r="AG324" t="s">
        <v>227</v>
      </c>
      <c r="AH324" t="s">
        <v>1063</v>
      </c>
      <c r="AI324" t="s">
        <v>1030</v>
      </c>
      <c r="AJ324" t="s">
        <v>246</v>
      </c>
      <c r="AK324" t="s">
        <v>148</v>
      </c>
      <c r="AL324" t="s">
        <v>172</v>
      </c>
      <c r="AM324" t="s">
        <v>752</v>
      </c>
      <c r="AN324" t="s">
        <v>1078</v>
      </c>
      <c r="AO324" t="s">
        <v>766</v>
      </c>
      <c r="AP324" t="s">
        <v>1079</v>
      </c>
      <c r="AQ324" t="s">
        <v>136</v>
      </c>
      <c r="AR324" t="s">
        <v>1080</v>
      </c>
      <c r="AS324" t="s">
        <v>256</v>
      </c>
      <c r="AT324" t="s">
        <v>230</v>
      </c>
      <c r="AU324" t="s">
        <v>765</v>
      </c>
      <c r="AV324" t="s">
        <v>1095</v>
      </c>
      <c r="AW324" t="s">
        <v>1096</v>
      </c>
      <c r="AX324" t="s">
        <v>917</v>
      </c>
      <c r="AY324" t="s">
        <v>231</v>
      </c>
      <c r="AZ324" t="s">
        <v>1082</v>
      </c>
      <c r="BA324" t="s">
        <v>1037</v>
      </c>
      <c r="BB324" t="s">
        <v>1005</v>
      </c>
      <c r="BC324" t="s">
        <v>1003</v>
      </c>
      <c r="BD324" t="s">
        <v>1021</v>
      </c>
      <c r="BE324" t="s">
        <v>143</v>
      </c>
      <c r="BF324" t="s">
        <v>756</v>
      </c>
      <c r="BG324" t="s">
        <v>757</v>
      </c>
      <c r="BH324" t="s">
        <v>233</v>
      </c>
      <c r="BI324" t="s">
        <v>760</v>
      </c>
      <c r="BJ324" t="s">
        <v>2339</v>
      </c>
      <c r="BK324" t="s">
        <v>234</v>
      </c>
      <c r="BL324" t="s">
        <v>493</v>
      </c>
      <c r="BM324" t="s">
        <v>364</v>
      </c>
      <c r="BN324" t="s">
        <v>324</v>
      </c>
      <c r="BO324" t="s">
        <v>751</v>
      </c>
      <c r="BP324" t="s">
        <v>944</v>
      </c>
      <c r="BQ324" t="s">
        <v>947</v>
      </c>
      <c r="BR324" t="s">
        <v>916</v>
      </c>
      <c r="BS324" t="s">
        <v>180</v>
      </c>
      <c r="BT324" t="s">
        <v>985</v>
      </c>
      <c r="BU324" t="s">
        <v>1007</v>
      </c>
      <c r="BV324" t="s">
        <v>800</v>
      </c>
      <c r="BW324" t="s">
        <v>239</v>
      </c>
      <c r="BX324" t="s">
        <v>241</v>
      </c>
      <c r="BY324" t="s">
        <v>805</v>
      </c>
      <c r="BZ324" t="s">
        <v>806</v>
      </c>
    </row>
    <row r="325" spans="1:104">
      <c r="A325" s="40">
        <v>305</v>
      </c>
      <c r="B325" s="40" t="s">
        <v>1564</v>
      </c>
      <c r="C325" s="2" t="s">
        <v>1565</v>
      </c>
      <c r="D325" s="2" t="s">
        <v>26</v>
      </c>
      <c r="E325" s="2" t="s">
        <v>25</v>
      </c>
      <c r="F325" s="2">
        <v>60</v>
      </c>
      <c r="G325" s="2">
        <v>90</v>
      </c>
      <c r="H325" s="2">
        <v>140</v>
      </c>
      <c r="I325" s="2">
        <v>50</v>
      </c>
      <c r="J325" s="2">
        <v>50</v>
      </c>
      <c r="K325" s="2">
        <v>40</v>
      </c>
      <c r="L325" s="2">
        <v>430</v>
      </c>
      <c r="M325" s="2" t="s">
        <v>1074</v>
      </c>
      <c r="N325" s="2" t="s">
        <v>1061</v>
      </c>
      <c r="O325" t="s">
        <v>420</v>
      </c>
      <c r="P325" t="s">
        <v>219</v>
      </c>
      <c r="Q325" t="s">
        <v>284</v>
      </c>
      <c r="R325" t="s">
        <v>755</v>
      </c>
      <c r="S325" t="s">
        <v>755</v>
      </c>
      <c r="T325" t="s">
        <v>420</v>
      </c>
      <c r="U325" t="s">
        <v>783</v>
      </c>
      <c r="V325" t="s">
        <v>177</v>
      </c>
      <c r="W325" t="s">
        <v>246</v>
      </c>
      <c r="X325" t="s">
        <v>223</v>
      </c>
      <c r="Y325" t="s">
        <v>985</v>
      </c>
      <c r="Z325" t="s">
        <v>1078</v>
      </c>
      <c r="AA325" t="s">
        <v>1202</v>
      </c>
      <c r="AB325" t="s">
        <v>761</v>
      </c>
      <c r="AC325" t="s">
        <v>1197</v>
      </c>
      <c r="AD325" t="s">
        <v>184</v>
      </c>
      <c r="AE325" t="s">
        <v>225</v>
      </c>
      <c r="AF325" t="s">
        <v>1559</v>
      </c>
      <c r="AG325" t="s">
        <v>1062</v>
      </c>
      <c r="AH325" t="s">
        <v>226</v>
      </c>
      <c r="AI325" t="s">
        <v>227</v>
      </c>
      <c r="AJ325" t="s">
        <v>1063</v>
      </c>
      <c r="AK325" t="s">
        <v>1030</v>
      </c>
      <c r="AL325" t="s">
        <v>246</v>
      </c>
      <c r="AM325" t="s">
        <v>148</v>
      </c>
      <c r="AN325" t="s">
        <v>172</v>
      </c>
      <c r="AO325" t="s">
        <v>752</v>
      </c>
      <c r="AP325" t="s">
        <v>1078</v>
      </c>
      <c r="AQ325" t="s">
        <v>766</v>
      </c>
      <c r="AR325" t="s">
        <v>1079</v>
      </c>
      <c r="AS325" t="s">
        <v>136</v>
      </c>
      <c r="AT325" t="s">
        <v>1080</v>
      </c>
      <c r="AU325" t="s">
        <v>256</v>
      </c>
      <c r="AV325" t="s">
        <v>230</v>
      </c>
      <c r="AW325" t="s">
        <v>765</v>
      </c>
      <c r="AX325" t="s">
        <v>1095</v>
      </c>
      <c r="AY325" t="s">
        <v>1096</v>
      </c>
      <c r="AZ325" t="s">
        <v>917</v>
      </c>
      <c r="BA325" t="s">
        <v>231</v>
      </c>
      <c r="BB325" t="s">
        <v>1082</v>
      </c>
      <c r="BC325" t="s">
        <v>1037</v>
      </c>
      <c r="BD325" t="s">
        <v>1005</v>
      </c>
      <c r="BE325" t="s">
        <v>1003</v>
      </c>
      <c r="BF325" t="s">
        <v>183</v>
      </c>
      <c r="BG325" t="s">
        <v>1021</v>
      </c>
      <c r="BH325" t="s">
        <v>143</v>
      </c>
      <c r="BI325" t="s">
        <v>756</v>
      </c>
      <c r="BJ325" t="s">
        <v>757</v>
      </c>
      <c r="BK325" t="s">
        <v>233</v>
      </c>
      <c r="BL325" t="s">
        <v>760</v>
      </c>
      <c r="BM325" t="s">
        <v>2339</v>
      </c>
      <c r="BN325" t="s">
        <v>234</v>
      </c>
      <c r="BO325" t="s">
        <v>493</v>
      </c>
      <c r="BP325" t="s">
        <v>364</v>
      </c>
      <c r="BQ325" t="s">
        <v>324</v>
      </c>
      <c r="BR325" t="s">
        <v>751</v>
      </c>
      <c r="BS325" t="s">
        <v>944</v>
      </c>
      <c r="BT325" t="s">
        <v>947</v>
      </c>
      <c r="BU325" t="s">
        <v>916</v>
      </c>
      <c r="BV325" t="s">
        <v>180</v>
      </c>
      <c r="BW325" t="s">
        <v>985</v>
      </c>
      <c r="BX325" t="s">
        <v>1007</v>
      </c>
      <c r="BY325" t="s">
        <v>800</v>
      </c>
      <c r="BZ325" t="s">
        <v>239</v>
      </c>
      <c r="CA325" t="s">
        <v>241</v>
      </c>
      <c r="CB325" t="s">
        <v>805</v>
      </c>
      <c r="CC325" t="s">
        <v>806</v>
      </c>
    </row>
    <row r="326" spans="1:104">
      <c r="A326" s="40">
        <v>306</v>
      </c>
      <c r="B326" s="40" t="s">
        <v>1566</v>
      </c>
      <c r="C326" s="2" t="s">
        <v>168</v>
      </c>
      <c r="D326" s="2" t="s">
        <v>26</v>
      </c>
      <c r="E326" s="2" t="s">
        <v>25</v>
      </c>
      <c r="F326" s="2">
        <v>70</v>
      </c>
      <c r="G326" s="2">
        <v>110</v>
      </c>
      <c r="H326" s="2">
        <v>180</v>
      </c>
      <c r="I326" s="2">
        <v>60</v>
      </c>
      <c r="J326" s="2">
        <v>60</v>
      </c>
      <c r="K326" s="2">
        <v>50</v>
      </c>
      <c r="L326" s="2">
        <v>530</v>
      </c>
      <c r="M326" s="2" t="s">
        <v>1146</v>
      </c>
      <c r="N326" s="2" t="s">
        <v>1061</v>
      </c>
      <c r="O326" t="s">
        <v>420</v>
      </c>
      <c r="P326" t="s">
        <v>219</v>
      </c>
      <c r="Q326" t="s">
        <v>284</v>
      </c>
      <c r="R326" t="s">
        <v>755</v>
      </c>
      <c r="S326" t="s">
        <v>755</v>
      </c>
      <c r="T326" t="s">
        <v>420</v>
      </c>
      <c r="U326" t="s">
        <v>783</v>
      </c>
      <c r="V326" t="s">
        <v>177</v>
      </c>
      <c r="W326" t="s">
        <v>246</v>
      </c>
      <c r="X326" t="s">
        <v>223</v>
      </c>
      <c r="Y326" t="s">
        <v>985</v>
      </c>
      <c r="Z326" t="s">
        <v>1078</v>
      </c>
      <c r="AA326" t="s">
        <v>1202</v>
      </c>
      <c r="AB326" t="s">
        <v>761</v>
      </c>
      <c r="AC326" t="s">
        <v>1197</v>
      </c>
      <c r="AD326" t="s">
        <v>184</v>
      </c>
      <c r="AE326" t="s">
        <v>225</v>
      </c>
      <c r="AF326" t="s">
        <v>1559</v>
      </c>
      <c r="AG326" t="s">
        <v>1062</v>
      </c>
      <c r="AH326" t="s">
        <v>226</v>
      </c>
      <c r="AI326" t="s">
        <v>144</v>
      </c>
      <c r="AJ326" t="s">
        <v>227</v>
      </c>
      <c r="AK326" t="s">
        <v>1063</v>
      </c>
      <c r="AL326" t="s">
        <v>1030</v>
      </c>
      <c r="AM326" t="s">
        <v>1093</v>
      </c>
      <c r="AN326" t="s">
        <v>246</v>
      </c>
      <c r="AO326" t="s">
        <v>148</v>
      </c>
      <c r="AP326" t="s">
        <v>172</v>
      </c>
      <c r="AQ326" t="s">
        <v>752</v>
      </c>
      <c r="AR326" t="s">
        <v>1126</v>
      </c>
      <c r="AS326" t="s">
        <v>141</v>
      </c>
      <c r="AT326" t="s">
        <v>271</v>
      </c>
      <c r="AU326" t="s">
        <v>247</v>
      </c>
      <c r="AV326" t="s">
        <v>1078</v>
      </c>
      <c r="AW326" t="s">
        <v>766</v>
      </c>
      <c r="AX326" t="s">
        <v>1079</v>
      </c>
      <c r="AY326" t="s">
        <v>229</v>
      </c>
      <c r="AZ326" t="s">
        <v>1109</v>
      </c>
      <c r="BA326" t="s">
        <v>146</v>
      </c>
      <c r="BB326" t="s">
        <v>321</v>
      </c>
      <c r="BC326" t="s">
        <v>136</v>
      </c>
      <c r="BD326" t="s">
        <v>1080</v>
      </c>
      <c r="BE326" t="s">
        <v>256</v>
      </c>
      <c r="BF326" t="s">
        <v>1094</v>
      </c>
      <c r="BG326" t="s">
        <v>230</v>
      </c>
      <c r="BH326" t="s">
        <v>254</v>
      </c>
      <c r="BI326" t="s">
        <v>765</v>
      </c>
      <c r="BJ326" t="s">
        <v>257</v>
      </c>
      <c r="BK326" t="s">
        <v>1095</v>
      </c>
      <c r="BL326" t="s">
        <v>1096</v>
      </c>
      <c r="BM326" t="s">
        <v>917</v>
      </c>
      <c r="BN326" t="s">
        <v>231</v>
      </c>
      <c r="BO326" t="s">
        <v>1082</v>
      </c>
      <c r="BP326" t="s">
        <v>1037</v>
      </c>
      <c r="BQ326" t="s">
        <v>1102</v>
      </c>
      <c r="BR326" t="s">
        <v>974</v>
      </c>
      <c r="BS326" t="s">
        <v>1031</v>
      </c>
      <c r="BT326" t="s">
        <v>1005</v>
      </c>
      <c r="BU326" t="s">
        <v>995</v>
      </c>
      <c r="BV326" t="s">
        <v>976</v>
      </c>
      <c r="BW326" t="s">
        <v>1003</v>
      </c>
      <c r="BX326" t="s">
        <v>183</v>
      </c>
      <c r="BY326" t="s">
        <v>322</v>
      </c>
      <c r="BZ326" t="s">
        <v>1021</v>
      </c>
      <c r="CA326" t="s">
        <v>143</v>
      </c>
      <c r="CB326" t="s">
        <v>1022</v>
      </c>
      <c r="CC326" t="s">
        <v>756</v>
      </c>
      <c r="CD326" t="s">
        <v>757</v>
      </c>
      <c r="CE326" t="s">
        <v>233</v>
      </c>
      <c r="CF326" t="s">
        <v>973</v>
      </c>
      <c r="CG326" t="s">
        <v>760</v>
      </c>
      <c r="CH326" t="s">
        <v>1157</v>
      </c>
      <c r="CI326" t="s">
        <v>2398</v>
      </c>
      <c r="CJ326" t="s">
        <v>2339</v>
      </c>
      <c r="CK326" t="s">
        <v>234</v>
      </c>
      <c r="CL326" t="s">
        <v>493</v>
      </c>
      <c r="CM326" t="s">
        <v>364</v>
      </c>
      <c r="CN326" t="s">
        <v>324</v>
      </c>
      <c r="CO326" t="s">
        <v>751</v>
      </c>
      <c r="CP326" t="s">
        <v>944</v>
      </c>
      <c r="CQ326" t="s">
        <v>947</v>
      </c>
      <c r="CR326" t="s">
        <v>916</v>
      </c>
      <c r="CS326" t="s">
        <v>180</v>
      </c>
      <c r="CT326" t="s">
        <v>985</v>
      </c>
      <c r="CU326" t="s">
        <v>1007</v>
      </c>
      <c r="CV326" t="s">
        <v>800</v>
      </c>
      <c r="CW326" t="s">
        <v>239</v>
      </c>
      <c r="CX326" t="s">
        <v>241</v>
      </c>
      <c r="CY326" t="s">
        <v>805</v>
      </c>
      <c r="CZ326" t="s">
        <v>806</v>
      </c>
    </row>
    <row r="327" spans="1:104">
      <c r="A327" s="40">
        <v>306.10000000000002</v>
      </c>
      <c r="B327" s="40" t="s">
        <v>2315</v>
      </c>
      <c r="C327" s="2" t="s">
        <v>2316</v>
      </c>
      <c r="D327" s="2" t="s">
        <v>26</v>
      </c>
      <c r="E327" s="2"/>
      <c r="F327" s="2">
        <v>70</v>
      </c>
      <c r="G327" s="2">
        <v>140</v>
      </c>
      <c r="H327" s="2">
        <v>230</v>
      </c>
      <c r="I327" s="2">
        <v>60</v>
      </c>
      <c r="J327" s="2">
        <v>80</v>
      </c>
      <c r="K327" s="2">
        <v>50</v>
      </c>
      <c r="L327" s="2">
        <v>630</v>
      </c>
      <c r="M327" s="2" t="s">
        <v>1232</v>
      </c>
      <c r="N327" s="2" t="s">
        <v>1061</v>
      </c>
      <c r="O327" t="s">
        <v>1062</v>
      </c>
      <c r="P327" t="s">
        <v>1063</v>
      </c>
      <c r="Q327" t="s">
        <v>757</v>
      </c>
      <c r="R327" t="s">
        <v>1157</v>
      </c>
      <c r="S327" t="s">
        <v>2398</v>
      </c>
      <c r="T327" t="s">
        <v>2339</v>
      </c>
      <c r="U327" t="s">
        <v>234</v>
      </c>
      <c r="V327" t="s">
        <v>239</v>
      </c>
      <c r="W327" t="s">
        <v>241</v>
      </c>
      <c r="X327" t="s">
        <v>805</v>
      </c>
      <c r="Y327" t="s">
        <v>806</v>
      </c>
    </row>
    <row r="328" spans="1:104">
      <c r="A328" s="40">
        <v>307</v>
      </c>
      <c r="B328" s="40" t="s">
        <v>1567</v>
      </c>
      <c r="C328" s="2" t="s">
        <v>1568</v>
      </c>
      <c r="D328" s="2" t="s">
        <v>18</v>
      </c>
      <c r="E328" s="2" t="s">
        <v>9</v>
      </c>
      <c r="F328" s="2">
        <v>30</v>
      </c>
      <c r="G328" s="2">
        <v>40</v>
      </c>
      <c r="H328" s="2">
        <v>55</v>
      </c>
      <c r="I328" s="2">
        <v>40</v>
      </c>
      <c r="J328" s="2">
        <v>55</v>
      </c>
      <c r="K328" s="2">
        <v>60</v>
      </c>
      <c r="L328" s="2">
        <v>280</v>
      </c>
      <c r="M328" s="2" t="s">
        <v>1221</v>
      </c>
      <c r="N328" s="2" t="s">
        <v>1061</v>
      </c>
      <c r="O328" t="s">
        <v>347</v>
      </c>
      <c r="P328" t="s">
        <v>437</v>
      </c>
      <c r="Q328" t="s">
        <v>287</v>
      </c>
      <c r="R328" t="s">
        <v>1220</v>
      </c>
      <c r="S328" t="s">
        <v>172</v>
      </c>
      <c r="T328" t="s">
        <v>792</v>
      </c>
      <c r="U328" t="s">
        <v>971</v>
      </c>
      <c r="V328" t="s">
        <v>912</v>
      </c>
      <c r="W328" t="s">
        <v>1525</v>
      </c>
      <c r="X328" t="s">
        <v>566</v>
      </c>
      <c r="Y328" t="s">
        <v>785</v>
      </c>
      <c r="Z328" t="s">
        <v>1195</v>
      </c>
      <c r="AA328" t="s">
        <v>999</v>
      </c>
      <c r="AB328" t="s">
        <v>775</v>
      </c>
      <c r="AC328" t="s">
        <v>459</v>
      </c>
      <c r="AD328" t="s">
        <v>1062</v>
      </c>
      <c r="AE328" t="s">
        <v>227</v>
      </c>
      <c r="AF328" t="s">
        <v>1063</v>
      </c>
      <c r="AG328" t="s">
        <v>1151</v>
      </c>
      <c r="AH328" t="s">
        <v>912</v>
      </c>
      <c r="AI328" t="s">
        <v>148</v>
      </c>
      <c r="AJ328" t="s">
        <v>1175</v>
      </c>
      <c r="AK328" t="s">
        <v>172</v>
      </c>
      <c r="AL328" t="s">
        <v>752</v>
      </c>
      <c r="AM328" t="s">
        <v>228</v>
      </c>
      <c r="AN328" t="s">
        <v>1078</v>
      </c>
      <c r="AO328" t="s">
        <v>766</v>
      </c>
      <c r="AP328" t="s">
        <v>1079</v>
      </c>
      <c r="AQ328" t="s">
        <v>1080</v>
      </c>
      <c r="AR328" t="s">
        <v>9</v>
      </c>
      <c r="AS328" t="s">
        <v>174</v>
      </c>
      <c r="AT328" t="s">
        <v>1094</v>
      </c>
      <c r="AU328" t="s">
        <v>230</v>
      </c>
      <c r="AV328" t="s">
        <v>380</v>
      </c>
      <c r="AW328" t="s">
        <v>1095</v>
      </c>
      <c r="AX328" t="s">
        <v>917</v>
      </c>
      <c r="AY328" t="s">
        <v>231</v>
      </c>
      <c r="AZ328" t="s">
        <v>1082</v>
      </c>
      <c r="BA328" t="s">
        <v>1172</v>
      </c>
      <c r="BB328" t="s">
        <v>1037</v>
      </c>
      <c r="BC328" t="s">
        <v>1102</v>
      </c>
      <c r="BD328" t="s">
        <v>974</v>
      </c>
      <c r="BE328" t="s">
        <v>1036</v>
      </c>
      <c r="BF328" t="s">
        <v>232</v>
      </c>
      <c r="BG328" t="s">
        <v>785</v>
      </c>
      <c r="BH328" t="s">
        <v>143</v>
      </c>
      <c r="BI328" t="s">
        <v>997</v>
      </c>
      <c r="BJ328" t="s">
        <v>293</v>
      </c>
      <c r="BK328" t="s">
        <v>977</v>
      </c>
      <c r="BL328" t="s">
        <v>756</v>
      </c>
      <c r="BM328" t="s">
        <v>757</v>
      </c>
      <c r="BN328" t="s">
        <v>233</v>
      </c>
      <c r="BO328" t="s">
        <v>760</v>
      </c>
      <c r="BP328" t="s">
        <v>2398</v>
      </c>
      <c r="BQ328" t="s">
        <v>2339</v>
      </c>
      <c r="BR328" t="s">
        <v>234</v>
      </c>
      <c r="BS328" t="s">
        <v>137</v>
      </c>
      <c r="BT328" t="s">
        <v>274</v>
      </c>
      <c r="BU328" t="s">
        <v>147</v>
      </c>
      <c r="BV328" t="s">
        <v>771</v>
      </c>
      <c r="BW328" t="s">
        <v>1179</v>
      </c>
      <c r="BX328" t="s">
        <v>788</v>
      </c>
      <c r="BY328" t="s">
        <v>176</v>
      </c>
      <c r="BZ328" t="s">
        <v>940</v>
      </c>
      <c r="CA328" t="s">
        <v>998</v>
      </c>
      <c r="CB328" t="s">
        <v>1183</v>
      </c>
      <c r="CC328" t="s">
        <v>181</v>
      </c>
      <c r="CD328" t="s">
        <v>1186</v>
      </c>
      <c r="CE328" t="s">
        <v>1000</v>
      </c>
      <c r="CF328" t="s">
        <v>1035</v>
      </c>
      <c r="CG328" t="s">
        <v>239</v>
      </c>
      <c r="CH328" t="s">
        <v>241</v>
      </c>
      <c r="CI328" t="s">
        <v>805</v>
      </c>
      <c r="CJ328" t="s">
        <v>806</v>
      </c>
    </row>
    <row r="329" spans="1:104">
      <c r="A329" s="40">
        <v>308</v>
      </c>
      <c r="B329" s="40" t="s">
        <v>1569</v>
      </c>
      <c r="C329" s="2" t="s">
        <v>1570</v>
      </c>
      <c r="D329" s="2" t="s">
        <v>18</v>
      </c>
      <c r="E329" s="2" t="s">
        <v>9</v>
      </c>
      <c r="F329" s="2">
        <v>60</v>
      </c>
      <c r="G329" s="2">
        <v>60</v>
      </c>
      <c r="H329" s="2">
        <v>75</v>
      </c>
      <c r="I329" s="2">
        <v>60</v>
      </c>
      <c r="J329" s="2">
        <v>75</v>
      </c>
      <c r="K329" s="2">
        <v>80</v>
      </c>
      <c r="L329" s="2">
        <v>410</v>
      </c>
      <c r="M329" s="2" t="s">
        <v>1201</v>
      </c>
      <c r="N329" s="2" t="s">
        <v>1061</v>
      </c>
      <c r="O329" t="s">
        <v>137</v>
      </c>
      <c r="P329" t="s">
        <v>274</v>
      </c>
      <c r="Q329" t="s">
        <v>147</v>
      </c>
      <c r="R329" t="s">
        <v>287</v>
      </c>
      <c r="S329" t="s">
        <v>437</v>
      </c>
      <c r="T329" t="s">
        <v>347</v>
      </c>
      <c r="U329" t="s">
        <v>1220</v>
      </c>
      <c r="V329" t="s">
        <v>437</v>
      </c>
      <c r="W329" t="s">
        <v>287</v>
      </c>
      <c r="X329" t="s">
        <v>1220</v>
      </c>
      <c r="Y329" t="s">
        <v>172</v>
      </c>
      <c r="Z329" t="s">
        <v>792</v>
      </c>
      <c r="AA329" t="s">
        <v>971</v>
      </c>
      <c r="AB329" t="s">
        <v>912</v>
      </c>
      <c r="AC329" t="s">
        <v>1525</v>
      </c>
      <c r="AD329" t="s">
        <v>566</v>
      </c>
      <c r="AE329" t="s">
        <v>785</v>
      </c>
      <c r="AF329" t="s">
        <v>1195</v>
      </c>
      <c r="AG329" t="s">
        <v>999</v>
      </c>
      <c r="AH329" t="s">
        <v>775</v>
      </c>
      <c r="AI329" t="s">
        <v>459</v>
      </c>
      <c r="AJ329" t="s">
        <v>1062</v>
      </c>
      <c r="AK329" t="s">
        <v>227</v>
      </c>
      <c r="AL329" t="s">
        <v>1063</v>
      </c>
      <c r="AM329" t="s">
        <v>1151</v>
      </c>
      <c r="AN329" t="s">
        <v>912</v>
      </c>
      <c r="AO329" t="s">
        <v>148</v>
      </c>
      <c r="AP329" t="s">
        <v>1175</v>
      </c>
      <c r="AQ329" t="s">
        <v>172</v>
      </c>
      <c r="AR329" t="s">
        <v>752</v>
      </c>
      <c r="AS329" t="s">
        <v>247</v>
      </c>
      <c r="AT329" t="s">
        <v>228</v>
      </c>
      <c r="AU329" t="s">
        <v>1078</v>
      </c>
      <c r="AV329" t="s">
        <v>766</v>
      </c>
      <c r="AW329" t="s">
        <v>1079</v>
      </c>
      <c r="AX329" t="s">
        <v>1080</v>
      </c>
      <c r="AY329" t="s">
        <v>9</v>
      </c>
      <c r="AZ329" t="s">
        <v>174</v>
      </c>
      <c r="BA329" t="s">
        <v>1094</v>
      </c>
      <c r="BB329" t="s">
        <v>230</v>
      </c>
      <c r="BC329" t="s">
        <v>380</v>
      </c>
      <c r="BD329" t="s">
        <v>1095</v>
      </c>
      <c r="BE329" t="s">
        <v>917</v>
      </c>
      <c r="BF329" t="s">
        <v>231</v>
      </c>
      <c r="BG329" t="s">
        <v>1082</v>
      </c>
      <c r="BH329" t="s">
        <v>1172</v>
      </c>
      <c r="BI329" t="s">
        <v>1037</v>
      </c>
      <c r="BJ329" t="s">
        <v>1102</v>
      </c>
      <c r="BK329" t="s">
        <v>970</v>
      </c>
      <c r="BL329" t="s">
        <v>974</v>
      </c>
      <c r="BM329" t="s">
        <v>1036</v>
      </c>
      <c r="BN329" t="s">
        <v>976</v>
      </c>
      <c r="BO329" t="s">
        <v>232</v>
      </c>
      <c r="BP329" t="s">
        <v>785</v>
      </c>
      <c r="BQ329" t="s">
        <v>143</v>
      </c>
      <c r="BR329" t="s">
        <v>997</v>
      </c>
      <c r="BS329" t="s">
        <v>293</v>
      </c>
      <c r="BT329" t="s">
        <v>977</v>
      </c>
      <c r="BU329" t="s">
        <v>756</v>
      </c>
      <c r="BV329" t="s">
        <v>757</v>
      </c>
      <c r="BW329" t="s">
        <v>233</v>
      </c>
      <c r="BX329" t="s">
        <v>760</v>
      </c>
      <c r="BY329" t="s">
        <v>2398</v>
      </c>
      <c r="BZ329" t="s">
        <v>2339</v>
      </c>
      <c r="CA329" t="s">
        <v>234</v>
      </c>
      <c r="CB329" t="s">
        <v>137</v>
      </c>
      <c r="CC329" t="s">
        <v>274</v>
      </c>
      <c r="CD329" t="s">
        <v>147</v>
      </c>
      <c r="CE329" t="s">
        <v>771</v>
      </c>
      <c r="CF329" t="s">
        <v>1179</v>
      </c>
      <c r="CG329" t="s">
        <v>788</v>
      </c>
      <c r="CH329" t="s">
        <v>176</v>
      </c>
      <c r="CI329" t="s">
        <v>940</v>
      </c>
      <c r="CJ329" t="s">
        <v>998</v>
      </c>
      <c r="CK329" t="s">
        <v>1183</v>
      </c>
      <c r="CL329" t="s">
        <v>181</v>
      </c>
      <c r="CM329" t="s">
        <v>1186</v>
      </c>
      <c r="CN329" t="s">
        <v>1000</v>
      </c>
      <c r="CO329" t="s">
        <v>1035</v>
      </c>
      <c r="CP329" t="s">
        <v>239</v>
      </c>
      <c r="CQ329" t="s">
        <v>241</v>
      </c>
      <c r="CR329" t="s">
        <v>805</v>
      </c>
      <c r="CS329" t="s">
        <v>806</v>
      </c>
    </row>
    <row r="330" spans="1:104">
      <c r="A330" s="40">
        <v>308.10000000000002</v>
      </c>
      <c r="B330" s="40" t="s">
        <v>2317</v>
      </c>
      <c r="C330" s="2" t="s">
        <v>2318</v>
      </c>
      <c r="D330" s="2" t="s">
        <v>18</v>
      </c>
      <c r="E330" s="2" t="s">
        <v>9</v>
      </c>
      <c r="F330" s="2">
        <v>60</v>
      </c>
      <c r="G330" s="2">
        <v>100</v>
      </c>
      <c r="H330" s="2">
        <v>85</v>
      </c>
      <c r="I330" s="2">
        <v>80</v>
      </c>
      <c r="J330" s="2">
        <v>85</v>
      </c>
      <c r="K330" s="2">
        <v>100</v>
      </c>
      <c r="L330" s="2">
        <v>510</v>
      </c>
      <c r="M330" s="2" t="s">
        <v>1064</v>
      </c>
      <c r="N330" s="2" t="s">
        <v>1061</v>
      </c>
      <c r="O330" t="s">
        <v>1062</v>
      </c>
      <c r="P330" t="s">
        <v>1063</v>
      </c>
      <c r="Q330" t="s">
        <v>757</v>
      </c>
      <c r="R330" t="s">
        <v>2398</v>
      </c>
      <c r="S330" t="s">
        <v>2339</v>
      </c>
      <c r="T330" t="s">
        <v>234</v>
      </c>
      <c r="U330" t="s">
        <v>239</v>
      </c>
      <c r="V330" t="s">
        <v>241</v>
      </c>
      <c r="W330" t="s">
        <v>805</v>
      </c>
      <c r="X330" t="s">
        <v>806</v>
      </c>
    </row>
    <row r="331" spans="1:104">
      <c r="A331" s="40">
        <v>309</v>
      </c>
      <c r="B331" s="40" t="s">
        <v>1571</v>
      </c>
      <c r="C331" s="2" t="s">
        <v>1572</v>
      </c>
      <c r="D331" s="2" t="s">
        <v>17</v>
      </c>
      <c r="E331" s="2"/>
      <c r="F331" s="2">
        <v>40</v>
      </c>
      <c r="G331" s="2">
        <v>45</v>
      </c>
      <c r="H331" s="2">
        <v>40</v>
      </c>
      <c r="I331" s="2">
        <v>65</v>
      </c>
      <c r="J331" s="2">
        <v>40</v>
      </c>
      <c r="K331" s="2">
        <v>65</v>
      </c>
      <c r="L331" s="2">
        <v>295</v>
      </c>
      <c r="M331" s="2" t="s">
        <v>1103</v>
      </c>
      <c r="N331" s="2" t="s">
        <v>1061</v>
      </c>
      <c r="O331" t="s">
        <v>219</v>
      </c>
      <c r="P331" t="s">
        <v>322</v>
      </c>
      <c r="Q331" t="s">
        <v>330</v>
      </c>
      <c r="R331" t="s">
        <v>1155</v>
      </c>
      <c r="S331" t="s">
        <v>310</v>
      </c>
      <c r="T331" t="s">
        <v>1203</v>
      </c>
      <c r="U331" t="s">
        <v>934</v>
      </c>
      <c r="V331" t="s">
        <v>258</v>
      </c>
      <c r="W331" t="s">
        <v>1010</v>
      </c>
      <c r="X331" t="s">
        <v>246</v>
      </c>
      <c r="Y331" t="s">
        <v>1138</v>
      </c>
      <c r="Z331" t="s">
        <v>1140</v>
      </c>
      <c r="AA331" t="s">
        <v>1047</v>
      </c>
      <c r="AB331" t="s">
        <v>321</v>
      </c>
      <c r="AC331" t="s">
        <v>1062</v>
      </c>
      <c r="AD331" t="s">
        <v>227</v>
      </c>
      <c r="AE331" t="s">
        <v>1063</v>
      </c>
      <c r="AF331" t="s">
        <v>246</v>
      </c>
      <c r="AG331" t="s">
        <v>148</v>
      </c>
      <c r="AH331" t="s">
        <v>172</v>
      </c>
      <c r="AI331" t="s">
        <v>228</v>
      </c>
      <c r="AJ331" t="s">
        <v>1078</v>
      </c>
      <c r="AK331" t="s">
        <v>766</v>
      </c>
      <c r="AL331" t="s">
        <v>1079</v>
      </c>
      <c r="AM331" t="s">
        <v>146</v>
      </c>
      <c r="AN331" t="s">
        <v>321</v>
      </c>
      <c r="AO331" t="s">
        <v>1080</v>
      </c>
      <c r="AP331" t="s">
        <v>230</v>
      </c>
      <c r="AQ331" t="s">
        <v>254</v>
      </c>
      <c r="AR331" t="s">
        <v>917</v>
      </c>
      <c r="AS331" t="s">
        <v>231</v>
      </c>
      <c r="AT331" t="s">
        <v>1082</v>
      </c>
      <c r="AU331" t="s">
        <v>1117</v>
      </c>
      <c r="AV331" t="s">
        <v>1037</v>
      </c>
      <c r="AW331" t="s">
        <v>963</v>
      </c>
      <c r="AX331" t="s">
        <v>232</v>
      </c>
      <c r="AY331" t="s">
        <v>1045</v>
      </c>
      <c r="AZ331" t="s">
        <v>322</v>
      </c>
      <c r="BA331" t="s">
        <v>756</v>
      </c>
      <c r="BB331" t="s">
        <v>757</v>
      </c>
      <c r="BC331" t="s">
        <v>233</v>
      </c>
      <c r="BD331" t="s">
        <v>1047</v>
      </c>
      <c r="BE331" t="s">
        <v>1040</v>
      </c>
      <c r="BF331" t="s">
        <v>2339</v>
      </c>
      <c r="BG331" t="s">
        <v>234</v>
      </c>
      <c r="BH331" t="s">
        <v>420</v>
      </c>
      <c r="BI331" t="s">
        <v>354</v>
      </c>
      <c r="BJ331" t="s">
        <v>751</v>
      </c>
      <c r="BK331" t="s">
        <v>777</v>
      </c>
      <c r="BL331" t="s">
        <v>953</v>
      </c>
      <c r="BM331" t="s">
        <v>1230</v>
      </c>
      <c r="BN331" t="s">
        <v>1136</v>
      </c>
      <c r="BO331" t="s">
        <v>1010</v>
      </c>
      <c r="BP331" t="s">
        <v>983</v>
      </c>
      <c r="BQ331" t="s">
        <v>182</v>
      </c>
      <c r="BR331" t="s">
        <v>1138</v>
      </c>
      <c r="BS331" t="s">
        <v>1026</v>
      </c>
      <c r="BT331" t="s">
        <v>1023</v>
      </c>
      <c r="BU331" t="s">
        <v>2346</v>
      </c>
      <c r="BV331" t="s">
        <v>239</v>
      </c>
      <c r="BW331" t="s">
        <v>241</v>
      </c>
      <c r="BX331" t="s">
        <v>805</v>
      </c>
      <c r="BY331" t="s">
        <v>806</v>
      </c>
    </row>
    <row r="332" spans="1:104">
      <c r="A332" s="40">
        <v>310</v>
      </c>
      <c r="B332" s="40" t="s">
        <v>1573</v>
      </c>
      <c r="C332" s="2" t="s">
        <v>1574</v>
      </c>
      <c r="D332" s="2" t="s">
        <v>17</v>
      </c>
      <c r="E332" s="2"/>
      <c r="F332" s="2">
        <v>70</v>
      </c>
      <c r="G332" s="2">
        <v>75</v>
      </c>
      <c r="H332" s="2">
        <v>60</v>
      </c>
      <c r="I332" s="2">
        <v>105</v>
      </c>
      <c r="J332" s="2">
        <v>60</v>
      </c>
      <c r="K332" s="2">
        <v>105</v>
      </c>
      <c r="L332" s="2">
        <v>475</v>
      </c>
      <c r="M332" s="2" t="s">
        <v>1137</v>
      </c>
      <c r="N332" s="2" t="s">
        <v>1061</v>
      </c>
      <c r="O332" t="s">
        <v>219</v>
      </c>
      <c r="P332" t="s">
        <v>330</v>
      </c>
      <c r="Q332" t="s">
        <v>322</v>
      </c>
      <c r="R332" t="s">
        <v>1155</v>
      </c>
      <c r="S332" t="s">
        <v>182</v>
      </c>
      <c r="T332" t="s">
        <v>322</v>
      </c>
      <c r="U332" t="s">
        <v>330</v>
      </c>
      <c r="V332" t="s">
        <v>1155</v>
      </c>
      <c r="W332" t="s">
        <v>310</v>
      </c>
      <c r="X332" t="s">
        <v>1203</v>
      </c>
      <c r="Y332" t="s">
        <v>934</v>
      </c>
      <c r="Z332" t="s">
        <v>258</v>
      </c>
      <c r="AA332" t="s">
        <v>1010</v>
      </c>
      <c r="AB332" t="s">
        <v>246</v>
      </c>
      <c r="AC332" t="s">
        <v>1138</v>
      </c>
      <c r="AD332" t="s">
        <v>1140</v>
      </c>
      <c r="AE332" t="s">
        <v>1047</v>
      </c>
      <c r="AF332" t="s">
        <v>321</v>
      </c>
      <c r="AG332" t="s">
        <v>2348</v>
      </c>
      <c r="AH332" t="s">
        <v>1062</v>
      </c>
      <c r="AI332" t="s">
        <v>227</v>
      </c>
      <c r="AJ332" t="s">
        <v>1063</v>
      </c>
      <c r="AK332" t="s">
        <v>246</v>
      </c>
      <c r="AL332" t="s">
        <v>148</v>
      </c>
      <c r="AM332" t="s">
        <v>172</v>
      </c>
      <c r="AN332" t="s">
        <v>247</v>
      </c>
      <c r="AO332" t="s">
        <v>228</v>
      </c>
      <c r="AP332" t="s">
        <v>1078</v>
      </c>
      <c r="AQ332" t="s">
        <v>766</v>
      </c>
      <c r="AR332" t="s">
        <v>1079</v>
      </c>
      <c r="AS332" t="s">
        <v>146</v>
      </c>
      <c r="AT332" t="s">
        <v>321</v>
      </c>
      <c r="AU332" t="s">
        <v>1080</v>
      </c>
      <c r="AV332" t="s">
        <v>230</v>
      </c>
      <c r="AW332" t="s">
        <v>254</v>
      </c>
      <c r="AX332" t="s">
        <v>917</v>
      </c>
      <c r="AY332" t="s">
        <v>231</v>
      </c>
      <c r="AZ332" t="s">
        <v>1082</v>
      </c>
      <c r="BA332" t="s">
        <v>1117</v>
      </c>
      <c r="BB332" t="s">
        <v>1037</v>
      </c>
      <c r="BC332" t="s">
        <v>1098</v>
      </c>
      <c r="BD332" t="s">
        <v>963</v>
      </c>
      <c r="BE332" t="s">
        <v>976</v>
      </c>
      <c r="BF332" t="s">
        <v>232</v>
      </c>
      <c r="BG332" t="s">
        <v>1045</v>
      </c>
      <c r="BH332" t="s">
        <v>322</v>
      </c>
      <c r="BI332" t="s">
        <v>756</v>
      </c>
      <c r="BJ332" t="s">
        <v>757</v>
      </c>
      <c r="BK332" t="s">
        <v>233</v>
      </c>
      <c r="BL332" t="s">
        <v>1047</v>
      </c>
      <c r="BM332" t="s">
        <v>1040</v>
      </c>
      <c r="BN332" t="s">
        <v>2339</v>
      </c>
      <c r="BO332" t="s">
        <v>234</v>
      </c>
      <c r="BP332" t="s">
        <v>420</v>
      </c>
      <c r="BQ332" t="s">
        <v>354</v>
      </c>
      <c r="BR332" t="s">
        <v>751</v>
      </c>
      <c r="BS332" t="s">
        <v>777</v>
      </c>
      <c r="BT332" t="s">
        <v>953</v>
      </c>
      <c r="BU332" t="s">
        <v>1230</v>
      </c>
      <c r="BV332" t="s">
        <v>1136</v>
      </c>
      <c r="BW332" t="s">
        <v>1010</v>
      </c>
      <c r="BX332" t="s">
        <v>983</v>
      </c>
      <c r="BY332" t="s">
        <v>182</v>
      </c>
      <c r="BZ332" t="s">
        <v>1138</v>
      </c>
      <c r="CA332" t="s">
        <v>1026</v>
      </c>
      <c r="CB332" t="s">
        <v>1023</v>
      </c>
      <c r="CC332" t="s">
        <v>2346</v>
      </c>
      <c r="CD332" t="s">
        <v>239</v>
      </c>
      <c r="CE332" t="s">
        <v>241</v>
      </c>
      <c r="CF332" t="s">
        <v>805</v>
      </c>
      <c r="CG332" t="s">
        <v>806</v>
      </c>
    </row>
    <row r="333" spans="1:104">
      <c r="A333" s="40">
        <v>310.10000000000002</v>
      </c>
      <c r="B333" s="40" t="s">
        <v>2319</v>
      </c>
      <c r="C333" s="2" t="s">
        <v>2320</v>
      </c>
      <c r="D333" s="2" t="s">
        <v>17</v>
      </c>
      <c r="E333" s="2"/>
      <c r="F333" s="2">
        <v>70</v>
      </c>
      <c r="G333" s="2">
        <v>75</v>
      </c>
      <c r="H333" s="2">
        <v>80</v>
      </c>
      <c r="I333" s="2">
        <v>135</v>
      </c>
      <c r="J333" s="2">
        <v>80</v>
      </c>
      <c r="K333" s="2">
        <v>135</v>
      </c>
      <c r="L333" s="2">
        <v>575</v>
      </c>
      <c r="M333" s="2" t="s">
        <v>2423</v>
      </c>
      <c r="N333" s="2" t="s">
        <v>1061</v>
      </c>
      <c r="O333" t="s">
        <v>1062</v>
      </c>
      <c r="P333" t="s">
        <v>1063</v>
      </c>
      <c r="Q333" t="s">
        <v>757</v>
      </c>
      <c r="R333" t="s">
        <v>2339</v>
      </c>
      <c r="S333" t="s">
        <v>234</v>
      </c>
      <c r="T333" t="s">
        <v>239</v>
      </c>
      <c r="U333" t="s">
        <v>241</v>
      </c>
      <c r="V333" t="s">
        <v>805</v>
      </c>
      <c r="W333" t="s">
        <v>806</v>
      </c>
    </row>
    <row r="334" spans="1:104">
      <c r="A334" s="40">
        <v>311</v>
      </c>
      <c r="B334" s="40" t="s">
        <v>1575</v>
      </c>
      <c r="C334" s="2" t="s">
        <v>1576</v>
      </c>
      <c r="D334" s="2" t="s">
        <v>17</v>
      </c>
      <c r="E334" s="2"/>
      <c r="F334" s="2">
        <v>60</v>
      </c>
      <c r="G334" s="2">
        <v>50</v>
      </c>
      <c r="H334" s="2">
        <v>40</v>
      </c>
      <c r="I334" s="2">
        <v>85</v>
      </c>
      <c r="J334" s="2">
        <v>75</v>
      </c>
      <c r="K334" s="2">
        <v>95</v>
      </c>
      <c r="L334" s="2">
        <v>405</v>
      </c>
      <c r="M334" s="2" t="s">
        <v>1188</v>
      </c>
      <c r="N334" s="2" t="s">
        <v>1061</v>
      </c>
      <c r="O334" t="s">
        <v>220</v>
      </c>
      <c r="P334" t="s">
        <v>2385</v>
      </c>
      <c r="Q334" t="s">
        <v>322</v>
      </c>
      <c r="R334" t="s">
        <v>310</v>
      </c>
      <c r="S334" t="s">
        <v>925</v>
      </c>
      <c r="T334" t="s">
        <v>1203</v>
      </c>
      <c r="U334" t="s">
        <v>779</v>
      </c>
      <c r="V334" t="s">
        <v>918</v>
      </c>
      <c r="W334" t="s">
        <v>2393</v>
      </c>
      <c r="X334" t="s">
        <v>964</v>
      </c>
      <c r="Y334" t="s">
        <v>1023</v>
      </c>
      <c r="Z334" t="s">
        <v>354</v>
      </c>
      <c r="AA334" t="s">
        <v>918</v>
      </c>
      <c r="AB334" t="s">
        <v>1140</v>
      </c>
      <c r="AC334" t="s">
        <v>321</v>
      </c>
      <c r="AD334" t="s">
        <v>788</v>
      </c>
      <c r="AE334" t="s">
        <v>306</v>
      </c>
      <c r="AF334" t="s">
        <v>986</v>
      </c>
      <c r="AG334" t="s">
        <v>991</v>
      </c>
      <c r="AH334" t="s">
        <v>1577</v>
      </c>
      <c r="AI334" t="s">
        <v>1062</v>
      </c>
      <c r="AJ334" t="s">
        <v>1063</v>
      </c>
      <c r="AK334" t="s">
        <v>148</v>
      </c>
      <c r="AL334" t="s">
        <v>172</v>
      </c>
      <c r="AM334" t="s">
        <v>228</v>
      </c>
      <c r="AN334" t="s">
        <v>1078</v>
      </c>
      <c r="AO334" t="s">
        <v>766</v>
      </c>
      <c r="AP334" t="s">
        <v>1079</v>
      </c>
      <c r="AQ334" t="s">
        <v>146</v>
      </c>
      <c r="AR334" t="s">
        <v>321</v>
      </c>
      <c r="AS334" t="s">
        <v>1080</v>
      </c>
      <c r="AT334" t="s">
        <v>230</v>
      </c>
      <c r="AU334" t="s">
        <v>917</v>
      </c>
      <c r="AV334" t="s">
        <v>231</v>
      </c>
      <c r="AW334" t="s">
        <v>1082</v>
      </c>
      <c r="AX334" t="s">
        <v>1037</v>
      </c>
      <c r="AY334" t="s">
        <v>1083</v>
      </c>
      <c r="AZ334" t="s">
        <v>974</v>
      </c>
      <c r="BA334" t="s">
        <v>963</v>
      </c>
      <c r="BB334" t="s">
        <v>232</v>
      </c>
      <c r="BC334" t="s">
        <v>1045</v>
      </c>
      <c r="BD334" t="s">
        <v>322</v>
      </c>
      <c r="BE334" t="s">
        <v>977</v>
      </c>
      <c r="BF334" t="s">
        <v>756</v>
      </c>
      <c r="BG334" t="s">
        <v>757</v>
      </c>
      <c r="BH334" t="s">
        <v>233</v>
      </c>
      <c r="BI334" t="s">
        <v>1047</v>
      </c>
      <c r="BJ334" t="s">
        <v>2339</v>
      </c>
      <c r="BK334" t="s">
        <v>234</v>
      </c>
      <c r="BL334" t="s">
        <v>377</v>
      </c>
      <c r="BM334" t="s">
        <v>782</v>
      </c>
      <c r="BN334" t="s">
        <v>957</v>
      </c>
      <c r="BO334" t="s">
        <v>987</v>
      </c>
      <c r="BP334" t="s">
        <v>1138</v>
      </c>
      <c r="BQ334" t="s">
        <v>239</v>
      </c>
      <c r="BR334" t="s">
        <v>241</v>
      </c>
      <c r="BS334" t="s">
        <v>805</v>
      </c>
      <c r="BT334" t="s">
        <v>806</v>
      </c>
    </row>
    <row r="335" spans="1:104">
      <c r="A335" s="40">
        <v>312</v>
      </c>
      <c r="B335" s="40" t="s">
        <v>1578</v>
      </c>
      <c r="C335" s="2" t="s">
        <v>1579</v>
      </c>
      <c r="D335" s="2" t="s">
        <v>17</v>
      </c>
      <c r="E335" s="2"/>
      <c r="F335" s="2">
        <v>60</v>
      </c>
      <c r="G335" s="2">
        <v>40</v>
      </c>
      <c r="H335" s="2">
        <v>50</v>
      </c>
      <c r="I335" s="2">
        <v>75</v>
      </c>
      <c r="J335" s="2">
        <v>85</v>
      </c>
      <c r="K335" s="2">
        <v>95</v>
      </c>
      <c r="L335" s="2">
        <v>405</v>
      </c>
      <c r="M335" s="2" t="s">
        <v>1188</v>
      </c>
      <c r="N335" s="2" t="s">
        <v>1061</v>
      </c>
      <c r="O335" t="s">
        <v>220</v>
      </c>
      <c r="P335" t="s">
        <v>2385</v>
      </c>
      <c r="Q335" t="s">
        <v>2393</v>
      </c>
      <c r="R335" t="s">
        <v>322</v>
      </c>
      <c r="S335" t="s">
        <v>310</v>
      </c>
      <c r="T335" t="s">
        <v>925</v>
      </c>
      <c r="U335" t="s">
        <v>1203</v>
      </c>
      <c r="V335" t="s">
        <v>779</v>
      </c>
      <c r="W335" t="s">
        <v>781</v>
      </c>
      <c r="X335" t="s">
        <v>964</v>
      </c>
      <c r="Y335" t="s">
        <v>1023</v>
      </c>
      <c r="Z335" t="s">
        <v>354</v>
      </c>
      <c r="AA335" t="s">
        <v>918</v>
      </c>
      <c r="AB335" t="s">
        <v>1140</v>
      </c>
      <c r="AC335" t="s">
        <v>321</v>
      </c>
      <c r="AD335" t="s">
        <v>788</v>
      </c>
      <c r="AE335" t="s">
        <v>306</v>
      </c>
      <c r="AF335" t="s">
        <v>1013</v>
      </c>
      <c r="AG335" t="s">
        <v>991</v>
      </c>
      <c r="AH335" t="s">
        <v>1577</v>
      </c>
      <c r="AI335" t="s">
        <v>1062</v>
      </c>
      <c r="AJ335" t="s">
        <v>1063</v>
      </c>
      <c r="AK335" t="s">
        <v>148</v>
      </c>
      <c r="AL335" t="s">
        <v>172</v>
      </c>
      <c r="AM335" t="s">
        <v>228</v>
      </c>
      <c r="AN335" t="s">
        <v>1078</v>
      </c>
      <c r="AO335" t="s">
        <v>766</v>
      </c>
      <c r="AP335" t="s">
        <v>1079</v>
      </c>
      <c r="AQ335" t="s">
        <v>146</v>
      </c>
      <c r="AR335" t="s">
        <v>321</v>
      </c>
      <c r="AS335" t="s">
        <v>1080</v>
      </c>
      <c r="AT335" t="s">
        <v>230</v>
      </c>
      <c r="AU335" t="s">
        <v>917</v>
      </c>
      <c r="AV335" t="s">
        <v>231</v>
      </c>
      <c r="AW335" t="s">
        <v>1082</v>
      </c>
      <c r="AX335" t="s">
        <v>1037</v>
      </c>
      <c r="AY335" t="s">
        <v>1083</v>
      </c>
      <c r="AZ335" t="s">
        <v>974</v>
      </c>
      <c r="BA335" t="s">
        <v>963</v>
      </c>
      <c r="BB335" t="s">
        <v>232</v>
      </c>
      <c r="BC335" t="s">
        <v>1045</v>
      </c>
      <c r="BD335" t="s">
        <v>322</v>
      </c>
      <c r="BE335" t="s">
        <v>977</v>
      </c>
      <c r="BF335" t="s">
        <v>756</v>
      </c>
      <c r="BG335" t="s">
        <v>757</v>
      </c>
      <c r="BH335" t="s">
        <v>233</v>
      </c>
      <c r="BI335" t="s">
        <v>1047</v>
      </c>
      <c r="BJ335" t="s">
        <v>2339</v>
      </c>
      <c r="BK335" t="s">
        <v>234</v>
      </c>
      <c r="BL335" t="s">
        <v>377</v>
      </c>
      <c r="BM335" t="s">
        <v>782</v>
      </c>
      <c r="BN335" t="s">
        <v>957</v>
      </c>
      <c r="BO335" t="s">
        <v>987</v>
      </c>
      <c r="BP335" t="s">
        <v>1138</v>
      </c>
      <c r="BQ335" t="s">
        <v>239</v>
      </c>
      <c r="BR335" t="s">
        <v>241</v>
      </c>
      <c r="BS335" t="s">
        <v>805</v>
      </c>
      <c r="BT335" t="s">
        <v>806</v>
      </c>
    </row>
    <row r="336" spans="1:104">
      <c r="A336" s="40">
        <v>313</v>
      </c>
      <c r="B336" s="40" t="s">
        <v>1580</v>
      </c>
      <c r="C336" s="2" t="s">
        <v>1581</v>
      </c>
      <c r="D336" s="2" t="s">
        <v>14</v>
      </c>
      <c r="E336" s="2"/>
      <c r="F336" s="2">
        <v>65</v>
      </c>
      <c r="G336" s="2">
        <v>73</v>
      </c>
      <c r="H336" s="2">
        <v>55</v>
      </c>
      <c r="I336" s="2">
        <v>47</v>
      </c>
      <c r="J336" s="2">
        <v>75</v>
      </c>
      <c r="K336" s="2">
        <v>85</v>
      </c>
      <c r="L336" s="2">
        <v>400</v>
      </c>
      <c r="M336" s="2" t="s">
        <v>1075</v>
      </c>
      <c r="N336" s="2" t="s">
        <v>1061</v>
      </c>
      <c r="O336" t="s">
        <v>219</v>
      </c>
      <c r="P336" t="s">
        <v>232</v>
      </c>
      <c r="Q336" t="s">
        <v>230</v>
      </c>
      <c r="R336" t="s">
        <v>387</v>
      </c>
      <c r="S336" t="s">
        <v>784</v>
      </c>
      <c r="T336" t="s">
        <v>310</v>
      </c>
      <c r="U336" t="s">
        <v>1582</v>
      </c>
      <c r="V336" t="s">
        <v>216</v>
      </c>
      <c r="W336" t="s">
        <v>1078</v>
      </c>
      <c r="X336" t="s">
        <v>925</v>
      </c>
      <c r="Y336" t="s">
        <v>1019</v>
      </c>
      <c r="Z336" t="s">
        <v>1115</v>
      </c>
      <c r="AA336" t="s">
        <v>225</v>
      </c>
      <c r="AB336" t="s">
        <v>1062</v>
      </c>
      <c r="AC336" t="s">
        <v>1063</v>
      </c>
      <c r="AD336" t="s">
        <v>148</v>
      </c>
      <c r="AE336" t="s">
        <v>172</v>
      </c>
      <c r="AF336" t="s">
        <v>752</v>
      </c>
      <c r="AG336" t="s">
        <v>228</v>
      </c>
      <c r="AH336" t="s">
        <v>1078</v>
      </c>
      <c r="AI336" t="s">
        <v>766</v>
      </c>
      <c r="AJ336" t="s">
        <v>1119</v>
      </c>
      <c r="AK336" t="s">
        <v>1079</v>
      </c>
      <c r="AL336" t="s">
        <v>229</v>
      </c>
      <c r="AM336" t="s">
        <v>146</v>
      </c>
      <c r="AN336" t="s">
        <v>321</v>
      </c>
      <c r="AO336" t="s">
        <v>1080</v>
      </c>
      <c r="AP336" t="s">
        <v>174</v>
      </c>
      <c r="AQ336" t="s">
        <v>1094</v>
      </c>
      <c r="AR336" t="s">
        <v>230</v>
      </c>
      <c r="AS336" t="s">
        <v>1096</v>
      </c>
      <c r="AT336" t="s">
        <v>917</v>
      </c>
      <c r="AU336" t="s">
        <v>231</v>
      </c>
      <c r="AV336" t="s">
        <v>1082</v>
      </c>
      <c r="AW336" t="s">
        <v>1117</v>
      </c>
      <c r="AX336" t="s">
        <v>1037</v>
      </c>
      <c r="AY336" t="s">
        <v>974</v>
      </c>
      <c r="AZ336" t="s">
        <v>963</v>
      </c>
      <c r="BA336" t="s">
        <v>1020</v>
      </c>
      <c r="BB336" t="s">
        <v>232</v>
      </c>
      <c r="BC336" t="s">
        <v>322</v>
      </c>
      <c r="BD336" t="s">
        <v>1042</v>
      </c>
      <c r="BE336" t="s">
        <v>785</v>
      </c>
      <c r="BF336" t="s">
        <v>756</v>
      </c>
      <c r="BG336" t="s">
        <v>757</v>
      </c>
      <c r="BH336" t="s">
        <v>1014</v>
      </c>
      <c r="BI336" t="s">
        <v>233</v>
      </c>
      <c r="BJ336" t="s">
        <v>2398</v>
      </c>
      <c r="BK336" t="s">
        <v>2342</v>
      </c>
      <c r="BL336" t="s">
        <v>2339</v>
      </c>
      <c r="BM336" t="s">
        <v>234</v>
      </c>
      <c r="BN336" t="s">
        <v>436</v>
      </c>
      <c r="BO336" t="s">
        <v>588</v>
      </c>
      <c r="BP336" t="s">
        <v>788</v>
      </c>
      <c r="BQ336" t="s">
        <v>779</v>
      </c>
      <c r="BR336" t="s">
        <v>952</v>
      </c>
      <c r="BS336" t="s">
        <v>1113</v>
      </c>
      <c r="BT336" t="s">
        <v>1115</v>
      </c>
      <c r="BU336" t="s">
        <v>239</v>
      </c>
      <c r="BV336" t="s">
        <v>241</v>
      </c>
      <c r="BW336" t="s">
        <v>805</v>
      </c>
      <c r="BX336" t="s">
        <v>806</v>
      </c>
    </row>
    <row r="337" spans="1:96">
      <c r="A337" s="40">
        <v>314</v>
      </c>
      <c r="B337" s="40" t="s">
        <v>1583</v>
      </c>
      <c r="C337" s="2" t="s">
        <v>1584</v>
      </c>
      <c r="D337" s="2" t="s">
        <v>14</v>
      </c>
      <c r="E337" s="2"/>
      <c r="F337" s="2">
        <v>65</v>
      </c>
      <c r="G337" s="2">
        <v>47</v>
      </c>
      <c r="H337" s="2">
        <v>55</v>
      </c>
      <c r="I337" s="2">
        <v>73</v>
      </c>
      <c r="J337" s="2">
        <v>75</v>
      </c>
      <c r="K337" s="2">
        <v>85</v>
      </c>
      <c r="L337" s="2">
        <v>400</v>
      </c>
      <c r="M337" s="2" t="s">
        <v>1103</v>
      </c>
      <c r="N337" s="2" t="s">
        <v>1061</v>
      </c>
      <c r="O337" t="s">
        <v>219</v>
      </c>
      <c r="P337" t="s">
        <v>2393</v>
      </c>
      <c r="Q337" t="s">
        <v>1076</v>
      </c>
      <c r="R337" t="s">
        <v>781</v>
      </c>
      <c r="S337" t="s">
        <v>784</v>
      </c>
      <c r="T337" t="s">
        <v>310</v>
      </c>
      <c r="U337" t="s">
        <v>957</v>
      </c>
      <c r="V337" t="s">
        <v>779</v>
      </c>
      <c r="W337" t="s">
        <v>919</v>
      </c>
      <c r="X337" t="s">
        <v>925</v>
      </c>
      <c r="Y337" t="s">
        <v>1019</v>
      </c>
      <c r="Z337" t="s">
        <v>1115</v>
      </c>
      <c r="AA337" t="s">
        <v>913</v>
      </c>
      <c r="AB337" t="s">
        <v>1062</v>
      </c>
      <c r="AC337" t="s">
        <v>1063</v>
      </c>
      <c r="AD337" t="s">
        <v>148</v>
      </c>
      <c r="AE337" t="s">
        <v>172</v>
      </c>
      <c r="AF337" t="s">
        <v>752</v>
      </c>
      <c r="AG337" t="s">
        <v>228</v>
      </c>
      <c r="AH337" t="s">
        <v>1078</v>
      </c>
      <c r="AI337" t="s">
        <v>766</v>
      </c>
      <c r="AJ337" t="s">
        <v>1119</v>
      </c>
      <c r="AK337" t="s">
        <v>1079</v>
      </c>
      <c r="AL337" t="s">
        <v>229</v>
      </c>
      <c r="AM337" t="s">
        <v>146</v>
      </c>
      <c r="AN337" t="s">
        <v>321</v>
      </c>
      <c r="AO337" t="s">
        <v>1080</v>
      </c>
      <c r="AP337" t="s">
        <v>174</v>
      </c>
      <c r="AQ337" t="s">
        <v>1094</v>
      </c>
      <c r="AR337" t="s">
        <v>230</v>
      </c>
      <c r="AS337" t="s">
        <v>1096</v>
      </c>
      <c r="AT337" t="s">
        <v>917</v>
      </c>
      <c r="AU337" t="s">
        <v>231</v>
      </c>
      <c r="AV337" t="s">
        <v>1082</v>
      </c>
      <c r="AW337" t="s">
        <v>1117</v>
      </c>
      <c r="AX337" t="s">
        <v>1037</v>
      </c>
      <c r="AY337" t="s">
        <v>974</v>
      </c>
      <c r="AZ337" t="s">
        <v>963</v>
      </c>
      <c r="BA337" t="s">
        <v>1020</v>
      </c>
      <c r="BB337" t="s">
        <v>232</v>
      </c>
      <c r="BC337" t="s">
        <v>322</v>
      </c>
      <c r="BD337" t="s">
        <v>1042</v>
      </c>
      <c r="BE337" t="s">
        <v>785</v>
      </c>
      <c r="BF337" t="s">
        <v>756</v>
      </c>
      <c r="BG337" t="s">
        <v>757</v>
      </c>
      <c r="BH337" t="s">
        <v>1014</v>
      </c>
      <c r="BI337" t="s">
        <v>233</v>
      </c>
      <c r="BJ337" t="s">
        <v>2398</v>
      </c>
      <c r="BK337" t="s">
        <v>2342</v>
      </c>
      <c r="BL337" t="s">
        <v>2339</v>
      </c>
      <c r="BM337" t="s">
        <v>234</v>
      </c>
      <c r="BN337" t="s">
        <v>215</v>
      </c>
      <c r="BO337" t="s">
        <v>387</v>
      </c>
      <c r="BP337" t="s">
        <v>788</v>
      </c>
      <c r="BQ337" t="s">
        <v>779</v>
      </c>
      <c r="BR337" t="s">
        <v>918</v>
      </c>
      <c r="BS337" t="s">
        <v>1113</v>
      </c>
      <c r="BT337" t="s">
        <v>1115</v>
      </c>
      <c r="BU337" t="s">
        <v>962</v>
      </c>
      <c r="BV337" t="s">
        <v>239</v>
      </c>
      <c r="BW337" t="s">
        <v>241</v>
      </c>
      <c r="BX337" t="s">
        <v>805</v>
      </c>
      <c r="BY337" t="s">
        <v>806</v>
      </c>
    </row>
    <row r="338" spans="1:96">
      <c r="A338" s="40">
        <v>315</v>
      </c>
      <c r="B338" s="40" t="s">
        <v>1585</v>
      </c>
      <c r="C338" s="2" t="s">
        <v>1586</v>
      </c>
      <c r="D338" s="2" t="s">
        <v>21</v>
      </c>
      <c r="E338" s="2" t="s">
        <v>11</v>
      </c>
      <c r="F338" s="2">
        <v>50</v>
      </c>
      <c r="G338" s="2">
        <v>60</v>
      </c>
      <c r="H338" s="2">
        <v>45</v>
      </c>
      <c r="I338" s="2">
        <v>100</v>
      </c>
      <c r="J338" s="2">
        <v>80</v>
      </c>
      <c r="K338" s="2">
        <v>65</v>
      </c>
      <c r="L338" s="2">
        <v>400</v>
      </c>
      <c r="M338" s="2" t="s">
        <v>1177</v>
      </c>
      <c r="N338" s="2" t="s">
        <v>1061</v>
      </c>
      <c r="O338" t="s">
        <v>402</v>
      </c>
      <c r="P338" t="s">
        <v>215</v>
      </c>
      <c r="Q338" t="s">
        <v>296</v>
      </c>
      <c r="R338" t="s">
        <v>288</v>
      </c>
      <c r="S338" t="s">
        <v>403</v>
      </c>
      <c r="T338" t="s">
        <v>142</v>
      </c>
      <c r="U338" t="s">
        <v>930</v>
      </c>
      <c r="V338" t="s">
        <v>1084</v>
      </c>
      <c r="W338" t="s">
        <v>171</v>
      </c>
      <c r="X338" t="s">
        <v>1011</v>
      </c>
      <c r="Y338" t="s">
        <v>1076</v>
      </c>
      <c r="Z338" t="s">
        <v>1085</v>
      </c>
      <c r="AA338" t="s">
        <v>236</v>
      </c>
      <c r="AB338" t="s">
        <v>148</v>
      </c>
      <c r="AC338" t="s">
        <v>1153</v>
      </c>
      <c r="AD338" t="s">
        <v>750</v>
      </c>
      <c r="AE338" t="s">
        <v>2391</v>
      </c>
      <c r="AF338" t="s">
        <v>1062</v>
      </c>
      <c r="AG338" t="s">
        <v>226</v>
      </c>
      <c r="AH338" t="s">
        <v>1063</v>
      </c>
      <c r="AI338" t="s">
        <v>148</v>
      </c>
      <c r="AJ338" t="s">
        <v>1077</v>
      </c>
      <c r="AK338" t="s">
        <v>172</v>
      </c>
      <c r="AL338" t="s">
        <v>752</v>
      </c>
      <c r="AM338" t="s">
        <v>1078</v>
      </c>
      <c r="AN338" t="s">
        <v>766</v>
      </c>
      <c r="AO338" t="s">
        <v>1079</v>
      </c>
      <c r="AP338" t="s">
        <v>229</v>
      </c>
      <c r="AQ338" t="s">
        <v>1080</v>
      </c>
      <c r="AR338" t="s">
        <v>174</v>
      </c>
      <c r="AS338" t="s">
        <v>230</v>
      </c>
      <c r="AT338" t="s">
        <v>1081</v>
      </c>
      <c r="AU338" t="s">
        <v>917</v>
      </c>
      <c r="AV338" t="s">
        <v>231</v>
      </c>
      <c r="AW338" t="s">
        <v>1082</v>
      </c>
      <c r="AX338" t="s">
        <v>1037</v>
      </c>
      <c r="AY338" t="s">
        <v>970</v>
      </c>
      <c r="AZ338" t="s">
        <v>232</v>
      </c>
      <c r="BA338" t="s">
        <v>145</v>
      </c>
      <c r="BB338" t="s">
        <v>785</v>
      </c>
      <c r="BC338" t="s">
        <v>997</v>
      </c>
      <c r="BD338" t="s">
        <v>977</v>
      </c>
      <c r="BE338" t="s">
        <v>756</v>
      </c>
      <c r="BF338" t="s">
        <v>757</v>
      </c>
      <c r="BG338" t="s">
        <v>233</v>
      </c>
      <c r="BH338" t="s">
        <v>1087</v>
      </c>
      <c r="BI338" t="s">
        <v>2342</v>
      </c>
      <c r="BJ338" t="s">
        <v>2339</v>
      </c>
      <c r="BK338" t="s">
        <v>234</v>
      </c>
      <c r="BL338" t="s">
        <v>305</v>
      </c>
      <c r="BM338" t="s">
        <v>224</v>
      </c>
      <c r="BN338" t="s">
        <v>222</v>
      </c>
      <c r="BO338" t="s">
        <v>792</v>
      </c>
      <c r="BP338" t="s">
        <v>1297</v>
      </c>
      <c r="BQ338" t="s">
        <v>1215</v>
      </c>
      <c r="BR338" t="s">
        <v>171</v>
      </c>
      <c r="BS338" t="s">
        <v>750</v>
      </c>
      <c r="BT338" t="s">
        <v>1084</v>
      </c>
      <c r="BU338" t="s">
        <v>1154</v>
      </c>
      <c r="BV338" t="s">
        <v>992</v>
      </c>
      <c r="BW338" t="s">
        <v>1004</v>
      </c>
      <c r="BX338" t="s">
        <v>1086</v>
      </c>
      <c r="BY338" t="s">
        <v>239</v>
      </c>
      <c r="BZ338" t="s">
        <v>241</v>
      </c>
      <c r="CA338" t="s">
        <v>955</v>
      </c>
      <c r="CB338" t="s">
        <v>1017</v>
      </c>
      <c r="CC338" t="s">
        <v>805</v>
      </c>
      <c r="CD338" t="s">
        <v>806</v>
      </c>
    </row>
    <row r="339" spans="1:96">
      <c r="A339" s="40">
        <v>316</v>
      </c>
      <c r="B339" s="40" t="s">
        <v>1587</v>
      </c>
      <c r="C339" s="2" t="s">
        <v>1588</v>
      </c>
      <c r="D339" s="2" t="s">
        <v>11</v>
      </c>
      <c r="E339" s="2"/>
      <c r="F339" s="2">
        <v>70</v>
      </c>
      <c r="G339" s="2">
        <v>43</v>
      </c>
      <c r="H339" s="2">
        <v>53</v>
      </c>
      <c r="I339" s="2">
        <v>43</v>
      </c>
      <c r="J339" s="2">
        <v>53</v>
      </c>
      <c r="K339" s="2">
        <v>40</v>
      </c>
      <c r="L339" s="2">
        <v>302</v>
      </c>
      <c r="M339" s="2" t="s">
        <v>1112</v>
      </c>
      <c r="N339" s="2" t="s">
        <v>1061</v>
      </c>
      <c r="O339" t="s">
        <v>376</v>
      </c>
      <c r="P339" t="s">
        <v>958</v>
      </c>
      <c r="Q339" t="s">
        <v>516</v>
      </c>
      <c r="R339" t="s">
        <v>238</v>
      </c>
      <c r="S339" t="s">
        <v>235</v>
      </c>
      <c r="T339" t="s">
        <v>779</v>
      </c>
      <c r="U339" t="s">
        <v>148</v>
      </c>
      <c r="V339" t="s">
        <v>1134</v>
      </c>
      <c r="W339" t="s">
        <v>946</v>
      </c>
      <c r="X339" t="s">
        <v>1133</v>
      </c>
      <c r="Y339" t="s">
        <v>948</v>
      </c>
      <c r="Z339" t="s">
        <v>2335</v>
      </c>
      <c r="AA339" t="s">
        <v>1081</v>
      </c>
      <c r="AB339" t="s">
        <v>975</v>
      </c>
      <c r="AC339" t="s">
        <v>1189</v>
      </c>
      <c r="AD339" t="s">
        <v>979</v>
      </c>
      <c r="AE339" t="s">
        <v>1062</v>
      </c>
      <c r="AF339" t="s">
        <v>227</v>
      </c>
      <c r="AG339" t="s">
        <v>1063</v>
      </c>
      <c r="AH339" t="s">
        <v>148</v>
      </c>
      <c r="AI339" t="s">
        <v>1077</v>
      </c>
      <c r="AJ339" t="s">
        <v>172</v>
      </c>
      <c r="AK339" t="s">
        <v>752</v>
      </c>
      <c r="AL339" t="s">
        <v>141</v>
      </c>
      <c r="AM339" t="s">
        <v>1078</v>
      </c>
      <c r="AN339" t="s">
        <v>766</v>
      </c>
      <c r="AO339" t="s">
        <v>1079</v>
      </c>
      <c r="AP339" t="s">
        <v>229</v>
      </c>
      <c r="AQ339" t="s">
        <v>1080</v>
      </c>
      <c r="AR339" t="s">
        <v>174</v>
      </c>
      <c r="AS339" t="s">
        <v>230</v>
      </c>
      <c r="AT339" t="s">
        <v>186</v>
      </c>
      <c r="AU339" t="s">
        <v>1081</v>
      </c>
      <c r="AV339" t="s">
        <v>917</v>
      </c>
      <c r="AW339" t="s">
        <v>231</v>
      </c>
      <c r="AX339" t="s">
        <v>1082</v>
      </c>
      <c r="AY339" t="s">
        <v>1037</v>
      </c>
      <c r="AZ339" t="s">
        <v>485</v>
      </c>
      <c r="BA339" t="s">
        <v>2369</v>
      </c>
      <c r="BB339" t="s">
        <v>293</v>
      </c>
      <c r="BC339" t="s">
        <v>756</v>
      </c>
      <c r="BD339" t="s">
        <v>757</v>
      </c>
      <c r="BE339" t="s">
        <v>233</v>
      </c>
      <c r="BF339" t="s">
        <v>760</v>
      </c>
      <c r="BG339" t="s">
        <v>2398</v>
      </c>
      <c r="BH339" t="s">
        <v>2339</v>
      </c>
      <c r="BI339" t="s">
        <v>234</v>
      </c>
      <c r="BJ339" t="s">
        <v>530</v>
      </c>
      <c r="BK339" t="s">
        <v>517</v>
      </c>
      <c r="BL339" t="s">
        <v>751</v>
      </c>
      <c r="BM339" t="s">
        <v>755</v>
      </c>
      <c r="BN339" t="s">
        <v>793</v>
      </c>
      <c r="BO339" t="s">
        <v>794</v>
      </c>
      <c r="BP339" t="s">
        <v>979</v>
      </c>
      <c r="BQ339" t="s">
        <v>2410</v>
      </c>
      <c r="BR339" t="s">
        <v>239</v>
      </c>
      <c r="BS339" t="s">
        <v>241</v>
      </c>
      <c r="BT339" t="s">
        <v>805</v>
      </c>
      <c r="BU339" t="s">
        <v>806</v>
      </c>
    </row>
    <row r="340" spans="1:96">
      <c r="A340" s="40">
        <v>317</v>
      </c>
      <c r="B340" s="40" t="s">
        <v>1589</v>
      </c>
      <c r="C340" s="2" t="s">
        <v>1590</v>
      </c>
      <c r="D340" s="2" t="s">
        <v>11</v>
      </c>
      <c r="E340" s="2"/>
      <c r="F340" s="2">
        <v>100</v>
      </c>
      <c r="G340" s="2">
        <v>73</v>
      </c>
      <c r="H340" s="2">
        <v>83</v>
      </c>
      <c r="I340" s="2">
        <v>73</v>
      </c>
      <c r="J340" s="2">
        <v>83</v>
      </c>
      <c r="K340" s="2">
        <v>55</v>
      </c>
      <c r="L340" s="2">
        <v>467</v>
      </c>
      <c r="M340" s="2" t="s">
        <v>1074</v>
      </c>
      <c r="N340" s="2" t="s">
        <v>1061</v>
      </c>
      <c r="O340" t="s">
        <v>376</v>
      </c>
      <c r="P340" t="s">
        <v>238</v>
      </c>
      <c r="Q340" t="s">
        <v>516</v>
      </c>
      <c r="R340" t="s">
        <v>958</v>
      </c>
      <c r="S340" t="s">
        <v>958</v>
      </c>
      <c r="T340" t="s">
        <v>516</v>
      </c>
      <c r="U340" t="s">
        <v>238</v>
      </c>
      <c r="V340" t="s">
        <v>235</v>
      </c>
      <c r="W340" t="s">
        <v>779</v>
      </c>
      <c r="X340" t="s">
        <v>364</v>
      </c>
      <c r="Y340" t="s">
        <v>148</v>
      </c>
      <c r="Z340" t="s">
        <v>1134</v>
      </c>
      <c r="AA340" t="s">
        <v>946</v>
      </c>
      <c r="AB340" t="s">
        <v>1133</v>
      </c>
      <c r="AC340" t="s">
        <v>948</v>
      </c>
      <c r="AD340" t="s">
        <v>2335</v>
      </c>
      <c r="AE340" t="s">
        <v>1081</v>
      </c>
      <c r="AF340" t="s">
        <v>975</v>
      </c>
      <c r="AG340" t="s">
        <v>1189</v>
      </c>
      <c r="AH340" t="s">
        <v>979</v>
      </c>
      <c r="AI340" t="s">
        <v>1062</v>
      </c>
      <c r="AJ340" t="s">
        <v>227</v>
      </c>
      <c r="AK340" t="s">
        <v>1063</v>
      </c>
      <c r="AL340" t="s">
        <v>148</v>
      </c>
      <c r="AM340" t="s">
        <v>1077</v>
      </c>
      <c r="AN340" t="s">
        <v>172</v>
      </c>
      <c r="AO340" t="s">
        <v>752</v>
      </c>
      <c r="AP340" t="s">
        <v>141</v>
      </c>
      <c r="AQ340" t="s">
        <v>247</v>
      </c>
      <c r="AR340" t="s">
        <v>1078</v>
      </c>
      <c r="AS340" t="s">
        <v>766</v>
      </c>
      <c r="AT340" t="s">
        <v>1079</v>
      </c>
      <c r="AU340" t="s">
        <v>229</v>
      </c>
      <c r="AV340" t="s">
        <v>136</v>
      </c>
      <c r="AW340" t="s">
        <v>1080</v>
      </c>
      <c r="AX340" t="s">
        <v>174</v>
      </c>
      <c r="AY340" t="s">
        <v>230</v>
      </c>
      <c r="AZ340" t="s">
        <v>186</v>
      </c>
      <c r="BA340" t="s">
        <v>1081</v>
      </c>
      <c r="BB340" t="s">
        <v>917</v>
      </c>
      <c r="BC340" t="s">
        <v>231</v>
      </c>
      <c r="BD340" t="s">
        <v>1082</v>
      </c>
      <c r="BE340" t="s">
        <v>1037</v>
      </c>
      <c r="BF340" t="s">
        <v>485</v>
      </c>
      <c r="BG340" t="s">
        <v>976</v>
      </c>
      <c r="BH340" t="s">
        <v>1021</v>
      </c>
      <c r="BI340" t="s">
        <v>2369</v>
      </c>
      <c r="BJ340" t="s">
        <v>293</v>
      </c>
      <c r="BK340" t="s">
        <v>756</v>
      </c>
      <c r="BL340" t="s">
        <v>757</v>
      </c>
      <c r="BM340" t="s">
        <v>233</v>
      </c>
      <c r="BN340" t="s">
        <v>760</v>
      </c>
      <c r="BO340" t="s">
        <v>2398</v>
      </c>
      <c r="BP340" t="s">
        <v>2339</v>
      </c>
      <c r="BQ340" t="s">
        <v>234</v>
      </c>
      <c r="BR340" t="s">
        <v>530</v>
      </c>
      <c r="BS340" t="s">
        <v>517</v>
      </c>
      <c r="BT340" t="s">
        <v>751</v>
      </c>
      <c r="BU340" t="s">
        <v>755</v>
      </c>
      <c r="BV340" t="s">
        <v>793</v>
      </c>
      <c r="BW340" t="s">
        <v>794</v>
      </c>
      <c r="BX340" t="s">
        <v>979</v>
      </c>
      <c r="BY340" t="s">
        <v>2410</v>
      </c>
      <c r="BZ340" t="s">
        <v>239</v>
      </c>
      <c r="CA340" t="s">
        <v>241</v>
      </c>
      <c r="CB340" t="s">
        <v>805</v>
      </c>
      <c r="CC340" t="s">
        <v>806</v>
      </c>
    </row>
    <row r="341" spans="1:96">
      <c r="A341" s="40">
        <v>318</v>
      </c>
      <c r="B341" s="40" t="s">
        <v>1591</v>
      </c>
      <c r="C341" s="2" t="s">
        <v>1592</v>
      </c>
      <c r="D341" s="2" t="s">
        <v>27</v>
      </c>
      <c r="E341" s="2" t="s">
        <v>15</v>
      </c>
      <c r="F341" s="2">
        <v>45</v>
      </c>
      <c r="G341" s="2">
        <v>90</v>
      </c>
      <c r="H341" s="2">
        <v>20</v>
      </c>
      <c r="I341" s="2">
        <v>65</v>
      </c>
      <c r="J341" s="2">
        <v>20</v>
      </c>
      <c r="K341" s="2">
        <v>65</v>
      </c>
      <c r="L341" s="2">
        <v>305</v>
      </c>
      <c r="M341" s="2" t="s">
        <v>1199</v>
      </c>
      <c r="N341" s="2" t="s">
        <v>1061</v>
      </c>
      <c r="O341" t="s">
        <v>330</v>
      </c>
      <c r="P341" t="s">
        <v>258</v>
      </c>
      <c r="Q341" t="s">
        <v>304</v>
      </c>
      <c r="R341" t="s">
        <v>302</v>
      </c>
      <c r="S341" t="s">
        <v>1092</v>
      </c>
      <c r="T341" t="s">
        <v>983</v>
      </c>
      <c r="U341" t="s">
        <v>324</v>
      </c>
      <c r="V341" t="s">
        <v>756</v>
      </c>
      <c r="W341" t="s">
        <v>960</v>
      </c>
      <c r="X341" t="s">
        <v>777</v>
      </c>
      <c r="Y341" t="s">
        <v>959</v>
      </c>
      <c r="Z341" t="s">
        <v>306</v>
      </c>
      <c r="AA341" t="s">
        <v>223</v>
      </c>
      <c r="AB341" t="s">
        <v>1062</v>
      </c>
      <c r="AC341" t="s">
        <v>144</v>
      </c>
      <c r="AD341" t="s">
        <v>270</v>
      </c>
      <c r="AE341" t="s">
        <v>914</v>
      </c>
      <c r="AF341" t="s">
        <v>1063</v>
      </c>
      <c r="AG341" t="s">
        <v>148</v>
      </c>
      <c r="AH341" t="s">
        <v>1104</v>
      </c>
      <c r="AI341" t="s">
        <v>172</v>
      </c>
      <c r="AJ341" t="s">
        <v>1126</v>
      </c>
      <c r="AK341" t="s">
        <v>141</v>
      </c>
      <c r="AL341" t="s">
        <v>271</v>
      </c>
      <c r="AM341" t="s">
        <v>1078</v>
      </c>
      <c r="AN341" t="s">
        <v>766</v>
      </c>
      <c r="AO341" t="s">
        <v>1079</v>
      </c>
      <c r="AP341" t="s">
        <v>1080</v>
      </c>
      <c r="AQ341" t="s">
        <v>230</v>
      </c>
      <c r="AR341" t="s">
        <v>951</v>
      </c>
      <c r="AS341" t="s">
        <v>917</v>
      </c>
      <c r="AT341" t="s">
        <v>231</v>
      </c>
      <c r="AU341" t="s">
        <v>1082</v>
      </c>
      <c r="AV341" t="s">
        <v>1117</v>
      </c>
      <c r="AW341" t="s">
        <v>1037</v>
      </c>
      <c r="AX341" t="s">
        <v>1038</v>
      </c>
      <c r="AY341" t="s">
        <v>995</v>
      </c>
      <c r="AZ341" t="s">
        <v>1036</v>
      </c>
      <c r="BA341" t="s">
        <v>756</v>
      </c>
      <c r="BB341" t="s">
        <v>757</v>
      </c>
      <c r="BC341" t="s">
        <v>233</v>
      </c>
      <c r="BD341" t="s">
        <v>1040</v>
      </c>
      <c r="BE341" t="s">
        <v>1157</v>
      </c>
      <c r="BF341" t="s">
        <v>2339</v>
      </c>
      <c r="BG341" t="s">
        <v>234</v>
      </c>
      <c r="BH341" t="s">
        <v>373</v>
      </c>
      <c r="BI341" t="s">
        <v>225</v>
      </c>
      <c r="BJ341" t="s">
        <v>140</v>
      </c>
      <c r="BK341" t="s">
        <v>354</v>
      </c>
      <c r="BL341" t="s">
        <v>793</v>
      </c>
      <c r="BM341" t="s">
        <v>170</v>
      </c>
      <c r="BN341" t="s">
        <v>961</v>
      </c>
      <c r="BO341" t="s">
        <v>239</v>
      </c>
      <c r="BP341" t="s">
        <v>241</v>
      </c>
      <c r="BQ341" t="s">
        <v>805</v>
      </c>
      <c r="BR341" t="s">
        <v>806</v>
      </c>
    </row>
    <row r="342" spans="1:96">
      <c r="A342" s="40">
        <v>319</v>
      </c>
      <c r="B342" s="40" t="s">
        <v>1593</v>
      </c>
      <c r="C342" s="2" t="s">
        <v>1594</v>
      </c>
      <c r="D342" s="2" t="s">
        <v>27</v>
      </c>
      <c r="E342" s="2" t="s">
        <v>15</v>
      </c>
      <c r="F342" s="2">
        <v>70</v>
      </c>
      <c r="G342" s="2">
        <v>120</v>
      </c>
      <c r="H342" s="2">
        <v>40</v>
      </c>
      <c r="I342" s="2">
        <v>95</v>
      </c>
      <c r="J342" s="2">
        <v>40</v>
      </c>
      <c r="K342" s="2">
        <v>95</v>
      </c>
      <c r="L342" s="2">
        <v>460</v>
      </c>
      <c r="M342" s="2" t="s">
        <v>1129</v>
      </c>
      <c r="N342" s="2" t="s">
        <v>1061</v>
      </c>
      <c r="O342" t="s">
        <v>330</v>
      </c>
      <c r="P342" t="s">
        <v>258</v>
      </c>
      <c r="Q342" t="s">
        <v>304</v>
      </c>
      <c r="R342" t="s">
        <v>302</v>
      </c>
      <c r="S342" t="s">
        <v>971</v>
      </c>
      <c r="T342" t="s">
        <v>304</v>
      </c>
      <c r="U342" t="s">
        <v>302</v>
      </c>
      <c r="V342" t="s">
        <v>1092</v>
      </c>
      <c r="W342" t="s">
        <v>983</v>
      </c>
      <c r="X342" t="s">
        <v>324</v>
      </c>
      <c r="Y342" t="s">
        <v>756</v>
      </c>
      <c r="Z342" t="s">
        <v>960</v>
      </c>
      <c r="AA342" t="s">
        <v>777</v>
      </c>
      <c r="AB342" t="s">
        <v>253</v>
      </c>
      <c r="AC342" t="s">
        <v>959</v>
      </c>
      <c r="AD342" t="s">
        <v>1126</v>
      </c>
      <c r="AE342" t="s">
        <v>306</v>
      </c>
      <c r="AF342" t="s">
        <v>237</v>
      </c>
      <c r="AG342" t="s">
        <v>993</v>
      </c>
      <c r="AH342" t="s">
        <v>1062</v>
      </c>
      <c r="AI342" t="s">
        <v>144</v>
      </c>
      <c r="AJ342" t="s">
        <v>227</v>
      </c>
      <c r="AK342" t="s">
        <v>270</v>
      </c>
      <c r="AL342" t="s">
        <v>914</v>
      </c>
      <c r="AM342" t="s">
        <v>1063</v>
      </c>
      <c r="AN342" t="s">
        <v>246</v>
      </c>
      <c r="AO342" t="s">
        <v>148</v>
      </c>
      <c r="AP342" t="s">
        <v>1104</v>
      </c>
      <c r="AQ342" t="s">
        <v>172</v>
      </c>
      <c r="AR342" t="s">
        <v>1126</v>
      </c>
      <c r="AS342" t="s">
        <v>141</v>
      </c>
      <c r="AT342" t="s">
        <v>271</v>
      </c>
      <c r="AU342" t="s">
        <v>247</v>
      </c>
      <c r="AV342" t="s">
        <v>1078</v>
      </c>
      <c r="AW342" t="s">
        <v>766</v>
      </c>
      <c r="AX342" t="s">
        <v>1079</v>
      </c>
      <c r="AY342" t="s">
        <v>136</v>
      </c>
      <c r="AZ342" t="s">
        <v>1080</v>
      </c>
      <c r="BA342" t="s">
        <v>230</v>
      </c>
      <c r="BB342" t="s">
        <v>1095</v>
      </c>
      <c r="BC342" t="s">
        <v>951</v>
      </c>
      <c r="BD342" t="s">
        <v>917</v>
      </c>
      <c r="BE342" t="s">
        <v>231</v>
      </c>
      <c r="BF342" t="s">
        <v>1082</v>
      </c>
      <c r="BG342" t="s">
        <v>1117</v>
      </c>
      <c r="BH342" t="s">
        <v>1037</v>
      </c>
      <c r="BI342" t="s">
        <v>1038</v>
      </c>
      <c r="BJ342" t="s">
        <v>995</v>
      </c>
      <c r="BK342" t="s">
        <v>1036</v>
      </c>
      <c r="BL342" t="s">
        <v>976</v>
      </c>
      <c r="BM342" t="s">
        <v>1021</v>
      </c>
      <c r="BN342" t="s">
        <v>997</v>
      </c>
      <c r="BO342" t="s">
        <v>756</v>
      </c>
      <c r="BP342" t="s">
        <v>757</v>
      </c>
      <c r="BQ342" t="s">
        <v>233</v>
      </c>
      <c r="BR342" t="s">
        <v>760</v>
      </c>
      <c r="BS342" t="s">
        <v>1040</v>
      </c>
      <c r="BT342" t="s">
        <v>1157</v>
      </c>
      <c r="BU342" t="s">
        <v>2339</v>
      </c>
      <c r="BV342" t="s">
        <v>234</v>
      </c>
      <c r="BW342" t="s">
        <v>373</v>
      </c>
      <c r="BX342" t="s">
        <v>225</v>
      </c>
      <c r="BY342" t="s">
        <v>140</v>
      </c>
      <c r="BZ342" t="s">
        <v>354</v>
      </c>
      <c r="CA342" t="s">
        <v>793</v>
      </c>
      <c r="CB342" t="s">
        <v>170</v>
      </c>
      <c r="CC342" t="s">
        <v>961</v>
      </c>
      <c r="CD342" t="s">
        <v>239</v>
      </c>
      <c r="CE342" t="s">
        <v>241</v>
      </c>
      <c r="CF342" t="s">
        <v>223</v>
      </c>
      <c r="CG342" t="s">
        <v>805</v>
      </c>
      <c r="CH342" t="s">
        <v>806</v>
      </c>
    </row>
    <row r="343" spans="1:96">
      <c r="A343" s="40">
        <v>320</v>
      </c>
      <c r="B343" s="40" t="s">
        <v>1595</v>
      </c>
      <c r="C343" s="2" t="s">
        <v>1596</v>
      </c>
      <c r="D343" s="2" t="s">
        <v>27</v>
      </c>
      <c r="E343" s="2"/>
      <c r="F343" s="2">
        <v>130</v>
      </c>
      <c r="G343" s="2">
        <v>70</v>
      </c>
      <c r="H343" s="2">
        <v>35</v>
      </c>
      <c r="I343" s="2">
        <v>70</v>
      </c>
      <c r="J343" s="2">
        <v>35</v>
      </c>
      <c r="K343" s="2">
        <v>60</v>
      </c>
      <c r="L343" s="2">
        <v>400</v>
      </c>
      <c r="M343" s="2" t="s">
        <v>1089</v>
      </c>
      <c r="N343" s="2" t="s">
        <v>1061</v>
      </c>
      <c r="O343" t="s">
        <v>382</v>
      </c>
      <c r="P343" t="s">
        <v>220</v>
      </c>
      <c r="Q343" t="s">
        <v>269</v>
      </c>
      <c r="R343" t="s">
        <v>768</v>
      </c>
      <c r="S343" t="s">
        <v>767</v>
      </c>
      <c r="T343" t="s">
        <v>1130</v>
      </c>
      <c r="U343" t="s">
        <v>954</v>
      </c>
      <c r="V343" t="s">
        <v>273</v>
      </c>
      <c r="W343" t="s">
        <v>231</v>
      </c>
      <c r="X343" t="s">
        <v>961</v>
      </c>
      <c r="Y343" t="s">
        <v>1107</v>
      </c>
      <c r="Z343" t="s">
        <v>235</v>
      </c>
      <c r="AA343" t="s">
        <v>914</v>
      </c>
      <c r="AB343" t="s">
        <v>175</v>
      </c>
      <c r="AC343" t="s">
        <v>140</v>
      </c>
      <c r="AD343" t="s">
        <v>184</v>
      </c>
      <c r="AE343" t="s">
        <v>1062</v>
      </c>
      <c r="AF343" t="s">
        <v>144</v>
      </c>
      <c r="AG343" t="s">
        <v>227</v>
      </c>
      <c r="AH343" t="s">
        <v>270</v>
      </c>
      <c r="AI343" t="s">
        <v>914</v>
      </c>
      <c r="AJ343" t="s">
        <v>1063</v>
      </c>
      <c r="AK343" t="s">
        <v>246</v>
      </c>
      <c r="AL343" t="s">
        <v>148</v>
      </c>
      <c r="AM343" t="s">
        <v>1104</v>
      </c>
      <c r="AN343" t="s">
        <v>172</v>
      </c>
      <c r="AO343" t="s">
        <v>141</v>
      </c>
      <c r="AP343" t="s">
        <v>271</v>
      </c>
      <c r="AQ343" t="s">
        <v>1078</v>
      </c>
      <c r="AR343" t="s">
        <v>766</v>
      </c>
      <c r="AS343" t="s">
        <v>1079</v>
      </c>
      <c r="AT343" t="s">
        <v>136</v>
      </c>
      <c r="AU343" t="s">
        <v>1080</v>
      </c>
      <c r="AV343" t="s">
        <v>230</v>
      </c>
      <c r="AW343" t="s">
        <v>1095</v>
      </c>
      <c r="AX343" t="s">
        <v>917</v>
      </c>
      <c r="AY343" t="s">
        <v>231</v>
      </c>
      <c r="AZ343" t="s">
        <v>1082</v>
      </c>
      <c r="BA343" t="s">
        <v>1037</v>
      </c>
      <c r="BB343" t="s">
        <v>1083</v>
      </c>
      <c r="BC343" t="s">
        <v>1038</v>
      </c>
      <c r="BD343" t="s">
        <v>1021</v>
      </c>
      <c r="BE343" t="s">
        <v>756</v>
      </c>
      <c r="BF343" t="s">
        <v>757</v>
      </c>
      <c r="BG343" t="s">
        <v>233</v>
      </c>
      <c r="BH343" t="s">
        <v>760</v>
      </c>
      <c r="BI343" t="s">
        <v>2339</v>
      </c>
      <c r="BJ343" t="s">
        <v>234</v>
      </c>
      <c r="BK343" t="s">
        <v>364</v>
      </c>
      <c r="BL343" t="s">
        <v>373</v>
      </c>
      <c r="BM343" t="s">
        <v>225</v>
      </c>
      <c r="BN343" t="s">
        <v>419</v>
      </c>
      <c r="BO343" t="s">
        <v>353</v>
      </c>
      <c r="BP343" t="s">
        <v>753</v>
      </c>
      <c r="BQ343" t="s">
        <v>751</v>
      </c>
      <c r="BR343" t="s">
        <v>757</v>
      </c>
      <c r="BS343" t="s">
        <v>950</v>
      </c>
      <c r="BT343" t="s">
        <v>178</v>
      </c>
      <c r="BU343" t="s">
        <v>1019</v>
      </c>
      <c r="BV343" t="s">
        <v>1170</v>
      </c>
      <c r="BW343" t="s">
        <v>1191</v>
      </c>
      <c r="BX343" t="s">
        <v>239</v>
      </c>
      <c r="BY343" t="s">
        <v>241</v>
      </c>
      <c r="BZ343" t="s">
        <v>805</v>
      </c>
      <c r="CA343" t="s">
        <v>806</v>
      </c>
    </row>
    <row r="344" spans="1:96">
      <c r="A344" s="40">
        <v>321</v>
      </c>
      <c r="B344" s="40" t="s">
        <v>1597</v>
      </c>
      <c r="C344" s="2" t="s">
        <v>1598</v>
      </c>
      <c r="D344" s="2" t="s">
        <v>27</v>
      </c>
      <c r="E344" s="2"/>
      <c r="F344" s="2">
        <v>170</v>
      </c>
      <c r="G344" s="2">
        <v>90</v>
      </c>
      <c r="H344" s="2">
        <v>45</v>
      </c>
      <c r="I344" s="2">
        <v>90</v>
      </c>
      <c r="J344" s="2">
        <v>45</v>
      </c>
      <c r="K344" s="2">
        <v>60</v>
      </c>
      <c r="L344" s="2">
        <v>500</v>
      </c>
      <c r="M344" s="2" t="s">
        <v>1141</v>
      </c>
      <c r="N344" s="2" t="s">
        <v>1061</v>
      </c>
      <c r="O344" t="s">
        <v>220</v>
      </c>
      <c r="P344" t="s">
        <v>269</v>
      </c>
      <c r="Q344" t="s">
        <v>382</v>
      </c>
      <c r="R344" t="s">
        <v>768</v>
      </c>
      <c r="S344" t="s">
        <v>220</v>
      </c>
      <c r="T344" t="s">
        <v>269</v>
      </c>
      <c r="U344" t="s">
        <v>768</v>
      </c>
      <c r="V344" t="s">
        <v>767</v>
      </c>
      <c r="W344" t="s">
        <v>1130</v>
      </c>
      <c r="X344" t="s">
        <v>954</v>
      </c>
      <c r="Y344" t="s">
        <v>273</v>
      </c>
      <c r="Z344" t="s">
        <v>231</v>
      </c>
      <c r="AA344" t="s">
        <v>961</v>
      </c>
      <c r="AB344" t="s">
        <v>1107</v>
      </c>
      <c r="AC344" t="s">
        <v>235</v>
      </c>
      <c r="AD344" t="s">
        <v>914</v>
      </c>
      <c r="AE344" t="s">
        <v>175</v>
      </c>
      <c r="AF344" t="s">
        <v>140</v>
      </c>
      <c r="AG344" t="s">
        <v>184</v>
      </c>
      <c r="AH344" t="s">
        <v>1062</v>
      </c>
      <c r="AI344" t="s">
        <v>144</v>
      </c>
      <c r="AJ344" t="s">
        <v>227</v>
      </c>
      <c r="AK344" t="s">
        <v>270</v>
      </c>
      <c r="AL344" t="s">
        <v>914</v>
      </c>
      <c r="AM344" t="s">
        <v>1063</v>
      </c>
      <c r="AN344" t="s">
        <v>246</v>
      </c>
      <c r="AO344" t="s">
        <v>148</v>
      </c>
      <c r="AP344" t="s">
        <v>1104</v>
      </c>
      <c r="AQ344" t="s">
        <v>172</v>
      </c>
      <c r="AR344" t="s">
        <v>141</v>
      </c>
      <c r="AS344" t="s">
        <v>271</v>
      </c>
      <c r="AT344" t="s">
        <v>247</v>
      </c>
      <c r="AU344" t="s">
        <v>1078</v>
      </c>
      <c r="AV344" t="s">
        <v>766</v>
      </c>
      <c r="AW344" t="s">
        <v>1079</v>
      </c>
      <c r="AX344" t="s">
        <v>136</v>
      </c>
      <c r="AY344" t="s">
        <v>1080</v>
      </c>
      <c r="AZ344" t="s">
        <v>230</v>
      </c>
      <c r="BA344" t="s">
        <v>1095</v>
      </c>
      <c r="BB344" t="s">
        <v>917</v>
      </c>
      <c r="BC344" t="s">
        <v>231</v>
      </c>
      <c r="BD344" t="s">
        <v>1082</v>
      </c>
      <c r="BE344" t="s">
        <v>1037</v>
      </c>
      <c r="BF344" t="s">
        <v>1083</v>
      </c>
      <c r="BG344" t="s">
        <v>1038</v>
      </c>
      <c r="BH344" t="s">
        <v>976</v>
      </c>
      <c r="BI344" t="s">
        <v>1021</v>
      </c>
      <c r="BJ344" t="s">
        <v>756</v>
      </c>
      <c r="BK344" t="s">
        <v>757</v>
      </c>
      <c r="BL344" t="s">
        <v>233</v>
      </c>
      <c r="BM344" t="s">
        <v>760</v>
      </c>
      <c r="BN344" t="s">
        <v>2339</v>
      </c>
      <c r="BO344" t="s">
        <v>234</v>
      </c>
      <c r="BP344" t="s">
        <v>364</v>
      </c>
      <c r="BQ344" t="s">
        <v>373</v>
      </c>
      <c r="BR344" t="s">
        <v>225</v>
      </c>
      <c r="BS344" t="s">
        <v>419</v>
      </c>
      <c r="BT344" t="s">
        <v>353</v>
      </c>
      <c r="BU344" t="s">
        <v>753</v>
      </c>
      <c r="BV344" t="s">
        <v>751</v>
      </c>
      <c r="BW344" t="s">
        <v>757</v>
      </c>
      <c r="BX344" t="s">
        <v>950</v>
      </c>
      <c r="BY344" t="s">
        <v>178</v>
      </c>
      <c r="BZ344" t="s">
        <v>1019</v>
      </c>
      <c r="CA344" t="s">
        <v>1170</v>
      </c>
      <c r="CB344" t="s">
        <v>1191</v>
      </c>
      <c r="CC344" t="s">
        <v>239</v>
      </c>
      <c r="CD344" t="s">
        <v>241</v>
      </c>
      <c r="CE344" t="s">
        <v>805</v>
      </c>
      <c r="CF344" t="s">
        <v>806</v>
      </c>
    </row>
    <row r="345" spans="1:96">
      <c r="A345" s="40">
        <v>322</v>
      </c>
      <c r="B345" s="40" t="s">
        <v>1599</v>
      </c>
      <c r="C345" s="2" t="s">
        <v>1600</v>
      </c>
      <c r="D345" s="2" t="s">
        <v>19</v>
      </c>
      <c r="E345" s="2" t="s">
        <v>22</v>
      </c>
      <c r="F345" s="2">
        <v>60</v>
      </c>
      <c r="G345" s="2">
        <v>60</v>
      </c>
      <c r="H345" s="2">
        <v>40</v>
      </c>
      <c r="I345" s="2">
        <v>65</v>
      </c>
      <c r="J345" s="2">
        <v>45</v>
      </c>
      <c r="K345" s="2">
        <v>35</v>
      </c>
      <c r="L345" s="2">
        <v>305</v>
      </c>
      <c r="M345" s="2" t="s">
        <v>1158</v>
      </c>
      <c r="N345" s="2" t="s">
        <v>1061</v>
      </c>
      <c r="O345" t="s">
        <v>219</v>
      </c>
      <c r="P345" t="s">
        <v>220</v>
      </c>
      <c r="Q345" t="s">
        <v>250</v>
      </c>
      <c r="R345" t="s">
        <v>789</v>
      </c>
      <c r="S345" t="s">
        <v>302</v>
      </c>
      <c r="T345" t="s">
        <v>1026</v>
      </c>
      <c r="U345" t="s">
        <v>235</v>
      </c>
      <c r="V345" t="s">
        <v>1231</v>
      </c>
      <c r="W345" t="s">
        <v>968</v>
      </c>
      <c r="X345" t="s">
        <v>751</v>
      </c>
      <c r="Y345" t="s">
        <v>223</v>
      </c>
      <c r="Z345" t="s">
        <v>958</v>
      </c>
      <c r="AA345" t="s">
        <v>136</v>
      </c>
      <c r="AB345" t="s">
        <v>254</v>
      </c>
      <c r="AC345" t="s">
        <v>225</v>
      </c>
      <c r="AD345" t="s">
        <v>1062</v>
      </c>
      <c r="AE345" t="s">
        <v>227</v>
      </c>
      <c r="AF345" t="s">
        <v>1063</v>
      </c>
      <c r="AG345" t="s">
        <v>148</v>
      </c>
      <c r="AH345" t="s">
        <v>172</v>
      </c>
      <c r="AI345" t="s">
        <v>752</v>
      </c>
      <c r="AJ345" t="s">
        <v>1078</v>
      </c>
      <c r="AK345" t="s">
        <v>1079</v>
      </c>
      <c r="AL345" t="s">
        <v>136</v>
      </c>
      <c r="AM345" t="s">
        <v>1080</v>
      </c>
      <c r="AN345" t="s">
        <v>256</v>
      </c>
      <c r="AO345" t="s">
        <v>230</v>
      </c>
      <c r="AP345" t="s">
        <v>254</v>
      </c>
      <c r="AQ345" t="s">
        <v>765</v>
      </c>
      <c r="AR345" t="s">
        <v>257</v>
      </c>
      <c r="AS345" t="s">
        <v>1095</v>
      </c>
      <c r="AT345" t="s">
        <v>917</v>
      </c>
      <c r="AU345" t="s">
        <v>1097</v>
      </c>
      <c r="AV345" t="s">
        <v>231</v>
      </c>
      <c r="AW345" t="s">
        <v>1082</v>
      </c>
      <c r="AX345" t="s">
        <v>1037</v>
      </c>
      <c r="AY345" t="s">
        <v>1083</v>
      </c>
      <c r="AZ345" t="s">
        <v>1098</v>
      </c>
      <c r="BA345" t="s">
        <v>1031</v>
      </c>
      <c r="BB345" t="s">
        <v>956</v>
      </c>
      <c r="BC345" t="s">
        <v>1021</v>
      </c>
      <c r="BD345" t="s">
        <v>143</v>
      </c>
      <c r="BE345" t="s">
        <v>756</v>
      </c>
      <c r="BF345" t="s">
        <v>757</v>
      </c>
      <c r="BG345" t="s">
        <v>233</v>
      </c>
      <c r="BH345" t="s">
        <v>760</v>
      </c>
      <c r="BI345" t="s">
        <v>1087</v>
      </c>
      <c r="BJ345" t="s">
        <v>2339</v>
      </c>
      <c r="BK345" t="s">
        <v>234</v>
      </c>
      <c r="BL345" t="s">
        <v>493</v>
      </c>
      <c r="BM345" t="s">
        <v>364</v>
      </c>
      <c r="BN345" t="s">
        <v>215</v>
      </c>
      <c r="BO345" t="s">
        <v>353</v>
      </c>
      <c r="BP345" t="s">
        <v>1092</v>
      </c>
      <c r="BQ345" t="s">
        <v>754</v>
      </c>
      <c r="BR345" t="s">
        <v>768</v>
      </c>
      <c r="BS345" t="s">
        <v>170</v>
      </c>
      <c r="BT345" t="s">
        <v>946</v>
      </c>
      <c r="BU345" t="s">
        <v>1133</v>
      </c>
      <c r="BV345" t="s">
        <v>948</v>
      </c>
      <c r="BW345" t="s">
        <v>924</v>
      </c>
      <c r="BX345" t="s">
        <v>958</v>
      </c>
      <c r="BY345" t="s">
        <v>1155</v>
      </c>
      <c r="BZ345" t="s">
        <v>990</v>
      </c>
      <c r="CA345" t="s">
        <v>985</v>
      </c>
      <c r="CB345" t="s">
        <v>239</v>
      </c>
      <c r="CC345" t="s">
        <v>241</v>
      </c>
      <c r="CD345" t="s">
        <v>805</v>
      </c>
      <c r="CE345" t="s">
        <v>806</v>
      </c>
    </row>
    <row r="346" spans="1:96">
      <c r="A346" s="40">
        <v>323</v>
      </c>
      <c r="B346" s="40" t="s">
        <v>1601</v>
      </c>
      <c r="C346" s="2" t="s">
        <v>1602</v>
      </c>
      <c r="D346" s="2" t="s">
        <v>19</v>
      </c>
      <c r="E346" s="2" t="s">
        <v>22</v>
      </c>
      <c r="F346" s="2">
        <v>70</v>
      </c>
      <c r="G346" s="2">
        <v>100</v>
      </c>
      <c r="H346" s="2">
        <v>70</v>
      </c>
      <c r="I346" s="2">
        <v>105</v>
      </c>
      <c r="J346" s="2">
        <v>75</v>
      </c>
      <c r="K346" s="2">
        <v>40</v>
      </c>
      <c r="L346" s="2">
        <v>460</v>
      </c>
      <c r="M346" s="2" t="s">
        <v>1752</v>
      </c>
      <c r="N346" s="2" t="s">
        <v>1061</v>
      </c>
      <c r="O346" t="s">
        <v>219</v>
      </c>
      <c r="P346" t="s">
        <v>220</v>
      </c>
      <c r="Q346" t="s">
        <v>250</v>
      </c>
      <c r="R346" t="s">
        <v>789</v>
      </c>
      <c r="S346" t="s">
        <v>250</v>
      </c>
      <c r="T346" t="s">
        <v>789</v>
      </c>
      <c r="U346" t="s">
        <v>302</v>
      </c>
      <c r="V346" t="s">
        <v>1026</v>
      </c>
      <c r="W346" t="s">
        <v>235</v>
      </c>
      <c r="X346" t="s">
        <v>1231</v>
      </c>
      <c r="Y346" t="s">
        <v>968</v>
      </c>
      <c r="Z346" t="s">
        <v>751</v>
      </c>
      <c r="AA346" t="s">
        <v>223</v>
      </c>
      <c r="AB346" t="s">
        <v>143</v>
      </c>
      <c r="AC346" t="s">
        <v>958</v>
      </c>
      <c r="AD346" t="s">
        <v>136</v>
      </c>
      <c r="AE346" t="s">
        <v>1244</v>
      </c>
      <c r="AF346" t="s">
        <v>419</v>
      </c>
      <c r="AG346" t="s">
        <v>1062</v>
      </c>
      <c r="AH346" t="s">
        <v>227</v>
      </c>
      <c r="AI346" t="s">
        <v>1063</v>
      </c>
      <c r="AJ346" t="s">
        <v>246</v>
      </c>
      <c r="AK346" t="s">
        <v>148</v>
      </c>
      <c r="AL346" t="s">
        <v>172</v>
      </c>
      <c r="AM346" t="s">
        <v>752</v>
      </c>
      <c r="AN346" t="s">
        <v>247</v>
      </c>
      <c r="AO346" t="s">
        <v>1078</v>
      </c>
      <c r="AP346" t="s">
        <v>1079</v>
      </c>
      <c r="AQ346" t="s">
        <v>229</v>
      </c>
      <c r="AR346" t="s">
        <v>136</v>
      </c>
      <c r="AS346" t="s">
        <v>1080</v>
      </c>
      <c r="AT346" t="s">
        <v>256</v>
      </c>
      <c r="AU346" t="s">
        <v>230</v>
      </c>
      <c r="AV346" t="s">
        <v>254</v>
      </c>
      <c r="AW346" t="s">
        <v>765</v>
      </c>
      <c r="AX346" t="s">
        <v>257</v>
      </c>
      <c r="AY346" t="s">
        <v>1095</v>
      </c>
      <c r="AZ346" t="s">
        <v>917</v>
      </c>
      <c r="BA346" t="s">
        <v>1097</v>
      </c>
      <c r="BB346" t="s">
        <v>231</v>
      </c>
      <c r="BC346" t="s">
        <v>1082</v>
      </c>
      <c r="BD346" t="s">
        <v>1037</v>
      </c>
      <c r="BE346" t="s">
        <v>1083</v>
      </c>
      <c r="BF346" t="s">
        <v>1098</v>
      </c>
      <c r="BG346" t="s">
        <v>1031</v>
      </c>
      <c r="BH346" t="s">
        <v>956</v>
      </c>
      <c r="BI346" t="s">
        <v>485</v>
      </c>
      <c r="BJ346" t="s">
        <v>976</v>
      </c>
      <c r="BK346" t="s">
        <v>1003</v>
      </c>
      <c r="BL346" t="s">
        <v>183</v>
      </c>
      <c r="BM346" t="s">
        <v>1021</v>
      </c>
      <c r="BN346" t="s">
        <v>143</v>
      </c>
      <c r="BO346" t="s">
        <v>756</v>
      </c>
      <c r="BP346" t="s">
        <v>757</v>
      </c>
      <c r="BQ346" t="s">
        <v>233</v>
      </c>
      <c r="BR346" t="s">
        <v>973</v>
      </c>
      <c r="BS346" t="s">
        <v>760</v>
      </c>
      <c r="BT346" t="s">
        <v>1087</v>
      </c>
      <c r="BU346" t="s">
        <v>2339</v>
      </c>
      <c r="BV346" t="s">
        <v>234</v>
      </c>
      <c r="BW346" t="s">
        <v>493</v>
      </c>
      <c r="BX346" t="s">
        <v>364</v>
      </c>
      <c r="BY346" t="s">
        <v>215</v>
      </c>
      <c r="BZ346" t="s">
        <v>353</v>
      </c>
      <c r="CA346" t="s">
        <v>1092</v>
      </c>
      <c r="CB346" t="s">
        <v>754</v>
      </c>
      <c r="CC346" t="s">
        <v>768</v>
      </c>
      <c r="CD346" t="s">
        <v>170</v>
      </c>
      <c r="CE346" t="s">
        <v>946</v>
      </c>
      <c r="CF346" t="s">
        <v>1133</v>
      </c>
      <c r="CG346" t="s">
        <v>948</v>
      </c>
      <c r="CH346" t="s">
        <v>924</v>
      </c>
      <c r="CI346" t="s">
        <v>958</v>
      </c>
      <c r="CJ346" t="s">
        <v>1155</v>
      </c>
      <c r="CK346" t="s">
        <v>990</v>
      </c>
      <c r="CL346" t="s">
        <v>985</v>
      </c>
      <c r="CM346" t="s">
        <v>239</v>
      </c>
      <c r="CN346" t="s">
        <v>241</v>
      </c>
      <c r="CO346" t="s">
        <v>254</v>
      </c>
      <c r="CP346" t="s">
        <v>225</v>
      </c>
      <c r="CQ346" t="s">
        <v>805</v>
      </c>
      <c r="CR346" t="s">
        <v>806</v>
      </c>
    </row>
    <row r="347" spans="1:96">
      <c r="A347" s="40">
        <v>324</v>
      </c>
      <c r="B347" s="40" t="s">
        <v>1603</v>
      </c>
      <c r="C347" s="2" t="s">
        <v>1604</v>
      </c>
      <c r="D347" s="2" t="s">
        <v>19</v>
      </c>
      <c r="E347" s="2"/>
      <c r="F347" s="2">
        <v>70</v>
      </c>
      <c r="G347" s="2">
        <v>85</v>
      </c>
      <c r="H347" s="2">
        <v>140</v>
      </c>
      <c r="I347" s="2">
        <v>85</v>
      </c>
      <c r="J347" s="2">
        <v>70</v>
      </c>
      <c r="K347" s="2">
        <v>20</v>
      </c>
      <c r="L347" s="2">
        <v>470</v>
      </c>
      <c r="M347" s="2" t="s">
        <v>1074</v>
      </c>
      <c r="N347" s="2" t="s">
        <v>1061</v>
      </c>
      <c r="O347" t="s">
        <v>250</v>
      </c>
      <c r="P347" t="s">
        <v>530</v>
      </c>
      <c r="Q347" t="s">
        <v>268</v>
      </c>
      <c r="R347" t="s">
        <v>751</v>
      </c>
      <c r="S347" t="s">
        <v>255</v>
      </c>
      <c r="T347" t="s">
        <v>251</v>
      </c>
      <c r="U347" t="s">
        <v>173</v>
      </c>
      <c r="V347" t="s">
        <v>254</v>
      </c>
      <c r="W347" t="s">
        <v>364</v>
      </c>
      <c r="X347" t="s">
        <v>1078</v>
      </c>
      <c r="Y347" t="s">
        <v>1231</v>
      </c>
      <c r="Z347" t="s">
        <v>177</v>
      </c>
      <c r="AA347" t="s">
        <v>235</v>
      </c>
      <c r="AB347" t="s">
        <v>770</v>
      </c>
      <c r="AC347" t="s">
        <v>924</v>
      </c>
      <c r="AD347" t="s">
        <v>185</v>
      </c>
      <c r="AE347" t="s">
        <v>1213</v>
      </c>
      <c r="AF347" t="s">
        <v>1062</v>
      </c>
      <c r="AG347" t="s">
        <v>227</v>
      </c>
      <c r="AH347" t="s">
        <v>1063</v>
      </c>
      <c r="AI347" t="s">
        <v>148</v>
      </c>
      <c r="AJ347" t="s">
        <v>172</v>
      </c>
      <c r="AK347" t="s">
        <v>752</v>
      </c>
      <c r="AL347" t="s">
        <v>247</v>
      </c>
      <c r="AM347" t="s">
        <v>1078</v>
      </c>
      <c r="AN347" t="s">
        <v>1079</v>
      </c>
      <c r="AO347" t="s">
        <v>229</v>
      </c>
      <c r="AP347" t="s">
        <v>136</v>
      </c>
      <c r="AQ347" t="s">
        <v>1080</v>
      </c>
      <c r="AR347" t="s">
        <v>230</v>
      </c>
      <c r="AS347" t="s">
        <v>254</v>
      </c>
      <c r="AT347" t="s">
        <v>1081</v>
      </c>
      <c r="AU347" t="s">
        <v>257</v>
      </c>
      <c r="AV347" t="s">
        <v>1095</v>
      </c>
      <c r="AW347" t="s">
        <v>917</v>
      </c>
      <c r="AX347" t="s">
        <v>1097</v>
      </c>
      <c r="AY347" t="s">
        <v>231</v>
      </c>
      <c r="AZ347" t="s">
        <v>1082</v>
      </c>
      <c r="BA347" t="s">
        <v>1037</v>
      </c>
      <c r="BB347" t="s">
        <v>1098</v>
      </c>
      <c r="BC347" t="s">
        <v>1031</v>
      </c>
      <c r="BD347" t="s">
        <v>956</v>
      </c>
      <c r="BE347" t="s">
        <v>485</v>
      </c>
      <c r="BF347" t="s">
        <v>976</v>
      </c>
      <c r="BG347" t="s">
        <v>183</v>
      </c>
      <c r="BH347" t="s">
        <v>980</v>
      </c>
      <c r="BI347" t="s">
        <v>1021</v>
      </c>
      <c r="BJ347" t="s">
        <v>143</v>
      </c>
      <c r="BK347" t="s">
        <v>756</v>
      </c>
      <c r="BL347" t="s">
        <v>757</v>
      </c>
      <c r="BM347" t="s">
        <v>233</v>
      </c>
      <c r="BN347" t="s">
        <v>760</v>
      </c>
      <c r="BO347" t="s">
        <v>1087</v>
      </c>
      <c r="BP347" t="s">
        <v>2339</v>
      </c>
      <c r="BQ347" t="s">
        <v>234</v>
      </c>
      <c r="BR347" t="s">
        <v>419</v>
      </c>
      <c r="BS347" t="s">
        <v>237</v>
      </c>
      <c r="BT347" t="s">
        <v>754</v>
      </c>
      <c r="BU347" t="s">
        <v>757</v>
      </c>
      <c r="BV347" t="s">
        <v>958</v>
      </c>
      <c r="BW347" t="s">
        <v>1244</v>
      </c>
      <c r="BX347" t="s">
        <v>1026</v>
      </c>
      <c r="BY347" t="s">
        <v>1191</v>
      </c>
      <c r="BZ347" t="s">
        <v>239</v>
      </c>
      <c r="CA347" t="s">
        <v>241</v>
      </c>
      <c r="CB347" t="s">
        <v>805</v>
      </c>
      <c r="CC347" t="s">
        <v>806</v>
      </c>
    </row>
    <row r="348" spans="1:96">
      <c r="A348" s="40">
        <v>325</v>
      </c>
      <c r="B348" s="40" t="s">
        <v>1605</v>
      </c>
      <c r="C348" s="2" t="s">
        <v>1606</v>
      </c>
      <c r="D348" s="2" t="s">
        <v>9</v>
      </c>
      <c r="E348" s="2"/>
      <c r="F348" s="2">
        <v>60</v>
      </c>
      <c r="G348" s="2">
        <v>25</v>
      </c>
      <c r="H348" s="2">
        <v>35</v>
      </c>
      <c r="I348" s="2">
        <v>70</v>
      </c>
      <c r="J348" s="2">
        <v>80</v>
      </c>
      <c r="K348" s="2">
        <v>60</v>
      </c>
      <c r="L348" s="2">
        <v>330</v>
      </c>
      <c r="M348" s="2" t="s">
        <v>1089</v>
      </c>
      <c r="N348" s="2" t="s">
        <v>1061</v>
      </c>
      <c r="O348" t="s">
        <v>382</v>
      </c>
      <c r="P348" t="s">
        <v>529</v>
      </c>
      <c r="Q348" t="s">
        <v>934</v>
      </c>
      <c r="R348" t="s">
        <v>292</v>
      </c>
      <c r="S348" t="s">
        <v>785</v>
      </c>
      <c r="T348" t="s">
        <v>387</v>
      </c>
      <c r="U348" t="s">
        <v>929</v>
      </c>
      <c r="V348" t="s">
        <v>1019</v>
      </c>
      <c r="W348" t="s">
        <v>231</v>
      </c>
      <c r="X348" t="s">
        <v>753</v>
      </c>
      <c r="Y348" t="s">
        <v>1169</v>
      </c>
      <c r="Z348" t="s">
        <v>1151</v>
      </c>
      <c r="AA348" t="s">
        <v>995</v>
      </c>
      <c r="AB348" t="s">
        <v>9</v>
      </c>
      <c r="AC348" t="s">
        <v>175</v>
      </c>
      <c r="AD348" t="s">
        <v>1062</v>
      </c>
      <c r="AE348" t="s">
        <v>1063</v>
      </c>
      <c r="AF348" t="s">
        <v>1151</v>
      </c>
      <c r="AG348" t="s">
        <v>912</v>
      </c>
      <c r="AH348" t="s">
        <v>148</v>
      </c>
      <c r="AI348" t="s">
        <v>172</v>
      </c>
      <c r="AJ348" t="s">
        <v>752</v>
      </c>
      <c r="AK348" t="s">
        <v>1126</v>
      </c>
      <c r="AL348" t="s">
        <v>228</v>
      </c>
      <c r="AM348" t="s">
        <v>1078</v>
      </c>
      <c r="AN348" t="s">
        <v>766</v>
      </c>
      <c r="AO348" t="s">
        <v>1079</v>
      </c>
      <c r="AP348" t="s">
        <v>1080</v>
      </c>
      <c r="AQ348" t="s">
        <v>9</v>
      </c>
      <c r="AR348" t="s">
        <v>174</v>
      </c>
      <c r="AS348" t="s">
        <v>230</v>
      </c>
      <c r="AT348" t="s">
        <v>380</v>
      </c>
      <c r="AU348" t="s">
        <v>951</v>
      </c>
      <c r="AV348" t="s">
        <v>917</v>
      </c>
      <c r="AW348" t="s">
        <v>231</v>
      </c>
      <c r="AX348" t="s">
        <v>1082</v>
      </c>
      <c r="AY348" t="s">
        <v>1117</v>
      </c>
      <c r="AZ348" t="s">
        <v>1037</v>
      </c>
      <c r="BA348" t="s">
        <v>963</v>
      </c>
      <c r="BB348" t="s">
        <v>995</v>
      </c>
      <c r="BC348" t="s">
        <v>232</v>
      </c>
      <c r="BD348" t="s">
        <v>322</v>
      </c>
      <c r="BE348" t="s">
        <v>785</v>
      </c>
      <c r="BF348" t="s">
        <v>293</v>
      </c>
      <c r="BG348" t="s">
        <v>977</v>
      </c>
      <c r="BH348" t="s">
        <v>756</v>
      </c>
      <c r="BI348" t="s">
        <v>757</v>
      </c>
      <c r="BJ348" t="s">
        <v>233</v>
      </c>
      <c r="BK348" t="s">
        <v>1012</v>
      </c>
      <c r="BL348" t="s">
        <v>2339</v>
      </c>
      <c r="BM348" t="s">
        <v>234</v>
      </c>
      <c r="BN348" t="s">
        <v>291</v>
      </c>
      <c r="BO348" t="s">
        <v>235</v>
      </c>
      <c r="BP348" t="s">
        <v>754</v>
      </c>
      <c r="BQ348" t="s">
        <v>772</v>
      </c>
      <c r="BR348" t="s">
        <v>790</v>
      </c>
      <c r="BS348" t="s">
        <v>952</v>
      </c>
      <c r="BT348" t="s">
        <v>941</v>
      </c>
      <c r="BU348" t="s">
        <v>1154</v>
      </c>
      <c r="BV348" t="s">
        <v>987</v>
      </c>
      <c r="BW348" t="s">
        <v>1019</v>
      </c>
      <c r="BX348" t="s">
        <v>239</v>
      </c>
      <c r="BY348" t="s">
        <v>241</v>
      </c>
      <c r="BZ348" t="s">
        <v>805</v>
      </c>
      <c r="CA348" t="s">
        <v>806</v>
      </c>
    </row>
    <row r="349" spans="1:96">
      <c r="A349" s="40">
        <v>326</v>
      </c>
      <c r="B349" s="40" t="s">
        <v>1607</v>
      </c>
      <c r="C349" s="2" t="s">
        <v>1608</v>
      </c>
      <c r="D349" s="2" t="s">
        <v>9</v>
      </c>
      <c r="E349" s="2"/>
      <c r="F349" s="2">
        <v>80</v>
      </c>
      <c r="G349" s="2">
        <v>45</v>
      </c>
      <c r="H349" s="2">
        <v>65</v>
      </c>
      <c r="I349" s="2">
        <v>90</v>
      </c>
      <c r="J349" s="2">
        <v>110</v>
      </c>
      <c r="K349" s="2">
        <v>80</v>
      </c>
      <c r="L349" s="2">
        <v>470</v>
      </c>
      <c r="M349" s="2" t="s">
        <v>1168</v>
      </c>
      <c r="N349" s="2" t="s">
        <v>1061</v>
      </c>
      <c r="O349" t="s">
        <v>292</v>
      </c>
      <c r="P349" t="s">
        <v>529</v>
      </c>
      <c r="Q349" t="s">
        <v>382</v>
      </c>
      <c r="R349" t="s">
        <v>934</v>
      </c>
      <c r="S349" t="s">
        <v>529</v>
      </c>
      <c r="T349" t="s">
        <v>934</v>
      </c>
      <c r="U349" t="s">
        <v>292</v>
      </c>
      <c r="V349" t="s">
        <v>785</v>
      </c>
      <c r="W349" t="s">
        <v>387</v>
      </c>
      <c r="X349" t="s">
        <v>929</v>
      </c>
      <c r="Y349" t="s">
        <v>1019</v>
      </c>
      <c r="Z349" t="s">
        <v>231</v>
      </c>
      <c r="AA349" t="s">
        <v>753</v>
      </c>
      <c r="AB349" t="s">
        <v>1169</v>
      </c>
      <c r="AC349" t="s">
        <v>1151</v>
      </c>
      <c r="AD349" t="s">
        <v>995</v>
      </c>
      <c r="AE349" t="s">
        <v>9</v>
      </c>
      <c r="AF349" t="s">
        <v>175</v>
      </c>
      <c r="AG349" t="s">
        <v>1062</v>
      </c>
      <c r="AH349" t="s">
        <v>1063</v>
      </c>
      <c r="AI349" t="s">
        <v>1151</v>
      </c>
      <c r="AJ349" t="s">
        <v>912</v>
      </c>
      <c r="AK349" t="s">
        <v>148</v>
      </c>
      <c r="AL349" t="s">
        <v>172</v>
      </c>
      <c r="AM349" t="s">
        <v>752</v>
      </c>
      <c r="AN349" t="s">
        <v>1126</v>
      </c>
      <c r="AO349" t="s">
        <v>247</v>
      </c>
      <c r="AP349" t="s">
        <v>228</v>
      </c>
      <c r="AQ349" t="s">
        <v>1078</v>
      </c>
      <c r="AR349" t="s">
        <v>766</v>
      </c>
      <c r="AS349" t="s">
        <v>1079</v>
      </c>
      <c r="AT349" t="s">
        <v>1080</v>
      </c>
      <c r="AU349" t="s">
        <v>9</v>
      </c>
      <c r="AV349" t="s">
        <v>174</v>
      </c>
      <c r="AW349" t="s">
        <v>1094</v>
      </c>
      <c r="AX349" t="s">
        <v>230</v>
      </c>
      <c r="AY349" t="s">
        <v>380</v>
      </c>
      <c r="AZ349" t="s">
        <v>951</v>
      </c>
      <c r="BA349" t="s">
        <v>917</v>
      </c>
      <c r="BB349" t="s">
        <v>231</v>
      </c>
      <c r="BC349" t="s">
        <v>1082</v>
      </c>
      <c r="BD349" t="s">
        <v>1117</v>
      </c>
      <c r="BE349" t="s">
        <v>1037</v>
      </c>
      <c r="BF349" t="s">
        <v>1102</v>
      </c>
      <c r="BG349" t="s">
        <v>970</v>
      </c>
      <c r="BH349" t="s">
        <v>974</v>
      </c>
      <c r="BI349" t="s">
        <v>963</v>
      </c>
      <c r="BJ349" t="s">
        <v>995</v>
      </c>
      <c r="BK349" t="s">
        <v>976</v>
      </c>
      <c r="BL349" t="s">
        <v>232</v>
      </c>
      <c r="BM349" t="s">
        <v>322</v>
      </c>
      <c r="BN349" t="s">
        <v>785</v>
      </c>
      <c r="BO349" t="s">
        <v>1021</v>
      </c>
      <c r="BP349" t="s">
        <v>293</v>
      </c>
      <c r="BQ349" t="s">
        <v>977</v>
      </c>
      <c r="BR349" t="s">
        <v>756</v>
      </c>
      <c r="BS349" t="s">
        <v>757</v>
      </c>
      <c r="BT349" t="s">
        <v>233</v>
      </c>
      <c r="BU349" t="s">
        <v>1012</v>
      </c>
      <c r="BV349" t="s">
        <v>2398</v>
      </c>
      <c r="BW349" t="s">
        <v>2339</v>
      </c>
      <c r="BX349" t="s">
        <v>234</v>
      </c>
      <c r="BY349" t="s">
        <v>291</v>
      </c>
      <c r="BZ349" t="s">
        <v>235</v>
      </c>
      <c r="CA349" t="s">
        <v>754</v>
      </c>
      <c r="CB349" t="s">
        <v>772</v>
      </c>
      <c r="CC349" t="s">
        <v>790</v>
      </c>
      <c r="CD349" t="s">
        <v>952</v>
      </c>
      <c r="CE349" t="s">
        <v>941</v>
      </c>
      <c r="CF349" t="s">
        <v>1154</v>
      </c>
      <c r="CG349" t="s">
        <v>987</v>
      </c>
      <c r="CH349" t="s">
        <v>1019</v>
      </c>
      <c r="CI349" t="s">
        <v>239</v>
      </c>
      <c r="CJ349" t="s">
        <v>241</v>
      </c>
      <c r="CK349" t="s">
        <v>805</v>
      </c>
      <c r="CL349" t="s">
        <v>806</v>
      </c>
    </row>
    <row r="350" spans="1:96">
      <c r="A350" s="40">
        <v>327</v>
      </c>
      <c r="B350" s="40" t="s">
        <v>1609</v>
      </c>
      <c r="C350" s="2" t="s">
        <v>1610</v>
      </c>
      <c r="D350" s="2" t="s">
        <v>24</v>
      </c>
      <c r="E350" s="2"/>
      <c r="F350" s="2">
        <v>60</v>
      </c>
      <c r="G350" s="2">
        <v>60</v>
      </c>
      <c r="H350" s="2">
        <v>60</v>
      </c>
      <c r="I350" s="2">
        <v>60</v>
      </c>
      <c r="J350" s="2">
        <v>60</v>
      </c>
      <c r="K350" s="2">
        <v>60</v>
      </c>
      <c r="L350" s="2">
        <v>360</v>
      </c>
      <c r="M350" s="2" t="s">
        <v>1141</v>
      </c>
      <c r="N350" s="2" t="s">
        <v>1061</v>
      </c>
      <c r="O350" t="s">
        <v>219</v>
      </c>
      <c r="P350" t="s">
        <v>953</v>
      </c>
      <c r="Q350" t="s">
        <v>964</v>
      </c>
      <c r="R350" t="s">
        <v>774</v>
      </c>
      <c r="S350" t="s">
        <v>292</v>
      </c>
      <c r="T350" t="s">
        <v>388</v>
      </c>
      <c r="U350" t="s">
        <v>588</v>
      </c>
      <c r="V350" t="s">
        <v>1008</v>
      </c>
      <c r="W350" t="s">
        <v>949</v>
      </c>
      <c r="X350" t="s">
        <v>785</v>
      </c>
      <c r="Y350" t="s">
        <v>225</v>
      </c>
      <c r="Z350" t="s">
        <v>770</v>
      </c>
      <c r="AA350" t="s">
        <v>373</v>
      </c>
      <c r="AB350" t="s">
        <v>1062</v>
      </c>
      <c r="AC350" t="s">
        <v>227</v>
      </c>
      <c r="AD350" t="s">
        <v>1063</v>
      </c>
      <c r="AE350" t="s">
        <v>912</v>
      </c>
      <c r="AF350" t="s">
        <v>148</v>
      </c>
      <c r="AG350" t="s">
        <v>172</v>
      </c>
      <c r="AH350" t="s">
        <v>752</v>
      </c>
      <c r="AI350" t="s">
        <v>1078</v>
      </c>
      <c r="AJ350" t="s">
        <v>766</v>
      </c>
      <c r="AK350" t="s">
        <v>759</v>
      </c>
      <c r="AL350" t="s">
        <v>1079</v>
      </c>
      <c r="AM350" t="s">
        <v>1080</v>
      </c>
      <c r="AN350" t="s">
        <v>256</v>
      </c>
      <c r="AO350" t="s">
        <v>9</v>
      </c>
      <c r="AP350" t="s">
        <v>174</v>
      </c>
      <c r="AQ350" t="s">
        <v>1094</v>
      </c>
      <c r="AR350" t="s">
        <v>230</v>
      </c>
      <c r="AS350" t="s">
        <v>1095</v>
      </c>
      <c r="AT350" t="s">
        <v>917</v>
      </c>
      <c r="AU350" t="s">
        <v>231</v>
      </c>
      <c r="AV350" t="s">
        <v>1082</v>
      </c>
      <c r="AW350" t="s">
        <v>1117</v>
      </c>
      <c r="AX350" t="s">
        <v>1037</v>
      </c>
      <c r="AY350" t="s">
        <v>974</v>
      </c>
      <c r="AZ350" t="s">
        <v>1036</v>
      </c>
      <c r="BA350" t="s">
        <v>232</v>
      </c>
      <c r="BB350" t="s">
        <v>785</v>
      </c>
      <c r="BC350" t="s">
        <v>143</v>
      </c>
      <c r="BD350" t="s">
        <v>293</v>
      </c>
      <c r="BE350" t="s">
        <v>756</v>
      </c>
      <c r="BF350" t="s">
        <v>233</v>
      </c>
      <c r="BG350" t="s">
        <v>1012</v>
      </c>
      <c r="BH350" t="s">
        <v>1047</v>
      </c>
      <c r="BI350" t="s">
        <v>760</v>
      </c>
      <c r="BJ350" t="s">
        <v>2398</v>
      </c>
      <c r="BK350" t="s">
        <v>2339</v>
      </c>
      <c r="BL350" t="s">
        <v>234</v>
      </c>
      <c r="BM350" t="s">
        <v>340</v>
      </c>
      <c r="BN350" t="s">
        <v>769</v>
      </c>
      <c r="BO350" t="s">
        <v>788</v>
      </c>
      <c r="BP350" t="s">
        <v>779</v>
      </c>
      <c r="BQ350" t="s">
        <v>173</v>
      </c>
      <c r="BR350" t="s">
        <v>176</v>
      </c>
      <c r="BS350" t="s">
        <v>944</v>
      </c>
      <c r="BT350" t="s">
        <v>952</v>
      </c>
      <c r="BU350" t="s">
        <v>938</v>
      </c>
      <c r="BV350" t="s">
        <v>957</v>
      </c>
      <c r="BW350" t="s">
        <v>1166</v>
      </c>
      <c r="BX350" t="s">
        <v>918</v>
      </c>
      <c r="BY350" t="s">
        <v>954</v>
      </c>
      <c r="BZ350" t="s">
        <v>1262</v>
      </c>
      <c r="CA350" t="s">
        <v>1000</v>
      </c>
      <c r="CB350" t="s">
        <v>1182</v>
      </c>
      <c r="CC350" t="s">
        <v>239</v>
      </c>
      <c r="CD350" t="s">
        <v>241</v>
      </c>
      <c r="CE350" t="s">
        <v>805</v>
      </c>
      <c r="CF350" t="s">
        <v>806</v>
      </c>
    </row>
    <row r="351" spans="1:96">
      <c r="A351" s="40">
        <v>328</v>
      </c>
      <c r="B351" s="40" t="s">
        <v>1611</v>
      </c>
      <c r="C351" s="2" t="s">
        <v>1612</v>
      </c>
      <c r="D351" s="2" t="s">
        <v>22</v>
      </c>
      <c r="E351" s="2"/>
      <c r="F351" s="2">
        <v>45</v>
      </c>
      <c r="G351" s="2">
        <v>100</v>
      </c>
      <c r="H351" s="2">
        <v>45</v>
      </c>
      <c r="I351" s="2">
        <v>45</v>
      </c>
      <c r="J351" s="2">
        <v>45</v>
      </c>
      <c r="K351" s="2">
        <v>10</v>
      </c>
      <c r="L351" s="2">
        <v>290</v>
      </c>
      <c r="M351" s="2" t="s">
        <v>1162</v>
      </c>
      <c r="N351" s="2" t="s">
        <v>1061</v>
      </c>
      <c r="O351" t="s">
        <v>258</v>
      </c>
      <c r="P351" t="s">
        <v>309</v>
      </c>
      <c r="Q351" t="s">
        <v>774</v>
      </c>
      <c r="R351" t="s">
        <v>939</v>
      </c>
      <c r="S351" t="s">
        <v>755</v>
      </c>
      <c r="T351" t="s">
        <v>347</v>
      </c>
      <c r="U351" t="s">
        <v>1021</v>
      </c>
      <c r="V351" t="s">
        <v>143</v>
      </c>
      <c r="W351" t="s">
        <v>256</v>
      </c>
      <c r="X351" t="s">
        <v>777</v>
      </c>
      <c r="Y351" t="s">
        <v>968</v>
      </c>
      <c r="Z351" t="s">
        <v>765</v>
      </c>
      <c r="AA351" t="s">
        <v>247</v>
      </c>
      <c r="AB351" t="s">
        <v>136</v>
      </c>
      <c r="AC351" t="s">
        <v>971</v>
      </c>
      <c r="AD351" t="s">
        <v>947</v>
      </c>
      <c r="AE351" t="s">
        <v>419</v>
      </c>
      <c r="AF351" t="s">
        <v>1062</v>
      </c>
      <c r="AG351" t="s">
        <v>227</v>
      </c>
      <c r="AH351" t="s">
        <v>1063</v>
      </c>
      <c r="AI351" t="s">
        <v>148</v>
      </c>
      <c r="AJ351" t="s">
        <v>172</v>
      </c>
      <c r="AK351" t="s">
        <v>752</v>
      </c>
      <c r="AL351" t="s">
        <v>247</v>
      </c>
      <c r="AM351" t="s">
        <v>1078</v>
      </c>
      <c r="AN351" t="s">
        <v>1079</v>
      </c>
      <c r="AO351" t="s">
        <v>229</v>
      </c>
      <c r="AP351" t="s">
        <v>136</v>
      </c>
      <c r="AQ351" t="s">
        <v>1080</v>
      </c>
      <c r="AR351" t="s">
        <v>256</v>
      </c>
      <c r="AS351" t="s">
        <v>230</v>
      </c>
      <c r="AT351" t="s">
        <v>765</v>
      </c>
      <c r="AU351" t="s">
        <v>1095</v>
      </c>
      <c r="AV351" t="s">
        <v>917</v>
      </c>
      <c r="AW351" t="s">
        <v>231</v>
      </c>
      <c r="AX351" t="s">
        <v>1082</v>
      </c>
      <c r="AY351" t="s">
        <v>1037</v>
      </c>
      <c r="AZ351" t="s">
        <v>1042</v>
      </c>
      <c r="BA351" t="s">
        <v>1021</v>
      </c>
      <c r="BB351" t="s">
        <v>143</v>
      </c>
      <c r="BC351" t="s">
        <v>756</v>
      </c>
      <c r="BD351" t="s">
        <v>757</v>
      </c>
      <c r="BE351" t="s">
        <v>233</v>
      </c>
      <c r="BF351" t="s">
        <v>760</v>
      </c>
      <c r="BG351" t="s">
        <v>2339</v>
      </c>
      <c r="BH351" t="s">
        <v>234</v>
      </c>
      <c r="BI351" t="s">
        <v>289</v>
      </c>
      <c r="BJ351" t="s">
        <v>310</v>
      </c>
      <c r="BK351" t="s">
        <v>302</v>
      </c>
      <c r="BL351" t="s">
        <v>770</v>
      </c>
      <c r="BM351" t="s">
        <v>754</v>
      </c>
      <c r="BN351" t="s">
        <v>758</v>
      </c>
      <c r="BO351" t="s">
        <v>216</v>
      </c>
      <c r="BP351" t="s">
        <v>1144</v>
      </c>
      <c r="BQ351" t="s">
        <v>968</v>
      </c>
      <c r="BR351" t="s">
        <v>1110</v>
      </c>
      <c r="BS351" t="s">
        <v>239</v>
      </c>
      <c r="BT351" t="s">
        <v>241</v>
      </c>
      <c r="BU351" t="s">
        <v>805</v>
      </c>
      <c r="BV351" t="s">
        <v>806</v>
      </c>
    </row>
    <row r="352" spans="1:96">
      <c r="A352" s="40">
        <v>329</v>
      </c>
      <c r="B352" s="40" t="s">
        <v>1613</v>
      </c>
      <c r="C352" s="2" t="s">
        <v>1614</v>
      </c>
      <c r="D352" s="2" t="s">
        <v>22</v>
      </c>
      <c r="E352" s="2" t="s">
        <v>16</v>
      </c>
      <c r="F352" s="2">
        <v>50</v>
      </c>
      <c r="G352" s="2">
        <v>70</v>
      </c>
      <c r="H352" s="2">
        <v>50</v>
      </c>
      <c r="I352" s="2">
        <v>50</v>
      </c>
      <c r="J352" s="2">
        <v>50</v>
      </c>
      <c r="K352" s="2">
        <v>70</v>
      </c>
      <c r="L352" s="2">
        <v>340</v>
      </c>
      <c r="M352" s="2" t="s">
        <v>1137</v>
      </c>
      <c r="N352" s="2" t="s">
        <v>1061</v>
      </c>
      <c r="O352" t="s">
        <v>309</v>
      </c>
      <c r="P352" t="s">
        <v>502</v>
      </c>
      <c r="Q352" t="s">
        <v>774</v>
      </c>
      <c r="R352" t="s">
        <v>939</v>
      </c>
      <c r="S352" t="s">
        <v>309</v>
      </c>
      <c r="T352" t="s">
        <v>774</v>
      </c>
      <c r="U352" t="s">
        <v>939</v>
      </c>
      <c r="V352" t="s">
        <v>755</v>
      </c>
      <c r="W352" t="s">
        <v>347</v>
      </c>
      <c r="X352" t="s">
        <v>1021</v>
      </c>
      <c r="Y352" t="s">
        <v>143</v>
      </c>
      <c r="Z352" t="s">
        <v>290</v>
      </c>
      <c r="AA352" t="s">
        <v>324</v>
      </c>
      <c r="AB352" t="s">
        <v>762</v>
      </c>
      <c r="AC352" t="s">
        <v>968</v>
      </c>
      <c r="AD352" t="s">
        <v>765</v>
      </c>
      <c r="AE352" t="s">
        <v>247</v>
      </c>
      <c r="AF352" t="s">
        <v>1062</v>
      </c>
      <c r="AG352" t="s">
        <v>138</v>
      </c>
      <c r="AH352" t="s">
        <v>227</v>
      </c>
      <c r="AI352" t="s">
        <v>1063</v>
      </c>
      <c r="AJ352" t="s">
        <v>148</v>
      </c>
      <c r="AK352" t="s">
        <v>172</v>
      </c>
      <c r="AL352" t="s">
        <v>752</v>
      </c>
      <c r="AM352" t="s">
        <v>247</v>
      </c>
      <c r="AN352" t="s">
        <v>1078</v>
      </c>
      <c r="AO352" t="s">
        <v>1119</v>
      </c>
      <c r="AP352" t="s">
        <v>1079</v>
      </c>
      <c r="AQ352" t="s">
        <v>229</v>
      </c>
      <c r="AR352" t="s">
        <v>136</v>
      </c>
      <c r="AS352" t="s">
        <v>1080</v>
      </c>
      <c r="AT352" t="s">
        <v>256</v>
      </c>
      <c r="AU352" t="s">
        <v>230</v>
      </c>
      <c r="AV352" t="s">
        <v>765</v>
      </c>
      <c r="AW352" t="s">
        <v>1095</v>
      </c>
      <c r="AX352" t="s">
        <v>917</v>
      </c>
      <c r="AY352" t="s">
        <v>231</v>
      </c>
      <c r="AZ352" t="s">
        <v>1082</v>
      </c>
      <c r="BA352" t="s">
        <v>1037</v>
      </c>
      <c r="BB352" t="s">
        <v>1125</v>
      </c>
      <c r="BC352" t="s">
        <v>1042</v>
      </c>
      <c r="BD352" t="s">
        <v>1021</v>
      </c>
      <c r="BE352" t="s">
        <v>143</v>
      </c>
      <c r="BF352" t="s">
        <v>756</v>
      </c>
      <c r="BG352" t="s">
        <v>757</v>
      </c>
      <c r="BH352" t="s">
        <v>1014</v>
      </c>
      <c r="BI352" t="s">
        <v>233</v>
      </c>
      <c r="BJ352" t="s">
        <v>760</v>
      </c>
      <c r="BK352" t="s">
        <v>2339</v>
      </c>
      <c r="BL352" t="s">
        <v>234</v>
      </c>
      <c r="BM352" t="s">
        <v>289</v>
      </c>
      <c r="BN352" t="s">
        <v>310</v>
      </c>
      <c r="BO352" t="s">
        <v>302</v>
      </c>
      <c r="BP352" t="s">
        <v>770</v>
      </c>
      <c r="BQ352" t="s">
        <v>754</v>
      </c>
      <c r="BR352" t="s">
        <v>758</v>
      </c>
      <c r="BS352" t="s">
        <v>216</v>
      </c>
      <c r="BT352" t="s">
        <v>1144</v>
      </c>
      <c r="BU352" t="s">
        <v>968</v>
      </c>
      <c r="BV352" t="s">
        <v>1110</v>
      </c>
      <c r="BW352" t="s">
        <v>239</v>
      </c>
      <c r="BX352" t="s">
        <v>241</v>
      </c>
      <c r="BY352" t="s">
        <v>258</v>
      </c>
      <c r="BZ352" t="s">
        <v>256</v>
      </c>
      <c r="CA352" t="s">
        <v>777</v>
      </c>
      <c r="CB352" t="s">
        <v>136</v>
      </c>
      <c r="CC352" t="s">
        <v>971</v>
      </c>
      <c r="CD352" t="s">
        <v>947</v>
      </c>
      <c r="CE352" t="s">
        <v>419</v>
      </c>
      <c r="CF352" t="s">
        <v>805</v>
      </c>
      <c r="CG352" t="s">
        <v>806</v>
      </c>
    </row>
    <row r="353" spans="1:97">
      <c r="A353" s="40">
        <v>330</v>
      </c>
      <c r="B353" s="40" t="s">
        <v>1615</v>
      </c>
      <c r="C353" s="2" t="s">
        <v>1616</v>
      </c>
      <c r="D353" s="2" t="s">
        <v>22</v>
      </c>
      <c r="E353" s="2" t="s">
        <v>16</v>
      </c>
      <c r="F353" s="2">
        <v>80</v>
      </c>
      <c r="G353" s="2">
        <v>100</v>
      </c>
      <c r="H353" s="2">
        <v>80</v>
      </c>
      <c r="I353" s="2">
        <v>80</v>
      </c>
      <c r="J353" s="2">
        <v>80</v>
      </c>
      <c r="K353" s="2">
        <v>100</v>
      </c>
      <c r="L353" s="2">
        <v>520</v>
      </c>
      <c r="M353" s="2" t="s">
        <v>1201</v>
      </c>
      <c r="N353" s="2" t="s">
        <v>1061</v>
      </c>
      <c r="O353" t="s">
        <v>309</v>
      </c>
      <c r="P353" t="s">
        <v>502</v>
      </c>
      <c r="Q353" t="s">
        <v>774</v>
      </c>
      <c r="R353" t="s">
        <v>939</v>
      </c>
      <c r="S353" t="s">
        <v>309</v>
      </c>
      <c r="T353" t="s">
        <v>774</v>
      </c>
      <c r="U353" t="s">
        <v>939</v>
      </c>
      <c r="V353" t="s">
        <v>755</v>
      </c>
      <c r="W353" t="s">
        <v>347</v>
      </c>
      <c r="X353" t="s">
        <v>1021</v>
      </c>
      <c r="Y353" t="s">
        <v>143</v>
      </c>
      <c r="Z353" t="s">
        <v>290</v>
      </c>
      <c r="AA353" t="s">
        <v>324</v>
      </c>
      <c r="AB353" t="s">
        <v>762</v>
      </c>
      <c r="AC353" t="s">
        <v>968</v>
      </c>
      <c r="AD353" t="s">
        <v>765</v>
      </c>
      <c r="AE353" t="s">
        <v>1022</v>
      </c>
      <c r="AF353" t="s">
        <v>247</v>
      </c>
      <c r="AG353" t="s">
        <v>1093</v>
      </c>
      <c r="AH353" t="s">
        <v>1062</v>
      </c>
      <c r="AI353" t="s">
        <v>138</v>
      </c>
      <c r="AJ353" t="s">
        <v>227</v>
      </c>
      <c r="AK353" t="s">
        <v>1063</v>
      </c>
      <c r="AL353" t="s">
        <v>1030</v>
      </c>
      <c r="AM353" t="s">
        <v>1093</v>
      </c>
      <c r="AN353" t="s">
        <v>148</v>
      </c>
      <c r="AO353" t="s">
        <v>172</v>
      </c>
      <c r="AP353" t="s">
        <v>752</v>
      </c>
      <c r="AQ353" t="s">
        <v>247</v>
      </c>
      <c r="AR353" t="s">
        <v>1078</v>
      </c>
      <c r="AS353" t="s">
        <v>1119</v>
      </c>
      <c r="AT353" t="s">
        <v>1079</v>
      </c>
      <c r="AU353" t="s">
        <v>229</v>
      </c>
      <c r="AV353" t="s">
        <v>136</v>
      </c>
      <c r="AW353" t="s">
        <v>1080</v>
      </c>
      <c r="AX353" t="s">
        <v>256</v>
      </c>
      <c r="AY353" t="s">
        <v>230</v>
      </c>
      <c r="AZ353" t="s">
        <v>254</v>
      </c>
      <c r="BA353" t="s">
        <v>765</v>
      </c>
      <c r="BB353" t="s">
        <v>257</v>
      </c>
      <c r="BC353" t="s">
        <v>1095</v>
      </c>
      <c r="BD353" t="s">
        <v>1096</v>
      </c>
      <c r="BE353" t="s">
        <v>917</v>
      </c>
      <c r="BF353" t="s">
        <v>231</v>
      </c>
      <c r="BG353" t="s">
        <v>1082</v>
      </c>
      <c r="BH353" t="s">
        <v>1037</v>
      </c>
      <c r="BI353" t="s">
        <v>1125</v>
      </c>
      <c r="BJ353" t="s">
        <v>1031</v>
      </c>
      <c r="BK353" t="s">
        <v>976</v>
      </c>
      <c r="BL353" t="s">
        <v>183</v>
      </c>
      <c r="BM353" t="s">
        <v>1042</v>
      </c>
      <c r="BN353" t="s">
        <v>1021</v>
      </c>
      <c r="BO353" t="s">
        <v>143</v>
      </c>
      <c r="BP353" t="s">
        <v>1022</v>
      </c>
      <c r="BQ353" t="s">
        <v>756</v>
      </c>
      <c r="BR353" t="s">
        <v>757</v>
      </c>
      <c r="BS353" t="s">
        <v>1014</v>
      </c>
      <c r="BT353" t="s">
        <v>233</v>
      </c>
      <c r="BU353" t="s">
        <v>760</v>
      </c>
      <c r="BV353" t="s">
        <v>2398</v>
      </c>
      <c r="BW353" t="s">
        <v>2339</v>
      </c>
      <c r="BX353" t="s">
        <v>234</v>
      </c>
      <c r="BY353" t="s">
        <v>289</v>
      </c>
      <c r="BZ353" t="s">
        <v>310</v>
      </c>
      <c r="CA353" t="s">
        <v>302</v>
      </c>
      <c r="CB353" t="s">
        <v>770</v>
      </c>
      <c r="CC353" t="s">
        <v>754</v>
      </c>
      <c r="CD353" t="s">
        <v>758</v>
      </c>
      <c r="CE353" t="s">
        <v>216</v>
      </c>
      <c r="CF353" t="s">
        <v>1144</v>
      </c>
      <c r="CG353" t="s">
        <v>968</v>
      </c>
      <c r="CH353" t="s">
        <v>1110</v>
      </c>
      <c r="CI353" t="s">
        <v>239</v>
      </c>
      <c r="CJ353" t="s">
        <v>241</v>
      </c>
      <c r="CK353" t="s">
        <v>258</v>
      </c>
      <c r="CL353" t="s">
        <v>256</v>
      </c>
      <c r="CM353" t="s">
        <v>777</v>
      </c>
      <c r="CN353" t="s">
        <v>136</v>
      </c>
      <c r="CO353" t="s">
        <v>971</v>
      </c>
      <c r="CP353" t="s">
        <v>947</v>
      </c>
      <c r="CQ353" t="s">
        <v>419</v>
      </c>
      <c r="CR353" t="s">
        <v>805</v>
      </c>
      <c r="CS353" t="s">
        <v>806</v>
      </c>
    </row>
    <row r="354" spans="1:97">
      <c r="A354" s="40">
        <v>331</v>
      </c>
      <c r="B354" s="40" t="s">
        <v>1617</v>
      </c>
      <c r="C354" s="2" t="s">
        <v>1618</v>
      </c>
      <c r="D354" s="2" t="s">
        <v>21</v>
      </c>
      <c r="E354" s="2"/>
      <c r="F354" s="2">
        <v>50</v>
      </c>
      <c r="G354" s="2">
        <v>85</v>
      </c>
      <c r="H354" s="2">
        <v>40</v>
      </c>
      <c r="I354" s="2">
        <v>85</v>
      </c>
      <c r="J354" s="2">
        <v>40</v>
      </c>
      <c r="K354" s="2">
        <v>35</v>
      </c>
      <c r="L354" s="2">
        <v>335</v>
      </c>
      <c r="M354" s="2" t="s">
        <v>1158</v>
      </c>
      <c r="N354" s="2" t="s">
        <v>1061</v>
      </c>
      <c r="O354" t="s">
        <v>296</v>
      </c>
      <c r="P354" t="s">
        <v>330</v>
      </c>
      <c r="Q354" t="s">
        <v>402</v>
      </c>
      <c r="R354" t="s">
        <v>215</v>
      </c>
      <c r="S354" t="s">
        <v>142</v>
      </c>
      <c r="T354" t="s">
        <v>309</v>
      </c>
      <c r="U354" t="s">
        <v>305</v>
      </c>
      <c r="V354" t="s">
        <v>1085</v>
      </c>
      <c r="W354" t="s">
        <v>774</v>
      </c>
      <c r="X354" t="s">
        <v>1215</v>
      </c>
      <c r="Y354" t="s">
        <v>1008</v>
      </c>
      <c r="Z354" t="s">
        <v>995</v>
      </c>
      <c r="AA354" t="s">
        <v>1619</v>
      </c>
      <c r="AB354" t="s">
        <v>1297</v>
      </c>
      <c r="AC354" t="s">
        <v>765</v>
      </c>
      <c r="AD354" t="s">
        <v>793</v>
      </c>
      <c r="AE354" t="s">
        <v>1062</v>
      </c>
      <c r="AF354" t="s">
        <v>226</v>
      </c>
      <c r="AG354" t="s">
        <v>1063</v>
      </c>
      <c r="AH354" t="s">
        <v>148</v>
      </c>
      <c r="AI354" t="s">
        <v>1077</v>
      </c>
      <c r="AJ354" t="s">
        <v>172</v>
      </c>
      <c r="AK354" t="s">
        <v>752</v>
      </c>
      <c r="AL354" t="s">
        <v>1078</v>
      </c>
      <c r="AM354" t="s">
        <v>1079</v>
      </c>
      <c r="AN354" t="s">
        <v>229</v>
      </c>
      <c r="AO354" t="s">
        <v>1080</v>
      </c>
      <c r="AP354" t="s">
        <v>1094</v>
      </c>
      <c r="AQ354" t="s">
        <v>230</v>
      </c>
      <c r="AR354" t="s">
        <v>765</v>
      </c>
      <c r="AS354" t="s">
        <v>917</v>
      </c>
      <c r="AT354" t="s">
        <v>231</v>
      </c>
      <c r="AU354" t="s">
        <v>1082</v>
      </c>
      <c r="AV354" t="s">
        <v>1037</v>
      </c>
      <c r="AW354" t="s">
        <v>970</v>
      </c>
      <c r="AX354" t="s">
        <v>974</v>
      </c>
      <c r="AY354" t="s">
        <v>995</v>
      </c>
      <c r="AZ354" t="s">
        <v>232</v>
      </c>
      <c r="BA354" t="s">
        <v>145</v>
      </c>
      <c r="BB354" t="s">
        <v>997</v>
      </c>
      <c r="BC354" t="s">
        <v>977</v>
      </c>
      <c r="BD354" t="s">
        <v>756</v>
      </c>
      <c r="BE354" t="s">
        <v>757</v>
      </c>
      <c r="BF354" t="s">
        <v>233</v>
      </c>
      <c r="BG354" t="s">
        <v>1087</v>
      </c>
      <c r="BH354" t="s">
        <v>1157</v>
      </c>
      <c r="BI354" t="s">
        <v>2398</v>
      </c>
      <c r="BJ354" t="s">
        <v>2339</v>
      </c>
      <c r="BK354" t="s">
        <v>234</v>
      </c>
      <c r="BL354" t="s">
        <v>340</v>
      </c>
      <c r="BM354" t="s">
        <v>339</v>
      </c>
      <c r="BN354" t="s">
        <v>432</v>
      </c>
      <c r="BO354" t="s">
        <v>259</v>
      </c>
      <c r="BP354" t="s">
        <v>1179</v>
      </c>
      <c r="BQ354" t="s">
        <v>944</v>
      </c>
      <c r="BR354" t="s">
        <v>949</v>
      </c>
      <c r="BS354" t="s">
        <v>1084</v>
      </c>
      <c r="BT354" t="s">
        <v>911</v>
      </c>
      <c r="BU354" t="s">
        <v>930</v>
      </c>
      <c r="BV354" t="s">
        <v>1017</v>
      </c>
      <c r="BW354" t="s">
        <v>1004</v>
      </c>
      <c r="BX354" t="s">
        <v>1136</v>
      </c>
      <c r="BY354" t="s">
        <v>991</v>
      </c>
      <c r="BZ354" t="s">
        <v>2335</v>
      </c>
      <c r="CA354" t="s">
        <v>2355</v>
      </c>
      <c r="CB354" t="s">
        <v>239</v>
      </c>
      <c r="CC354" t="s">
        <v>241</v>
      </c>
      <c r="CD354" t="s">
        <v>805</v>
      </c>
      <c r="CE354" t="s">
        <v>806</v>
      </c>
    </row>
    <row r="355" spans="1:97">
      <c r="A355" s="40">
        <v>332</v>
      </c>
      <c r="B355" s="40" t="s">
        <v>1620</v>
      </c>
      <c r="C355" s="2" t="s">
        <v>1621</v>
      </c>
      <c r="D355" s="2" t="s">
        <v>21</v>
      </c>
      <c r="E355" s="2" t="s">
        <v>15</v>
      </c>
      <c r="F355" s="2">
        <v>70</v>
      </c>
      <c r="G355" s="2">
        <v>115</v>
      </c>
      <c r="H355" s="2">
        <v>60</v>
      </c>
      <c r="I355" s="2">
        <v>115</v>
      </c>
      <c r="J355" s="2">
        <v>60</v>
      </c>
      <c r="K355" s="2">
        <v>55</v>
      </c>
      <c r="L355" s="2">
        <v>475</v>
      </c>
      <c r="M355" s="2" t="s">
        <v>1108</v>
      </c>
      <c r="N355" s="2" t="s">
        <v>1061</v>
      </c>
      <c r="O355" t="s">
        <v>296</v>
      </c>
      <c r="P355" t="s">
        <v>330</v>
      </c>
      <c r="Q355" t="s">
        <v>402</v>
      </c>
      <c r="R355" t="s">
        <v>215</v>
      </c>
      <c r="S355" t="s">
        <v>1128</v>
      </c>
      <c r="T355" t="s">
        <v>402</v>
      </c>
      <c r="U355" t="s">
        <v>215</v>
      </c>
      <c r="V355" t="s">
        <v>142</v>
      </c>
      <c r="W355" t="s">
        <v>309</v>
      </c>
      <c r="X355" t="s">
        <v>305</v>
      </c>
      <c r="Y355" t="s">
        <v>1085</v>
      </c>
      <c r="Z355" t="s">
        <v>774</v>
      </c>
      <c r="AA355" t="s">
        <v>1215</v>
      </c>
      <c r="AB355" t="s">
        <v>1008</v>
      </c>
      <c r="AC355" t="s">
        <v>995</v>
      </c>
      <c r="AD355" t="s">
        <v>1619</v>
      </c>
      <c r="AE355" t="s">
        <v>1297</v>
      </c>
      <c r="AF355" t="s">
        <v>765</v>
      </c>
      <c r="AG355" t="s">
        <v>793</v>
      </c>
      <c r="AH355" t="s">
        <v>1062</v>
      </c>
      <c r="AI355" t="s">
        <v>226</v>
      </c>
      <c r="AJ355" t="s">
        <v>227</v>
      </c>
      <c r="AK355" t="s">
        <v>1063</v>
      </c>
      <c r="AL355" t="s">
        <v>148</v>
      </c>
      <c r="AM355" t="s">
        <v>1077</v>
      </c>
      <c r="AN355" t="s">
        <v>172</v>
      </c>
      <c r="AO355" t="s">
        <v>752</v>
      </c>
      <c r="AP355" t="s">
        <v>247</v>
      </c>
      <c r="AQ355" t="s">
        <v>1078</v>
      </c>
      <c r="AR355" t="s">
        <v>1079</v>
      </c>
      <c r="AS355" t="s">
        <v>229</v>
      </c>
      <c r="AT355" t="s">
        <v>1080</v>
      </c>
      <c r="AU355" t="s">
        <v>1094</v>
      </c>
      <c r="AV355" t="s">
        <v>230</v>
      </c>
      <c r="AW355" t="s">
        <v>765</v>
      </c>
      <c r="AX355" t="s">
        <v>917</v>
      </c>
      <c r="AY355" t="s">
        <v>231</v>
      </c>
      <c r="AZ355" t="s">
        <v>1082</v>
      </c>
      <c r="BA355" t="s">
        <v>1037</v>
      </c>
      <c r="BB355" t="s">
        <v>1102</v>
      </c>
      <c r="BC355" t="s">
        <v>970</v>
      </c>
      <c r="BD355" t="s">
        <v>974</v>
      </c>
      <c r="BE355" t="s">
        <v>969</v>
      </c>
      <c r="BF355" t="s">
        <v>995</v>
      </c>
      <c r="BG355" t="s">
        <v>1036</v>
      </c>
      <c r="BH355" t="s">
        <v>976</v>
      </c>
      <c r="BI355" t="s">
        <v>232</v>
      </c>
      <c r="BJ355" t="s">
        <v>145</v>
      </c>
      <c r="BK355" t="s">
        <v>997</v>
      </c>
      <c r="BL355" t="s">
        <v>977</v>
      </c>
      <c r="BM355" t="s">
        <v>756</v>
      </c>
      <c r="BN355" t="s">
        <v>757</v>
      </c>
      <c r="BO355" t="s">
        <v>233</v>
      </c>
      <c r="BP355" t="s">
        <v>1087</v>
      </c>
      <c r="BQ355" t="s">
        <v>1157</v>
      </c>
      <c r="BR355" t="s">
        <v>2398</v>
      </c>
      <c r="BS355" t="s">
        <v>2339</v>
      </c>
      <c r="BT355" t="s">
        <v>234</v>
      </c>
      <c r="BU355" t="s">
        <v>340</v>
      </c>
      <c r="BV355" t="s">
        <v>339</v>
      </c>
      <c r="BW355" t="s">
        <v>432</v>
      </c>
      <c r="BX355" t="s">
        <v>259</v>
      </c>
      <c r="BY355" t="s">
        <v>1179</v>
      </c>
      <c r="BZ355" t="s">
        <v>944</v>
      </c>
      <c r="CA355" t="s">
        <v>949</v>
      </c>
      <c r="CB355" t="s">
        <v>1084</v>
      </c>
      <c r="CC355" t="s">
        <v>911</v>
      </c>
      <c r="CD355" t="s">
        <v>930</v>
      </c>
      <c r="CE355" t="s">
        <v>1017</v>
      </c>
      <c r="CF355" t="s">
        <v>1004</v>
      </c>
      <c r="CG355" t="s">
        <v>1136</v>
      </c>
      <c r="CH355" t="s">
        <v>991</v>
      </c>
      <c r="CI355" t="s">
        <v>2335</v>
      </c>
      <c r="CJ355" t="s">
        <v>2355</v>
      </c>
      <c r="CK355" t="s">
        <v>239</v>
      </c>
      <c r="CL355" t="s">
        <v>241</v>
      </c>
      <c r="CM355" t="s">
        <v>805</v>
      </c>
      <c r="CN355" t="s">
        <v>806</v>
      </c>
    </row>
    <row r="356" spans="1:97">
      <c r="A356" s="40">
        <v>333</v>
      </c>
      <c r="B356" s="40" t="s">
        <v>1622</v>
      </c>
      <c r="C356" s="2" t="s">
        <v>1623</v>
      </c>
      <c r="D356" s="2" t="s">
        <v>24</v>
      </c>
      <c r="E356" s="2" t="s">
        <v>20</v>
      </c>
      <c r="F356" s="2">
        <v>45</v>
      </c>
      <c r="G356" s="2">
        <v>40</v>
      </c>
      <c r="H356" s="2">
        <v>60</v>
      </c>
      <c r="I356" s="2">
        <v>40</v>
      </c>
      <c r="J356" s="2">
        <v>75</v>
      </c>
      <c r="K356" s="2">
        <v>50</v>
      </c>
      <c r="L356" s="2">
        <v>310</v>
      </c>
      <c r="M356" s="2" t="s">
        <v>1165</v>
      </c>
      <c r="N356" s="2" t="s">
        <v>1061</v>
      </c>
      <c r="O356" t="s">
        <v>220</v>
      </c>
      <c r="P356" t="s">
        <v>329</v>
      </c>
      <c r="Q356" t="s">
        <v>1130</v>
      </c>
      <c r="R356" t="s">
        <v>377</v>
      </c>
      <c r="S356" t="s">
        <v>301</v>
      </c>
      <c r="T356" t="s">
        <v>759</v>
      </c>
      <c r="U356" t="s">
        <v>273</v>
      </c>
      <c r="V356" t="s">
        <v>1037</v>
      </c>
      <c r="W356" t="s">
        <v>992</v>
      </c>
      <c r="X356" t="s">
        <v>223</v>
      </c>
      <c r="Y356" t="s">
        <v>1106</v>
      </c>
      <c r="Z356" t="s">
        <v>311</v>
      </c>
      <c r="AA356" t="s">
        <v>1298</v>
      </c>
      <c r="AB356" t="s">
        <v>967</v>
      </c>
      <c r="AC356" t="s">
        <v>786</v>
      </c>
      <c r="AD356" t="s">
        <v>2381</v>
      </c>
      <c r="AE356" t="s">
        <v>1062</v>
      </c>
      <c r="AF356" t="s">
        <v>138</v>
      </c>
      <c r="AG356" t="s">
        <v>1063</v>
      </c>
      <c r="AH356" t="s">
        <v>148</v>
      </c>
      <c r="AI356" t="s">
        <v>172</v>
      </c>
      <c r="AJ356" t="s">
        <v>752</v>
      </c>
      <c r="AK356" t="s">
        <v>141</v>
      </c>
      <c r="AL356" t="s">
        <v>1078</v>
      </c>
      <c r="AM356" t="s">
        <v>766</v>
      </c>
      <c r="AN356" t="s">
        <v>1119</v>
      </c>
      <c r="AO356" t="s">
        <v>759</v>
      </c>
      <c r="AP356" t="s">
        <v>1079</v>
      </c>
      <c r="AQ356" t="s">
        <v>229</v>
      </c>
      <c r="AR356" t="s">
        <v>1080</v>
      </c>
      <c r="AS356" t="s">
        <v>230</v>
      </c>
      <c r="AT356" t="s">
        <v>1096</v>
      </c>
      <c r="AU356" t="s">
        <v>917</v>
      </c>
      <c r="AV356" t="s">
        <v>231</v>
      </c>
      <c r="AW356" t="s">
        <v>1082</v>
      </c>
      <c r="AX356" t="s">
        <v>1117</v>
      </c>
      <c r="AY356" t="s">
        <v>1037</v>
      </c>
      <c r="AZ356" t="s">
        <v>1083</v>
      </c>
      <c r="BA356" t="s">
        <v>1125</v>
      </c>
      <c r="BB356" t="s">
        <v>785</v>
      </c>
      <c r="BC356" t="s">
        <v>293</v>
      </c>
      <c r="BD356" t="s">
        <v>756</v>
      </c>
      <c r="BE356" t="s">
        <v>757</v>
      </c>
      <c r="BF356" t="s">
        <v>233</v>
      </c>
      <c r="BG356" t="s">
        <v>2342</v>
      </c>
      <c r="BH356" t="s">
        <v>2339</v>
      </c>
      <c r="BI356" t="s">
        <v>234</v>
      </c>
      <c r="BJ356" t="s">
        <v>306</v>
      </c>
      <c r="BK356" t="s">
        <v>304</v>
      </c>
      <c r="BL356" t="s">
        <v>272</v>
      </c>
      <c r="BM356" t="s">
        <v>1125</v>
      </c>
      <c r="BN356" t="s">
        <v>773</v>
      </c>
      <c r="BO356" t="s">
        <v>1121</v>
      </c>
      <c r="BP356" t="s">
        <v>1160</v>
      </c>
      <c r="BQ356" t="s">
        <v>1119</v>
      </c>
      <c r="BR356" t="s">
        <v>998</v>
      </c>
      <c r="BS356" t="s">
        <v>180</v>
      </c>
      <c r="BT356" t="s">
        <v>239</v>
      </c>
      <c r="BU356" t="s">
        <v>241</v>
      </c>
      <c r="BV356" t="s">
        <v>805</v>
      </c>
      <c r="BW356" t="s">
        <v>806</v>
      </c>
    </row>
    <row r="357" spans="1:97">
      <c r="A357" s="40">
        <v>334</v>
      </c>
      <c r="B357" s="40" t="s">
        <v>1624</v>
      </c>
      <c r="C357" s="2" t="s">
        <v>1625</v>
      </c>
      <c r="D357" s="2" t="s">
        <v>16</v>
      </c>
      <c r="E357" s="2" t="s">
        <v>20</v>
      </c>
      <c r="F357" s="2">
        <v>75</v>
      </c>
      <c r="G357" s="2">
        <v>70</v>
      </c>
      <c r="H357" s="2">
        <v>90</v>
      </c>
      <c r="I357" s="2">
        <v>70</v>
      </c>
      <c r="J357" s="2">
        <v>105</v>
      </c>
      <c r="K357" s="2">
        <v>80</v>
      </c>
      <c r="L357" s="2">
        <v>490</v>
      </c>
      <c r="M357" s="2" t="s">
        <v>1108</v>
      </c>
      <c r="N357" s="2" t="s">
        <v>1061</v>
      </c>
      <c r="O357" t="s">
        <v>220</v>
      </c>
      <c r="P357" t="s">
        <v>377</v>
      </c>
      <c r="Q357" t="s">
        <v>329</v>
      </c>
      <c r="R357" t="s">
        <v>1130</v>
      </c>
      <c r="S357" t="s">
        <v>996</v>
      </c>
      <c r="T357" t="s">
        <v>1130</v>
      </c>
      <c r="U357" t="s">
        <v>377</v>
      </c>
      <c r="V357" t="s">
        <v>301</v>
      </c>
      <c r="W357" t="s">
        <v>759</v>
      </c>
      <c r="X357" t="s">
        <v>273</v>
      </c>
      <c r="Y357" t="s">
        <v>1037</v>
      </c>
      <c r="Z357" t="s">
        <v>992</v>
      </c>
      <c r="AA357" t="s">
        <v>223</v>
      </c>
      <c r="AB357" t="s">
        <v>1106</v>
      </c>
      <c r="AC357" t="s">
        <v>915</v>
      </c>
      <c r="AD357" t="s">
        <v>762</v>
      </c>
      <c r="AE357" t="s">
        <v>1298</v>
      </c>
      <c r="AF357" t="s">
        <v>967</v>
      </c>
      <c r="AG357" t="s">
        <v>786</v>
      </c>
      <c r="AH357" t="s">
        <v>2381</v>
      </c>
      <c r="AI357" t="s">
        <v>316</v>
      </c>
      <c r="AJ357" t="s">
        <v>1062</v>
      </c>
      <c r="AK357" t="s">
        <v>138</v>
      </c>
      <c r="AL357" t="s">
        <v>1063</v>
      </c>
      <c r="AM357" t="s">
        <v>1030</v>
      </c>
      <c r="AN357" t="s">
        <v>1093</v>
      </c>
      <c r="AO357" t="s">
        <v>246</v>
      </c>
      <c r="AP357" t="s">
        <v>148</v>
      </c>
      <c r="AQ357" t="s">
        <v>172</v>
      </c>
      <c r="AR357" t="s">
        <v>752</v>
      </c>
      <c r="AS357" t="s">
        <v>141</v>
      </c>
      <c r="AT357" t="s">
        <v>247</v>
      </c>
      <c r="AU357" t="s">
        <v>1078</v>
      </c>
      <c r="AV357" t="s">
        <v>766</v>
      </c>
      <c r="AW357" t="s">
        <v>1119</v>
      </c>
      <c r="AX357" t="s">
        <v>759</v>
      </c>
      <c r="AY357" t="s">
        <v>1079</v>
      </c>
      <c r="AZ357" t="s">
        <v>229</v>
      </c>
      <c r="BA357" t="s">
        <v>136</v>
      </c>
      <c r="BB357" t="s">
        <v>1080</v>
      </c>
      <c r="BC357" t="s">
        <v>230</v>
      </c>
      <c r="BD357" t="s">
        <v>254</v>
      </c>
      <c r="BE357" t="s">
        <v>257</v>
      </c>
      <c r="BF357" t="s">
        <v>1096</v>
      </c>
      <c r="BG357" t="s">
        <v>917</v>
      </c>
      <c r="BH357" t="s">
        <v>231</v>
      </c>
      <c r="BI357" t="s">
        <v>1082</v>
      </c>
      <c r="BJ357" t="s">
        <v>1117</v>
      </c>
      <c r="BK357" t="s">
        <v>1037</v>
      </c>
      <c r="BL357" t="s">
        <v>1083</v>
      </c>
      <c r="BM357" t="s">
        <v>1125</v>
      </c>
      <c r="BN357" t="s">
        <v>1031</v>
      </c>
      <c r="BO357" t="s">
        <v>976</v>
      </c>
      <c r="BP357" t="s">
        <v>785</v>
      </c>
      <c r="BQ357" t="s">
        <v>1021</v>
      </c>
      <c r="BR357" t="s">
        <v>293</v>
      </c>
      <c r="BS357" t="s">
        <v>756</v>
      </c>
      <c r="BT357" t="s">
        <v>757</v>
      </c>
      <c r="BU357" t="s">
        <v>233</v>
      </c>
      <c r="BV357" t="s">
        <v>760</v>
      </c>
      <c r="BW357" t="s">
        <v>2342</v>
      </c>
      <c r="BX357" t="s">
        <v>2339</v>
      </c>
      <c r="BY357" t="s">
        <v>234</v>
      </c>
      <c r="BZ357" t="s">
        <v>306</v>
      </c>
      <c r="CA357" t="s">
        <v>304</v>
      </c>
      <c r="CB357" t="s">
        <v>272</v>
      </c>
      <c r="CC357" t="s">
        <v>1125</v>
      </c>
      <c r="CD357" t="s">
        <v>773</v>
      </c>
      <c r="CE357" t="s">
        <v>1121</v>
      </c>
      <c r="CF357" t="s">
        <v>1160</v>
      </c>
      <c r="CG357" t="s">
        <v>1119</v>
      </c>
      <c r="CH357" t="s">
        <v>998</v>
      </c>
      <c r="CI357" t="s">
        <v>180</v>
      </c>
      <c r="CJ357" t="s">
        <v>239</v>
      </c>
      <c r="CK357" t="s">
        <v>241</v>
      </c>
      <c r="CL357" t="s">
        <v>311</v>
      </c>
      <c r="CM357" t="s">
        <v>805</v>
      </c>
      <c r="CN357" t="s">
        <v>806</v>
      </c>
    </row>
    <row r="358" spans="1:97">
      <c r="A358" s="40">
        <v>335</v>
      </c>
      <c r="B358" s="40" t="s">
        <v>1626</v>
      </c>
      <c r="C358" s="2" t="s">
        <v>1627</v>
      </c>
      <c r="D358" s="2" t="s">
        <v>24</v>
      </c>
      <c r="E358" s="2"/>
      <c r="F358" s="2">
        <v>73</v>
      </c>
      <c r="G358" s="2">
        <v>115</v>
      </c>
      <c r="H358" s="2">
        <v>60</v>
      </c>
      <c r="I358" s="2">
        <v>60</v>
      </c>
      <c r="J358" s="2">
        <v>60</v>
      </c>
      <c r="K358" s="2">
        <v>90</v>
      </c>
      <c r="L358" s="2">
        <v>458</v>
      </c>
      <c r="M358" s="2" t="s">
        <v>1201</v>
      </c>
      <c r="N358" s="2" t="s">
        <v>1061</v>
      </c>
      <c r="O358" t="s">
        <v>249</v>
      </c>
      <c r="P358" t="s">
        <v>330</v>
      </c>
      <c r="Q358" t="s">
        <v>310</v>
      </c>
      <c r="R358" t="s">
        <v>758</v>
      </c>
      <c r="S358" t="s">
        <v>773</v>
      </c>
      <c r="T358" t="s">
        <v>253</v>
      </c>
      <c r="U358" t="s">
        <v>969</v>
      </c>
      <c r="V358" t="s">
        <v>1143</v>
      </c>
      <c r="W358" t="s">
        <v>1128</v>
      </c>
      <c r="X358" t="s">
        <v>776</v>
      </c>
      <c r="Y358" t="s">
        <v>1220</v>
      </c>
      <c r="Z358" t="s">
        <v>1018</v>
      </c>
      <c r="AA358" t="s">
        <v>1126</v>
      </c>
      <c r="AB358" t="s">
        <v>145</v>
      </c>
      <c r="AC358" t="s">
        <v>1174</v>
      </c>
      <c r="AD358" t="s">
        <v>1062</v>
      </c>
      <c r="AE358" t="s">
        <v>227</v>
      </c>
      <c r="AF358" t="s">
        <v>1063</v>
      </c>
      <c r="AG358" t="s">
        <v>1030</v>
      </c>
      <c r="AH358" t="s">
        <v>246</v>
      </c>
      <c r="AI358" t="s">
        <v>148</v>
      </c>
      <c r="AJ358" t="s">
        <v>172</v>
      </c>
      <c r="AK358" t="s">
        <v>752</v>
      </c>
      <c r="AL358" t="s">
        <v>1126</v>
      </c>
      <c r="AM358" t="s">
        <v>141</v>
      </c>
      <c r="AN358" t="s">
        <v>271</v>
      </c>
      <c r="AO358" t="s">
        <v>1078</v>
      </c>
      <c r="AP358" t="s">
        <v>766</v>
      </c>
      <c r="AQ358" t="s">
        <v>1079</v>
      </c>
      <c r="AR358" t="s">
        <v>229</v>
      </c>
      <c r="AS358" t="s">
        <v>146</v>
      </c>
      <c r="AT358" t="s">
        <v>321</v>
      </c>
      <c r="AU358" t="s">
        <v>1080</v>
      </c>
      <c r="AV358" t="s">
        <v>256</v>
      </c>
      <c r="AW358" t="s">
        <v>174</v>
      </c>
      <c r="AX358" t="s">
        <v>1094</v>
      </c>
      <c r="AY358" t="s">
        <v>230</v>
      </c>
      <c r="AZ358" t="s">
        <v>254</v>
      </c>
      <c r="BA358" t="s">
        <v>257</v>
      </c>
      <c r="BB358" t="s">
        <v>1095</v>
      </c>
      <c r="BC358" t="s">
        <v>1096</v>
      </c>
      <c r="BD358" t="s">
        <v>917</v>
      </c>
      <c r="BE358" t="s">
        <v>231</v>
      </c>
      <c r="BF358" t="s">
        <v>1082</v>
      </c>
      <c r="BG358" t="s">
        <v>1117</v>
      </c>
      <c r="BH358" t="s">
        <v>1037</v>
      </c>
      <c r="BI358" t="s">
        <v>1102</v>
      </c>
      <c r="BJ358" t="s">
        <v>776</v>
      </c>
      <c r="BK358" t="s">
        <v>974</v>
      </c>
      <c r="BL358" t="s">
        <v>1031</v>
      </c>
      <c r="BM358" t="s">
        <v>969</v>
      </c>
      <c r="BN358" t="s">
        <v>1005</v>
      </c>
      <c r="BO358" t="s">
        <v>995</v>
      </c>
      <c r="BP358" t="s">
        <v>1036</v>
      </c>
      <c r="BQ358" t="s">
        <v>145</v>
      </c>
      <c r="BR358" t="s">
        <v>143</v>
      </c>
      <c r="BS358" t="s">
        <v>1018</v>
      </c>
      <c r="BT358" t="s">
        <v>997</v>
      </c>
      <c r="BU358" t="s">
        <v>756</v>
      </c>
      <c r="BV358" t="s">
        <v>757</v>
      </c>
      <c r="BW358" t="s">
        <v>233</v>
      </c>
      <c r="BX358" t="s">
        <v>760</v>
      </c>
      <c r="BY358" t="s">
        <v>2398</v>
      </c>
      <c r="BZ358" t="s">
        <v>2339</v>
      </c>
      <c r="CA358" t="s">
        <v>234</v>
      </c>
      <c r="CB358" t="s">
        <v>332</v>
      </c>
      <c r="CC358" t="s">
        <v>359</v>
      </c>
      <c r="CD358" t="s">
        <v>340</v>
      </c>
      <c r="CE358" t="s">
        <v>259</v>
      </c>
      <c r="CF358" t="s">
        <v>323</v>
      </c>
      <c r="CG358" t="s">
        <v>751</v>
      </c>
      <c r="CH358" t="s">
        <v>770</v>
      </c>
      <c r="CI358" t="s">
        <v>761</v>
      </c>
      <c r="CJ358" t="s">
        <v>783</v>
      </c>
      <c r="CK358" t="s">
        <v>971</v>
      </c>
      <c r="CL358" t="s">
        <v>993</v>
      </c>
      <c r="CM358" t="s">
        <v>965</v>
      </c>
      <c r="CN358" t="s">
        <v>1035</v>
      </c>
      <c r="CO358" t="s">
        <v>1024</v>
      </c>
      <c r="CP358" t="s">
        <v>239</v>
      </c>
      <c r="CQ358" t="s">
        <v>241</v>
      </c>
      <c r="CR358" t="s">
        <v>805</v>
      </c>
      <c r="CS358" t="s">
        <v>806</v>
      </c>
    </row>
    <row r="359" spans="1:97">
      <c r="A359" s="40">
        <v>336</v>
      </c>
      <c r="B359" s="40" t="s">
        <v>1628</v>
      </c>
      <c r="C359" s="2" t="s">
        <v>1629</v>
      </c>
      <c r="D359" s="2" t="s">
        <v>11</v>
      </c>
      <c r="E359" s="2"/>
      <c r="F359" s="2">
        <v>73</v>
      </c>
      <c r="G359" s="2">
        <v>100</v>
      </c>
      <c r="H359" s="2">
        <v>60</v>
      </c>
      <c r="I359" s="2">
        <v>100</v>
      </c>
      <c r="J359" s="2">
        <v>60</v>
      </c>
      <c r="K359" s="2">
        <v>65</v>
      </c>
      <c r="L359" s="2">
        <v>458</v>
      </c>
      <c r="M359" s="2" t="s">
        <v>1137</v>
      </c>
      <c r="N359" s="2" t="s">
        <v>1061</v>
      </c>
      <c r="O359" t="s">
        <v>338</v>
      </c>
      <c r="P359" t="s">
        <v>511</v>
      </c>
      <c r="Q359" t="s">
        <v>258</v>
      </c>
      <c r="R359" t="s">
        <v>756</v>
      </c>
      <c r="S359" t="s">
        <v>936</v>
      </c>
      <c r="T359" t="s">
        <v>324</v>
      </c>
      <c r="U359" t="s">
        <v>1077</v>
      </c>
      <c r="V359" t="s">
        <v>139</v>
      </c>
      <c r="W359" t="s">
        <v>935</v>
      </c>
      <c r="X359" t="s">
        <v>2410</v>
      </c>
      <c r="Y359" t="s">
        <v>993</v>
      </c>
      <c r="Z359" t="s">
        <v>975</v>
      </c>
      <c r="AA359" t="s">
        <v>272</v>
      </c>
      <c r="AB359" t="s">
        <v>997</v>
      </c>
      <c r="AC359" t="s">
        <v>777</v>
      </c>
      <c r="AD359" t="s">
        <v>2335</v>
      </c>
      <c r="AE359" t="s">
        <v>1135</v>
      </c>
      <c r="AF359" t="s">
        <v>1189</v>
      </c>
      <c r="AG359" t="s">
        <v>1062</v>
      </c>
      <c r="AH359" t="s">
        <v>227</v>
      </c>
      <c r="AI359" t="s">
        <v>1063</v>
      </c>
      <c r="AJ359" t="s">
        <v>148</v>
      </c>
      <c r="AK359" t="s">
        <v>1077</v>
      </c>
      <c r="AL359" t="s">
        <v>172</v>
      </c>
      <c r="AM359" t="s">
        <v>752</v>
      </c>
      <c r="AN359" t="s">
        <v>1126</v>
      </c>
      <c r="AO359" t="s">
        <v>1078</v>
      </c>
      <c r="AP359" t="s">
        <v>766</v>
      </c>
      <c r="AQ359" t="s">
        <v>1079</v>
      </c>
      <c r="AR359" t="s">
        <v>136</v>
      </c>
      <c r="AS359" t="s">
        <v>1080</v>
      </c>
      <c r="AT359" t="s">
        <v>256</v>
      </c>
      <c r="AU359" t="s">
        <v>230</v>
      </c>
      <c r="AV359" t="s">
        <v>186</v>
      </c>
      <c r="AW359" t="s">
        <v>254</v>
      </c>
      <c r="AX359" t="s">
        <v>1081</v>
      </c>
      <c r="AY359" t="s">
        <v>917</v>
      </c>
      <c r="AZ359" t="s">
        <v>231</v>
      </c>
      <c r="BA359" t="s">
        <v>1082</v>
      </c>
      <c r="BB359" t="s">
        <v>1117</v>
      </c>
      <c r="BC359" t="s">
        <v>1037</v>
      </c>
      <c r="BD359" t="s">
        <v>995</v>
      </c>
      <c r="BE359" t="s">
        <v>1036</v>
      </c>
      <c r="BF359" t="s">
        <v>1021</v>
      </c>
      <c r="BG359" t="s">
        <v>1018</v>
      </c>
      <c r="BH359" t="s">
        <v>1022</v>
      </c>
      <c r="BI359" t="s">
        <v>2369</v>
      </c>
      <c r="BJ359" t="s">
        <v>997</v>
      </c>
      <c r="BK359" t="s">
        <v>756</v>
      </c>
      <c r="BL359" t="s">
        <v>757</v>
      </c>
      <c r="BM359" t="s">
        <v>233</v>
      </c>
      <c r="BN359" t="s">
        <v>760</v>
      </c>
      <c r="BO359" t="s">
        <v>1157</v>
      </c>
      <c r="BP359" t="s">
        <v>2339</v>
      </c>
      <c r="BQ359" t="s">
        <v>234</v>
      </c>
      <c r="BR359" t="s">
        <v>364</v>
      </c>
      <c r="BS359" t="s">
        <v>1092</v>
      </c>
      <c r="BT359" t="s">
        <v>761</v>
      </c>
      <c r="BU359" t="s">
        <v>946</v>
      </c>
      <c r="BV359" t="s">
        <v>1133</v>
      </c>
      <c r="BW359" t="s">
        <v>948</v>
      </c>
      <c r="BX359" t="s">
        <v>960</v>
      </c>
      <c r="BY359" t="s">
        <v>1189</v>
      </c>
      <c r="BZ359" t="s">
        <v>1001</v>
      </c>
      <c r="CA359" t="s">
        <v>993</v>
      </c>
      <c r="CB359" t="s">
        <v>1136</v>
      </c>
      <c r="CC359" t="s">
        <v>1024</v>
      </c>
      <c r="CD359" t="s">
        <v>239</v>
      </c>
      <c r="CE359" t="s">
        <v>241</v>
      </c>
      <c r="CF359" t="s">
        <v>805</v>
      </c>
      <c r="CG359" t="s">
        <v>806</v>
      </c>
    </row>
    <row r="360" spans="1:97">
      <c r="A360" s="40">
        <v>337</v>
      </c>
      <c r="B360" s="40" t="s">
        <v>1630</v>
      </c>
      <c r="C360" s="2" t="s">
        <v>1631</v>
      </c>
      <c r="D360" s="2" t="s">
        <v>25</v>
      </c>
      <c r="E360" s="2" t="s">
        <v>9</v>
      </c>
      <c r="F360" s="2">
        <v>70</v>
      </c>
      <c r="G360" s="2">
        <v>55</v>
      </c>
      <c r="H360" s="2">
        <v>65</v>
      </c>
      <c r="I360" s="2">
        <v>95</v>
      </c>
      <c r="J360" s="2">
        <v>85</v>
      </c>
      <c r="K360" s="2">
        <v>70</v>
      </c>
      <c r="L360" s="2">
        <v>440</v>
      </c>
      <c r="M360" s="2" t="s">
        <v>1074</v>
      </c>
      <c r="N360" s="2" t="s">
        <v>1061</v>
      </c>
      <c r="O360" t="s">
        <v>219</v>
      </c>
      <c r="P360" t="s">
        <v>287</v>
      </c>
      <c r="Q360" t="s">
        <v>284</v>
      </c>
      <c r="R360" t="s">
        <v>483</v>
      </c>
      <c r="S360" t="s">
        <v>388</v>
      </c>
      <c r="T360" t="s">
        <v>1003</v>
      </c>
      <c r="U360" t="s">
        <v>529</v>
      </c>
      <c r="V360" t="s">
        <v>969</v>
      </c>
      <c r="W360" t="s">
        <v>143</v>
      </c>
      <c r="X360" t="s">
        <v>1149</v>
      </c>
      <c r="Y360" t="s">
        <v>9</v>
      </c>
      <c r="Z360" t="s">
        <v>1451</v>
      </c>
      <c r="AA360" t="s">
        <v>183</v>
      </c>
      <c r="AB360" t="s">
        <v>790</v>
      </c>
      <c r="AC360" t="s">
        <v>485</v>
      </c>
      <c r="AD360" t="s">
        <v>2381</v>
      </c>
      <c r="AE360" t="s">
        <v>1032</v>
      </c>
      <c r="AF360" t="s">
        <v>1062</v>
      </c>
      <c r="AG360" t="s">
        <v>1063</v>
      </c>
      <c r="AH360" t="s">
        <v>1151</v>
      </c>
      <c r="AI360" t="s">
        <v>912</v>
      </c>
      <c r="AJ360" t="s">
        <v>148</v>
      </c>
      <c r="AK360" t="s">
        <v>172</v>
      </c>
      <c r="AL360" t="s">
        <v>141</v>
      </c>
      <c r="AM360" t="s">
        <v>271</v>
      </c>
      <c r="AN360" t="s">
        <v>247</v>
      </c>
      <c r="AO360" t="s">
        <v>228</v>
      </c>
      <c r="AP360" t="s">
        <v>1078</v>
      </c>
      <c r="AQ360" t="s">
        <v>766</v>
      </c>
      <c r="AR360" t="s">
        <v>759</v>
      </c>
      <c r="AS360" t="s">
        <v>1079</v>
      </c>
      <c r="AT360" t="s">
        <v>1109</v>
      </c>
      <c r="AU360" t="s">
        <v>136</v>
      </c>
      <c r="AV360" t="s">
        <v>1080</v>
      </c>
      <c r="AW360" t="s">
        <v>9</v>
      </c>
      <c r="AX360" t="s">
        <v>174</v>
      </c>
      <c r="AY360" t="s">
        <v>230</v>
      </c>
      <c r="AZ360" t="s">
        <v>380</v>
      </c>
      <c r="BA360" t="s">
        <v>765</v>
      </c>
      <c r="BB360" t="s">
        <v>1095</v>
      </c>
      <c r="BC360" t="s">
        <v>917</v>
      </c>
      <c r="BD360" t="s">
        <v>231</v>
      </c>
      <c r="BE360" t="s">
        <v>1037</v>
      </c>
      <c r="BF360" t="s">
        <v>963</v>
      </c>
      <c r="BG360" t="s">
        <v>1020</v>
      </c>
      <c r="BH360" t="s">
        <v>969</v>
      </c>
      <c r="BI360" t="s">
        <v>485</v>
      </c>
      <c r="BJ360" t="s">
        <v>976</v>
      </c>
      <c r="BK360" t="s">
        <v>1003</v>
      </c>
      <c r="BL360" t="s">
        <v>232</v>
      </c>
      <c r="BM360" t="s">
        <v>183</v>
      </c>
      <c r="BN360" t="s">
        <v>980</v>
      </c>
      <c r="BO360" t="s">
        <v>785</v>
      </c>
      <c r="BP360" t="s">
        <v>1021</v>
      </c>
      <c r="BQ360" t="s">
        <v>143</v>
      </c>
      <c r="BR360" t="s">
        <v>293</v>
      </c>
      <c r="BS360" t="s">
        <v>977</v>
      </c>
      <c r="BT360" t="s">
        <v>756</v>
      </c>
      <c r="BU360" t="s">
        <v>757</v>
      </c>
      <c r="BV360" t="s">
        <v>233</v>
      </c>
      <c r="BW360" t="s">
        <v>1012</v>
      </c>
      <c r="BX360" t="s">
        <v>2339</v>
      </c>
      <c r="BY360" t="s">
        <v>234</v>
      </c>
      <c r="BZ360" t="s">
        <v>239</v>
      </c>
      <c r="CA360" t="s">
        <v>241</v>
      </c>
      <c r="CB360" t="s">
        <v>805</v>
      </c>
      <c r="CC360" t="s">
        <v>806</v>
      </c>
    </row>
    <row r="361" spans="1:97">
      <c r="A361" s="40">
        <v>338</v>
      </c>
      <c r="B361" s="40" t="s">
        <v>1632</v>
      </c>
      <c r="C361" s="2" t="s">
        <v>1633</v>
      </c>
      <c r="D361" s="2" t="s">
        <v>25</v>
      </c>
      <c r="E361" s="2" t="s">
        <v>9</v>
      </c>
      <c r="F361" s="2">
        <v>70</v>
      </c>
      <c r="G361" s="2">
        <v>95</v>
      </c>
      <c r="H361" s="2">
        <v>85</v>
      </c>
      <c r="I361" s="2">
        <v>55</v>
      </c>
      <c r="J361" s="2">
        <v>65</v>
      </c>
      <c r="K361" s="2">
        <v>70</v>
      </c>
      <c r="L361" s="2">
        <v>440</v>
      </c>
      <c r="M361" s="2" t="s">
        <v>1141</v>
      </c>
      <c r="N361" s="2" t="s">
        <v>1061</v>
      </c>
      <c r="O361" t="s">
        <v>219</v>
      </c>
      <c r="P361" t="s">
        <v>287</v>
      </c>
      <c r="Q361" t="s">
        <v>284</v>
      </c>
      <c r="R361" t="s">
        <v>483</v>
      </c>
      <c r="S361" t="s">
        <v>255</v>
      </c>
      <c r="T361" t="s">
        <v>1003</v>
      </c>
      <c r="U361" t="s">
        <v>529</v>
      </c>
      <c r="V361" t="s">
        <v>969</v>
      </c>
      <c r="W361" t="s">
        <v>143</v>
      </c>
      <c r="X361" t="s">
        <v>1149</v>
      </c>
      <c r="Y361" t="s">
        <v>9</v>
      </c>
      <c r="Z361" t="s">
        <v>1451</v>
      </c>
      <c r="AA361" t="s">
        <v>183</v>
      </c>
      <c r="AB361" t="s">
        <v>229</v>
      </c>
      <c r="AC361" t="s">
        <v>485</v>
      </c>
      <c r="AD361" t="s">
        <v>1048</v>
      </c>
      <c r="AE361" t="s">
        <v>1062</v>
      </c>
      <c r="AF361" t="s">
        <v>1063</v>
      </c>
      <c r="AG361" t="s">
        <v>1151</v>
      </c>
      <c r="AH361" t="s">
        <v>912</v>
      </c>
      <c r="AI361" t="s">
        <v>148</v>
      </c>
      <c r="AJ361" t="s">
        <v>172</v>
      </c>
      <c r="AK361" t="s">
        <v>752</v>
      </c>
      <c r="AL361" t="s">
        <v>247</v>
      </c>
      <c r="AM361" t="s">
        <v>228</v>
      </c>
      <c r="AN361" t="s">
        <v>1078</v>
      </c>
      <c r="AO361" t="s">
        <v>759</v>
      </c>
      <c r="AP361" t="s">
        <v>1079</v>
      </c>
      <c r="AQ361" t="s">
        <v>229</v>
      </c>
      <c r="AR361" t="s">
        <v>1109</v>
      </c>
      <c r="AS361" t="s">
        <v>136</v>
      </c>
      <c r="AT361" t="s">
        <v>1080</v>
      </c>
      <c r="AU361" t="s">
        <v>9</v>
      </c>
      <c r="AV361" t="s">
        <v>174</v>
      </c>
      <c r="AW361" t="s">
        <v>230</v>
      </c>
      <c r="AX361" t="s">
        <v>380</v>
      </c>
      <c r="AY361" t="s">
        <v>254</v>
      </c>
      <c r="AZ361" t="s">
        <v>765</v>
      </c>
      <c r="BA361" t="s">
        <v>257</v>
      </c>
      <c r="BB361" t="s">
        <v>1095</v>
      </c>
      <c r="BC361" t="s">
        <v>917</v>
      </c>
      <c r="BD361" t="s">
        <v>231</v>
      </c>
      <c r="BE361" t="s">
        <v>1037</v>
      </c>
      <c r="BF361" t="s">
        <v>1098</v>
      </c>
      <c r="BG361" t="s">
        <v>963</v>
      </c>
      <c r="BH361" t="s">
        <v>1031</v>
      </c>
      <c r="BI361" t="s">
        <v>956</v>
      </c>
      <c r="BJ361" t="s">
        <v>1020</v>
      </c>
      <c r="BK361" t="s">
        <v>969</v>
      </c>
      <c r="BL361" t="s">
        <v>485</v>
      </c>
      <c r="BM361" t="s">
        <v>976</v>
      </c>
      <c r="BN361" t="s">
        <v>1003</v>
      </c>
      <c r="BO361" t="s">
        <v>232</v>
      </c>
      <c r="BP361" t="s">
        <v>183</v>
      </c>
      <c r="BQ361" t="s">
        <v>980</v>
      </c>
      <c r="BR361" t="s">
        <v>785</v>
      </c>
      <c r="BS361" t="s">
        <v>1021</v>
      </c>
      <c r="BT361" t="s">
        <v>143</v>
      </c>
      <c r="BU361" t="s">
        <v>293</v>
      </c>
      <c r="BV361" t="s">
        <v>977</v>
      </c>
      <c r="BW361" t="s">
        <v>756</v>
      </c>
      <c r="BX361" t="s">
        <v>757</v>
      </c>
      <c r="BY361" t="s">
        <v>233</v>
      </c>
      <c r="BZ361" t="s">
        <v>1012</v>
      </c>
      <c r="CA361" t="s">
        <v>2339</v>
      </c>
      <c r="CB361" t="s">
        <v>234</v>
      </c>
      <c r="CC361" t="s">
        <v>239</v>
      </c>
      <c r="CD361" t="s">
        <v>241</v>
      </c>
      <c r="CE361" t="s">
        <v>805</v>
      </c>
      <c r="CF361" t="s">
        <v>806</v>
      </c>
    </row>
    <row r="362" spans="1:97">
      <c r="A362" s="40">
        <v>339</v>
      </c>
      <c r="B362" s="40" t="s">
        <v>1634</v>
      </c>
      <c r="C362" s="2" t="s">
        <v>1635</v>
      </c>
      <c r="D362" s="2" t="s">
        <v>27</v>
      </c>
      <c r="E362" s="2" t="s">
        <v>22</v>
      </c>
      <c r="F362" s="2">
        <v>50</v>
      </c>
      <c r="G362" s="2">
        <v>48</v>
      </c>
      <c r="H362" s="2">
        <v>43</v>
      </c>
      <c r="I362" s="2">
        <v>46</v>
      </c>
      <c r="J362" s="2">
        <v>41</v>
      </c>
      <c r="K362" s="2">
        <v>60</v>
      </c>
      <c r="L362" s="2">
        <v>288</v>
      </c>
      <c r="M362" s="2" t="s">
        <v>1131</v>
      </c>
      <c r="N362" s="2" t="s">
        <v>1061</v>
      </c>
      <c r="O362" t="s">
        <v>755</v>
      </c>
      <c r="P362" t="s">
        <v>933</v>
      </c>
      <c r="Q362" t="s">
        <v>955</v>
      </c>
      <c r="R362" t="s">
        <v>269</v>
      </c>
      <c r="S362" t="s">
        <v>990</v>
      </c>
      <c r="T362" t="s">
        <v>235</v>
      </c>
      <c r="U362" t="s">
        <v>954</v>
      </c>
      <c r="V362" t="s">
        <v>789</v>
      </c>
      <c r="W362" t="s">
        <v>231</v>
      </c>
      <c r="X362" t="s">
        <v>753</v>
      </c>
      <c r="Y362" t="s">
        <v>179</v>
      </c>
      <c r="Z362" t="s">
        <v>136</v>
      </c>
      <c r="AA362" t="s">
        <v>790</v>
      </c>
      <c r="AB362" t="s">
        <v>419</v>
      </c>
      <c r="AC362" t="s">
        <v>1062</v>
      </c>
      <c r="AD362" t="s">
        <v>144</v>
      </c>
      <c r="AE362" t="s">
        <v>270</v>
      </c>
      <c r="AF362" t="s">
        <v>914</v>
      </c>
      <c r="AG362" t="s">
        <v>1063</v>
      </c>
      <c r="AH362" t="s">
        <v>148</v>
      </c>
      <c r="AI362" t="s">
        <v>1104</v>
      </c>
      <c r="AJ362" t="s">
        <v>172</v>
      </c>
      <c r="AK362" t="s">
        <v>141</v>
      </c>
      <c r="AL362" t="s">
        <v>271</v>
      </c>
      <c r="AM362" t="s">
        <v>1078</v>
      </c>
      <c r="AN362" t="s">
        <v>766</v>
      </c>
      <c r="AO362" t="s">
        <v>1079</v>
      </c>
      <c r="AP362" t="s">
        <v>136</v>
      </c>
      <c r="AQ362" t="s">
        <v>1080</v>
      </c>
      <c r="AR362" t="s">
        <v>230</v>
      </c>
      <c r="AS362" t="s">
        <v>765</v>
      </c>
      <c r="AT362" t="s">
        <v>1095</v>
      </c>
      <c r="AU362" t="s">
        <v>917</v>
      </c>
      <c r="AV362" t="s">
        <v>231</v>
      </c>
      <c r="AW362" t="s">
        <v>1082</v>
      </c>
      <c r="AX362" t="s">
        <v>1037</v>
      </c>
      <c r="AY362" t="s">
        <v>1038</v>
      </c>
      <c r="AZ362" t="s">
        <v>1021</v>
      </c>
      <c r="BA362" t="s">
        <v>756</v>
      </c>
      <c r="BB362" t="s">
        <v>757</v>
      </c>
      <c r="BC362" t="s">
        <v>233</v>
      </c>
      <c r="BD362" t="s">
        <v>2339</v>
      </c>
      <c r="BE362" t="s">
        <v>234</v>
      </c>
      <c r="BF362" t="s">
        <v>223</v>
      </c>
      <c r="BG362" t="s">
        <v>373</v>
      </c>
      <c r="BH362" t="s">
        <v>140</v>
      </c>
      <c r="BI362" t="s">
        <v>770</v>
      </c>
      <c r="BJ362" t="s">
        <v>1203</v>
      </c>
      <c r="BK362" t="s">
        <v>767</v>
      </c>
      <c r="BL362" t="s">
        <v>1105</v>
      </c>
      <c r="BM362" t="s">
        <v>1144</v>
      </c>
      <c r="BN362" t="s">
        <v>915</v>
      </c>
      <c r="BO362" t="s">
        <v>968</v>
      </c>
      <c r="BP362" t="s">
        <v>239</v>
      </c>
      <c r="BQ362" t="s">
        <v>241</v>
      </c>
      <c r="BR362" t="s">
        <v>805</v>
      </c>
      <c r="BS362" t="s">
        <v>806</v>
      </c>
    </row>
    <row r="363" spans="1:97">
      <c r="A363" s="40">
        <v>340</v>
      </c>
      <c r="B363" s="40" t="s">
        <v>1636</v>
      </c>
      <c r="C363" s="2" t="s">
        <v>1637</v>
      </c>
      <c r="D363" s="2" t="s">
        <v>27</v>
      </c>
      <c r="E363" s="2" t="s">
        <v>22</v>
      </c>
      <c r="F363" s="2">
        <v>110</v>
      </c>
      <c r="G363" s="2">
        <v>78</v>
      </c>
      <c r="H363" s="2">
        <v>73</v>
      </c>
      <c r="I363" s="2">
        <v>76</v>
      </c>
      <c r="J363" s="2">
        <v>71</v>
      </c>
      <c r="K363" s="2">
        <v>60</v>
      </c>
      <c r="L363" s="2">
        <v>468</v>
      </c>
      <c r="M363" s="2" t="s">
        <v>1074</v>
      </c>
      <c r="N363" s="2" t="s">
        <v>1061</v>
      </c>
      <c r="O363" t="s">
        <v>755</v>
      </c>
      <c r="P363" t="s">
        <v>933</v>
      </c>
      <c r="Q363" t="s">
        <v>950</v>
      </c>
      <c r="R363" t="s">
        <v>955</v>
      </c>
      <c r="S363" t="s">
        <v>1019</v>
      </c>
      <c r="T363" t="s">
        <v>933</v>
      </c>
      <c r="U363" t="s">
        <v>955</v>
      </c>
      <c r="V363" t="s">
        <v>269</v>
      </c>
      <c r="W363" t="s">
        <v>990</v>
      </c>
      <c r="X363" t="s">
        <v>235</v>
      </c>
      <c r="Y363" t="s">
        <v>954</v>
      </c>
      <c r="Z363" t="s">
        <v>789</v>
      </c>
      <c r="AA363" t="s">
        <v>231</v>
      </c>
      <c r="AB363" t="s">
        <v>753</v>
      </c>
      <c r="AC363" t="s">
        <v>179</v>
      </c>
      <c r="AD363" t="s">
        <v>136</v>
      </c>
      <c r="AE363" t="s">
        <v>790</v>
      </c>
      <c r="AF363" t="s">
        <v>419</v>
      </c>
      <c r="AG363" t="s">
        <v>1062</v>
      </c>
      <c r="AH363" t="s">
        <v>144</v>
      </c>
      <c r="AI363" t="s">
        <v>227</v>
      </c>
      <c r="AJ363" t="s">
        <v>270</v>
      </c>
      <c r="AK363" t="s">
        <v>914</v>
      </c>
      <c r="AL363" t="s">
        <v>1063</v>
      </c>
      <c r="AM363" t="s">
        <v>148</v>
      </c>
      <c r="AN363" t="s">
        <v>1104</v>
      </c>
      <c r="AO363" t="s">
        <v>172</v>
      </c>
      <c r="AP363" t="s">
        <v>141</v>
      </c>
      <c r="AQ363" t="s">
        <v>271</v>
      </c>
      <c r="AR363" t="s">
        <v>247</v>
      </c>
      <c r="AS363" t="s">
        <v>1078</v>
      </c>
      <c r="AT363" t="s">
        <v>766</v>
      </c>
      <c r="AU363" t="s">
        <v>1079</v>
      </c>
      <c r="AV363" t="s">
        <v>136</v>
      </c>
      <c r="AW363" t="s">
        <v>1080</v>
      </c>
      <c r="AX363" t="s">
        <v>230</v>
      </c>
      <c r="AY363" t="s">
        <v>765</v>
      </c>
      <c r="AZ363" t="s">
        <v>1095</v>
      </c>
      <c r="BA363" t="s">
        <v>917</v>
      </c>
      <c r="BB363" t="s">
        <v>231</v>
      </c>
      <c r="BC363" t="s">
        <v>1082</v>
      </c>
      <c r="BD363" t="s">
        <v>1037</v>
      </c>
      <c r="BE363" t="s">
        <v>1038</v>
      </c>
      <c r="BF363" t="s">
        <v>976</v>
      </c>
      <c r="BG363" t="s">
        <v>183</v>
      </c>
      <c r="BH363" t="s">
        <v>1021</v>
      </c>
      <c r="BI363" t="s">
        <v>143</v>
      </c>
      <c r="BJ363" t="s">
        <v>756</v>
      </c>
      <c r="BK363" t="s">
        <v>757</v>
      </c>
      <c r="BL363" t="s">
        <v>233</v>
      </c>
      <c r="BM363" t="s">
        <v>760</v>
      </c>
      <c r="BN363" t="s">
        <v>2339</v>
      </c>
      <c r="BO363" t="s">
        <v>234</v>
      </c>
      <c r="BP363" t="s">
        <v>223</v>
      </c>
      <c r="BQ363" t="s">
        <v>373</v>
      </c>
      <c r="BR363" t="s">
        <v>140</v>
      </c>
      <c r="BS363" t="s">
        <v>770</v>
      </c>
      <c r="BT363" t="s">
        <v>1203</v>
      </c>
      <c r="BU363" t="s">
        <v>767</v>
      </c>
      <c r="BV363" t="s">
        <v>1105</v>
      </c>
      <c r="BW363" t="s">
        <v>1144</v>
      </c>
      <c r="BX363" t="s">
        <v>915</v>
      </c>
      <c r="BY363" t="s">
        <v>968</v>
      </c>
      <c r="BZ363" t="s">
        <v>239</v>
      </c>
      <c r="CA363" t="s">
        <v>241</v>
      </c>
      <c r="CB363" t="s">
        <v>805</v>
      </c>
      <c r="CC363" t="s">
        <v>806</v>
      </c>
    </row>
    <row r="364" spans="1:97">
      <c r="A364" s="40">
        <v>341</v>
      </c>
      <c r="B364" s="40" t="s">
        <v>1638</v>
      </c>
      <c r="C364" s="2" t="s">
        <v>1639</v>
      </c>
      <c r="D364" s="2" t="s">
        <v>27</v>
      </c>
      <c r="E364" s="2"/>
      <c r="F364" s="2">
        <v>43</v>
      </c>
      <c r="G364" s="2">
        <v>80</v>
      </c>
      <c r="H364" s="2">
        <v>65</v>
      </c>
      <c r="I364" s="2">
        <v>50</v>
      </c>
      <c r="J364" s="2">
        <v>35</v>
      </c>
      <c r="K364" s="2">
        <v>35</v>
      </c>
      <c r="L364" s="2">
        <v>308</v>
      </c>
      <c r="M364" s="2" t="s">
        <v>1141</v>
      </c>
      <c r="N364" s="2" t="s">
        <v>1061</v>
      </c>
      <c r="O364" t="s">
        <v>267</v>
      </c>
      <c r="P364" t="s">
        <v>284</v>
      </c>
      <c r="Q364" t="s">
        <v>542</v>
      </c>
      <c r="R364" t="s">
        <v>330</v>
      </c>
      <c r="S364" t="s">
        <v>446</v>
      </c>
      <c r="T364" t="s">
        <v>1078</v>
      </c>
      <c r="U364" t="s">
        <v>928</v>
      </c>
      <c r="V364" t="s">
        <v>1126</v>
      </c>
      <c r="W364" t="s">
        <v>993</v>
      </c>
      <c r="X364" t="s">
        <v>544</v>
      </c>
      <c r="Y364" t="s">
        <v>145</v>
      </c>
      <c r="Z364" t="s">
        <v>777</v>
      </c>
      <c r="AA364" t="s">
        <v>543</v>
      </c>
      <c r="AB364" t="s">
        <v>1062</v>
      </c>
      <c r="AC364" t="s">
        <v>226</v>
      </c>
      <c r="AD364" t="s">
        <v>144</v>
      </c>
      <c r="AE364" t="s">
        <v>227</v>
      </c>
      <c r="AF364" t="s">
        <v>270</v>
      </c>
      <c r="AG364" t="s">
        <v>1063</v>
      </c>
      <c r="AH364" t="s">
        <v>1030</v>
      </c>
      <c r="AI364" t="s">
        <v>148</v>
      </c>
      <c r="AJ364" t="s">
        <v>1104</v>
      </c>
      <c r="AK364" t="s">
        <v>172</v>
      </c>
      <c r="AL364" t="s">
        <v>1126</v>
      </c>
      <c r="AM364" t="s">
        <v>141</v>
      </c>
      <c r="AN364" t="s">
        <v>271</v>
      </c>
      <c r="AO364" t="s">
        <v>1078</v>
      </c>
      <c r="AP364" t="s">
        <v>766</v>
      </c>
      <c r="AQ364" t="s">
        <v>1079</v>
      </c>
      <c r="AR364" t="s">
        <v>1080</v>
      </c>
      <c r="AS364" t="s">
        <v>256</v>
      </c>
      <c r="AT364" t="s">
        <v>1094</v>
      </c>
      <c r="AU364" t="s">
        <v>230</v>
      </c>
      <c r="AV364" t="s">
        <v>1081</v>
      </c>
      <c r="AW364" t="s">
        <v>1095</v>
      </c>
      <c r="AX364" t="s">
        <v>1096</v>
      </c>
      <c r="AY364" t="s">
        <v>917</v>
      </c>
      <c r="AZ364" t="s">
        <v>231</v>
      </c>
      <c r="BA364" t="s">
        <v>1082</v>
      </c>
      <c r="BB364" t="s">
        <v>1037</v>
      </c>
      <c r="BC364" t="s">
        <v>776</v>
      </c>
      <c r="BD364" t="s">
        <v>1038</v>
      </c>
      <c r="BE364" t="s">
        <v>974</v>
      </c>
      <c r="BF364" t="s">
        <v>995</v>
      </c>
      <c r="BG364" t="s">
        <v>145</v>
      </c>
      <c r="BH364" t="s">
        <v>143</v>
      </c>
      <c r="BI364" t="s">
        <v>1018</v>
      </c>
      <c r="BJ364" t="s">
        <v>756</v>
      </c>
      <c r="BK364" t="s">
        <v>757</v>
      </c>
      <c r="BL364" t="s">
        <v>233</v>
      </c>
      <c r="BM364" t="s">
        <v>760</v>
      </c>
      <c r="BN364" t="s">
        <v>2339</v>
      </c>
      <c r="BO364" t="s">
        <v>234</v>
      </c>
      <c r="BP364" t="s">
        <v>364</v>
      </c>
      <c r="BQ364" t="s">
        <v>225</v>
      </c>
      <c r="BR364" t="s">
        <v>783</v>
      </c>
      <c r="BS364" t="s">
        <v>170</v>
      </c>
      <c r="BT364" t="s">
        <v>947</v>
      </c>
      <c r="BU364" t="s">
        <v>928</v>
      </c>
      <c r="BV364" t="s">
        <v>916</v>
      </c>
      <c r="BW364" t="s">
        <v>933</v>
      </c>
      <c r="BX364" t="s">
        <v>915</v>
      </c>
      <c r="BY364" t="s">
        <v>1013</v>
      </c>
      <c r="BZ364" t="s">
        <v>1136</v>
      </c>
      <c r="CA364" t="s">
        <v>959</v>
      </c>
      <c r="CB364" t="s">
        <v>1142</v>
      </c>
      <c r="CC364" t="s">
        <v>239</v>
      </c>
      <c r="CD364" t="s">
        <v>241</v>
      </c>
      <c r="CE364" t="s">
        <v>805</v>
      </c>
      <c r="CF364" t="s">
        <v>806</v>
      </c>
    </row>
    <row r="365" spans="1:97">
      <c r="A365" s="40">
        <v>342</v>
      </c>
      <c r="B365" s="40" t="s">
        <v>1640</v>
      </c>
      <c r="C365" s="2" t="s">
        <v>1641</v>
      </c>
      <c r="D365" s="2" t="s">
        <v>27</v>
      </c>
      <c r="E365" s="2" t="s">
        <v>15</v>
      </c>
      <c r="F365" s="2">
        <v>63</v>
      </c>
      <c r="G365" s="2">
        <v>120</v>
      </c>
      <c r="H365" s="2">
        <v>85</v>
      </c>
      <c r="I365" s="2">
        <v>90</v>
      </c>
      <c r="J365" s="2">
        <v>55</v>
      </c>
      <c r="K365" s="2">
        <v>55</v>
      </c>
      <c r="L365" s="2">
        <v>468</v>
      </c>
      <c r="M365" s="2" t="s">
        <v>1752</v>
      </c>
      <c r="N365" s="2" t="s">
        <v>1061</v>
      </c>
      <c r="O365" t="s">
        <v>542</v>
      </c>
      <c r="P365" t="s">
        <v>330</v>
      </c>
      <c r="Q365" t="s">
        <v>284</v>
      </c>
      <c r="R365" t="s">
        <v>267</v>
      </c>
      <c r="S365" t="s">
        <v>284</v>
      </c>
      <c r="T365" t="s">
        <v>542</v>
      </c>
      <c r="U365" t="s">
        <v>330</v>
      </c>
      <c r="V365" t="s">
        <v>446</v>
      </c>
      <c r="W365" t="s">
        <v>1078</v>
      </c>
      <c r="X365" t="s">
        <v>928</v>
      </c>
      <c r="Y365" t="s">
        <v>354</v>
      </c>
      <c r="Z365" t="s">
        <v>1126</v>
      </c>
      <c r="AA365" t="s">
        <v>993</v>
      </c>
      <c r="AB365" t="s">
        <v>544</v>
      </c>
      <c r="AC365" t="s">
        <v>145</v>
      </c>
      <c r="AD365" t="s">
        <v>777</v>
      </c>
      <c r="AE365" t="s">
        <v>543</v>
      </c>
      <c r="AF365" t="s">
        <v>1062</v>
      </c>
      <c r="AG365" t="s">
        <v>226</v>
      </c>
      <c r="AH365" t="s">
        <v>144</v>
      </c>
      <c r="AI365" t="s">
        <v>227</v>
      </c>
      <c r="AJ365" t="s">
        <v>270</v>
      </c>
      <c r="AK365" t="s">
        <v>914</v>
      </c>
      <c r="AL365" t="s">
        <v>1063</v>
      </c>
      <c r="AM365" t="s">
        <v>1030</v>
      </c>
      <c r="AN365" t="s">
        <v>148</v>
      </c>
      <c r="AO365" t="s">
        <v>1104</v>
      </c>
      <c r="AP365" t="s">
        <v>172</v>
      </c>
      <c r="AQ365" t="s">
        <v>1126</v>
      </c>
      <c r="AR365" t="s">
        <v>141</v>
      </c>
      <c r="AS365" t="s">
        <v>271</v>
      </c>
      <c r="AT365" t="s">
        <v>247</v>
      </c>
      <c r="AU365" t="s">
        <v>1078</v>
      </c>
      <c r="AV365" t="s">
        <v>766</v>
      </c>
      <c r="AW365" t="s">
        <v>1079</v>
      </c>
      <c r="AX365" t="s">
        <v>1080</v>
      </c>
      <c r="AY365" t="s">
        <v>256</v>
      </c>
      <c r="AZ365" t="s">
        <v>1094</v>
      </c>
      <c r="BA365" t="s">
        <v>230</v>
      </c>
      <c r="BB365" t="s">
        <v>186</v>
      </c>
      <c r="BC365" t="s">
        <v>1081</v>
      </c>
      <c r="BD365" t="s">
        <v>1095</v>
      </c>
      <c r="BE365" t="s">
        <v>1096</v>
      </c>
      <c r="BF365" t="s">
        <v>917</v>
      </c>
      <c r="BG365" t="s">
        <v>231</v>
      </c>
      <c r="BH365" t="s">
        <v>1082</v>
      </c>
      <c r="BI365" t="s">
        <v>1037</v>
      </c>
      <c r="BJ365" t="s">
        <v>776</v>
      </c>
      <c r="BK365" t="s">
        <v>1038</v>
      </c>
      <c r="BL365" t="s">
        <v>974</v>
      </c>
      <c r="BM365" t="s">
        <v>995</v>
      </c>
      <c r="BN365" t="s">
        <v>1036</v>
      </c>
      <c r="BO365" t="s">
        <v>976</v>
      </c>
      <c r="BP365" t="s">
        <v>145</v>
      </c>
      <c r="BQ365" t="s">
        <v>143</v>
      </c>
      <c r="BR365" t="s">
        <v>1018</v>
      </c>
      <c r="BS365" t="s">
        <v>756</v>
      </c>
      <c r="BT365" t="s">
        <v>757</v>
      </c>
      <c r="BU365" t="s">
        <v>233</v>
      </c>
      <c r="BV365" t="s">
        <v>760</v>
      </c>
      <c r="BW365" t="s">
        <v>1040</v>
      </c>
      <c r="BX365" t="s">
        <v>1087</v>
      </c>
      <c r="BY365" t="s">
        <v>1157</v>
      </c>
      <c r="BZ365" t="s">
        <v>2339</v>
      </c>
      <c r="CA365" t="s">
        <v>234</v>
      </c>
      <c r="CB365" t="s">
        <v>364</v>
      </c>
      <c r="CC365" t="s">
        <v>225</v>
      </c>
      <c r="CD365" t="s">
        <v>783</v>
      </c>
      <c r="CE365" t="s">
        <v>170</v>
      </c>
      <c r="CF365" t="s">
        <v>947</v>
      </c>
      <c r="CG365" t="s">
        <v>928</v>
      </c>
      <c r="CH365" t="s">
        <v>916</v>
      </c>
      <c r="CI365" t="s">
        <v>933</v>
      </c>
      <c r="CJ365" t="s">
        <v>915</v>
      </c>
      <c r="CK365" t="s">
        <v>1013</v>
      </c>
      <c r="CL365" t="s">
        <v>1136</v>
      </c>
      <c r="CM365" t="s">
        <v>959</v>
      </c>
      <c r="CN365" t="s">
        <v>1142</v>
      </c>
      <c r="CO365" t="s">
        <v>239</v>
      </c>
      <c r="CP365" t="s">
        <v>241</v>
      </c>
      <c r="CQ365" t="s">
        <v>805</v>
      </c>
      <c r="CR365" t="s">
        <v>806</v>
      </c>
    </row>
    <row r="366" spans="1:97">
      <c r="A366" s="40">
        <v>343</v>
      </c>
      <c r="B366" s="40" t="s">
        <v>1642</v>
      </c>
      <c r="C366" s="2" t="s">
        <v>1643</v>
      </c>
      <c r="D366" s="2" t="s">
        <v>22</v>
      </c>
      <c r="E366" s="2" t="s">
        <v>9</v>
      </c>
      <c r="F366" s="2">
        <v>40</v>
      </c>
      <c r="G366" s="2">
        <v>40</v>
      </c>
      <c r="H366" s="2">
        <v>55</v>
      </c>
      <c r="I366" s="2">
        <v>40</v>
      </c>
      <c r="J366" s="2">
        <v>70</v>
      </c>
      <c r="K366" s="2">
        <v>55</v>
      </c>
      <c r="L366" s="2">
        <v>300</v>
      </c>
      <c r="M366" s="2" t="s">
        <v>1075</v>
      </c>
      <c r="N366" s="2" t="s">
        <v>1061</v>
      </c>
      <c r="O366" t="s">
        <v>287</v>
      </c>
      <c r="P366" t="s">
        <v>284</v>
      </c>
      <c r="Q366" t="s">
        <v>173</v>
      </c>
      <c r="R366" t="s">
        <v>755</v>
      </c>
      <c r="S366" t="s">
        <v>1095</v>
      </c>
      <c r="T366" t="s">
        <v>292</v>
      </c>
      <c r="U366" t="s">
        <v>999</v>
      </c>
      <c r="V366" t="s">
        <v>170</v>
      </c>
      <c r="W366" t="s">
        <v>484</v>
      </c>
      <c r="X366" t="s">
        <v>1154</v>
      </c>
      <c r="Y366" t="s">
        <v>1149</v>
      </c>
      <c r="Z366" t="s">
        <v>1182</v>
      </c>
      <c r="AA366" t="s">
        <v>1033</v>
      </c>
      <c r="AB366" t="s">
        <v>968</v>
      </c>
      <c r="AC366" t="s">
        <v>765</v>
      </c>
      <c r="AD366" t="s">
        <v>1451</v>
      </c>
      <c r="AE366" t="s">
        <v>485</v>
      </c>
      <c r="AF366" t="s">
        <v>1062</v>
      </c>
      <c r="AG366" t="s">
        <v>1063</v>
      </c>
      <c r="AH366" t="s">
        <v>1151</v>
      </c>
      <c r="AI366" t="s">
        <v>912</v>
      </c>
      <c r="AJ366" t="s">
        <v>148</v>
      </c>
      <c r="AK366" t="s">
        <v>172</v>
      </c>
      <c r="AL366" t="s">
        <v>752</v>
      </c>
      <c r="AM366" t="s">
        <v>141</v>
      </c>
      <c r="AN366" t="s">
        <v>228</v>
      </c>
      <c r="AO366" t="s">
        <v>1078</v>
      </c>
      <c r="AP366" t="s">
        <v>766</v>
      </c>
      <c r="AQ366" t="s">
        <v>759</v>
      </c>
      <c r="AR366" t="s">
        <v>1079</v>
      </c>
      <c r="AS366" t="s">
        <v>229</v>
      </c>
      <c r="AT366" t="s">
        <v>1109</v>
      </c>
      <c r="AU366" t="s">
        <v>136</v>
      </c>
      <c r="AV366" t="s">
        <v>1080</v>
      </c>
      <c r="AW366" t="s">
        <v>256</v>
      </c>
      <c r="AX366" t="s">
        <v>9</v>
      </c>
      <c r="AY366" t="s">
        <v>174</v>
      </c>
      <c r="AZ366" t="s">
        <v>230</v>
      </c>
      <c r="BA366" t="s">
        <v>380</v>
      </c>
      <c r="BB366" t="s">
        <v>765</v>
      </c>
      <c r="BC366" t="s">
        <v>1095</v>
      </c>
      <c r="BD366" t="s">
        <v>917</v>
      </c>
      <c r="BE366" t="s">
        <v>231</v>
      </c>
      <c r="BF366" t="s">
        <v>1037</v>
      </c>
      <c r="BG366" t="s">
        <v>963</v>
      </c>
      <c r="BH366" t="s">
        <v>485</v>
      </c>
      <c r="BI366" t="s">
        <v>1003</v>
      </c>
      <c r="BJ366" t="s">
        <v>232</v>
      </c>
      <c r="BK366" t="s">
        <v>980</v>
      </c>
      <c r="BL366" t="s">
        <v>785</v>
      </c>
      <c r="BM366" t="s">
        <v>1021</v>
      </c>
      <c r="BN366" t="s">
        <v>143</v>
      </c>
      <c r="BO366" t="s">
        <v>293</v>
      </c>
      <c r="BP366" t="s">
        <v>977</v>
      </c>
      <c r="BQ366" t="s">
        <v>756</v>
      </c>
      <c r="BR366" t="s">
        <v>233</v>
      </c>
      <c r="BS366" t="s">
        <v>1012</v>
      </c>
      <c r="BT366" t="s">
        <v>234</v>
      </c>
      <c r="BU366" t="s">
        <v>239</v>
      </c>
      <c r="BV366" t="s">
        <v>241</v>
      </c>
      <c r="BW366" t="s">
        <v>805</v>
      </c>
      <c r="BX366" t="s">
        <v>806</v>
      </c>
    </row>
    <row r="367" spans="1:97">
      <c r="A367" s="40">
        <v>344</v>
      </c>
      <c r="B367" s="40" t="s">
        <v>1644</v>
      </c>
      <c r="C367" s="2" t="s">
        <v>1645</v>
      </c>
      <c r="D367" s="2" t="s">
        <v>22</v>
      </c>
      <c r="E367" s="2" t="s">
        <v>9</v>
      </c>
      <c r="F367" s="2">
        <v>60</v>
      </c>
      <c r="G367" s="2">
        <v>70</v>
      </c>
      <c r="H367" s="2">
        <v>105</v>
      </c>
      <c r="I367" s="2">
        <v>70</v>
      </c>
      <c r="J367" s="2">
        <v>120</v>
      </c>
      <c r="K367" s="2">
        <v>75</v>
      </c>
      <c r="L367" s="2">
        <v>500</v>
      </c>
      <c r="M367" s="2" t="s">
        <v>1141</v>
      </c>
      <c r="N367" s="2" t="s">
        <v>1061</v>
      </c>
      <c r="O367" t="s">
        <v>287</v>
      </c>
      <c r="P367" t="s">
        <v>454</v>
      </c>
      <c r="Q367" t="s">
        <v>284</v>
      </c>
      <c r="R367" t="s">
        <v>173</v>
      </c>
      <c r="S367" t="s">
        <v>173</v>
      </c>
      <c r="T367" t="s">
        <v>755</v>
      </c>
      <c r="U367" t="s">
        <v>1095</v>
      </c>
      <c r="V367" t="s">
        <v>292</v>
      </c>
      <c r="W367" t="s">
        <v>999</v>
      </c>
      <c r="X367" t="s">
        <v>170</v>
      </c>
      <c r="Y367" t="s">
        <v>484</v>
      </c>
      <c r="Z367" t="s">
        <v>1154</v>
      </c>
      <c r="AA367" t="s">
        <v>1149</v>
      </c>
      <c r="AB367" t="s">
        <v>1182</v>
      </c>
      <c r="AC367" t="s">
        <v>1033</v>
      </c>
      <c r="AD367" t="s">
        <v>247</v>
      </c>
      <c r="AE367" t="s">
        <v>968</v>
      </c>
      <c r="AF367" t="s">
        <v>765</v>
      </c>
      <c r="AG367" t="s">
        <v>1451</v>
      </c>
      <c r="AH367" t="s">
        <v>485</v>
      </c>
      <c r="AI367" t="s">
        <v>1062</v>
      </c>
      <c r="AJ367" t="s">
        <v>227</v>
      </c>
      <c r="AK367" t="s">
        <v>1063</v>
      </c>
      <c r="AL367" t="s">
        <v>1151</v>
      </c>
      <c r="AM367" t="s">
        <v>912</v>
      </c>
      <c r="AN367" t="s">
        <v>148</v>
      </c>
      <c r="AO367" t="s">
        <v>172</v>
      </c>
      <c r="AP367" t="s">
        <v>752</v>
      </c>
      <c r="AQ367" t="s">
        <v>141</v>
      </c>
      <c r="AR367" t="s">
        <v>247</v>
      </c>
      <c r="AS367" t="s">
        <v>228</v>
      </c>
      <c r="AT367" t="s">
        <v>1078</v>
      </c>
      <c r="AU367" t="s">
        <v>766</v>
      </c>
      <c r="AV367" t="s">
        <v>759</v>
      </c>
      <c r="AW367" t="s">
        <v>1079</v>
      </c>
      <c r="AX367" t="s">
        <v>229</v>
      </c>
      <c r="AY367" t="s">
        <v>1109</v>
      </c>
      <c r="AZ367" t="s">
        <v>136</v>
      </c>
      <c r="BA367" t="s">
        <v>1080</v>
      </c>
      <c r="BB367" t="s">
        <v>256</v>
      </c>
      <c r="BC367" t="s">
        <v>9</v>
      </c>
      <c r="BD367" t="s">
        <v>174</v>
      </c>
      <c r="BE367" t="s">
        <v>230</v>
      </c>
      <c r="BF367" t="s">
        <v>380</v>
      </c>
      <c r="BG367" t="s">
        <v>765</v>
      </c>
      <c r="BH367" t="s">
        <v>1095</v>
      </c>
      <c r="BI367" t="s">
        <v>917</v>
      </c>
      <c r="BJ367" t="s">
        <v>231</v>
      </c>
      <c r="BK367" t="s">
        <v>1037</v>
      </c>
      <c r="BL367" t="s">
        <v>963</v>
      </c>
      <c r="BM367" t="s">
        <v>485</v>
      </c>
      <c r="BN367" t="s">
        <v>976</v>
      </c>
      <c r="BO367" t="s">
        <v>1003</v>
      </c>
      <c r="BP367" t="s">
        <v>232</v>
      </c>
      <c r="BQ367" t="s">
        <v>183</v>
      </c>
      <c r="BR367" t="s">
        <v>980</v>
      </c>
      <c r="BS367" t="s">
        <v>785</v>
      </c>
      <c r="BT367" t="s">
        <v>1021</v>
      </c>
      <c r="BU367" t="s">
        <v>143</v>
      </c>
      <c r="BV367" t="s">
        <v>293</v>
      </c>
      <c r="BW367" t="s">
        <v>977</v>
      </c>
      <c r="BX367" t="s">
        <v>756</v>
      </c>
      <c r="BY367" t="s">
        <v>233</v>
      </c>
      <c r="BZ367" t="s">
        <v>1012</v>
      </c>
      <c r="CA367" t="s">
        <v>760</v>
      </c>
      <c r="CB367" t="s">
        <v>234</v>
      </c>
      <c r="CC367" t="s">
        <v>239</v>
      </c>
      <c r="CD367" t="s">
        <v>241</v>
      </c>
      <c r="CE367" t="s">
        <v>805</v>
      </c>
      <c r="CF367" t="s">
        <v>806</v>
      </c>
    </row>
    <row r="368" spans="1:97">
      <c r="A368" s="40">
        <v>345</v>
      </c>
      <c r="B368" s="40" t="s">
        <v>1646</v>
      </c>
      <c r="C368" s="2" t="s">
        <v>1647</v>
      </c>
      <c r="D368" s="2" t="s">
        <v>25</v>
      </c>
      <c r="E368" s="2" t="s">
        <v>21</v>
      </c>
      <c r="F368" s="2">
        <v>66</v>
      </c>
      <c r="G368" s="2">
        <v>41</v>
      </c>
      <c r="H368" s="2">
        <v>77</v>
      </c>
      <c r="I368" s="2">
        <v>61</v>
      </c>
      <c r="J368" s="2">
        <v>87</v>
      </c>
      <c r="K368" s="2">
        <v>23</v>
      </c>
      <c r="L368" s="2">
        <v>355</v>
      </c>
      <c r="M368" s="2" t="s">
        <v>1199</v>
      </c>
      <c r="N368" s="2" t="s">
        <v>1061</v>
      </c>
      <c r="O368" t="s">
        <v>477</v>
      </c>
      <c r="P368" t="s">
        <v>1130</v>
      </c>
      <c r="Q368" t="s">
        <v>339</v>
      </c>
      <c r="R368" t="s">
        <v>1085</v>
      </c>
      <c r="S368" t="s">
        <v>387</v>
      </c>
      <c r="T368" t="s">
        <v>235</v>
      </c>
      <c r="U368" t="s">
        <v>975</v>
      </c>
      <c r="V368" t="s">
        <v>170</v>
      </c>
      <c r="W368" t="s">
        <v>970</v>
      </c>
      <c r="X368" t="s">
        <v>946</v>
      </c>
      <c r="Y368" t="s">
        <v>1133</v>
      </c>
      <c r="Z368" t="s">
        <v>948</v>
      </c>
      <c r="AA368" t="s">
        <v>1189</v>
      </c>
      <c r="AB368" t="s">
        <v>1062</v>
      </c>
      <c r="AC368" t="s">
        <v>1063</v>
      </c>
      <c r="AD368" t="s">
        <v>148</v>
      </c>
      <c r="AE368" t="s">
        <v>172</v>
      </c>
      <c r="AF368" t="s">
        <v>752</v>
      </c>
      <c r="AG368" t="s">
        <v>1078</v>
      </c>
      <c r="AH368" t="s">
        <v>1079</v>
      </c>
      <c r="AI368" t="s">
        <v>229</v>
      </c>
      <c r="AJ368" t="s">
        <v>1109</v>
      </c>
      <c r="AK368" t="s">
        <v>1080</v>
      </c>
      <c r="AL368" t="s">
        <v>230</v>
      </c>
      <c r="AM368" t="s">
        <v>1081</v>
      </c>
      <c r="AN368" t="s">
        <v>765</v>
      </c>
      <c r="AO368" t="s">
        <v>1095</v>
      </c>
      <c r="AP368" t="s">
        <v>917</v>
      </c>
      <c r="AQ368" t="s">
        <v>231</v>
      </c>
      <c r="AR368" t="s">
        <v>1082</v>
      </c>
      <c r="AS368" t="s">
        <v>1037</v>
      </c>
      <c r="AT368" t="s">
        <v>970</v>
      </c>
      <c r="AU368" t="s">
        <v>1003</v>
      </c>
      <c r="AV368" t="s">
        <v>232</v>
      </c>
      <c r="AW368" t="s">
        <v>145</v>
      </c>
      <c r="AX368" t="s">
        <v>143</v>
      </c>
      <c r="AY368" t="s">
        <v>2369</v>
      </c>
      <c r="AZ368" t="s">
        <v>977</v>
      </c>
      <c r="BA368" t="s">
        <v>756</v>
      </c>
      <c r="BB368" t="s">
        <v>757</v>
      </c>
      <c r="BC368" t="s">
        <v>233</v>
      </c>
      <c r="BD368" t="s">
        <v>2339</v>
      </c>
      <c r="BE368" t="s">
        <v>234</v>
      </c>
      <c r="BF368" t="s">
        <v>403</v>
      </c>
      <c r="BG368" t="s">
        <v>459</v>
      </c>
      <c r="BH368" t="s">
        <v>455</v>
      </c>
      <c r="BI368" t="s">
        <v>751</v>
      </c>
      <c r="BJ368" t="s">
        <v>754</v>
      </c>
      <c r="BK368" t="s">
        <v>772</v>
      </c>
      <c r="BL368" t="s">
        <v>950</v>
      </c>
      <c r="BM368" t="s">
        <v>1189</v>
      </c>
      <c r="BN368" t="s">
        <v>1007</v>
      </c>
      <c r="BO368" t="s">
        <v>239</v>
      </c>
      <c r="BP368" t="s">
        <v>241</v>
      </c>
      <c r="BQ368" t="s">
        <v>805</v>
      </c>
      <c r="BR368" t="s">
        <v>806</v>
      </c>
    </row>
    <row r="369" spans="1:109">
      <c r="A369" s="40">
        <v>346</v>
      </c>
      <c r="B369" s="40" t="s">
        <v>1648</v>
      </c>
      <c r="C369" s="2" t="s">
        <v>1649</v>
      </c>
      <c r="D369" s="2" t="s">
        <v>25</v>
      </c>
      <c r="E369" s="2" t="s">
        <v>21</v>
      </c>
      <c r="F369" s="2">
        <v>86</v>
      </c>
      <c r="G369" s="2">
        <v>81</v>
      </c>
      <c r="H369" s="2">
        <v>97</v>
      </c>
      <c r="I369" s="2">
        <v>81</v>
      </c>
      <c r="J369" s="2">
        <v>107</v>
      </c>
      <c r="K369" s="2">
        <v>43</v>
      </c>
      <c r="L369" s="2">
        <v>495</v>
      </c>
      <c r="M369" s="2" t="s">
        <v>1091</v>
      </c>
      <c r="N369" s="2" t="s">
        <v>1061</v>
      </c>
      <c r="O369" t="s">
        <v>339</v>
      </c>
      <c r="P369" t="s">
        <v>477</v>
      </c>
      <c r="Q369" t="s">
        <v>1085</v>
      </c>
      <c r="R369" t="s">
        <v>1130</v>
      </c>
      <c r="S369" t="s">
        <v>339</v>
      </c>
      <c r="T369" t="s">
        <v>1085</v>
      </c>
      <c r="U369" t="s">
        <v>387</v>
      </c>
      <c r="V369" t="s">
        <v>235</v>
      </c>
      <c r="W369" t="s">
        <v>170</v>
      </c>
      <c r="X369" t="s">
        <v>975</v>
      </c>
      <c r="Y369" t="s">
        <v>970</v>
      </c>
      <c r="Z369" t="s">
        <v>946</v>
      </c>
      <c r="AA369" t="s">
        <v>1133</v>
      </c>
      <c r="AB369" t="s">
        <v>948</v>
      </c>
      <c r="AC369" t="s">
        <v>1189</v>
      </c>
      <c r="AD369" t="s">
        <v>1062</v>
      </c>
      <c r="AE369" t="s">
        <v>227</v>
      </c>
      <c r="AF369" t="s">
        <v>1063</v>
      </c>
      <c r="AG369" t="s">
        <v>148</v>
      </c>
      <c r="AH369" t="s">
        <v>172</v>
      </c>
      <c r="AI369" t="s">
        <v>752</v>
      </c>
      <c r="AJ369" t="s">
        <v>247</v>
      </c>
      <c r="AK369" t="s">
        <v>1078</v>
      </c>
      <c r="AL369" t="s">
        <v>1079</v>
      </c>
      <c r="AM369" t="s">
        <v>229</v>
      </c>
      <c r="AN369" t="s">
        <v>1109</v>
      </c>
      <c r="AO369" t="s">
        <v>136</v>
      </c>
      <c r="AP369" t="s">
        <v>1080</v>
      </c>
      <c r="AQ369" t="s">
        <v>230</v>
      </c>
      <c r="AR369" t="s">
        <v>186</v>
      </c>
      <c r="AS369" t="s">
        <v>1081</v>
      </c>
      <c r="AT369" t="s">
        <v>765</v>
      </c>
      <c r="AU369" t="s">
        <v>1095</v>
      </c>
      <c r="AV369" t="s">
        <v>917</v>
      </c>
      <c r="AW369" t="s">
        <v>231</v>
      </c>
      <c r="AX369" t="s">
        <v>1082</v>
      </c>
      <c r="AY369" t="s">
        <v>1037</v>
      </c>
      <c r="AZ369" t="s">
        <v>970</v>
      </c>
      <c r="BA369" t="s">
        <v>976</v>
      </c>
      <c r="BB369" t="s">
        <v>1003</v>
      </c>
      <c r="BC369" t="s">
        <v>232</v>
      </c>
      <c r="BD369" t="s">
        <v>183</v>
      </c>
      <c r="BE369" t="s">
        <v>145</v>
      </c>
      <c r="BF369" t="s">
        <v>1021</v>
      </c>
      <c r="BG369" t="s">
        <v>143</v>
      </c>
      <c r="BH369" t="s">
        <v>2369</v>
      </c>
      <c r="BI369" t="s">
        <v>977</v>
      </c>
      <c r="BJ369" t="s">
        <v>756</v>
      </c>
      <c r="BK369" t="s">
        <v>757</v>
      </c>
      <c r="BL369" t="s">
        <v>233</v>
      </c>
      <c r="BM369" t="s">
        <v>760</v>
      </c>
      <c r="BN369" t="s">
        <v>2339</v>
      </c>
      <c r="BO369" t="s">
        <v>234</v>
      </c>
      <c r="BP369" t="s">
        <v>403</v>
      </c>
      <c r="BQ369" t="s">
        <v>459</v>
      </c>
      <c r="BR369" t="s">
        <v>455</v>
      </c>
      <c r="BS369" t="s">
        <v>751</v>
      </c>
      <c r="BT369" t="s">
        <v>754</v>
      </c>
      <c r="BU369" t="s">
        <v>772</v>
      </c>
      <c r="BV369" t="s">
        <v>950</v>
      </c>
      <c r="BW369" t="s">
        <v>1189</v>
      </c>
      <c r="BX369" t="s">
        <v>1007</v>
      </c>
      <c r="BY369" t="s">
        <v>239</v>
      </c>
      <c r="BZ369" t="s">
        <v>241</v>
      </c>
      <c r="CA369" t="s">
        <v>805</v>
      </c>
      <c r="CB369" t="s">
        <v>806</v>
      </c>
    </row>
    <row r="370" spans="1:109">
      <c r="A370" s="40">
        <v>347</v>
      </c>
      <c r="B370" s="40" t="s">
        <v>1650</v>
      </c>
      <c r="C370" s="2" t="s">
        <v>1651</v>
      </c>
      <c r="D370" s="2" t="s">
        <v>25</v>
      </c>
      <c r="E370" s="2" t="s">
        <v>14</v>
      </c>
      <c r="F370" s="2">
        <v>45</v>
      </c>
      <c r="G370" s="2">
        <v>95</v>
      </c>
      <c r="H370" s="2">
        <v>50</v>
      </c>
      <c r="I370" s="2">
        <v>40</v>
      </c>
      <c r="J370" s="2">
        <v>50</v>
      </c>
      <c r="K370" s="2">
        <v>75</v>
      </c>
      <c r="L370" s="2">
        <v>355</v>
      </c>
      <c r="M370" s="2" t="s">
        <v>1188</v>
      </c>
      <c r="N370" s="2" t="s">
        <v>1061</v>
      </c>
      <c r="O370" t="s">
        <v>249</v>
      </c>
      <c r="P370" t="s">
        <v>284</v>
      </c>
      <c r="Q370" t="s">
        <v>933</v>
      </c>
      <c r="R370" t="s">
        <v>269</v>
      </c>
      <c r="S370" t="s">
        <v>783</v>
      </c>
      <c r="T370" t="s">
        <v>1078</v>
      </c>
      <c r="U370" t="s">
        <v>170</v>
      </c>
      <c r="V370" t="s">
        <v>758</v>
      </c>
      <c r="W370" t="s">
        <v>253</v>
      </c>
      <c r="X370" t="s">
        <v>1196</v>
      </c>
      <c r="Y370" t="s">
        <v>1143</v>
      </c>
      <c r="Z370" t="s">
        <v>1018</v>
      </c>
      <c r="AA370" t="s">
        <v>1062</v>
      </c>
      <c r="AB370" t="s">
        <v>226</v>
      </c>
      <c r="AC370" t="s">
        <v>1063</v>
      </c>
      <c r="AD370" t="s">
        <v>1030</v>
      </c>
      <c r="AE370" t="s">
        <v>148</v>
      </c>
      <c r="AF370" t="s">
        <v>172</v>
      </c>
      <c r="AG370" t="s">
        <v>752</v>
      </c>
      <c r="AH370" t="s">
        <v>1078</v>
      </c>
      <c r="AI370" t="s">
        <v>1079</v>
      </c>
      <c r="AJ370" t="s">
        <v>1109</v>
      </c>
      <c r="AK370" t="s">
        <v>1080</v>
      </c>
      <c r="AL370" t="s">
        <v>256</v>
      </c>
      <c r="AM370" t="s">
        <v>1094</v>
      </c>
      <c r="AN370" t="s">
        <v>230</v>
      </c>
      <c r="AO370" t="s">
        <v>765</v>
      </c>
      <c r="AP370" t="s">
        <v>1095</v>
      </c>
      <c r="AQ370" t="s">
        <v>1096</v>
      </c>
      <c r="AR370" t="s">
        <v>917</v>
      </c>
      <c r="AS370" t="s">
        <v>231</v>
      </c>
      <c r="AT370" t="s">
        <v>1082</v>
      </c>
      <c r="AU370" t="s">
        <v>1037</v>
      </c>
      <c r="AV370" t="s">
        <v>776</v>
      </c>
      <c r="AW370" t="s">
        <v>1003</v>
      </c>
      <c r="AX370" t="s">
        <v>145</v>
      </c>
      <c r="AY370" t="s">
        <v>1042</v>
      </c>
      <c r="AZ370" t="s">
        <v>143</v>
      </c>
      <c r="BA370" t="s">
        <v>1018</v>
      </c>
      <c r="BB370" t="s">
        <v>756</v>
      </c>
      <c r="BC370" t="s">
        <v>757</v>
      </c>
      <c r="BD370" t="s">
        <v>233</v>
      </c>
      <c r="BE370" t="s">
        <v>760</v>
      </c>
      <c r="BF370" t="s">
        <v>2339</v>
      </c>
      <c r="BG370" t="s">
        <v>234</v>
      </c>
      <c r="BH370" t="s">
        <v>309</v>
      </c>
      <c r="BI370" t="s">
        <v>324</v>
      </c>
      <c r="BJ370" t="s">
        <v>751</v>
      </c>
      <c r="BK370" t="s">
        <v>173</v>
      </c>
      <c r="BL370" t="s">
        <v>928</v>
      </c>
      <c r="BM370" t="s">
        <v>177</v>
      </c>
      <c r="BN370" t="s">
        <v>954</v>
      </c>
      <c r="BO370" t="s">
        <v>1163</v>
      </c>
      <c r="BP370" t="s">
        <v>959</v>
      </c>
      <c r="BQ370" t="s">
        <v>239</v>
      </c>
      <c r="BR370" t="s">
        <v>241</v>
      </c>
      <c r="BS370" t="s">
        <v>805</v>
      </c>
      <c r="BT370" t="s">
        <v>806</v>
      </c>
    </row>
    <row r="371" spans="1:109">
      <c r="A371" s="40">
        <v>348</v>
      </c>
      <c r="B371" s="40" t="s">
        <v>1652</v>
      </c>
      <c r="C371" s="2" t="s">
        <v>1653</v>
      </c>
      <c r="D371" s="2" t="s">
        <v>25</v>
      </c>
      <c r="E371" s="2" t="s">
        <v>14</v>
      </c>
      <c r="F371" s="2">
        <v>75</v>
      </c>
      <c r="G371" s="2">
        <v>125</v>
      </c>
      <c r="H371" s="2">
        <v>100</v>
      </c>
      <c r="I371" s="2">
        <v>70</v>
      </c>
      <c r="J371" s="2">
        <v>80</v>
      </c>
      <c r="K371" s="2">
        <v>45</v>
      </c>
      <c r="L371" s="2">
        <v>495</v>
      </c>
      <c r="M371" s="2" t="s">
        <v>1074</v>
      </c>
      <c r="N371" s="2" t="s">
        <v>1061</v>
      </c>
      <c r="O371" t="s">
        <v>249</v>
      </c>
      <c r="P371" t="s">
        <v>269</v>
      </c>
      <c r="Q371" t="s">
        <v>284</v>
      </c>
      <c r="R371" t="s">
        <v>933</v>
      </c>
      <c r="S371" t="s">
        <v>933</v>
      </c>
      <c r="T371" t="s">
        <v>269</v>
      </c>
      <c r="U371" t="s">
        <v>783</v>
      </c>
      <c r="V371" t="s">
        <v>1078</v>
      </c>
      <c r="W371" t="s">
        <v>170</v>
      </c>
      <c r="X371" t="s">
        <v>758</v>
      </c>
      <c r="Y371" t="s">
        <v>253</v>
      </c>
      <c r="Z371" t="s">
        <v>1196</v>
      </c>
      <c r="AA371" t="s">
        <v>1143</v>
      </c>
      <c r="AB371" t="s">
        <v>1018</v>
      </c>
      <c r="AC371" t="s">
        <v>1062</v>
      </c>
      <c r="AD371" t="s">
        <v>226</v>
      </c>
      <c r="AE371" t="s">
        <v>227</v>
      </c>
      <c r="AF371" t="s">
        <v>1063</v>
      </c>
      <c r="AG371" t="s">
        <v>1030</v>
      </c>
      <c r="AH371" t="s">
        <v>148</v>
      </c>
      <c r="AI371" t="s">
        <v>172</v>
      </c>
      <c r="AJ371" t="s">
        <v>752</v>
      </c>
      <c r="AK371" t="s">
        <v>247</v>
      </c>
      <c r="AL371" t="s">
        <v>1078</v>
      </c>
      <c r="AM371" t="s">
        <v>1079</v>
      </c>
      <c r="AN371" t="s">
        <v>1109</v>
      </c>
      <c r="AO371" t="s">
        <v>136</v>
      </c>
      <c r="AP371" t="s">
        <v>1080</v>
      </c>
      <c r="AQ371" t="s">
        <v>256</v>
      </c>
      <c r="AR371" t="s">
        <v>1094</v>
      </c>
      <c r="AS371" t="s">
        <v>230</v>
      </c>
      <c r="AT371" t="s">
        <v>765</v>
      </c>
      <c r="AU371" t="s">
        <v>1095</v>
      </c>
      <c r="AV371" t="s">
        <v>1096</v>
      </c>
      <c r="AW371" t="s">
        <v>917</v>
      </c>
      <c r="AX371" t="s">
        <v>231</v>
      </c>
      <c r="AY371" t="s">
        <v>1082</v>
      </c>
      <c r="AZ371" t="s">
        <v>1037</v>
      </c>
      <c r="BA371" t="s">
        <v>776</v>
      </c>
      <c r="BB371" t="s">
        <v>976</v>
      </c>
      <c r="BC371" t="s">
        <v>1003</v>
      </c>
      <c r="BD371" t="s">
        <v>183</v>
      </c>
      <c r="BE371" t="s">
        <v>145</v>
      </c>
      <c r="BF371" t="s">
        <v>1042</v>
      </c>
      <c r="BG371" t="s">
        <v>1021</v>
      </c>
      <c r="BH371" t="s">
        <v>143</v>
      </c>
      <c r="BI371" t="s">
        <v>1018</v>
      </c>
      <c r="BJ371" t="s">
        <v>756</v>
      </c>
      <c r="BK371" t="s">
        <v>757</v>
      </c>
      <c r="BL371" t="s">
        <v>233</v>
      </c>
      <c r="BM371" t="s">
        <v>973</v>
      </c>
      <c r="BN371" t="s">
        <v>760</v>
      </c>
      <c r="BO371" t="s">
        <v>2339</v>
      </c>
      <c r="BP371" t="s">
        <v>234</v>
      </c>
      <c r="BQ371" t="s">
        <v>309</v>
      </c>
      <c r="BR371" t="s">
        <v>324</v>
      </c>
      <c r="BS371" t="s">
        <v>751</v>
      </c>
      <c r="BT371" t="s">
        <v>173</v>
      </c>
      <c r="BU371" t="s">
        <v>928</v>
      </c>
      <c r="BV371" t="s">
        <v>177</v>
      </c>
      <c r="BW371" t="s">
        <v>954</v>
      </c>
      <c r="BX371" t="s">
        <v>1163</v>
      </c>
      <c r="BY371" t="s">
        <v>959</v>
      </c>
      <c r="BZ371" t="s">
        <v>239</v>
      </c>
      <c r="CA371" t="s">
        <v>241</v>
      </c>
      <c r="CB371" t="s">
        <v>805</v>
      </c>
      <c r="CC371" t="s">
        <v>806</v>
      </c>
    </row>
    <row r="372" spans="1:109">
      <c r="A372" s="40">
        <v>349</v>
      </c>
      <c r="B372" s="40" t="s">
        <v>1654</v>
      </c>
      <c r="C372" s="2" t="s">
        <v>1655</v>
      </c>
      <c r="D372" s="2" t="s">
        <v>27</v>
      </c>
      <c r="E372" s="2"/>
      <c r="F372" s="2">
        <v>20</v>
      </c>
      <c r="G372" s="2">
        <v>15</v>
      </c>
      <c r="H372" s="2">
        <v>20</v>
      </c>
      <c r="I372" s="2">
        <v>10</v>
      </c>
      <c r="J372" s="2">
        <v>55</v>
      </c>
      <c r="K372" s="2">
        <v>80</v>
      </c>
      <c r="L372" s="2">
        <v>200</v>
      </c>
      <c r="M372" s="2" t="s">
        <v>2424</v>
      </c>
      <c r="N372" s="2" t="s">
        <v>1061</v>
      </c>
      <c r="O372" t="s">
        <v>382</v>
      </c>
      <c r="P372" t="s">
        <v>219</v>
      </c>
      <c r="Q372" t="s">
        <v>770</v>
      </c>
      <c r="R372" t="s">
        <v>1062</v>
      </c>
      <c r="S372" t="s">
        <v>144</v>
      </c>
      <c r="T372" t="s">
        <v>270</v>
      </c>
      <c r="U372" t="s">
        <v>914</v>
      </c>
      <c r="V372" t="s">
        <v>1063</v>
      </c>
      <c r="W372" t="s">
        <v>148</v>
      </c>
      <c r="X372" t="s">
        <v>1104</v>
      </c>
      <c r="Y372" t="s">
        <v>172</v>
      </c>
      <c r="Z372" t="s">
        <v>141</v>
      </c>
      <c r="AA372" t="s">
        <v>271</v>
      </c>
      <c r="AB372" t="s">
        <v>228</v>
      </c>
      <c r="AC372" t="s">
        <v>1078</v>
      </c>
      <c r="AD372" t="s">
        <v>766</v>
      </c>
      <c r="AE372" t="s">
        <v>1079</v>
      </c>
      <c r="AF372" t="s">
        <v>1080</v>
      </c>
      <c r="AG372" t="s">
        <v>230</v>
      </c>
      <c r="AH372" t="s">
        <v>917</v>
      </c>
      <c r="AI372" t="s">
        <v>231</v>
      </c>
      <c r="AJ372" t="s">
        <v>1082</v>
      </c>
      <c r="AK372" t="s">
        <v>1037</v>
      </c>
      <c r="AL372" t="s">
        <v>1038</v>
      </c>
      <c r="AM372" t="s">
        <v>756</v>
      </c>
      <c r="AN372" t="s">
        <v>233</v>
      </c>
      <c r="AO372" t="s">
        <v>234</v>
      </c>
      <c r="AP372" t="s">
        <v>273</v>
      </c>
      <c r="AQ372" t="s">
        <v>388</v>
      </c>
      <c r="AR372" t="s">
        <v>387</v>
      </c>
      <c r="AS372" t="s">
        <v>272</v>
      </c>
      <c r="AT372" t="s">
        <v>762</v>
      </c>
      <c r="AU372" t="s">
        <v>761</v>
      </c>
      <c r="AV372" t="s">
        <v>772</v>
      </c>
      <c r="AW372" t="s">
        <v>933</v>
      </c>
      <c r="AX372" t="s">
        <v>950</v>
      </c>
      <c r="AY372" t="s">
        <v>961</v>
      </c>
      <c r="AZ372" t="s">
        <v>967</v>
      </c>
      <c r="BA372" t="s">
        <v>962</v>
      </c>
      <c r="BB372" t="s">
        <v>239</v>
      </c>
      <c r="BC372" t="s">
        <v>241</v>
      </c>
      <c r="BD372" t="s">
        <v>805</v>
      </c>
      <c r="BE372" t="s">
        <v>806</v>
      </c>
    </row>
    <row r="373" spans="1:109">
      <c r="A373" s="40">
        <v>350</v>
      </c>
      <c r="B373" s="40" t="s">
        <v>1657</v>
      </c>
      <c r="C373" s="2" t="s">
        <v>1658</v>
      </c>
      <c r="D373" s="2" t="s">
        <v>27</v>
      </c>
      <c r="E373" s="2"/>
      <c r="F373" s="2">
        <v>95</v>
      </c>
      <c r="G373" s="2">
        <v>60</v>
      </c>
      <c r="H373" s="2">
        <v>79</v>
      </c>
      <c r="I373" s="2">
        <v>100</v>
      </c>
      <c r="J373" s="2">
        <v>125</v>
      </c>
      <c r="K373" s="2">
        <v>81</v>
      </c>
      <c r="L373" s="2">
        <v>540</v>
      </c>
      <c r="M373" s="2" t="s">
        <v>1103</v>
      </c>
      <c r="N373" s="2" t="s">
        <v>1061</v>
      </c>
      <c r="O373" t="s">
        <v>338</v>
      </c>
      <c r="P373" t="s">
        <v>269</v>
      </c>
      <c r="Q373" t="s">
        <v>955</v>
      </c>
      <c r="R373" t="s">
        <v>1106</v>
      </c>
      <c r="S373" t="s">
        <v>954</v>
      </c>
      <c r="T373" t="s">
        <v>796</v>
      </c>
      <c r="U373" t="s">
        <v>459</v>
      </c>
      <c r="V373" t="s">
        <v>962</v>
      </c>
      <c r="W373" t="s">
        <v>179</v>
      </c>
      <c r="X373" t="s">
        <v>766</v>
      </c>
      <c r="Y373" t="s">
        <v>140</v>
      </c>
      <c r="Z373" t="s">
        <v>1082</v>
      </c>
      <c r="AA373" t="s">
        <v>759</v>
      </c>
      <c r="AB373" t="s">
        <v>178</v>
      </c>
      <c r="AC373" t="s">
        <v>1062</v>
      </c>
      <c r="AD373" t="s">
        <v>144</v>
      </c>
      <c r="AE373" t="s">
        <v>270</v>
      </c>
      <c r="AF373" t="s">
        <v>914</v>
      </c>
      <c r="AG373" t="s">
        <v>1063</v>
      </c>
      <c r="AH373" t="s">
        <v>148</v>
      </c>
      <c r="AI373" t="s">
        <v>1104</v>
      </c>
      <c r="AJ373" t="s">
        <v>172</v>
      </c>
      <c r="AK373" t="s">
        <v>141</v>
      </c>
      <c r="AL373" t="s">
        <v>271</v>
      </c>
      <c r="AM373" t="s">
        <v>247</v>
      </c>
      <c r="AN373" t="s">
        <v>228</v>
      </c>
      <c r="AO373" t="s">
        <v>1078</v>
      </c>
      <c r="AP373" t="s">
        <v>766</v>
      </c>
      <c r="AQ373" t="s">
        <v>759</v>
      </c>
      <c r="AR373" t="s">
        <v>1079</v>
      </c>
      <c r="AS373" t="s">
        <v>1080</v>
      </c>
      <c r="AT373" t="s">
        <v>230</v>
      </c>
      <c r="AU373" t="s">
        <v>917</v>
      </c>
      <c r="AV373" t="s">
        <v>231</v>
      </c>
      <c r="AW373" t="s">
        <v>1082</v>
      </c>
      <c r="AX373" t="s">
        <v>1037</v>
      </c>
      <c r="AY373" t="s">
        <v>1038</v>
      </c>
      <c r="AZ373" t="s">
        <v>976</v>
      </c>
      <c r="BA373" t="s">
        <v>785</v>
      </c>
      <c r="BB373" t="s">
        <v>1021</v>
      </c>
      <c r="BC373" t="s">
        <v>1022</v>
      </c>
      <c r="BD373" t="s">
        <v>756</v>
      </c>
      <c r="BE373" t="s">
        <v>233</v>
      </c>
      <c r="BF373" t="s">
        <v>234</v>
      </c>
      <c r="BG373" t="s">
        <v>273</v>
      </c>
      <c r="BH373" t="s">
        <v>388</v>
      </c>
      <c r="BI373" t="s">
        <v>387</v>
      </c>
      <c r="BJ373" t="s">
        <v>272</v>
      </c>
      <c r="BK373" t="s">
        <v>762</v>
      </c>
      <c r="BL373" t="s">
        <v>761</v>
      </c>
      <c r="BM373" t="s">
        <v>772</v>
      </c>
      <c r="BN373" t="s">
        <v>933</v>
      </c>
      <c r="BO373" t="s">
        <v>950</v>
      </c>
      <c r="BP373" t="s">
        <v>961</v>
      </c>
      <c r="BQ373" t="s">
        <v>967</v>
      </c>
      <c r="BR373" t="s">
        <v>962</v>
      </c>
      <c r="BS373" t="s">
        <v>239</v>
      </c>
      <c r="BT373" t="s">
        <v>241</v>
      </c>
      <c r="BU373" t="s">
        <v>382</v>
      </c>
      <c r="BV373" t="s">
        <v>219</v>
      </c>
      <c r="BW373" t="s">
        <v>770</v>
      </c>
      <c r="BX373" t="s">
        <v>805</v>
      </c>
      <c r="BY373" t="s">
        <v>806</v>
      </c>
    </row>
    <row r="374" spans="1:109">
      <c r="A374" s="40">
        <v>351</v>
      </c>
      <c r="B374" s="40" t="s">
        <v>1659</v>
      </c>
      <c r="C374" s="2" t="s">
        <v>1660</v>
      </c>
      <c r="D374" s="2" t="s">
        <v>24</v>
      </c>
      <c r="E374" s="2"/>
      <c r="F374" s="2">
        <v>70</v>
      </c>
      <c r="G374" s="2">
        <v>70</v>
      </c>
      <c r="H374" s="2">
        <v>70</v>
      </c>
      <c r="I374" s="2">
        <v>70</v>
      </c>
      <c r="J374" s="2">
        <v>70</v>
      </c>
      <c r="K374" s="2">
        <v>70</v>
      </c>
      <c r="L374" s="2">
        <v>420</v>
      </c>
      <c r="M374" s="2" t="s">
        <v>1188</v>
      </c>
      <c r="N374" s="2" t="s">
        <v>1061</v>
      </c>
      <c r="O374" t="s">
        <v>219</v>
      </c>
      <c r="P374" t="s">
        <v>250</v>
      </c>
      <c r="Q374" t="s">
        <v>269</v>
      </c>
      <c r="R374" t="s">
        <v>1228</v>
      </c>
      <c r="S374" t="s">
        <v>420</v>
      </c>
      <c r="T374" t="s">
        <v>766</v>
      </c>
      <c r="U374" t="s">
        <v>752</v>
      </c>
      <c r="V374" t="s">
        <v>1104</v>
      </c>
      <c r="W374" t="s">
        <v>1192</v>
      </c>
      <c r="X374" t="s">
        <v>140</v>
      </c>
      <c r="Y374" t="s">
        <v>271</v>
      </c>
      <c r="Z374" t="s">
        <v>257</v>
      </c>
      <c r="AA374" t="s">
        <v>1062</v>
      </c>
      <c r="AB374" t="s">
        <v>1063</v>
      </c>
      <c r="AC374" t="s">
        <v>148</v>
      </c>
      <c r="AD374" t="s">
        <v>1104</v>
      </c>
      <c r="AE374" t="s">
        <v>172</v>
      </c>
      <c r="AF374" t="s">
        <v>752</v>
      </c>
      <c r="AG374" t="s">
        <v>141</v>
      </c>
      <c r="AH374" t="s">
        <v>271</v>
      </c>
      <c r="AI374" t="s">
        <v>1078</v>
      </c>
      <c r="AJ374" t="s">
        <v>766</v>
      </c>
      <c r="AK374" t="s">
        <v>1079</v>
      </c>
      <c r="AL374" t="s">
        <v>229</v>
      </c>
      <c r="AM374" t="s">
        <v>146</v>
      </c>
      <c r="AN374" t="s">
        <v>321</v>
      </c>
      <c r="AO374" t="s">
        <v>1080</v>
      </c>
      <c r="AP374" t="s">
        <v>174</v>
      </c>
      <c r="AQ374" t="s">
        <v>230</v>
      </c>
      <c r="AR374" t="s">
        <v>254</v>
      </c>
      <c r="AS374" t="s">
        <v>765</v>
      </c>
      <c r="AT374" t="s">
        <v>257</v>
      </c>
      <c r="AU374" t="s">
        <v>917</v>
      </c>
      <c r="AV374" t="s">
        <v>231</v>
      </c>
      <c r="AW374" t="s">
        <v>1082</v>
      </c>
      <c r="AX374" t="s">
        <v>1117</v>
      </c>
      <c r="AY374" t="s">
        <v>1037</v>
      </c>
      <c r="AZ374" t="s">
        <v>970</v>
      </c>
      <c r="BA374" t="s">
        <v>1038</v>
      </c>
      <c r="BB374" t="s">
        <v>1031</v>
      </c>
      <c r="BC374" t="s">
        <v>1036</v>
      </c>
      <c r="BD374" t="s">
        <v>232</v>
      </c>
      <c r="BE374" t="s">
        <v>322</v>
      </c>
      <c r="BF374" t="s">
        <v>785</v>
      </c>
      <c r="BG374" t="s">
        <v>756</v>
      </c>
      <c r="BH374" t="s">
        <v>233</v>
      </c>
      <c r="BI374" t="s">
        <v>234</v>
      </c>
      <c r="BJ374" t="s">
        <v>340</v>
      </c>
      <c r="BK374" t="s">
        <v>235</v>
      </c>
      <c r="BL374" t="s">
        <v>790</v>
      </c>
      <c r="BM374" t="s">
        <v>987</v>
      </c>
      <c r="BN374" t="s">
        <v>994</v>
      </c>
      <c r="BO374" t="s">
        <v>1191</v>
      </c>
      <c r="BP374" t="s">
        <v>1029</v>
      </c>
      <c r="BQ374" t="s">
        <v>239</v>
      </c>
      <c r="BR374" t="s">
        <v>241</v>
      </c>
      <c r="BS374" t="s">
        <v>805</v>
      </c>
      <c r="BT374" t="s">
        <v>806</v>
      </c>
    </row>
    <row r="375" spans="1:109">
      <c r="A375" s="40">
        <v>352</v>
      </c>
      <c r="B375" s="40" t="s">
        <v>1661</v>
      </c>
      <c r="C375" s="2" t="s">
        <v>1662</v>
      </c>
      <c r="D375" s="2" t="s">
        <v>24</v>
      </c>
      <c r="E375" s="2"/>
      <c r="F375" s="2">
        <v>60</v>
      </c>
      <c r="G375" s="2">
        <v>90</v>
      </c>
      <c r="H375" s="2">
        <v>70</v>
      </c>
      <c r="I375" s="2">
        <v>60</v>
      </c>
      <c r="J375" s="2">
        <v>120</v>
      </c>
      <c r="K375" s="2">
        <v>40</v>
      </c>
      <c r="L375" s="2">
        <v>440</v>
      </c>
      <c r="M375" s="2" t="s">
        <v>1255</v>
      </c>
      <c r="N375" s="2" t="s">
        <v>1061</v>
      </c>
      <c r="O375" t="s">
        <v>249</v>
      </c>
      <c r="P375" t="s">
        <v>266</v>
      </c>
      <c r="Q375" t="s">
        <v>511</v>
      </c>
      <c r="R375" t="s">
        <v>1117</v>
      </c>
      <c r="S375" t="s">
        <v>1130</v>
      </c>
      <c r="T375" t="s">
        <v>240</v>
      </c>
      <c r="U375" t="s">
        <v>774</v>
      </c>
      <c r="V375" t="s">
        <v>323</v>
      </c>
      <c r="W375" t="s">
        <v>971</v>
      </c>
      <c r="X375" t="s">
        <v>292</v>
      </c>
      <c r="Y375" t="s">
        <v>1006</v>
      </c>
      <c r="Z375" t="s">
        <v>253</v>
      </c>
      <c r="AA375" t="s">
        <v>324</v>
      </c>
      <c r="AB375" t="s">
        <v>233</v>
      </c>
      <c r="AC375" t="s">
        <v>1008</v>
      </c>
      <c r="AD375" t="s">
        <v>1005</v>
      </c>
      <c r="AE375" t="s">
        <v>170</v>
      </c>
      <c r="AF375" t="s">
        <v>1043</v>
      </c>
      <c r="AG375" t="s">
        <v>1062</v>
      </c>
      <c r="AH375" t="s">
        <v>226</v>
      </c>
      <c r="AI375" t="s">
        <v>227</v>
      </c>
      <c r="AJ375" t="s">
        <v>1063</v>
      </c>
      <c r="AK375" t="s">
        <v>1030</v>
      </c>
      <c r="AL375" t="s">
        <v>148</v>
      </c>
      <c r="AM375" t="s">
        <v>172</v>
      </c>
      <c r="AN375" t="s">
        <v>752</v>
      </c>
      <c r="AO375" t="s">
        <v>141</v>
      </c>
      <c r="AP375" t="s">
        <v>271</v>
      </c>
      <c r="AQ375" t="s">
        <v>1078</v>
      </c>
      <c r="AR375" t="s">
        <v>766</v>
      </c>
      <c r="AS375" t="s">
        <v>1079</v>
      </c>
      <c r="AT375" t="s">
        <v>229</v>
      </c>
      <c r="AU375" t="s">
        <v>146</v>
      </c>
      <c r="AV375" t="s">
        <v>321</v>
      </c>
      <c r="AW375" t="s">
        <v>1080</v>
      </c>
      <c r="AX375" t="s">
        <v>256</v>
      </c>
      <c r="AY375" t="s">
        <v>174</v>
      </c>
      <c r="AZ375" t="s">
        <v>1094</v>
      </c>
      <c r="BA375" t="s">
        <v>230</v>
      </c>
      <c r="BB375" t="s">
        <v>254</v>
      </c>
      <c r="BC375" t="s">
        <v>257</v>
      </c>
      <c r="BD375" t="s">
        <v>1095</v>
      </c>
      <c r="BE375" t="s">
        <v>1096</v>
      </c>
      <c r="BF375" t="s">
        <v>917</v>
      </c>
      <c r="BG375" t="s">
        <v>231</v>
      </c>
      <c r="BH375" t="s">
        <v>1082</v>
      </c>
      <c r="BI375" t="s">
        <v>1117</v>
      </c>
      <c r="BJ375" t="s">
        <v>1037</v>
      </c>
      <c r="BK375" t="s">
        <v>974</v>
      </c>
      <c r="BL375" t="s">
        <v>963</v>
      </c>
      <c r="BM375" t="s">
        <v>1031</v>
      </c>
      <c r="BN375" t="s">
        <v>1005</v>
      </c>
      <c r="BO375" t="s">
        <v>1036</v>
      </c>
      <c r="BP375" t="s">
        <v>232</v>
      </c>
      <c r="BQ375" t="s">
        <v>322</v>
      </c>
      <c r="BR375" t="s">
        <v>785</v>
      </c>
      <c r="BS375" t="s">
        <v>143</v>
      </c>
      <c r="BT375" t="s">
        <v>977</v>
      </c>
      <c r="BU375" t="s">
        <v>756</v>
      </c>
      <c r="BV375" t="s">
        <v>757</v>
      </c>
      <c r="BW375" t="s">
        <v>233</v>
      </c>
      <c r="BX375" t="s">
        <v>1012</v>
      </c>
      <c r="BY375" t="s">
        <v>760</v>
      </c>
      <c r="BZ375" t="s">
        <v>2398</v>
      </c>
      <c r="CA375" t="s">
        <v>2339</v>
      </c>
      <c r="CB375" t="s">
        <v>234</v>
      </c>
      <c r="CC375" t="s">
        <v>340</v>
      </c>
      <c r="CD375" t="s">
        <v>459</v>
      </c>
      <c r="CE375" t="s">
        <v>588</v>
      </c>
      <c r="CF375" t="s">
        <v>176</v>
      </c>
      <c r="CG375" t="s">
        <v>952</v>
      </c>
      <c r="CH375" t="s">
        <v>929</v>
      </c>
      <c r="CI375" t="s">
        <v>941</v>
      </c>
      <c r="CJ375" t="s">
        <v>945</v>
      </c>
      <c r="CK375" t="s">
        <v>1226</v>
      </c>
      <c r="CL375" t="s">
        <v>991</v>
      </c>
      <c r="CM375" t="s">
        <v>1167</v>
      </c>
      <c r="CN375" t="s">
        <v>239</v>
      </c>
      <c r="CO375" t="s">
        <v>241</v>
      </c>
      <c r="CP375" t="s">
        <v>805</v>
      </c>
      <c r="CQ375" t="s">
        <v>806</v>
      </c>
    </row>
    <row r="376" spans="1:109">
      <c r="A376" s="40">
        <v>353</v>
      </c>
      <c r="B376" s="40" t="s">
        <v>1663</v>
      </c>
      <c r="C376" s="2" t="s">
        <v>1664</v>
      </c>
      <c r="D376" s="2" t="s">
        <v>10</v>
      </c>
      <c r="E376" s="2"/>
      <c r="F376" s="2">
        <v>44</v>
      </c>
      <c r="G376" s="2">
        <v>75</v>
      </c>
      <c r="H376" s="2">
        <v>35</v>
      </c>
      <c r="I376" s="2">
        <v>63</v>
      </c>
      <c r="J376" s="2">
        <v>33</v>
      </c>
      <c r="K376" s="2">
        <v>45</v>
      </c>
      <c r="L376" s="2">
        <v>295</v>
      </c>
      <c r="M376" s="2" t="s">
        <v>1177</v>
      </c>
      <c r="N376" s="2" t="s">
        <v>1061</v>
      </c>
      <c r="O376" t="s">
        <v>928</v>
      </c>
      <c r="P376" t="s">
        <v>324</v>
      </c>
      <c r="Q376" t="s">
        <v>528</v>
      </c>
      <c r="R376" t="s">
        <v>778</v>
      </c>
      <c r="S376" t="s">
        <v>956</v>
      </c>
      <c r="T376" t="s">
        <v>1006</v>
      </c>
      <c r="U376" t="s">
        <v>751</v>
      </c>
      <c r="V376" t="s">
        <v>774</v>
      </c>
      <c r="W376" t="s">
        <v>1029</v>
      </c>
      <c r="X376" t="s">
        <v>174</v>
      </c>
      <c r="Y376" t="s">
        <v>1008</v>
      </c>
      <c r="Z376" t="s">
        <v>969</v>
      </c>
      <c r="AA376" t="s">
        <v>945</v>
      </c>
      <c r="AB376" t="s">
        <v>923</v>
      </c>
      <c r="AC376" t="s">
        <v>952</v>
      </c>
      <c r="AD376" t="s">
        <v>1062</v>
      </c>
      <c r="AE376" t="s">
        <v>1063</v>
      </c>
      <c r="AF376" t="s">
        <v>912</v>
      </c>
      <c r="AG376" t="s">
        <v>148</v>
      </c>
      <c r="AH376" t="s">
        <v>172</v>
      </c>
      <c r="AI376" t="s">
        <v>752</v>
      </c>
      <c r="AJ376" t="s">
        <v>1126</v>
      </c>
      <c r="AK376" t="s">
        <v>1078</v>
      </c>
      <c r="AL376" t="s">
        <v>766</v>
      </c>
      <c r="AM376" t="s">
        <v>1079</v>
      </c>
      <c r="AN376" t="s">
        <v>146</v>
      </c>
      <c r="AO376" t="s">
        <v>321</v>
      </c>
      <c r="AP376" t="s">
        <v>1080</v>
      </c>
      <c r="AQ376" t="s">
        <v>9</v>
      </c>
      <c r="AR376" t="s">
        <v>174</v>
      </c>
      <c r="AS376" t="s">
        <v>230</v>
      </c>
      <c r="AT376" t="s">
        <v>951</v>
      </c>
      <c r="AU376" t="s">
        <v>917</v>
      </c>
      <c r="AV376" t="s">
        <v>231</v>
      </c>
      <c r="AW376" t="s">
        <v>1082</v>
      </c>
      <c r="AX376" t="s">
        <v>1117</v>
      </c>
      <c r="AY376" t="s">
        <v>1037</v>
      </c>
      <c r="AZ376" t="s">
        <v>963</v>
      </c>
      <c r="BA376" t="s">
        <v>956</v>
      </c>
      <c r="BB376" t="s">
        <v>969</v>
      </c>
      <c r="BC376" t="s">
        <v>995</v>
      </c>
      <c r="BD376" t="s">
        <v>232</v>
      </c>
      <c r="BE376" t="s">
        <v>322</v>
      </c>
      <c r="BF376" t="s">
        <v>785</v>
      </c>
      <c r="BG376" t="s">
        <v>293</v>
      </c>
      <c r="BH376" t="s">
        <v>756</v>
      </c>
      <c r="BI376" t="s">
        <v>757</v>
      </c>
      <c r="BJ376" t="s">
        <v>233</v>
      </c>
      <c r="BK376" t="s">
        <v>1012</v>
      </c>
      <c r="BL376" t="s">
        <v>1157</v>
      </c>
      <c r="BM376" t="s">
        <v>2342</v>
      </c>
      <c r="BN376" t="s">
        <v>2339</v>
      </c>
      <c r="BO376" t="s">
        <v>234</v>
      </c>
      <c r="BP376" t="s">
        <v>340</v>
      </c>
      <c r="BQ376" t="s">
        <v>387</v>
      </c>
      <c r="BR376" t="s">
        <v>771</v>
      </c>
      <c r="BS376" t="s">
        <v>793</v>
      </c>
      <c r="BT376" t="s">
        <v>773</v>
      </c>
      <c r="BU376" t="s">
        <v>927</v>
      </c>
      <c r="BV376" t="s">
        <v>1130</v>
      </c>
      <c r="BW376" t="s">
        <v>1006</v>
      </c>
      <c r="BX376" t="s">
        <v>979</v>
      </c>
      <c r="BY376" t="s">
        <v>994</v>
      </c>
      <c r="BZ376" t="s">
        <v>2392</v>
      </c>
      <c r="CA376" t="s">
        <v>239</v>
      </c>
      <c r="CB376" t="s">
        <v>241</v>
      </c>
      <c r="CC376" t="s">
        <v>805</v>
      </c>
      <c r="CD376" t="s">
        <v>806</v>
      </c>
    </row>
    <row r="377" spans="1:109">
      <c r="A377" s="40">
        <v>354</v>
      </c>
      <c r="B377" s="40" t="s">
        <v>1665</v>
      </c>
      <c r="C377" s="2" t="s">
        <v>1666</v>
      </c>
      <c r="D377" s="2" t="s">
        <v>10</v>
      </c>
      <c r="E377" s="2"/>
      <c r="F377" s="2">
        <v>64</v>
      </c>
      <c r="G377" s="2">
        <v>115</v>
      </c>
      <c r="H377" s="2">
        <v>65</v>
      </c>
      <c r="I377" s="2">
        <v>83</v>
      </c>
      <c r="J377" s="2">
        <v>63</v>
      </c>
      <c r="K377" s="2">
        <v>65</v>
      </c>
      <c r="L377" s="2">
        <v>455</v>
      </c>
      <c r="M377" s="2" t="s">
        <v>1168</v>
      </c>
      <c r="N377" s="2" t="s">
        <v>1061</v>
      </c>
      <c r="O377" t="s">
        <v>528</v>
      </c>
      <c r="P377" t="s">
        <v>324</v>
      </c>
      <c r="Q377" t="s">
        <v>751</v>
      </c>
      <c r="R377" t="s">
        <v>928</v>
      </c>
      <c r="S377" t="s">
        <v>324</v>
      </c>
      <c r="T377" t="s">
        <v>528</v>
      </c>
      <c r="U377" t="s">
        <v>778</v>
      </c>
      <c r="V377" t="s">
        <v>956</v>
      </c>
      <c r="W377" t="s">
        <v>1006</v>
      </c>
      <c r="X377" t="s">
        <v>751</v>
      </c>
      <c r="Y377" t="s">
        <v>774</v>
      </c>
      <c r="Z377" t="s">
        <v>1029</v>
      </c>
      <c r="AA377" t="s">
        <v>174</v>
      </c>
      <c r="AB377" t="s">
        <v>1008</v>
      </c>
      <c r="AC377" t="s">
        <v>969</v>
      </c>
      <c r="AD377" t="s">
        <v>945</v>
      </c>
      <c r="AE377" t="s">
        <v>923</v>
      </c>
      <c r="AF377" t="s">
        <v>952</v>
      </c>
      <c r="AG377" t="s">
        <v>1062</v>
      </c>
      <c r="AH377" t="s">
        <v>1063</v>
      </c>
      <c r="AI377" t="s">
        <v>912</v>
      </c>
      <c r="AJ377" t="s">
        <v>148</v>
      </c>
      <c r="AK377" t="s">
        <v>172</v>
      </c>
      <c r="AL377" t="s">
        <v>752</v>
      </c>
      <c r="AM377" t="s">
        <v>1126</v>
      </c>
      <c r="AN377" t="s">
        <v>247</v>
      </c>
      <c r="AO377" t="s">
        <v>1078</v>
      </c>
      <c r="AP377" t="s">
        <v>766</v>
      </c>
      <c r="AQ377" t="s">
        <v>1079</v>
      </c>
      <c r="AR377" t="s">
        <v>146</v>
      </c>
      <c r="AS377" t="s">
        <v>321</v>
      </c>
      <c r="AT377" t="s">
        <v>1080</v>
      </c>
      <c r="AU377" t="s">
        <v>9</v>
      </c>
      <c r="AV377" t="s">
        <v>174</v>
      </c>
      <c r="AW377" t="s">
        <v>230</v>
      </c>
      <c r="AX377" t="s">
        <v>951</v>
      </c>
      <c r="AY377" t="s">
        <v>917</v>
      </c>
      <c r="AZ377" t="s">
        <v>231</v>
      </c>
      <c r="BA377" t="s">
        <v>1082</v>
      </c>
      <c r="BB377" t="s">
        <v>1117</v>
      </c>
      <c r="BC377" t="s">
        <v>1037</v>
      </c>
      <c r="BD377" t="s">
        <v>974</v>
      </c>
      <c r="BE377" t="s">
        <v>963</v>
      </c>
      <c r="BF377" t="s">
        <v>956</v>
      </c>
      <c r="BG377" t="s">
        <v>969</v>
      </c>
      <c r="BH377" t="s">
        <v>1005</v>
      </c>
      <c r="BI377" t="s">
        <v>995</v>
      </c>
      <c r="BJ377" t="s">
        <v>976</v>
      </c>
      <c r="BK377" t="s">
        <v>232</v>
      </c>
      <c r="BL377" t="s">
        <v>322</v>
      </c>
      <c r="BM377" t="s">
        <v>785</v>
      </c>
      <c r="BN377" t="s">
        <v>2369</v>
      </c>
      <c r="BO377" t="s">
        <v>293</v>
      </c>
      <c r="BP377" t="s">
        <v>756</v>
      </c>
      <c r="BQ377" t="s">
        <v>757</v>
      </c>
      <c r="BR377" t="s">
        <v>233</v>
      </c>
      <c r="BS377" t="s">
        <v>1012</v>
      </c>
      <c r="BT377" t="s">
        <v>1157</v>
      </c>
      <c r="BU377" t="s">
        <v>2342</v>
      </c>
      <c r="BV377" t="s">
        <v>2339</v>
      </c>
      <c r="BW377" t="s">
        <v>234</v>
      </c>
      <c r="BX377" t="s">
        <v>340</v>
      </c>
      <c r="BY377" t="s">
        <v>387</v>
      </c>
      <c r="BZ377" t="s">
        <v>771</v>
      </c>
      <c r="CA377" t="s">
        <v>793</v>
      </c>
      <c r="CB377" t="s">
        <v>773</v>
      </c>
      <c r="CC377" t="s">
        <v>927</v>
      </c>
      <c r="CD377" t="s">
        <v>1130</v>
      </c>
      <c r="CE377" t="s">
        <v>1006</v>
      </c>
      <c r="CF377" t="s">
        <v>979</v>
      </c>
      <c r="CG377" t="s">
        <v>994</v>
      </c>
      <c r="CH377" t="s">
        <v>2392</v>
      </c>
      <c r="CI377" t="s">
        <v>239</v>
      </c>
      <c r="CJ377" t="s">
        <v>241</v>
      </c>
      <c r="CK377" t="s">
        <v>805</v>
      </c>
      <c r="CL377" t="s">
        <v>806</v>
      </c>
    </row>
    <row r="378" spans="1:109">
      <c r="A378" s="40">
        <v>354.1</v>
      </c>
      <c r="B378" s="40" t="s">
        <v>2321</v>
      </c>
      <c r="C378" s="2" t="s">
        <v>2322</v>
      </c>
      <c r="D378" s="2" t="s">
        <v>10</v>
      </c>
      <c r="E378" s="2"/>
      <c r="F378" s="2">
        <v>64</v>
      </c>
      <c r="G378" s="2">
        <v>165</v>
      </c>
      <c r="H378" s="2">
        <v>75</v>
      </c>
      <c r="I378" s="2">
        <v>93</v>
      </c>
      <c r="J378" s="2">
        <v>83</v>
      </c>
      <c r="K378" s="2">
        <v>75</v>
      </c>
      <c r="L378" s="2">
        <v>555</v>
      </c>
      <c r="M378" s="2" t="s">
        <v>1111</v>
      </c>
      <c r="N378" s="2" t="s">
        <v>1061</v>
      </c>
      <c r="O378" t="s">
        <v>1062</v>
      </c>
      <c r="P378" t="s">
        <v>1063</v>
      </c>
      <c r="Q378" t="s">
        <v>2369</v>
      </c>
      <c r="R378" t="s">
        <v>757</v>
      </c>
      <c r="S378" t="s">
        <v>1157</v>
      </c>
      <c r="T378" t="s">
        <v>2342</v>
      </c>
      <c r="U378" t="s">
        <v>2339</v>
      </c>
      <c r="V378" t="s">
        <v>234</v>
      </c>
      <c r="W378" t="s">
        <v>239</v>
      </c>
      <c r="X378" t="s">
        <v>241</v>
      </c>
      <c r="Y378" t="s">
        <v>805</v>
      </c>
      <c r="Z378" t="s">
        <v>806</v>
      </c>
    </row>
    <row r="379" spans="1:109">
      <c r="A379" s="40">
        <v>355</v>
      </c>
      <c r="B379" s="40" t="s">
        <v>1667</v>
      </c>
      <c r="C379" s="2" t="s">
        <v>1668</v>
      </c>
      <c r="D379" s="2" t="s">
        <v>10</v>
      </c>
      <c r="E379" s="2"/>
      <c r="F379" s="2">
        <v>20</v>
      </c>
      <c r="G379" s="2">
        <v>40</v>
      </c>
      <c r="H379" s="2">
        <v>90</v>
      </c>
      <c r="I379" s="2">
        <v>30</v>
      </c>
      <c r="J379" s="2">
        <v>90</v>
      </c>
      <c r="K379" s="2">
        <v>25</v>
      </c>
      <c r="L379" s="2">
        <v>295</v>
      </c>
      <c r="M379" s="2" t="s">
        <v>1089</v>
      </c>
      <c r="N379" s="2" t="s">
        <v>1061</v>
      </c>
      <c r="O379" t="s">
        <v>330</v>
      </c>
      <c r="P379" t="s">
        <v>528</v>
      </c>
      <c r="Q379" t="s">
        <v>340</v>
      </c>
      <c r="R379" t="s">
        <v>771</v>
      </c>
      <c r="S379" t="s">
        <v>1130</v>
      </c>
      <c r="T379" t="s">
        <v>387</v>
      </c>
      <c r="U379" t="s">
        <v>1006</v>
      </c>
      <c r="V379" t="s">
        <v>773</v>
      </c>
      <c r="W379" t="s">
        <v>751</v>
      </c>
      <c r="X379" t="s">
        <v>956</v>
      </c>
      <c r="Y379" t="s">
        <v>1029</v>
      </c>
      <c r="Z379" t="s">
        <v>787</v>
      </c>
      <c r="AA379" t="s">
        <v>995</v>
      </c>
      <c r="AB379" t="s">
        <v>790</v>
      </c>
      <c r="AC379" t="s">
        <v>1062</v>
      </c>
      <c r="AD379" t="s">
        <v>1063</v>
      </c>
      <c r="AE379" t="s">
        <v>912</v>
      </c>
      <c r="AF379" t="s">
        <v>148</v>
      </c>
      <c r="AG379" t="s">
        <v>172</v>
      </c>
      <c r="AH379" t="s">
        <v>752</v>
      </c>
      <c r="AI379" t="s">
        <v>1126</v>
      </c>
      <c r="AJ379" t="s">
        <v>141</v>
      </c>
      <c r="AK379" t="s">
        <v>271</v>
      </c>
      <c r="AL379" t="s">
        <v>1078</v>
      </c>
      <c r="AM379" t="s">
        <v>766</v>
      </c>
      <c r="AN379" t="s">
        <v>1079</v>
      </c>
      <c r="AO379" t="s">
        <v>1080</v>
      </c>
      <c r="AP379" t="s">
        <v>9</v>
      </c>
      <c r="AQ379" t="s">
        <v>174</v>
      </c>
      <c r="AR379" t="s">
        <v>230</v>
      </c>
      <c r="AS379" t="s">
        <v>951</v>
      </c>
      <c r="AT379" t="s">
        <v>917</v>
      </c>
      <c r="AU379" t="s">
        <v>231</v>
      </c>
      <c r="AV379" t="s">
        <v>1082</v>
      </c>
      <c r="AW379" t="s">
        <v>1117</v>
      </c>
      <c r="AX379" t="s">
        <v>1037</v>
      </c>
      <c r="AY379" t="s">
        <v>974</v>
      </c>
      <c r="AZ379" t="s">
        <v>963</v>
      </c>
      <c r="BA379" t="s">
        <v>956</v>
      </c>
      <c r="BB379" t="s">
        <v>969</v>
      </c>
      <c r="BC379" t="s">
        <v>995</v>
      </c>
      <c r="BD379" t="s">
        <v>232</v>
      </c>
      <c r="BE379" t="s">
        <v>785</v>
      </c>
      <c r="BF379" t="s">
        <v>2369</v>
      </c>
      <c r="BG379" t="s">
        <v>293</v>
      </c>
      <c r="BH379" t="s">
        <v>756</v>
      </c>
      <c r="BI379" t="s">
        <v>757</v>
      </c>
      <c r="BJ379" t="s">
        <v>233</v>
      </c>
      <c r="BK379" t="s">
        <v>1012</v>
      </c>
      <c r="BL379" t="s">
        <v>1157</v>
      </c>
      <c r="BM379" t="s">
        <v>2339</v>
      </c>
      <c r="BN379" t="s">
        <v>234</v>
      </c>
      <c r="BO379" t="s">
        <v>774</v>
      </c>
      <c r="BP379" t="s">
        <v>793</v>
      </c>
      <c r="BQ379" t="s">
        <v>794</v>
      </c>
      <c r="BR379" t="s">
        <v>931</v>
      </c>
      <c r="BS379" t="s">
        <v>941</v>
      </c>
      <c r="BT379" t="s">
        <v>927</v>
      </c>
      <c r="BU379" t="s">
        <v>923</v>
      </c>
      <c r="BV379" t="s">
        <v>1157</v>
      </c>
      <c r="BW379" t="s">
        <v>994</v>
      </c>
      <c r="BX379" t="s">
        <v>239</v>
      </c>
      <c r="BY379" t="s">
        <v>241</v>
      </c>
      <c r="BZ379" t="s">
        <v>805</v>
      </c>
      <c r="CA379" t="s">
        <v>806</v>
      </c>
    </row>
    <row r="380" spans="1:109">
      <c r="A380" s="40">
        <v>356</v>
      </c>
      <c r="B380" s="40" t="s">
        <v>1669</v>
      </c>
      <c r="C380" s="2" t="s">
        <v>1670</v>
      </c>
      <c r="D380" s="2" t="s">
        <v>10</v>
      </c>
      <c r="E380" s="2"/>
      <c r="F380" s="2">
        <v>40</v>
      </c>
      <c r="G380" s="2">
        <v>70</v>
      </c>
      <c r="H380" s="2">
        <v>130</v>
      </c>
      <c r="I380" s="2">
        <v>60</v>
      </c>
      <c r="J380" s="2">
        <v>130</v>
      </c>
      <c r="K380" s="2">
        <v>25</v>
      </c>
      <c r="L380" s="2">
        <v>455</v>
      </c>
      <c r="M380" s="2" t="s">
        <v>1752</v>
      </c>
      <c r="N380" s="2" t="s">
        <v>1061</v>
      </c>
      <c r="O380" t="s">
        <v>137</v>
      </c>
      <c r="P380" t="s">
        <v>274</v>
      </c>
      <c r="Q380" t="s">
        <v>147</v>
      </c>
      <c r="R380" t="s">
        <v>240</v>
      </c>
      <c r="S380" t="s">
        <v>330</v>
      </c>
      <c r="T380" t="s">
        <v>340</v>
      </c>
      <c r="U380" t="s">
        <v>528</v>
      </c>
      <c r="V380" t="s">
        <v>978</v>
      </c>
      <c r="W380" t="s">
        <v>340</v>
      </c>
      <c r="X380" t="s">
        <v>771</v>
      </c>
      <c r="Y380" t="s">
        <v>1130</v>
      </c>
      <c r="Z380" t="s">
        <v>387</v>
      </c>
      <c r="AA380" t="s">
        <v>1006</v>
      </c>
      <c r="AB380" t="s">
        <v>773</v>
      </c>
      <c r="AC380" t="s">
        <v>751</v>
      </c>
      <c r="AD380" t="s">
        <v>956</v>
      </c>
      <c r="AE380" t="s">
        <v>1211</v>
      </c>
      <c r="AF380" t="s">
        <v>1029</v>
      </c>
      <c r="AG380" t="s">
        <v>787</v>
      </c>
      <c r="AH380" t="s">
        <v>995</v>
      </c>
      <c r="AI380" t="s">
        <v>790</v>
      </c>
      <c r="AJ380" t="s">
        <v>1062</v>
      </c>
      <c r="AK380" t="s">
        <v>227</v>
      </c>
      <c r="AL380" t="s">
        <v>1063</v>
      </c>
      <c r="AM380" t="s">
        <v>912</v>
      </c>
      <c r="AN380" t="s">
        <v>148</v>
      </c>
      <c r="AO380" t="s">
        <v>172</v>
      </c>
      <c r="AP380" t="s">
        <v>752</v>
      </c>
      <c r="AQ380" t="s">
        <v>1126</v>
      </c>
      <c r="AR380" t="s">
        <v>141</v>
      </c>
      <c r="AS380" t="s">
        <v>271</v>
      </c>
      <c r="AT380" t="s">
        <v>247</v>
      </c>
      <c r="AU380" t="s">
        <v>1078</v>
      </c>
      <c r="AV380" t="s">
        <v>766</v>
      </c>
      <c r="AW380" t="s">
        <v>1079</v>
      </c>
      <c r="AX380" t="s">
        <v>136</v>
      </c>
      <c r="AY380" t="s">
        <v>1080</v>
      </c>
      <c r="AZ380" t="s">
        <v>9</v>
      </c>
      <c r="BA380" t="s">
        <v>174</v>
      </c>
      <c r="BB380" t="s">
        <v>1094</v>
      </c>
      <c r="BC380" t="s">
        <v>230</v>
      </c>
      <c r="BD380" t="s">
        <v>1095</v>
      </c>
      <c r="BE380" t="s">
        <v>951</v>
      </c>
      <c r="BF380" t="s">
        <v>917</v>
      </c>
      <c r="BG380" t="s">
        <v>231</v>
      </c>
      <c r="BH380" t="s">
        <v>1082</v>
      </c>
      <c r="BI380" t="s">
        <v>1117</v>
      </c>
      <c r="BJ380" t="s">
        <v>1037</v>
      </c>
      <c r="BK380" t="s">
        <v>974</v>
      </c>
      <c r="BL380" t="s">
        <v>963</v>
      </c>
      <c r="BM380" t="s">
        <v>956</v>
      </c>
      <c r="BN380" t="s">
        <v>969</v>
      </c>
      <c r="BO380" t="s">
        <v>995</v>
      </c>
      <c r="BP380" t="s">
        <v>976</v>
      </c>
      <c r="BQ380" t="s">
        <v>232</v>
      </c>
      <c r="BR380" t="s">
        <v>785</v>
      </c>
      <c r="BS380" t="s">
        <v>1021</v>
      </c>
      <c r="BT380" t="s">
        <v>143</v>
      </c>
      <c r="BU380" t="s">
        <v>2369</v>
      </c>
      <c r="BV380" t="s">
        <v>293</v>
      </c>
      <c r="BW380" t="s">
        <v>756</v>
      </c>
      <c r="BX380" t="s">
        <v>757</v>
      </c>
      <c r="BY380" t="s">
        <v>233</v>
      </c>
      <c r="BZ380" t="s">
        <v>1012</v>
      </c>
      <c r="CA380" t="s">
        <v>760</v>
      </c>
      <c r="CB380" t="s">
        <v>1157</v>
      </c>
      <c r="CC380" t="s">
        <v>2398</v>
      </c>
      <c r="CD380" t="s">
        <v>2339</v>
      </c>
      <c r="CE380" t="s">
        <v>234</v>
      </c>
      <c r="CF380" t="s">
        <v>774</v>
      </c>
      <c r="CG380" t="s">
        <v>793</v>
      </c>
      <c r="CH380" t="s">
        <v>794</v>
      </c>
      <c r="CI380" t="s">
        <v>931</v>
      </c>
      <c r="CJ380" t="s">
        <v>941</v>
      </c>
      <c r="CK380" t="s">
        <v>927</v>
      </c>
      <c r="CL380" t="s">
        <v>923</v>
      </c>
      <c r="CM380" t="s">
        <v>1157</v>
      </c>
      <c r="CN380" t="s">
        <v>994</v>
      </c>
      <c r="CO380" t="s">
        <v>239</v>
      </c>
      <c r="CP380" t="s">
        <v>241</v>
      </c>
      <c r="CQ380" t="s">
        <v>805</v>
      </c>
      <c r="CR380" t="s">
        <v>806</v>
      </c>
    </row>
    <row r="381" spans="1:109">
      <c r="A381" s="40">
        <v>357</v>
      </c>
      <c r="B381" s="40" t="s">
        <v>1671</v>
      </c>
      <c r="C381" s="2" t="s">
        <v>1672</v>
      </c>
      <c r="D381" s="2" t="s">
        <v>21</v>
      </c>
      <c r="E381" s="2" t="s">
        <v>20</v>
      </c>
      <c r="F381" s="2">
        <v>99</v>
      </c>
      <c r="G381" s="2">
        <v>68</v>
      </c>
      <c r="H381" s="2">
        <v>83</v>
      </c>
      <c r="I381" s="2">
        <v>72</v>
      </c>
      <c r="J381" s="2">
        <v>87</v>
      </c>
      <c r="K381" s="2">
        <v>51</v>
      </c>
      <c r="L381" s="2">
        <v>460</v>
      </c>
      <c r="M381" s="2" t="s">
        <v>1158</v>
      </c>
      <c r="N381" s="2" t="s">
        <v>1061</v>
      </c>
      <c r="O381" t="s">
        <v>289</v>
      </c>
      <c r="P381" t="s">
        <v>330</v>
      </c>
      <c r="Q381" t="s">
        <v>215</v>
      </c>
      <c r="R381" t="s">
        <v>224</v>
      </c>
      <c r="S381" t="s">
        <v>493</v>
      </c>
      <c r="T381" t="s">
        <v>1076</v>
      </c>
      <c r="U381" t="s">
        <v>291</v>
      </c>
      <c r="V381" t="s">
        <v>930</v>
      </c>
      <c r="W381" t="s">
        <v>364</v>
      </c>
      <c r="X381" t="s">
        <v>750</v>
      </c>
      <c r="Y381" t="s">
        <v>1193</v>
      </c>
      <c r="Z381" t="s">
        <v>1101</v>
      </c>
      <c r="AA381" t="s">
        <v>1139</v>
      </c>
      <c r="AB381" t="s">
        <v>229</v>
      </c>
      <c r="AC381" t="s">
        <v>992</v>
      </c>
      <c r="AD381" t="s">
        <v>1086</v>
      </c>
      <c r="AE381" t="s">
        <v>1062</v>
      </c>
      <c r="AF381" t="s">
        <v>226</v>
      </c>
      <c r="AG381" t="s">
        <v>138</v>
      </c>
      <c r="AH381" t="s">
        <v>227</v>
      </c>
      <c r="AI381" t="s">
        <v>1063</v>
      </c>
      <c r="AJ381" t="s">
        <v>246</v>
      </c>
      <c r="AK381" t="s">
        <v>148</v>
      </c>
      <c r="AL381" t="s">
        <v>172</v>
      </c>
      <c r="AM381" t="s">
        <v>752</v>
      </c>
      <c r="AN381" t="s">
        <v>247</v>
      </c>
      <c r="AO381" t="s">
        <v>1078</v>
      </c>
      <c r="AP381" t="s">
        <v>1119</v>
      </c>
      <c r="AQ381" t="s">
        <v>759</v>
      </c>
      <c r="AR381" t="s">
        <v>1079</v>
      </c>
      <c r="AS381" t="s">
        <v>229</v>
      </c>
      <c r="AT381" t="s">
        <v>136</v>
      </c>
      <c r="AU381" t="s">
        <v>1080</v>
      </c>
      <c r="AV381" t="s">
        <v>230</v>
      </c>
      <c r="AW381" t="s">
        <v>1096</v>
      </c>
      <c r="AX381" t="s">
        <v>917</v>
      </c>
      <c r="AY381" t="s">
        <v>231</v>
      </c>
      <c r="AZ381" t="s">
        <v>1082</v>
      </c>
      <c r="BA381" t="s">
        <v>1037</v>
      </c>
      <c r="BB381" t="s">
        <v>1125</v>
      </c>
      <c r="BC381" t="s">
        <v>970</v>
      </c>
      <c r="BD381" t="s">
        <v>976</v>
      </c>
      <c r="BE381" t="s">
        <v>232</v>
      </c>
      <c r="BF381" t="s">
        <v>145</v>
      </c>
      <c r="BG381" t="s">
        <v>1021</v>
      </c>
      <c r="BH381" t="s">
        <v>977</v>
      </c>
      <c r="BI381" t="s">
        <v>756</v>
      </c>
      <c r="BJ381" t="s">
        <v>757</v>
      </c>
      <c r="BK381" t="s">
        <v>233</v>
      </c>
      <c r="BL381" t="s">
        <v>760</v>
      </c>
      <c r="BM381" t="s">
        <v>1087</v>
      </c>
      <c r="BN381" t="s">
        <v>2339</v>
      </c>
      <c r="BO381" t="s">
        <v>234</v>
      </c>
      <c r="BP381" t="s">
        <v>332</v>
      </c>
      <c r="BQ381" t="s">
        <v>341</v>
      </c>
      <c r="BR381" t="s">
        <v>420</v>
      </c>
      <c r="BS381" t="s">
        <v>142</v>
      </c>
      <c r="BT381" t="s">
        <v>751</v>
      </c>
      <c r="BU381" t="s">
        <v>750</v>
      </c>
      <c r="BV381" t="s">
        <v>1087</v>
      </c>
      <c r="BW381" t="s">
        <v>1190</v>
      </c>
      <c r="BX381" t="s">
        <v>1194</v>
      </c>
      <c r="BY381" t="s">
        <v>915</v>
      </c>
      <c r="BZ381" t="s">
        <v>992</v>
      </c>
      <c r="CA381" t="s">
        <v>1086</v>
      </c>
      <c r="CB381" t="s">
        <v>239</v>
      </c>
      <c r="CC381" t="s">
        <v>241</v>
      </c>
      <c r="CD381" t="s">
        <v>805</v>
      </c>
      <c r="CE381" t="s">
        <v>806</v>
      </c>
    </row>
    <row r="382" spans="1:109">
      <c r="A382" s="40">
        <v>358</v>
      </c>
      <c r="B382" s="40" t="s">
        <v>1673</v>
      </c>
      <c r="C382" s="2" t="s">
        <v>1674</v>
      </c>
      <c r="D382" s="2" t="s">
        <v>9</v>
      </c>
      <c r="E382" s="2"/>
      <c r="F382" s="2">
        <v>65</v>
      </c>
      <c r="G382" s="2">
        <v>50</v>
      </c>
      <c r="H382" s="2">
        <v>70</v>
      </c>
      <c r="I382" s="2">
        <v>95</v>
      </c>
      <c r="J382" s="2">
        <v>80</v>
      </c>
      <c r="K382" s="2">
        <v>65</v>
      </c>
      <c r="L382" s="2">
        <v>425</v>
      </c>
      <c r="M382" s="2" t="s">
        <v>1074</v>
      </c>
      <c r="N382" s="2" t="s">
        <v>1061</v>
      </c>
      <c r="O382" t="s">
        <v>338</v>
      </c>
      <c r="P382" t="s">
        <v>220</v>
      </c>
      <c r="Q382" t="s">
        <v>1130</v>
      </c>
      <c r="R382" t="s">
        <v>287</v>
      </c>
      <c r="S382" t="s">
        <v>953</v>
      </c>
      <c r="T382" t="s">
        <v>223</v>
      </c>
      <c r="U382" t="s">
        <v>958</v>
      </c>
      <c r="V382" t="s">
        <v>529</v>
      </c>
      <c r="W382" t="s">
        <v>225</v>
      </c>
      <c r="X382" t="s">
        <v>795</v>
      </c>
      <c r="Y382" t="s">
        <v>759</v>
      </c>
      <c r="Z382" t="s">
        <v>1154</v>
      </c>
      <c r="AA382" t="s">
        <v>1200</v>
      </c>
      <c r="AB382" t="s">
        <v>1043</v>
      </c>
      <c r="AC382" t="s">
        <v>982</v>
      </c>
      <c r="AD382" t="s">
        <v>1062</v>
      </c>
      <c r="AE382" t="s">
        <v>1063</v>
      </c>
      <c r="AF382" t="s">
        <v>1151</v>
      </c>
      <c r="AG382" t="s">
        <v>912</v>
      </c>
      <c r="AH382" t="s">
        <v>148</v>
      </c>
      <c r="AI382" t="s">
        <v>172</v>
      </c>
      <c r="AJ382" t="s">
        <v>752</v>
      </c>
      <c r="AK382" t="s">
        <v>1126</v>
      </c>
      <c r="AL382" t="s">
        <v>228</v>
      </c>
      <c r="AM382" t="s">
        <v>1078</v>
      </c>
      <c r="AN382" t="s">
        <v>766</v>
      </c>
      <c r="AO382" t="s">
        <v>759</v>
      </c>
      <c r="AP382" t="s">
        <v>1079</v>
      </c>
      <c r="AQ382" t="s">
        <v>1080</v>
      </c>
      <c r="AR382" t="s">
        <v>9</v>
      </c>
      <c r="AS382" t="s">
        <v>174</v>
      </c>
      <c r="AT382" t="s">
        <v>230</v>
      </c>
      <c r="AU382" t="s">
        <v>380</v>
      </c>
      <c r="AV382" t="s">
        <v>951</v>
      </c>
      <c r="AW382" t="s">
        <v>917</v>
      </c>
      <c r="AX382" t="s">
        <v>231</v>
      </c>
      <c r="AY382" t="s">
        <v>1082</v>
      </c>
      <c r="AZ382" t="s">
        <v>1037</v>
      </c>
      <c r="BA382" t="s">
        <v>1083</v>
      </c>
      <c r="BB382" t="s">
        <v>970</v>
      </c>
      <c r="BC382" t="s">
        <v>963</v>
      </c>
      <c r="BD382" t="s">
        <v>232</v>
      </c>
      <c r="BE382" t="s">
        <v>322</v>
      </c>
      <c r="BF382" t="s">
        <v>785</v>
      </c>
      <c r="BG382" t="s">
        <v>293</v>
      </c>
      <c r="BH382" t="s">
        <v>977</v>
      </c>
      <c r="BI382" t="s">
        <v>756</v>
      </c>
      <c r="BJ382" t="s">
        <v>757</v>
      </c>
      <c r="BK382" t="s">
        <v>233</v>
      </c>
      <c r="BL382" t="s">
        <v>1012</v>
      </c>
      <c r="BM382" t="s">
        <v>2342</v>
      </c>
      <c r="BN382" t="s">
        <v>2339</v>
      </c>
      <c r="BO382" t="s">
        <v>234</v>
      </c>
      <c r="BP382" t="s">
        <v>340</v>
      </c>
      <c r="BQ382" t="s">
        <v>388</v>
      </c>
      <c r="BR382" t="s">
        <v>459</v>
      </c>
      <c r="BS382" t="s">
        <v>751</v>
      </c>
      <c r="BT382" t="s">
        <v>790</v>
      </c>
      <c r="BU382" t="s">
        <v>957</v>
      </c>
      <c r="BV382" t="s">
        <v>941</v>
      </c>
      <c r="BW382" t="s">
        <v>1041</v>
      </c>
      <c r="BX382" t="s">
        <v>239</v>
      </c>
      <c r="BY382" t="s">
        <v>241</v>
      </c>
      <c r="BZ382" t="s">
        <v>986</v>
      </c>
      <c r="CA382" t="s">
        <v>1577</v>
      </c>
      <c r="CB382" t="s">
        <v>805</v>
      </c>
      <c r="CC382" t="s">
        <v>806</v>
      </c>
    </row>
    <row r="383" spans="1:109">
      <c r="A383" s="40">
        <v>359</v>
      </c>
      <c r="B383" s="40" t="s">
        <v>1675</v>
      </c>
      <c r="C383" s="2" t="s">
        <v>1676</v>
      </c>
      <c r="D383" s="2" t="s">
        <v>15</v>
      </c>
      <c r="E383" s="2"/>
      <c r="F383" s="2">
        <v>65</v>
      </c>
      <c r="G383" s="2">
        <v>130</v>
      </c>
      <c r="H383" s="2">
        <v>60</v>
      </c>
      <c r="I383" s="2">
        <v>75</v>
      </c>
      <c r="J383" s="2">
        <v>60</v>
      </c>
      <c r="K383" s="2">
        <v>75</v>
      </c>
      <c r="L383" s="2">
        <v>465</v>
      </c>
      <c r="M383" s="2" t="s">
        <v>2425</v>
      </c>
      <c r="N383" s="2" t="s">
        <v>1061</v>
      </c>
      <c r="O383" t="s">
        <v>249</v>
      </c>
      <c r="P383" t="s">
        <v>971</v>
      </c>
      <c r="Q383" t="s">
        <v>330</v>
      </c>
      <c r="R383" t="s">
        <v>310</v>
      </c>
      <c r="S383" t="s">
        <v>773</v>
      </c>
      <c r="T383" t="s">
        <v>1126</v>
      </c>
      <c r="U383" t="s">
        <v>258</v>
      </c>
      <c r="V383" t="s">
        <v>230</v>
      </c>
      <c r="W383" t="s">
        <v>253</v>
      </c>
      <c r="X383" t="s">
        <v>145</v>
      </c>
      <c r="Y383" t="s">
        <v>790</v>
      </c>
      <c r="Z383" t="s">
        <v>993</v>
      </c>
      <c r="AA383" t="s">
        <v>1220</v>
      </c>
      <c r="AB383" t="s">
        <v>1000</v>
      </c>
      <c r="AC383" t="s">
        <v>1008</v>
      </c>
      <c r="AD383" t="s">
        <v>332</v>
      </c>
      <c r="AE383" t="s">
        <v>989</v>
      </c>
      <c r="AF383" t="s">
        <v>786</v>
      </c>
      <c r="AG383" t="s">
        <v>1062</v>
      </c>
      <c r="AH383" t="s">
        <v>226</v>
      </c>
      <c r="AI383" t="s">
        <v>227</v>
      </c>
      <c r="AJ383" t="s">
        <v>1063</v>
      </c>
      <c r="AK383" t="s">
        <v>1030</v>
      </c>
      <c r="AL383" t="s">
        <v>912</v>
      </c>
      <c r="AM383" t="s">
        <v>148</v>
      </c>
      <c r="AN383" t="s">
        <v>1104</v>
      </c>
      <c r="AO383" t="s">
        <v>172</v>
      </c>
      <c r="AP383" t="s">
        <v>752</v>
      </c>
      <c r="AQ383" t="s">
        <v>1126</v>
      </c>
      <c r="AR383" t="s">
        <v>141</v>
      </c>
      <c r="AS383" t="s">
        <v>271</v>
      </c>
      <c r="AT383" t="s">
        <v>247</v>
      </c>
      <c r="AU383" t="s">
        <v>1078</v>
      </c>
      <c r="AV383" t="s">
        <v>766</v>
      </c>
      <c r="AW383" t="s">
        <v>1079</v>
      </c>
      <c r="AX383" t="s">
        <v>146</v>
      </c>
      <c r="AY383" t="s">
        <v>321</v>
      </c>
      <c r="AZ383" t="s">
        <v>1080</v>
      </c>
      <c r="BA383" t="s">
        <v>174</v>
      </c>
      <c r="BB383" t="s">
        <v>230</v>
      </c>
      <c r="BC383" t="s">
        <v>254</v>
      </c>
      <c r="BD383" t="s">
        <v>765</v>
      </c>
      <c r="BE383" t="s">
        <v>257</v>
      </c>
      <c r="BF383" t="s">
        <v>1095</v>
      </c>
      <c r="BG383" t="s">
        <v>1096</v>
      </c>
      <c r="BH383" t="s">
        <v>951</v>
      </c>
      <c r="BI383" t="s">
        <v>917</v>
      </c>
      <c r="BJ383" t="s">
        <v>231</v>
      </c>
      <c r="BK383" t="s">
        <v>1082</v>
      </c>
      <c r="BL383" t="s">
        <v>1117</v>
      </c>
      <c r="BM383" t="s">
        <v>1037</v>
      </c>
      <c r="BN383" t="s">
        <v>1083</v>
      </c>
      <c r="BO383" t="s">
        <v>776</v>
      </c>
      <c r="BP383" t="s">
        <v>963</v>
      </c>
      <c r="BQ383" t="s">
        <v>1031</v>
      </c>
      <c r="BR383" t="s">
        <v>956</v>
      </c>
      <c r="BS383" t="s">
        <v>1005</v>
      </c>
      <c r="BT383" t="s">
        <v>995</v>
      </c>
      <c r="BU383" t="s">
        <v>1036</v>
      </c>
      <c r="BV383" t="s">
        <v>976</v>
      </c>
      <c r="BW383" t="s">
        <v>232</v>
      </c>
      <c r="BX383" t="s">
        <v>183</v>
      </c>
      <c r="BY383" t="s">
        <v>322</v>
      </c>
      <c r="BZ383" t="s">
        <v>145</v>
      </c>
      <c r="CA383" t="s">
        <v>785</v>
      </c>
      <c r="CB383" t="s">
        <v>143</v>
      </c>
      <c r="CC383" t="s">
        <v>1018</v>
      </c>
      <c r="CD383" t="s">
        <v>293</v>
      </c>
      <c r="CE383" t="s">
        <v>756</v>
      </c>
      <c r="CF383" t="s">
        <v>757</v>
      </c>
      <c r="CG383" t="s">
        <v>233</v>
      </c>
      <c r="CH383" t="s">
        <v>760</v>
      </c>
      <c r="CI383" t="s">
        <v>1040</v>
      </c>
      <c r="CJ383" t="s">
        <v>1157</v>
      </c>
      <c r="CK383" t="s">
        <v>2339</v>
      </c>
      <c r="CL383" t="s">
        <v>234</v>
      </c>
      <c r="CM383" t="s">
        <v>225</v>
      </c>
      <c r="CN383" t="s">
        <v>751</v>
      </c>
      <c r="CO383" t="s">
        <v>774</v>
      </c>
      <c r="CP383" t="s">
        <v>786</v>
      </c>
      <c r="CQ383" t="s">
        <v>787</v>
      </c>
      <c r="CR383" t="s">
        <v>797</v>
      </c>
      <c r="CS383" t="s">
        <v>788</v>
      </c>
      <c r="CT383" t="s">
        <v>929</v>
      </c>
      <c r="CU383" t="s">
        <v>960</v>
      </c>
      <c r="CV383" t="s">
        <v>989</v>
      </c>
      <c r="CW383" t="s">
        <v>1001</v>
      </c>
      <c r="CX383" t="s">
        <v>1008</v>
      </c>
      <c r="CY383" t="s">
        <v>1019</v>
      </c>
      <c r="CZ383" t="s">
        <v>1029</v>
      </c>
      <c r="DA383" t="s">
        <v>2395</v>
      </c>
      <c r="DB383" t="s">
        <v>239</v>
      </c>
      <c r="DC383" t="s">
        <v>241</v>
      </c>
      <c r="DD383" t="s">
        <v>805</v>
      </c>
      <c r="DE383" t="s">
        <v>806</v>
      </c>
    </row>
    <row r="384" spans="1:109">
      <c r="A384" s="40">
        <v>359.1</v>
      </c>
      <c r="B384" s="40" t="s">
        <v>2323</v>
      </c>
      <c r="C384" s="2" t="s">
        <v>2324</v>
      </c>
      <c r="D384" s="2" t="s">
        <v>15</v>
      </c>
      <c r="E384" s="2"/>
      <c r="F384" s="2">
        <v>65</v>
      </c>
      <c r="G384" s="2">
        <v>150</v>
      </c>
      <c r="H384" s="2">
        <v>60</v>
      </c>
      <c r="I384" s="2">
        <v>115</v>
      </c>
      <c r="J384" s="2">
        <v>60</v>
      </c>
      <c r="K384" s="2">
        <v>115</v>
      </c>
      <c r="L384" s="2">
        <v>565</v>
      </c>
      <c r="M384" s="2" t="s">
        <v>2422</v>
      </c>
      <c r="N384" s="2" t="s">
        <v>1061</v>
      </c>
      <c r="O384" t="s">
        <v>1062</v>
      </c>
      <c r="P384" t="s">
        <v>1063</v>
      </c>
      <c r="Q384" t="s">
        <v>757</v>
      </c>
      <c r="R384" t="s">
        <v>1157</v>
      </c>
      <c r="S384" t="s">
        <v>2339</v>
      </c>
      <c r="T384" t="s">
        <v>234</v>
      </c>
      <c r="U384" t="s">
        <v>225</v>
      </c>
      <c r="V384" t="s">
        <v>751</v>
      </c>
      <c r="W384" t="s">
        <v>774</v>
      </c>
      <c r="X384" t="s">
        <v>786</v>
      </c>
      <c r="Y384" t="s">
        <v>787</v>
      </c>
      <c r="Z384" t="s">
        <v>797</v>
      </c>
      <c r="AA384" t="s">
        <v>788</v>
      </c>
      <c r="AB384" t="s">
        <v>929</v>
      </c>
      <c r="AC384" t="s">
        <v>960</v>
      </c>
      <c r="AD384" t="s">
        <v>989</v>
      </c>
      <c r="AE384" t="s">
        <v>1001</v>
      </c>
      <c r="AF384" t="s">
        <v>1008</v>
      </c>
      <c r="AG384" t="s">
        <v>1019</v>
      </c>
      <c r="AH384" t="s">
        <v>1029</v>
      </c>
      <c r="AI384" t="s">
        <v>2395</v>
      </c>
      <c r="AJ384" t="s">
        <v>239</v>
      </c>
      <c r="AK384" t="s">
        <v>241</v>
      </c>
      <c r="AL384" t="s">
        <v>805</v>
      </c>
      <c r="AM384" t="s">
        <v>806</v>
      </c>
    </row>
    <row r="385" spans="1:90">
      <c r="A385" s="40">
        <v>360</v>
      </c>
      <c r="B385" s="40" t="s">
        <v>1678</v>
      </c>
      <c r="C385" s="2" t="s">
        <v>1679</v>
      </c>
      <c r="D385" s="2" t="s">
        <v>9</v>
      </c>
      <c r="E385" s="2"/>
      <c r="F385" s="2">
        <v>95</v>
      </c>
      <c r="G385" s="2">
        <v>23</v>
      </c>
      <c r="H385" s="2">
        <v>48</v>
      </c>
      <c r="I385" s="2">
        <v>23</v>
      </c>
      <c r="J385" s="2">
        <v>48</v>
      </c>
      <c r="K385" s="2">
        <v>23</v>
      </c>
      <c r="L385" s="2">
        <v>260</v>
      </c>
      <c r="M385" s="2" t="s">
        <v>1345</v>
      </c>
      <c r="N385" s="2" t="s">
        <v>1061</v>
      </c>
      <c r="O385" t="s">
        <v>382</v>
      </c>
      <c r="P385" t="s">
        <v>781</v>
      </c>
      <c r="Q385" t="s">
        <v>779</v>
      </c>
      <c r="R385" t="s">
        <v>259</v>
      </c>
      <c r="S385" t="s">
        <v>793</v>
      </c>
      <c r="T385" t="s">
        <v>759</v>
      </c>
      <c r="U385" t="s">
        <v>772</v>
      </c>
      <c r="V385" t="s">
        <v>1062</v>
      </c>
      <c r="W385" t="s">
        <v>1063</v>
      </c>
      <c r="X385" t="s">
        <v>234</v>
      </c>
      <c r="Y385" t="s">
        <v>239</v>
      </c>
      <c r="Z385" t="s">
        <v>241</v>
      </c>
      <c r="AA385" t="s">
        <v>805</v>
      </c>
      <c r="AB385" t="s">
        <v>806</v>
      </c>
    </row>
    <row r="386" spans="1:90">
      <c r="A386" s="40">
        <v>361</v>
      </c>
      <c r="B386" s="40" t="s">
        <v>1680</v>
      </c>
      <c r="C386" s="2" t="s">
        <v>1681</v>
      </c>
      <c r="D386" s="2" t="s">
        <v>23</v>
      </c>
      <c r="E386" s="2"/>
      <c r="F386" s="2">
        <v>50</v>
      </c>
      <c r="G386" s="2">
        <v>50</v>
      </c>
      <c r="H386" s="2">
        <v>50</v>
      </c>
      <c r="I386" s="2">
        <v>50</v>
      </c>
      <c r="J386" s="2">
        <v>50</v>
      </c>
      <c r="K386" s="2">
        <v>50</v>
      </c>
      <c r="L386" s="2">
        <v>300</v>
      </c>
      <c r="M386" s="2" t="s">
        <v>1066</v>
      </c>
      <c r="N386" s="2" t="s">
        <v>1061</v>
      </c>
      <c r="O386" t="s">
        <v>330</v>
      </c>
      <c r="P386" t="s">
        <v>1228</v>
      </c>
      <c r="Q386" t="s">
        <v>230</v>
      </c>
      <c r="R386" t="s">
        <v>258</v>
      </c>
      <c r="S386" t="s">
        <v>769</v>
      </c>
      <c r="T386" t="s">
        <v>420</v>
      </c>
      <c r="U386" t="s">
        <v>1078</v>
      </c>
      <c r="V386" t="s">
        <v>983</v>
      </c>
      <c r="W386" t="s">
        <v>777</v>
      </c>
      <c r="X386" t="s">
        <v>984</v>
      </c>
      <c r="Y386" t="s">
        <v>1104</v>
      </c>
      <c r="Z386" t="s">
        <v>271</v>
      </c>
      <c r="AA386" t="s">
        <v>1062</v>
      </c>
      <c r="AB386" t="s">
        <v>1063</v>
      </c>
      <c r="AC386" t="s">
        <v>148</v>
      </c>
      <c r="AD386" t="s">
        <v>1104</v>
      </c>
      <c r="AE386" t="s">
        <v>172</v>
      </c>
      <c r="AF386" t="s">
        <v>141</v>
      </c>
      <c r="AG386" t="s">
        <v>271</v>
      </c>
      <c r="AH386" t="s">
        <v>228</v>
      </c>
      <c r="AI386" t="s">
        <v>1078</v>
      </c>
      <c r="AJ386" t="s">
        <v>766</v>
      </c>
      <c r="AK386" t="s">
        <v>759</v>
      </c>
      <c r="AL386" t="s">
        <v>1079</v>
      </c>
      <c r="AM386" t="s">
        <v>1080</v>
      </c>
      <c r="AN386" t="s">
        <v>174</v>
      </c>
      <c r="AO386" t="s">
        <v>230</v>
      </c>
      <c r="AP386" t="s">
        <v>917</v>
      </c>
      <c r="AQ386" t="s">
        <v>231</v>
      </c>
      <c r="AR386" t="s">
        <v>1082</v>
      </c>
      <c r="AS386" t="s">
        <v>1037</v>
      </c>
      <c r="AT386" t="s">
        <v>232</v>
      </c>
      <c r="AU386" t="s">
        <v>1027</v>
      </c>
      <c r="AV386" t="s">
        <v>756</v>
      </c>
      <c r="AW386" t="s">
        <v>757</v>
      </c>
      <c r="AX386" t="s">
        <v>233</v>
      </c>
      <c r="AY386" t="s">
        <v>2339</v>
      </c>
      <c r="AZ386" t="s">
        <v>234</v>
      </c>
      <c r="BA386" t="s">
        <v>340</v>
      </c>
      <c r="BB386" t="s">
        <v>347</v>
      </c>
      <c r="BC386" t="s">
        <v>1215</v>
      </c>
      <c r="BD386" t="s">
        <v>768</v>
      </c>
      <c r="BE386" t="s">
        <v>1192</v>
      </c>
      <c r="BF386" t="s">
        <v>918</v>
      </c>
      <c r="BG386" t="s">
        <v>911</v>
      </c>
      <c r="BH386" t="s">
        <v>1214</v>
      </c>
      <c r="BI386" t="s">
        <v>1029</v>
      </c>
      <c r="BJ386" t="s">
        <v>239</v>
      </c>
      <c r="BK386" t="s">
        <v>241</v>
      </c>
      <c r="BL386" t="s">
        <v>805</v>
      </c>
      <c r="BM386" t="s">
        <v>806</v>
      </c>
    </row>
    <row r="387" spans="1:90">
      <c r="A387" s="40">
        <v>362</v>
      </c>
      <c r="B387" s="40" t="s">
        <v>1682</v>
      </c>
      <c r="C387" s="2" t="s">
        <v>1683</v>
      </c>
      <c r="D387" s="2" t="s">
        <v>23</v>
      </c>
      <c r="E387" s="2"/>
      <c r="F387" s="2">
        <v>80</v>
      </c>
      <c r="G387" s="2">
        <v>80</v>
      </c>
      <c r="H387" s="2">
        <v>80</v>
      </c>
      <c r="I387" s="2">
        <v>80</v>
      </c>
      <c r="J387" s="2">
        <v>80</v>
      </c>
      <c r="K387" s="2">
        <v>80</v>
      </c>
      <c r="L387" s="2">
        <v>480</v>
      </c>
      <c r="M387" s="2" t="s">
        <v>1089</v>
      </c>
      <c r="N387" s="2" t="s">
        <v>1061</v>
      </c>
      <c r="O387" t="s">
        <v>330</v>
      </c>
      <c r="P387" t="s">
        <v>258</v>
      </c>
      <c r="Q387" t="s">
        <v>230</v>
      </c>
      <c r="R387" t="s">
        <v>1228</v>
      </c>
      <c r="S387" t="s">
        <v>230</v>
      </c>
      <c r="T387" t="s">
        <v>258</v>
      </c>
      <c r="U387" t="s">
        <v>769</v>
      </c>
      <c r="V387" t="s">
        <v>420</v>
      </c>
      <c r="W387" t="s">
        <v>1078</v>
      </c>
      <c r="X387" t="s">
        <v>983</v>
      </c>
      <c r="Y387" t="s">
        <v>777</v>
      </c>
      <c r="Z387" t="s">
        <v>141</v>
      </c>
      <c r="AA387" t="s">
        <v>1104</v>
      </c>
      <c r="AB387" t="s">
        <v>271</v>
      </c>
      <c r="AC387" t="s">
        <v>1210</v>
      </c>
      <c r="AD387" t="s">
        <v>1062</v>
      </c>
      <c r="AE387" t="s">
        <v>1063</v>
      </c>
      <c r="AF387" t="s">
        <v>148</v>
      </c>
      <c r="AG387" t="s">
        <v>1104</v>
      </c>
      <c r="AH387" t="s">
        <v>172</v>
      </c>
      <c r="AI387" t="s">
        <v>1126</v>
      </c>
      <c r="AJ387" t="s">
        <v>141</v>
      </c>
      <c r="AK387" t="s">
        <v>271</v>
      </c>
      <c r="AL387" t="s">
        <v>247</v>
      </c>
      <c r="AM387" t="s">
        <v>228</v>
      </c>
      <c r="AN387" t="s">
        <v>1078</v>
      </c>
      <c r="AO387" t="s">
        <v>766</v>
      </c>
      <c r="AP387" t="s">
        <v>759</v>
      </c>
      <c r="AQ387" t="s">
        <v>1079</v>
      </c>
      <c r="AR387" t="s">
        <v>136</v>
      </c>
      <c r="AS387" t="s">
        <v>1080</v>
      </c>
      <c r="AT387" t="s">
        <v>174</v>
      </c>
      <c r="AU387" t="s">
        <v>230</v>
      </c>
      <c r="AV387" t="s">
        <v>951</v>
      </c>
      <c r="AW387" t="s">
        <v>917</v>
      </c>
      <c r="AX387" t="s">
        <v>231</v>
      </c>
      <c r="AY387" t="s">
        <v>1082</v>
      </c>
      <c r="AZ387" t="s">
        <v>1037</v>
      </c>
      <c r="BA387" t="s">
        <v>485</v>
      </c>
      <c r="BB387" t="s">
        <v>995</v>
      </c>
      <c r="BC387" t="s">
        <v>976</v>
      </c>
      <c r="BD387" t="s">
        <v>232</v>
      </c>
      <c r="BE387" t="s">
        <v>980</v>
      </c>
      <c r="BF387" t="s">
        <v>1021</v>
      </c>
      <c r="BG387" t="s">
        <v>1027</v>
      </c>
      <c r="BH387" t="s">
        <v>756</v>
      </c>
      <c r="BI387" t="s">
        <v>757</v>
      </c>
      <c r="BJ387" t="s">
        <v>233</v>
      </c>
      <c r="BK387" t="s">
        <v>1157</v>
      </c>
      <c r="BL387" t="s">
        <v>2339</v>
      </c>
      <c r="BM387" t="s">
        <v>234</v>
      </c>
      <c r="BN387" t="s">
        <v>340</v>
      </c>
      <c r="BO387" t="s">
        <v>347</v>
      </c>
      <c r="BP387" t="s">
        <v>1215</v>
      </c>
      <c r="BQ387" t="s">
        <v>768</v>
      </c>
      <c r="BR387" t="s">
        <v>1192</v>
      </c>
      <c r="BS387" t="s">
        <v>918</v>
      </c>
      <c r="BT387" t="s">
        <v>911</v>
      </c>
      <c r="BU387" t="s">
        <v>1214</v>
      </c>
      <c r="BV387" t="s">
        <v>1029</v>
      </c>
      <c r="BW387" t="s">
        <v>239</v>
      </c>
      <c r="BX387" t="s">
        <v>241</v>
      </c>
      <c r="BY387" t="s">
        <v>984</v>
      </c>
      <c r="BZ387" t="s">
        <v>805</v>
      </c>
      <c r="CA387" t="s">
        <v>806</v>
      </c>
    </row>
    <row r="388" spans="1:90">
      <c r="A388" s="40">
        <v>363</v>
      </c>
      <c r="B388" s="40" t="s">
        <v>1684</v>
      </c>
      <c r="C388" s="2" t="s">
        <v>1685</v>
      </c>
      <c r="D388" s="2" t="s">
        <v>23</v>
      </c>
      <c r="E388" s="2" t="s">
        <v>27</v>
      </c>
      <c r="F388" s="2">
        <v>70</v>
      </c>
      <c r="G388" s="2">
        <v>40</v>
      </c>
      <c r="H388" s="2">
        <v>50</v>
      </c>
      <c r="I388" s="2">
        <v>55</v>
      </c>
      <c r="J388" s="2">
        <v>50</v>
      </c>
      <c r="K388" s="2">
        <v>25</v>
      </c>
      <c r="L388" s="2">
        <v>290</v>
      </c>
      <c r="M388" s="2" t="s">
        <v>1165</v>
      </c>
      <c r="N388" s="2" t="s">
        <v>1061</v>
      </c>
      <c r="O388" t="s">
        <v>220</v>
      </c>
      <c r="P388" t="s">
        <v>269</v>
      </c>
      <c r="Q388" t="s">
        <v>353</v>
      </c>
      <c r="R388" t="s">
        <v>1228</v>
      </c>
      <c r="S388" t="s">
        <v>779</v>
      </c>
      <c r="T388" t="s">
        <v>1178</v>
      </c>
      <c r="U388" t="s">
        <v>364</v>
      </c>
      <c r="V388" t="s">
        <v>478</v>
      </c>
      <c r="W388" t="s">
        <v>1104</v>
      </c>
      <c r="X388" t="s">
        <v>231</v>
      </c>
      <c r="Y388" t="s">
        <v>753</v>
      </c>
      <c r="Z388" t="s">
        <v>271</v>
      </c>
      <c r="AA388" t="s">
        <v>1210</v>
      </c>
      <c r="AB388" t="s">
        <v>1062</v>
      </c>
      <c r="AC388" t="s">
        <v>144</v>
      </c>
      <c r="AD388" t="s">
        <v>227</v>
      </c>
      <c r="AE388" t="s">
        <v>270</v>
      </c>
      <c r="AF388" t="s">
        <v>914</v>
      </c>
      <c r="AG388" t="s">
        <v>1063</v>
      </c>
      <c r="AH388" t="s">
        <v>148</v>
      </c>
      <c r="AI388" t="s">
        <v>1104</v>
      </c>
      <c r="AJ388" t="s">
        <v>172</v>
      </c>
      <c r="AK388" t="s">
        <v>141</v>
      </c>
      <c r="AL388" t="s">
        <v>271</v>
      </c>
      <c r="AM388" t="s">
        <v>1078</v>
      </c>
      <c r="AN388" t="s">
        <v>766</v>
      </c>
      <c r="AO388" t="s">
        <v>1079</v>
      </c>
      <c r="AP388" t="s">
        <v>136</v>
      </c>
      <c r="AQ388" t="s">
        <v>1080</v>
      </c>
      <c r="AR388" t="s">
        <v>230</v>
      </c>
      <c r="AS388" t="s">
        <v>1095</v>
      </c>
      <c r="AT388" t="s">
        <v>917</v>
      </c>
      <c r="AU388" t="s">
        <v>231</v>
      </c>
      <c r="AV388" t="s">
        <v>1082</v>
      </c>
      <c r="AW388" t="s">
        <v>1037</v>
      </c>
      <c r="AX388" t="s">
        <v>1083</v>
      </c>
      <c r="AY388" t="s">
        <v>1021</v>
      </c>
      <c r="AZ388" t="s">
        <v>1027</v>
      </c>
      <c r="BA388" t="s">
        <v>143</v>
      </c>
      <c r="BB388" t="s">
        <v>756</v>
      </c>
      <c r="BC388" t="s">
        <v>757</v>
      </c>
      <c r="BD388" t="s">
        <v>233</v>
      </c>
      <c r="BE388" t="s">
        <v>760</v>
      </c>
      <c r="BF388" t="s">
        <v>2339</v>
      </c>
      <c r="BG388" t="s">
        <v>234</v>
      </c>
      <c r="BH388" t="s">
        <v>419</v>
      </c>
      <c r="BI388" t="s">
        <v>751</v>
      </c>
      <c r="BJ388" t="s">
        <v>768</v>
      </c>
      <c r="BK388" t="s">
        <v>757</v>
      </c>
      <c r="BL388" t="s">
        <v>946</v>
      </c>
      <c r="BM388" t="s">
        <v>1133</v>
      </c>
      <c r="BN388" t="s">
        <v>948</v>
      </c>
      <c r="BO388" t="s">
        <v>958</v>
      </c>
      <c r="BP388" t="s">
        <v>216</v>
      </c>
      <c r="BQ388" t="s">
        <v>955</v>
      </c>
      <c r="BR388" t="s">
        <v>954</v>
      </c>
      <c r="BS388" t="s">
        <v>178</v>
      </c>
      <c r="BT388" t="s">
        <v>239</v>
      </c>
      <c r="BU388" t="s">
        <v>241</v>
      </c>
      <c r="BV388" t="s">
        <v>805</v>
      </c>
      <c r="BW388" t="s">
        <v>806</v>
      </c>
    </row>
    <row r="389" spans="1:90">
      <c r="A389" s="40">
        <v>364</v>
      </c>
      <c r="B389" s="40" t="s">
        <v>1686</v>
      </c>
      <c r="C389" s="2" t="s">
        <v>1687</v>
      </c>
      <c r="D389" s="2" t="s">
        <v>23</v>
      </c>
      <c r="E389" s="2" t="s">
        <v>27</v>
      </c>
      <c r="F389" s="2">
        <v>90</v>
      </c>
      <c r="G389" s="2">
        <v>60</v>
      </c>
      <c r="H389" s="2">
        <v>70</v>
      </c>
      <c r="I389" s="2">
        <v>75</v>
      </c>
      <c r="J389" s="2">
        <v>70</v>
      </c>
      <c r="K389" s="2">
        <v>45</v>
      </c>
      <c r="L389" s="2">
        <v>410</v>
      </c>
      <c r="M389" s="2" t="s">
        <v>1145</v>
      </c>
      <c r="N389" s="2" t="s">
        <v>1061</v>
      </c>
      <c r="O389" t="s">
        <v>220</v>
      </c>
      <c r="P389" t="s">
        <v>269</v>
      </c>
      <c r="Q389" t="s">
        <v>1228</v>
      </c>
      <c r="R389" t="s">
        <v>779</v>
      </c>
      <c r="S389" t="s">
        <v>779</v>
      </c>
      <c r="T389" t="s">
        <v>1178</v>
      </c>
      <c r="U389" t="s">
        <v>364</v>
      </c>
      <c r="V389" t="s">
        <v>478</v>
      </c>
      <c r="W389" t="s">
        <v>1104</v>
      </c>
      <c r="X389" t="s">
        <v>756</v>
      </c>
      <c r="Y389" t="s">
        <v>231</v>
      </c>
      <c r="Z389" t="s">
        <v>753</v>
      </c>
      <c r="AA389" t="s">
        <v>271</v>
      </c>
      <c r="AB389" t="s">
        <v>1210</v>
      </c>
      <c r="AC389" t="s">
        <v>1062</v>
      </c>
      <c r="AD389" t="s">
        <v>144</v>
      </c>
      <c r="AE389" t="s">
        <v>227</v>
      </c>
      <c r="AF389" t="s">
        <v>270</v>
      </c>
      <c r="AG389" t="s">
        <v>914</v>
      </c>
      <c r="AH389" t="s">
        <v>1063</v>
      </c>
      <c r="AI389" t="s">
        <v>246</v>
      </c>
      <c r="AJ389" t="s">
        <v>148</v>
      </c>
      <c r="AK389" t="s">
        <v>1104</v>
      </c>
      <c r="AL389" t="s">
        <v>172</v>
      </c>
      <c r="AM389" t="s">
        <v>141</v>
      </c>
      <c r="AN389" t="s">
        <v>271</v>
      </c>
      <c r="AO389" t="s">
        <v>1078</v>
      </c>
      <c r="AP389" t="s">
        <v>766</v>
      </c>
      <c r="AQ389" t="s">
        <v>1079</v>
      </c>
      <c r="AR389" t="s">
        <v>136</v>
      </c>
      <c r="AS389" t="s">
        <v>1080</v>
      </c>
      <c r="AT389" t="s">
        <v>230</v>
      </c>
      <c r="AU389" t="s">
        <v>1095</v>
      </c>
      <c r="AV389" t="s">
        <v>917</v>
      </c>
      <c r="AW389" t="s">
        <v>231</v>
      </c>
      <c r="AX389" t="s">
        <v>1082</v>
      </c>
      <c r="AY389" t="s">
        <v>1037</v>
      </c>
      <c r="AZ389" t="s">
        <v>1083</v>
      </c>
      <c r="BA389" t="s">
        <v>1021</v>
      </c>
      <c r="BB389" t="s">
        <v>1027</v>
      </c>
      <c r="BC389" t="s">
        <v>143</v>
      </c>
      <c r="BD389" t="s">
        <v>756</v>
      </c>
      <c r="BE389" t="s">
        <v>757</v>
      </c>
      <c r="BF389" t="s">
        <v>233</v>
      </c>
      <c r="BG389" t="s">
        <v>760</v>
      </c>
      <c r="BH389" t="s">
        <v>2339</v>
      </c>
      <c r="BI389" t="s">
        <v>234</v>
      </c>
      <c r="BJ389" t="s">
        <v>419</v>
      </c>
      <c r="BK389" t="s">
        <v>751</v>
      </c>
      <c r="BL389" t="s">
        <v>768</v>
      </c>
      <c r="BM389" t="s">
        <v>757</v>
      </c>
      <c r="BN389" t="s">
        <v>946</v>
      </c>
      <c r="BO389" t="s">
        <v>1133</v>
      </c>
      <c r="BP389" t="s">
        <v>948</v>
      </c>
      <c r="BQ389" t="s">
        <v>958</v>
      </c>
      <c r="BR389" t="s">
        <v>216</v>
      </c>
      <c r="BS389" t="s">
        <v>955</v>
      </c>
      <c r="BT389" t="s">
        <v>954</v>
      </c>
      <c r="BU389" t="s">
        <v>178</v>
      </c>
      <c r="BV389" t="s">
        <v>239</v>
      </c>
      <c r="BW389" t="s">
        <v>241</v>
      </c>
      <c r="BX389" t="s">
        <v>353</v>
      </c>
      <c r="BY389" t="s">
        <v>805</v>
      </c>
      <c r="BZ389" t="s">
        <v>806</v>
      </c>
    </row>
    <row r="390" spans="1:90">
      <c r="A390" s="40">
        <v>365</v>
      </c>
      <c r="B390" s="40" t="s">
        <v>1688</v>
      </c>
      <c r="C390" s="2" t="s">
        <v>1689</v>
      </c>
      <c r="D390" s="2" t="s">
        <v>23</v>
      </c>
      <c r="E390" s="2" t="s">
        <v>27</v>
      </c>
      <c r="F390" s="2">
        <v>110</v>
      </c>
      <c r="G390" s="2">
        <v>80</v>
      </c>
      <c r="H390" s="2">
        <v>90</v>
      </c>
      <c r="I390" s="2">
        <v>95</v>
      </c>
      <c r="J390" s="2">
        <v>90</v>
      </c>
      <c r="K390" s="2">
        <v>65</v>
      </c>
      <c r="L390" s="2">
        <v>530</v>
      </c>
      <c r="M390" s="2" t="s">
        <v>1177</v>
      </c>
      <c r="N390" s="2" t="s">
        <v>1061</v>
      </c>
      <c r="O390" t="s">
        <v>220</v>
      </c>
      <c r="P390" t="s">
        <v>269</v>
      </c>
      <c r="Q390" t="s">
        <v>1228</v>
      </c>
      <c r="R390" t="s">
        <v>779</v>
      </c>
      <c r="S390" t="s">
        <v>777</v>
      </c>
      <c r="T390" t="s">
        <v>779</v>
      </c>
      <c r="U390" t="s">
        <v>1178</v>
      </c>
      <c r="V390" t="s">
        <v>364</v>
      </c>
      <c r="W390" t="s">
        <v>478</v>
      </c>
      <c r="X390" t="s">
        <v>1104</v>
      </c>
      <c r="Y390" t="s">
        <v>756</v>
      </c>
      <c r="Z390" t="s">
        <v>231</v>
      </c>
      <c r="AA390" t="s">
        <v>753</v>
      </c>
      <c r="AB390" t="s">
        <v>983</v>
      </c>
      <c r="AC390" t="s">
        <v>271</v>
      </c>
      <c r="AD390" t="s">
        <v>1210</v>
      </c>
      <c r="AE390" t="s">
        <v>1062</v>
      </c>
      <c r="AF390" t="s">
        <v>144</v>
      </c>
      <c r="AG390" t="s">
        <v>227</v>
      </c>
      <c r="AH390" t="s">
        <v>270</v>
      </c>
      <c r="AI390" t="s">
        <v>914</v>
      </c>
      <c r="AJ390" t="s">
        <v>1063</v>
      </c>
      <c r="AK390" t="s">
        <v>246</v>
      </c>
      <c r="AL390" t="s">
        <v>148</v>
      </c>
      <c r="AM390" t="s">
        <v>1104</v>
      </c>
      <c r="AN390" t="s">
        <v>172</v>
      </c>
      <c r="AO390" t="s">
        <v>141</v>
      </c>
      <c r="AP390" t="s">
        <v>271</v>
      </c>
      <c r="AQ390" t="s">
        <v>247</v>
      </c>
      <c r="AR390" t="s">
        <v>1078</v>
      </c>
      <c r="AS390" t="s">
        <v>766</v>
      </c>
      <c r="AT390" t="s">
        <v>1079</v>
      </c>
      <c r="AU390" t="s">
        <v>136</v>
      </c>
      <c r="AV390" t="s">
        <v>1080</v>
      </c>
      <c r="AW390" t="s">
        <v>230</v>
      </c>
      <c r="AX390" t="s">
        <v>1095</v>
      </c>
      <c r="AY390" t="s">
        <v>917</v>
      </c>
      <c r="AZ390" t="s">
        <v>231</v>
      </c>
      <c r="BA390" t="s">
        <v>1082</v>
      </c>
      <c r="BB390" t="s">
        <v>1037</v>
      </c>
      <c r="BC390" t="s">
        <v>1083</v>
      </c>
      <c r="BD390" t="s">
        <v>976</v>
      </c>
      <c r="BE390" t="s">
        <v>1021</v>
      </c>
      <c r="BF390" t="s">
        <v>1027</v>
      </c>
      <c r="BG390" t="s">
        <v>143</v>
      </c>
      <c r="BH390" t="s">
        <v>756</v>
      </c>
      <c r="BI390" t="s">
        <v>757</v>
      </c>
      <c r="BJ390" t="s">
        <v>233</v>
      </c>
      <c r="BK390" t="s">
        <v>760</v>
      </c>
      <c r="BL390" t="s">
        <v>2339</v>
      </c>
      <c r="BM390" t="s">
        <v>234</v>
      </c>
      <c r="BN390" t="s">
        <v>419</v>
      </c>
      <c r="BO390" t="s">
        <v>751</v>
      </c>
      <c r="BP390" t="s">
        <v>768</v>
      </c>
      <c r="BQ390" t="s">
        <v>757</v>
      </c>
      <c r="BR390" t="s">
        <v>946</v>
      </c>
      <c r="BS390" t="s">
        <v>1133</v>
      </c>
      <c r="BT390" t="s">
        <v>948</v>
      </c>
      <c r="BU390" t="s">
        <v>958</v>
      </c>
      <c r="BV390" t="s">
        <v>216</v>
      </c>
      <c r="BW390" t="s">
        <v>955</v>
      </c>
      <c r="BX390" t="s">
        <v>954</v>
      </c>
      <c r="BY390" t="s">
        <v>178</v>
      </c>
      <c r="BZ390" t="s">
        <v>239</v>
      </c>
      <c r="CA390" t="s">
        <v>241</v>
      </c>
      <c r="CB390" t="s">
        <v>353</v>
      </c>
      <c r="CC390" t="s">
        <v>805</v>
      </c>
      <c r="CD390" t="s">
        <v>806</v>
      </c>
    </row>
    <row r="391" spans="1:90">
      <c r="A391" s="40">
        <v>366</v>
      </c>
      <c r="B391" s="40" t="s">
        <v>1690</v>
      </c>
      <c r="C391" s="2" t="s">
        <v>1691</v>
      </c>
      <c r="D391" s="2" t="s">
        <v>27</v>
      </c>
      <c r="E391" s="2"/>
      <c r="F391" s="2">
        <v>35</v>
      </c>
      <c r="G391" s="2">
        <v>64</v>
      </c>
      <c r="H391" s="2">
        <v>85</v>
      </c>
      <c r="I391" s="2">
        <v>74</v>
      </c>
      <c r="J391" s="2">
        <v>55</v>
      </c>
      <c r="K391" s="2">
        <v>32</v>
      </c>
      <c r="L391" s="2">
        <v>345</v>
      </c>
      <c r="M391" s="2" t="s">
        <v>1656</v>
      </c>
      <c r="N391" s="2" t="s">
        <v>1061</v>
      </c>
      <c r="O391" t="s">
        <v>269</v>
      </c>
      <c r="P391" t="s">
        <v>522</v>
      </c>
      <c r="Q391" t="s">
        <v>767</v>
      </c>
      <c r="R391" t="s">
        <v>177</v>
      </c>
      <c r="S391" t="s">
        <v>1213</v>
      </c>
      <c r="T391" t="s">
        <v>1062</v>
      </c>
      <c r="U391" t="s">
        <v>144</v>
      </c>
      <c r="V391" t="s">
        <v>270</v>
      </c>
      <c r="W391" t="s">
        <v>914</v>
      </c>
      <c r="X391" t="s">
        <v>1063</v>
      </c>
      <c r="Y391" t="s">
        <v>148</v>
      </c>
      <c r="Z391" t="s">
        <v>1104</v>
      </c>
      <c r="AA391" t="s">
        <v>172</v>
      </c>
      <c r="AB391" t="s">
        <v>141</v>
      </c>
      <c r="AC391" t="s">
        <v>271</v>
      </c>
      <c r="AD391" t="s">
        <v>1078</v>
      </c>
      <c r="AE391" t="s">
        <v>766</v>
      </c>
      <c r="AF391" t="s">
        <v>1079</v>
      </c>
      <c r="AG391" t="s">
        <v>1080</v>
      </c>
      <c r="AH391" t="s">
        <v>230</v>
      </c>
      <c r="AI391" t="s">
        <v>917</v>
      </c>
      <c r="AJ391" t="s">
        <v>231</v>
      </c>
      <c r="AK391" t="s">
        <v>1082</v>
      </c>
      <c r="AL391" t="s">
        <v>1037</v>
      </c>
      <c r="AM391" t="s">
        <v>1038</v>
      </c>
      <c r="AN391" t="s">
        <v>756</v>
      </c>
      <c r="AO391" t="s">
        <v>757</v>
      </c>
      <c r="AP391" t="s">
        <v>233</v>
      </c>
      <c r="AQ391" t="s">
        <v>2339</v>
      </c>
      <c r="AR391" t="s">
        <v>234</v>
      </c>
      <c r="AS391" t="s">
        <v>364</v>
      </c>
      <c r="AT391" t="s">
        <v>290</v>
      </c>
      <c r="AU391" t="s">
        <v>387</v>
      </c>
      <c r="AV391" t="s">
        <v>455</v>
      </c>
      <c r="AW391" t="s">
        <v>754</v>
      </c>
      <c r="AX391" t="s">
        <v>1106</v>
      </c>
      <c r="AY391" t="s">
        <v>933</v>
      </c>
      <c r="AZ391" t="s">
        <v>1105</v>
      </c>
      <c r="BA391" t="s">
        <v>954</v>
      </c>
      <c r="BB391" t="s">
        <v>961</v>
      </c>
      <c r="BC391" t="s">
        <v>178</v>
      </c>
      <c r="BD391" t="s">
        <v>239</v>
      </c>
      <c r="BE391" t="s">
        <v>241</v>
      </c>
      <c r="BF391" t="s">
        <v>805</v>
      </c>
      <c r="BG391" t="s">
        <v>806</v>
      </c>
    </row>
    <row r="392" spans="1:90">
      <c r="A392" s="40">
        <v>367</v>
      </c>
      <c r="B392" s="40" t="s">
        <v>1692</v>
      </c>
      <c r="C392" s="2" t="s">
        <v>1693</v>
      </c>
      <c r="D392" s="2" t="s">
        <v>27</v>
      </c>
      <c r="E392" s="2"/>
      <c r="F392" s="2">
        <v>55</v>
      </c>
      <c r="G392" s="2">
        <v>104</v>
      </c>
      <c r="H392" s="2">
        <v>105</v>
      </c>
      <c r="I392" s="2">
        <v>94</v>
      </c>
      <c r="J392" s="2">
        <v>75</v>
      </c>
      <c r="K392" s="2">
        <v>52</v>
      </c>
      <c r="L392" s="2">
        <v>485</v>
      </c>
      <c r="M392" s="2" t="s">
        <v>1162</v>
      </c>
      <c r="N392" s="2" t="s">
        <v>1061</v>
      </c>
      <c r="O392" t="s">
        <v>767</v>
      </c>
      <c r="P392" t="s">
        <v>258</v>
      </c>
      <c r="Q392" t="s">
        <v>324</v>
      </c>
      <c r="R392" t="s">
        <v>954</v>
      </c>
      <c r="S392" t="s">
        <v>1092</v>
      </c>
      <c r="T392" t="s">
        <v>983</v>
      </c>
      <c r="U392" t="s">
        <v>961</v>
      </c>
      <c r="V392" t="s">
        <v>788</v>
      </c>
      <c r="W392" t="s">
        <v>914</v>
      </c>
      <c r="X392" t="s">
        <v>777</v>
      </c>
      <c r="Y392" t="s">
        <v>179</v>
      </c>
      <c r="Z392" t="s">
        <v>140</v>
      </c>
      <c r="AA392" t="s">
        <v>1062</v>
      </c>
      <c r="AB392" t="s">
        <v>144</v>
      </c>
      <c r="AC392" t="s">
        <v>270</v>
      </c>
      <c r="AD392" t="s">
        <v>914</v>
      </c>
      <c r="AE392" t="s">
        <v>1063</v>
      </c>
      <c r="AF392" t="s">
        <v>148</v>
      </c>
      <c r="AG392" t="s">
        <v>1104</v>
      </c>
      <c r="AH392" t="s">
        <v>172</v>
      </c>
      <c r="AI392" t="s">
        <v>141</v>
      </c>
      <c r="AJ392" t="s">
        <v>271</v>
      </c>
      <c r="AK392" t="s">
        <v>247</v>
      </c>
      <c r="AL392" t="s">
        <v>1078</v>
      </c>
      <c r="AM392" t="s">
        <v>766</v>
      </c>
      <c r="AN392" t="s">
        <v>1079</v>
      </c>
      <c r="AO392" t="s">
        <v>1080</v>
      </c>
      <c r="AP392" t="s">
        <v>230</v>
      </c>
      <c r="AQ392" t="s">
        <v>1095</v>
      </c>
      <c r="AR392" t="s">
        <v>917</v>
      </c>
      <c r="AS392" t="s">
        <v>231</v>
      </c>
      <c r="AT392" t="s">
        <v>1082</v>
      </c>
      <c r="AU392" t="s">
        <v>1037</v>
      </c>
      <c r="AV392" t="s">
        <v>1038</v>
      </c>
      <c r="AW392" t="s">
        <v>976</v>
      </c>
      <c r="AX392" t="s">
        <v>2369</v>
      </c>
      <c r="AY392" t="s">
        <v>756</v>
      </c>
      <c r="AZ392" t="s">
        <v>757</v>
      </c>
      <c r="BA392" t="s">
        <v>233</v>
      </c>
      <c r="BB392" t="s">
        <v>2339</v>
      </c>
      <c r="BC392" t="s">
        <v>234</v>
      </c>
      <c r="BD392" t="s">
        <v>364</v>
      </c>
      <c r="BE392" t="s">
        <v>290</v>
      </c>
      <c r="BF392" t="s">
        <v>387</v>
      </c>
      <c r="BG392" t="s">
        <v>455</v>
      </c>
      <c r="BH392" t="s">
        <v>754</v>
      </c>
      <c r="BI392" t="s">
        <v>1106</v>
      </c>
      <c r="BJ392" t="s">
        <v>933</v>
      </c>
      <c r="BK392" t="s">
        <v>1105</v>
      </c>
      <c r="BL392" t="s">
        <v>954</v>
      </c>
      <c r="BM392" t="s">
        <v>961</v>
      </c>
      <c r="BN392" t="s">
        <v>178</v>
      </c>
      <c r="BO392" t="s">
        <v>239</v>
      </c>
      <c r="BP392" t="s">
        <v>241</v>
      </c>
      <c r="BQ392" t="s">
        <v>269</v>
      </c>
      <c r="BR392" t="s">
        <v>522</v>
      </c>
      <c r="BS392" t="s">
        <v>177</v>
      </c>
      <c r="BT392" t="s">
        <v>1213</v>
      </c>
      <c r="BU392" t="s">
        <v>805</v>
      </c>
      <c r="BV392" t="s">
        <v>806</v>
      </c>
    </row>
    <row r="393" spans="1:90">
      <c r="A393" s="40">
        <v>368</v>
      </c>
      <c r="B393" s="40" t="s">
        <v>1694</v>
      </c>
      <c r="C393" s="2" t="s">
        <v>1695</v>
      </c>
      <c r="D393" s="2" t="s">
        <v>27</v>
      </c>
      <c r="E393" s="2"/>
      <c r="F393" s="2">
        <v>55</v>
      </c>
      <c r="G393" s="2">
        <v>84</v>
      </c>
      <c r="H393" s="2">
        <v>105</v>
      </c>
      <c r="I393" s="2">
        <v>114</v>
      </c>
      <c r="J393" s="2">
        <v>75</v>
      </c>
      <c r="K393" s="2">
        <v>52</v>
      </c>
      <c r="L393" s="2">
        <v>485</v>
      </c>
      <c r="M393" s="2" t="s">
        <v>1103</v>
      </c>
      <c r="N393" s="2" t="s">
        <v>1061</v>
      </c>
      <c r="O393" t="s">
        <v>767</v>
      </c>
      <c r="P393" t="s">
        <v>287</v>
      </c>
      <c r="Q393" t="s">
        <v>306</v>
      </c>
      <c r="R393" t="s">
        <v>954</v>
      </c>
      <c r="S393" t="s">
        <v>235</v>
      </c>
      <c r="T393" t="s">
        <v>178</v>
      </c>
      <c r="U393" t="s">
        <v>962</v>
      </c>
      <c r="V393" t="s">
        <v>788</v>
      </c>
      <c r="W393" t="s">
        <v>914</v>
      </c>
      <c r="X393" t="s">
        <v>9</v>
      </c>
      <c r="Y393" t="s">
        <v>179</v>
      </c>
      <c r="Z393" t="s">
        <v>140</v>
      </c>
      <c r="AA393" t="s">
        <v>1062</v>
      </c>
      <c r="AB393" t="s">
        <v>144</v>
      </c>
      <c r="AC393" t="s">
        <v>270</v>
      </c>
      <c r="AD393" t="s">
        <v>914</v>
      </c>
      <c r="AE393" t="s">
        <v>1063</v>
      </c>
      <c r="AF393" t="s">
        <v>148</v>
      </c>
      <c r="AG393" t="s">
        <v>1104</v>
      </c>
      <c r="AH393" t="s">
        <v>172</v>
      </c>
      <c r="AI393" t="s">
        <v>141</v>
      </c>
      <c r="AJ393" t="s">
        <v>271</v>
      </c>
      <c r="AK393" t="s">
        <v>247</v>
      </c>
      <c r="AL393" t="s">
        <v>1078</v>
      </c>
      <c r="AM393" t="s">
        <v>766</v>
      </c>
      <c r="AN393" t="s">
        <v>759</v>
      </c>
      <c r="AO393" t="s">
        <v>1079</v>
      </c>
      <c r="AP393" t="s">
        <v>1080</v>
      </c>
      <c r="AQ393" t="s">
        <v>9</v>
      </c>
      <c r="AR393" t="s">
        <v>174</v>
      </c>
      <c r="AS393" t="s">
        <v>230</v>
      </c>
      <c r="AT393" t="s">
        <v>917</v>
      </c>
      <c r="AU393" t="s">
        <v>231</v>
      </c>
      <c r="AV393" t="s">
        <v>1082</v>
      </c>
      <c r="AW393" t="s">
        <v>1037</v>
      </c>
      <c r="AX393" t="s">
        <v>1038</v>
      </c>
      <c r="AY393" t="s">
        <v>976</v>
      </c>
      <c r="AZ393" t="s">
        <v>785</v>
      </c>
      <c r="BA393" t="s">
        <v>2369</v>
      </c>
      <c r="BB393" t="s">
        <v>756</v>
      </c>
      <c r="BC393" t="s">
        <v>757</v>
      </c>
      <c r="BD393" t="s">
        <v>233</v>
      </c>
      <c r="BE393" t="s">
        <v>2339</v>
      </c>
      <c r="BF393" t="s">
        <v>234</v>
      </c>
      <c r="BG393" t="s">
        <v>364</v>
      </c>
      <c r="BH393" t="s">
        <v>290</v>
      </c>
      <c r="BI393" t="s">
        <v>387</v>
      </c>
      <c r="BJ393" t="s">
        <v>455</v>
      </c>
      <c r="BK393" t="s">
        <v>754</v>
      </c>
      <c r="BL393" t="s">
        <v>1106</v>
      </c>
      <c r="BM393" t="s">
        <v>933</v>
      </c>
      <c r="BN393" t="s">
        <v>1105</v>
      </c>
      <c r="BO393" t="s">
        <v>954</v>
      </c>
      <c r="BP393" t="s">
        <v>961</v>
      </c>
      <c r="BQ393" t="s">
        <v>178</v>
      </c>
      <c r="BR393" t="s">
        <v>239</v>
      </c>
      <c r="BS393" t="s">
        <v>241</v>
      </c>
      <c r="BT393" t="s">
        <v>269</v>
      </c>
      <c r="BU393" t="s">
        <v>522</v>
      </c>
      <c r="BV393" t="s">
        <v>177</v>
      </c>
      <c r="BW393" t="s">
        <v>1213</v>
      </c>
      <c r="BX393" t="s">
        <v>805</v>
      </c>
      <c r="BY393" t="s">
        <v>806</v>
      </c>
    </row>
    <row r="394" spans="1:90">
      <c r="A394" s="40">
        <v>369</v>
      </c>
      <c r="B394" s="40" t="s">
        <v>1696</v>
      </c>
      <c r="C394" s="2" t="s">
        <v>1697</v>
      </c>
      <c r="D394" s="2" t="s">
        <v>27</v>
      </c>
      <c r="E394" s="2" t="s">
        <v>25</v>
      </c>
      <c r="F394" s="2">
        <v>100</v>
      </c>
      <c r="G394" s="2">
        <v>90</v>
      </c>
      <c r="H394" s="2">
        <v>130</v>
      </c>
      <c r="I394" s="2">
        <v>45</v>
      </c>
      <c r="J394" s="2">
        <v>65</v>
      </c>
      <c r="K394" s="2">
        <v>55</v>
      </c>
      <c r="L394" s="2">
        <v>485</v>
      </c>
      <c r="M394" s="2" t="s">
        <v>1177</v>
      </c>
      <c r="N394" s="2" t="s">
        <v>1061</v>
      </c>
      <c r="O394" t="s">
        <v>219</v>
      </c>
      <c r="P394" t="s">
        <v>284</v>
      </c>
      <c r="Q394" t="s">
        <v>269</v>
      </c>
      <c r="R394" t="s">
        <v>1095</v>
      </c>
      <c r="S394" t="s">
        <v>958</v>
      </c>
      <c r="T394" t="s">
        <v>223</v>
      </c>
      <c r="U394" t="s">
        <v>933</v>
      </c>
      <c r="V394" t="s">
        <v>170</v>
      </c>
      <c r="W394" t="s">
        <v>225</v>
      </c>
      <c r="X394" t="s">
        <v>914</v>
      </c>
      <c r="Y394" t="s">
        <v>231</v>
      </c>
      <c r="Z394" t="s">
        <v>140</v>
      </c>
      <c r="AA394" t="s">
        <v>800</v>
      </c>
      <c r="AB394" t="s">
        <v>1062</v>
      </c>
      <c r="AC394" t="s">
        <v>144</v>
      </c>
      <c r="AD394" t="s">
        <v>270</v>
      </c>
      <c r="AE394" t="s">
        <v>914</v>
      </c>
      <c r="AF394" t="s">
        <v>1063</v>
      </c>
      <c r="AG394" t="s">
        <v>912</v>
      </c>
      <c r="AH394" t="s">
        <v>148</v>
      </c>
      <c r="AI394" t="s">
        <v>1104</v>
      </c>
      <c r="AJ394" t="s">
        <v>172</v>
      </c>
      <c r="AK394" t="s">
        <v>141</v>
      </c>
      <c r="AL394" t="s">
        <v>271</v>
      </c>
      <c r="AM394" t="s">
        <v>247</v>
      </c>
      <c r="AN394" t="s">
        <v>1078</v>
      </c>
      <c r="AO394" t="s">
        <v>766</v>
      </c>
      <c r="AP394" t="s">
        <v>759</v>
      </c>
      <c r="AQ394" t="s">
        <v>1079</v>
      </c>
      <c r="AR394" t="s">
        <v>1109</v>
      </c>
      <c r="AS394" t="s">
        <v>136</v>
      </c>
      <c r="AT394" t="s">
        <v>1080</v>
      </c>
      <c r="AU394" t="s">
        <v>230</v>
      </c>
      <c r="AV394" t="s">
        <v>765</v>
      </c>
      <c r="AW394" t="s">
        <v>1095</v>
      </c>
      <c r="AX394" t="s">
        <v>917</v>
      </c>
      <c r="AY394" t="s">
        <v>231</v>
      </c>
      <c r="AZ394" t="s">
        <v>1082</v>
      </c>
      <c r="BA394" t="s">
        <v>1037</v>
      </c>
      <c r="BB394" t="s">
        <v>1038</v>
      </c>
      <c r="BC394" t="s">
        <v>976</v>
      </c>
      <c r="BD394" t="s">
        <v>1003</v>
      </c>
      <c r="BE394" t="s">
        <v>183</v>
      </c>
      <c r="BF394" t="s">
        <v>785</v>
      </c>
      <c r="BG394" t="s">
        <v>1021</v>
      </c>
      <c r="BH394" t="s">
        <v>143</v>
      </c>
      <c r="BI394" t="s">
        <v>756</v>
      </c>
      <c r="BJ394" t="s">
        <v>757</v>
      </c>
      <c r="BK394" t="s">
        <v>233</v>
      </c>
      <c r="BL394" t="s">
        <v>760</v>
      </c>
      <c r="BM394" t="s">
        <v>2339</v>
      </c>
      <c r="BN394" t="s">
        <v>234</v>
      </c>
      <c r="BO394" t="s">
        <v>237</v>
      </c>
      <c r="BP394" t="s">
        <v>235</v>
      </c>
      <c r="BQ394" t="s">
        <v>753</v>
      </c>
      <c r="BR394" t="s">
        <v>755</v>
      </c>
      <c r="BS394" t="s">
        <v>757</v>
      </c>
      <c r="BT394" t="s">
        <v>789</v>
      </c>
      <c r="BU394" t="s">
        <v>1105</v>
      </c>
      <c r="BV394" t="s">
        <v>1144</v>
      </c>
      <c r="BW394" t="s">
        <v>955</v>
      </c>
      <c r="BX394" t="s">
        <v>961</v>
      </c>
      <c r="BY394" t="s">
        <v>179</v>
      </c>
      <c r="BZ394" t="s">
        <v>1019</v>
      </c>
      <c r="CA394" t="s">
        <v>239</v>
      </c>
      <c r="CB394" t="s">
        <v>241</v>
      </c>
      <c r="CC394" t="s">
        <v>805</v>
      </c>
      <c r="CD394" t="s">
        <v>806</v>
      </c>
    </row>
    <row r="395" spans="1:90">
      <c r="A395" s="40">
        <v>370</v>
      </c>
      <c r="B395" s="40" t="s">
        <v>1698</v>
      </c>
      <c r="C395" s="2" t="s">
        <v>1699</v>
      </c>
      <c r="D395" s="2" t="s">
        <v>27</v>
      </c>
      <c r="E395" s="2"/>
      <c r="F395" s="2">
        <v>43</v>
      </c>
      <c r="G395" s="2">
        <v>30</v>
      </c>
      <c r="H395" s="2">
        <v>55</v>
      </c>
      <c r="I395" s="2">
        <v>40</v>
      </c>
      <c r="J395" s="2">
        <v>65</v>
      </c>
      <c r="K395" s="2">
        <v>97</v>
      </c>
      <c r="L395" s="2">
        <v>330</v>
      </c>
      <c r="M395" s="2" t="s">
        <v>1208</v>
      </c>
      <c r="N395" s="2" t="s">
        <v>1061</v>
      </c>
      <c r="O395" t="s">
        <v>219</v>
      </c>
      <c r="P395" t="s">
        <v>781</v>
      </c>
      <c r="Q395" t="s">
        <v>269</v>
      </c>
      <c r="R395" t="s">
        <v>306</v>
      </c>
      <c r="S395" t="s">
        <v>223</v>
      </c>
      <c r="T395" t="s">
        <v>987</v>
      </c>
      <c r="U395" t="s">
        <v>954</v>
      </c>
      <c r="V395" t="s">
        <v>1082</v>
      </c>
      <c r="W395" t="s">
        <v>770</v>
      </c>
      <c r="X395" t="s">
        <v>782</v>
      </c>
      <c r="Y395" t="s">
        <v>140</v>
      </c>
      <c r="Z395" t="s">
        <v>178</v>
      </c>
      <c r="AA395" t="s">
        <v>962</v>
      </c>
      <c r="AB395" t="s">
        <v>759</v>
      </c>
      <c r="AC395" t="s">
        <v>1062</v>
      </c>
      <c r="AD395" t="s">
        <v>144</v>
      </c>
      <c r="AE395" t="s">
        <v>270</v>
      </c>
      <c r="AF395" t="s">
        <v>914</v>
      </c>
      <c r="AG395" t="s">
        <v>1063</v>
      </c>
      <c r="AH395" t="s">
        <v>148</v>
      </c>
      <c r="AI395" t="s">
        <v>1104</v>
      </c>
      <c r="AJ395" t="s">
        <v>172</v>
      </c>
      <c r="AK395" t="s">
        <v>141</v>
      </c>
      <c r="AL395" t="s">
        <v>271</v>
      </c>
      <c r="AM395" t="s">
        <v>1078</v>
      </c>
      <c r="AN395" t="s">
        <v>766</v>
      </c>
      <c r="AO395" t="s">
        <v>759</v>
      </c>
      <c r="AP395" t="s">
        <v>1079</v>
      </c>
      <c r="AQ395" t="s">
        <v>1080</v>
      </c>
      <c r="AR395" t="s">
        <v>230</v>
      </c>
      <c r="AS395" t="s">
        <v>917</v>
      </c>
      <c r="AT395" t="s">
        <v>231</v>
      </c>
      <c r="AU395" t="s">
        <v>1082</v>
      </c>
      <c r="AV395" t="s">
        <v>1037</v>
      </c>
      <c r="AW395" t="s">
        <v>1038</v>
      </c>
      <c r="AX395" t="s">
        <v>785</v>
      </c>
      <c r="AY395" t="s">
        <v>756</v>
      </c>
      <c r="AZ395" t="s">
        <v>757</v>
      </c>
      <c r="BA395" t="s">
        <v>233</v>
      </c>
      <c r="BB395" t="s">
        <v>2339</v>
      </c>
      <c r="BC395" t="s">
        <v>234</v>
      </c>
      <c r="BD395" t="s">
        <v>290</v>
      </c>
      <c r="BE395" t="s">
        <v>382</v>
      </c>
      <c r="BF395" t="s">
        <v>933</v>
      </c>
      <c r="BG395" t="s">
        <v>955</v>
      </c>
      <c r="BH395" t="s">
        <v>961</v>
      </c>
      <c r="BI395" t="s">
        <v>178</v>
      </c>
      <c r="BJ395" t="s">
        <v>962</v>
      </c>
      <c r="BK395" t="s">
        <v>959</v>
      </c>
      <c r="BL395" t="s">
        <v>1200</v>
      </c>
      <c r="BM395" t="s">
        <v>239</v>
      </c>
      <c r="BN395" t="s">
        <v>241</v>
      </c>
      <c r="BO395" t="s">
        <v>805</v>
      </c>
      <c r="BP395" t="s">
        <v>806</v>
      </c>
    </row>
    <row r="396" spans="1:90">
      <c r="A396" s="40">
        <v>371</v>
      </c>
      <c r="B396" s="40" t="s">
        <v>1700</v>
      </c>
      <c r="C396" s="2" t="s">
        <v>1701</v>
      </c>
      <c r="D396" s="2" t="s">
        <v>16</v>
      </c>
      <c r="E396" s="2"/>
      <c r="F396" s="2">
        <v>45</v>
      </c>
      <c r="G396" s="2">
        <v>75</v>
      </c>
      <c r="H396" s="2">
        <v>60</v>
      </c>
      <c r="I396" s="2">
        <v>40</v>
      </c>
      <c r="J396" s="2">
        <v>30</v>
      </c>
      <c r="K396" s="2">
        <v>50</v>
      </c>
      <c r="L396" s="2">
        <v>300</v>
      </c>
      <c r="M396" s="2" t="s">
        <v>1112</v>
      </c>
      <c r="N396" s="2" t="s">
        <v>1061</v>
      </c>
      <c r="O396" t="s">
        <v>304</v>
      </c>
      <c r="P396" t="s">
        <v>258</v>
      </c>
      <c r="Q396" t="s">
        <v>330</v>
      </c>
      <c r="R396" t="s">
        <v>420</v>
      </c>
      <c r="S396" t="s">
        <v>302</v>
      </c>
      <c r="T396" t="s">
        <v>250</v>
      </c>
      <c r="U396" t="s">
        <v>762</v>
      </c>
      <c r="V396" t="s">
        <v>1019</v>
      </c>
      <c r="W396" t="s">
        <v>1092</v>
      </c>
      <c r="X396" t="s">
        <v>777</v>
      </c>
      <c r="Y396" t="s">
        <v>1093</v>
      </c>
      <c r="Z396" t="s">
        <v>225</v>
      </c>
      <c r="AA396" t="s">
        <v>1062</v>
      </c>
      <c r="AB396" t="s">
        <v>226</v>
      </c>
      <c r="AC396" t="s">
        <v>227</v>
      </c>
      <c r="AD396" t="s">
        <v>1063</v>
      </c>
      <c r="AE396" t="s">
        <v>1030</v>
      </c>
      <c r="AF396" t="s">
        <v>1093</v>
      </c>
      <c r="AG396" t="s">
        <v>246</v>
      </c>
      <c r="AH396" t="s">
        <v>148</v>
      </c>
      <c r="AI396" t="s">
        <v>172</v>
      </c>
      <c r="AJ396" t="s">
        <v>752</v>
      </c>
      <c r="AK396" t="s">
        <v>1078</v>
      </c>
      <c r="AL396" t="s">
        <v>766</v>
      </c>
      <c r="AM396" t="s">
        <v>1079</v>
      </c>
      <c r="AN396" t="s">
        <v>1080</v>
      </c>
      <c r="AO396" t="s">
        <v>1094</v>
      </c>
      <c r="AP396" t="s">
        <v>230</v>
      </c>
      <c r="AQ396" t="s">
        <v>254</v>
      </c>
      <c r="AR396" t="s">
        <v>257</v>
      </c>
      <c r="AS396" t="s">
        <v>1095</v>
      </c>
      <c r="AT396" t="s">
        <v>1096</v>
      </c>
      <c r="AU396" t="s">
        <v>917</v>
      </c>
      <c r="AV396" t="s">
        <v>231</v>
      </c>
      <c r="AW396" t="s">
        <v>1082</v>
      </c>
      <c r="AX396" t="s">
        <v>1037</v>
      </c>
      <c r="AY396" t="s">
        <v>1031</v>
      </c>
      <c r="AZ396" t="s">
        <v>1005</v>
      </c>
      <c r="BA396" t="s">
        <v>143</v>
      </c>
      <c r="BB396" t="s">
        <v>756</v>
      </c>
      <c r="BC396" t="s">
        <v>757</v>
      </c>
      <c r="BD396" t="s">
        <v>233</v>
      </c>
      <c r="BE396" t="s">
        <v>760</v>
      </c>
      <c r="BF396" t="s">
        <v>2339</v>
      </c>
      <c r="BG396" t="s">
        <v>234</v>
      </c>
      <c r="BH396" t="s">
        <v>373</v>
      </c>
      <c r="BI396" t="s">
        <v>140</v>
      </c>
      <c r="BJ396" t="s">
        <v>252</v>
      </c>
      <c r="BK396" t="s">
        <v>353</v>
      </c>
      <c r="BL396" t="s">
        <v>754</v>
      </c>
      <c r="BM396" t="s">
        <v>796</v>
      </c>
      <c r="BN396" t="s">
        <v>915</v>
      </c>
      <c r="BO396" t="s">
        <v>967</v>
      </c>
      <c r="BP396" t="s">
        <v>180</v>
      </c>
      <c r="BQ396" t="s">
        <v>182</v>
      </c>
      <c r="BR396" t="s">
        <v>239</v>
      </c>
      <c r="BS396" t="s">
        <v>241</v>
      </c>
      <c r="BT396" t="s">
        <v>805</v>
      </c>
      <c r="BU396" t="s">
        <v>806</v>
      </c>
    </row>
    <row r="397" spans="1:90">
      <c r="A397" s="40">
        <v>372</v>
      </c>
      <c r="B397" s="40" t="s">
        <v>1702</v>
      </c>
      <c r="C397" s="2" t="s">
        <v>1703</v>
      </c>
      <c r="D397" s="2" t="s">
        <v>16</v>
      </c>
      <c r="E397" s="2"/>
      <c r="F397" s="2">
        <v>65</v>
      </c>
      <c r="G397" s="2">
        <v>95</v>
      </c>
      <c r="H397" s="2">
        <v>100</v>
      </c>
      <c r="I397" s="2">
        <v>60</v>
      </c>
      <c r="J397" s="2">
        <v>50</v>
      </c>
      <c r="K397" s="2">
        <v>50</v>
      </c>
      <c r="L397" s="2">
        <v>420</v>
      </c>
      <c r="M397" s="2" t="s">
        <v>1103</v>
      </c>
      <c r="N397" s="2" t="s">
        <v>1061</v>
      </c>
      <c r="O397" t="s">
        <v>420</v>
      </c>
      <c r="P397" t="s">
        <v>330</v>
      </c>
      <c r="Q397" t="s">
        <v>258</v>
      </c>
      <c r="R397" t="s">
        <v>304</v>
      </c>
      <c r="S397" t="s">
        <v>258</v>
      </c>
      <c r="T397" t="s">
        <v>330</v>
      </c>
      <c r="U397" t="s">
        <v>420</v>
      </c>
      <c r="V397" t="s">
        <v>302</v>
      </c>
      <c r="W397" t="s">
        <v>250</v>
      </c>
      <c r="X397" t="s">
        <v>1078</v>
      </c>
      <c r="Y397" t="s">
        <v>762</v>
      </c>
      <c r="Z397" t="s">
        <v>1019</v>
      </c>
      <c r="AA397" t="s">
        <v>1092</v>
      </c>
      <c r="AB397" t="s">
        <v>777</v>
      </c>
      <c r="AC397" t="s">
        <v>1093</v>
      </c>
      <c r="AD397" t="s">
        <v>225</v>
      </c>
      <c r="AE397" t="s">
        <v>1062</v>
      </c>
      <c r="AF397" t="s">
        <v>226</v>
      </c>
      <c r="AG397" t="s">
        <v>227</v>
      </c>
      <c r="AH397" t="s">
        <v>1063</v>
      </c>
      <c r="AI397" t="s">
        <v>1030</v>
      </c>
      <c r="AJ397" t="s">
        <v>1093</v>
      </c>
      <c r="AK397" t="s">
        <v>246</v>
      </c>
      <c r="AL397" t="s">
        <v>148</v>
      </c>
      <c r="AM397" t="s">
        <v>172</v>
      </c>
      <c r="AN397" t="s">
        <v>752</v>
      </c>
      <c r="AO397" t="s">
        <v>1078</v>
      </c>
      <c r="AP397" t="s">
        <v>766</v>
      </c>
      <c r="AQ397" t="s">
        <v>1079</v>
      </c>
      <c r="AR397" t="s">
        <v>1080</v>
      </c>
      <c r="AS397" t="s">
        <v>1094</v>
      </c>
      <c r="AT397" t="s">
        <v>230</v>
      </c>
      <c r="AU397" t="s">
        <v>254</v>
      </c>
      <c r="AV397" t="s">
        <v>257</v>
      </c>
      <c r="AW397" t="s">
        <v>1095</v>
      </c>
      <c r="AX397" t="s">
        <v>1096</v>
      </c>
      <c r="AY397" t="s">
        <v>917</v>
      </c>
      <c r="AZ397" t="s">
        <v>231</v>
      </c>
      <c r="BA397" t="s">
        <v>1082</v>
      </c>
      <c r="BB397" t="s">
        <v>1037</v>
      </c>
      <c r="BC397" t="s">
        <v>1031</v>
      </c>
      <c r="BD397" t="s">
        <v>1005</v>
      </c>
      <c r="BE397" t="s">
        <v>143</v>
      </c>
      <c r="BF397" t="s">
        <v>756</v>
      </c>
      <c r="BG397" t="s">
        <v>757</v>
      </c>
      <c r="BH397" t="s">
        <v>233</v>
      </c>
      <c r="BI397" t="s">
        <v>760</v>
      </c>
      <c r="BJ397" t="s">
        <v>2339</v>
      </c>
      <c r="BK397" t="s">
        <v>234</v>
      </c>
      <c r="BL397" t="s">
        <v>373</v>
      </c>
      <c r="BM397" t="s">
        <v>140</v>
      </c>
      <c r="BN397" t="s">
        <v>252</v>
      </c>
      <c r="BO397" t="s">
        <v>353</v>
      </c>
      <c r="BP397" t="s">
        <v>754</v>
      </c>
      <c r="BQ397" t="s">
        <v>796</v>
      </c>
      <c r="BR397" t="s">
        <v>915</v>
      </c>
      <c r="BS397" t="s">
        <v>967</v>
      </c>
      <c r="BT397" t="s">
        <v>180</v>
      </c>
      <c r="BU397" t="s">
        <v>182</v>
      </c>
      <c r="BV397" t="s">
        <v>239</v>
      </c>
      <c r="BW397" t="s">
        <v>241</v>
      </c>
      <c r="BX397" t="s">
        <v>805</v>
      </c>
      <c r="BY397" t="s">
        <v>806</v>
      </c>
    </row>
    <row r="398" spans="1:90">
      <c r="A398" s="40">
        <v>373</v>
      </c>
      <c r="B398" s="40" t="s">
        <v>1704</v>
      </c>
      <c r="C398" s="2" t="s">
        <v>1705</v>
      </c>
      <c r="D398" s="2" t="s">
        <v>16</v>
      </c>
      <c r="E398" s="2" t="s">
        <v>20</v>
      </c>
      <c r="F398" s="2">
        <v>95</v>
      </c>
      <c r="G398" s="2">
        <v>135</v>
      </c>
      <c r="H398" s="2">
        <v>80</v>
      </c>
      <c r="I398" s="2">
        <v>110</v>
      </c>
      <c r="J398" s="2">
        <v>80</v>
      </c>
      <c r="K398" s="2">
        <v>100</v>
      </c>
      <c r="L398" s="2">
        <v>600</v>
      </c>
      <c r="M398" s="2" t="s">
        <v>1168</v>
      </c>
      <c r="N398" s="2" t="s">
        <v>1061</v>
      </c>
      <c r="O398" t="s">
        <v>420</v>
      </c>
      <c r="P398" t="s">
        <v>330</v>
      </c>
      <c r="Q398" t="s">
        <v>258</v>
      </c>
      <c r="R398" t="s">
        <v>304</v>
      </c>
      <c r="S398" t="s">
        <v>1010</v>
      </c>
      <c r="T398" t="s">
        <v>182</v>
      </c>
      <c r="U398" t="s">
        <v>258</v>
      </c>
      <c r="V398" t="s">
        <v>330</v>
      </c>
      <c r="W398" t="s">
        <v>420</v>
      </c>
      <c r="X398" t="s">
        <v>302</v>
      </c>
      <c r="Y398" t="s">
        <v>250</v>
      </c>
      <c r="Z398" t="s">
        <v>1078</v>
      </c>
      <c r="AA398" t="s">
        <v>762</v>
      </c>
      <c r="AB398" t="s">
        <v>1019</v>
      </c>
      <c r="AC398" t="s">
        <v>1092</v>
      </c>
      <c r="AD398" t="s">
        <v>138</v>
      </c>
      <c r="AE398" t="s">
        <v>777</v>
      </c>
      <c r="AF398" t="s">
        <v>1093</v>
      </c>
      <c r="AG398" t="s">
        <v>225</v>
      </c>
      <c r="AH398" t="s">
        <v>1022</v>
      </c>
      <c r="AI398" t="s">
        <v>1062</v>
      </c>
      <c r="AJ398" t="s">
        <v>226</v>
      </c>
      <c r="AK398" t="s">
        <v>138</v>
      </c>
      <c r="AL398" t="s">
        <v>227</v>
      </c>
      <c r="AM398" t="s">
        <v>1063</v>
      </c>
      <c r="AN398" t="s">
        <v>1030</v>
      </c>
      <c r="AO398" t="s">
        <v>1093</v>
      </c>
      <c r="AP398" t="s">
        <v>246</v>
      </c>
      <c r="AQ398" t="s">
        <v>148</v>
      </c>
      <c r="AR398" t="s">
        <v>172</v>
      </c>
      <c r="AS398" t="s">
        <v>752</v>
      </c>
      <c r="AT398" t="s">
        <v>247</v>
      </c>
      <c r="AU398" t="s">
        <v>1078</v>
      </c>
      <c r="AV398" t="s">
        <v>766</v>
      </c>
      <c r="AW398" t="s">
        <v>1119</v>
      </c>
      <c r="AX398" t="s">
        <v>1079</v>
      </c>
      <c r="AY398" t="s">
        <v>136</v>
      </c>
      <c r="AZ398" t="s">
        <v>1080</v>
      </c>
      <c r="BA398" t="s">
        <v>1094</v>
      </c>
      <c r="BB398" t="s">
        <v>230</v>
      </c>
      <c r="BC398" t="s">
        <v>254</v>
      </c>
      <c r="BD398" t="s">
        <v>257</v>
      </c>
      <c r="BE398" t="s">
        <v>1095</v>
      </c>
      <c r="BF398" t="s">
        <v>1096</v>
      </c>
      <c r="BG398" t="s">
        <v>917</v>
      </c>
      <c r="BH398" t="s">
        <v>231</v>
      </c>
      <c r="BI398" t="s">
        <v>1082</v>
      </c>
      <c r="BJ398" t="s">
        <v>1037</v>
      </c>
      <c r="BK398" t="s">
        <v>1125</v>
      </c>
      <c r="BL398" t="s">
        <v>1031</v>
      </c>
      <c r="BM398" t="s">
        <v>1005</v>
      </c>
      <c r="BN398" t="s">
        <v>976</v>
      </c>
      <c r="BO398" t="s">
        <v>183</v>
      </c>
      <c r="BP398" t="s">
        <v>1021</v>
      </c>
      <c r="BQ398" t="s">
        <v>143</v>
      </c>
      <c r="BR398" t="s">
        <v>1022</v>
      </c>
      <c r="BS398" t="s">
        <v>756</v>
      </c>
      <c r="BT398" t="s">
        <v>757</v>
      </c>
      <c r="BU398" t="s">
        <v>233</v>
      </c>
      <c r="BV398" t="s">
        <v>760</v>
      </c>
      <c r="BW398" t="s">
        <v>2339</v>
      </c>
      <c r="BX398" t="s">
        <v>234</v>
      </c>
      <c r="BY398" t="s">
        <v>373</v>
      </c>
      <c r="BZ398" t="s">
        <v>140</v>
      </c>
      <c r="CA398" t="s">
        <v>252</v>
      </c>
      <c r="CB398" t="s">
        <v>353</v>
      </c>
      <c r="CC398" t="s">
        <v>754</v>
      </c>
      <c r="CD398" t="s">
        <v>796</v>
      </c>
      <c r="CE398" t="s">
        <v>915</v>
      </c>
      <c r="CF398" t="s">
        <v>967</v>
      </c>
      <c r="CG398" t="s">
        <v>180</v>
      </c>
      <c r="CH398" t="s">
        <v>182</v>
      </c>
      <c r="CI398" t="s">
        <v>239</v>
      </c>
      <c r="CJ398" t="s">
        <v>241</v>
      </c>
      <c r="CK398" t="s">
        <v>805</v>
      </c>
      <c r="CL398" t="s">
        <v>806</v>
      </c>
    </row>
    <row r="399" spans="1:90">
      <c r="A399" s="40">
        <v>374</v>
      </c>
      <c r="B399" s="40" t="s">
        <v>1706</v>
      </c>
      <c r="C399" s="2" t="s">
        <v>1707</v>
      </c>
      <c r="D399" s="2" t="s">
        <v>26</v>
      </c>
      <c r="E399" s="2" t="s">
        <v>9</v>
      </c>
      <c r="F399" s="2">
        <v>40</v>
      </c>
      <c r="G399" s="2">
        <v>55</v>
      </c>
      <c r="H399" s="2">
        <v>80</v>
      </c>
      <c r="I399" s="2">
        <v>35</v>
      </c>
      <c r="J399" s="2">
        <v>60</v>
      </c>
      <c r="K399" s="2">
        <v>30</v>
      </c>
      <c r="L399" s="2">
        <v>300</v>
      </c>
      <c r="M399" s="2" t="s">
        <v>1072</v>
      </c>
      <c r="N399" s="2" t="s">
        <v>1061</v>
      </c>
      <c r="O399" t="s">
        <v>223</v>
      </c>
      <c r="P399" t="s">
        <v>1062</v>
      </c>
      <c r="Q399" t="s">
        <v>1063</v>
      </c>
      <c r="R399" t="s">
        <v>234</v>
      </c>
      <c r="S399" t="s">
        <v>239</v>
      </c>
      <c r="T399" t="s">
        <v>241</v>
      </c>
      <c r="U399" t="s">
        <v>805</v>
      </c>
      <c r="V399" t="s">
        <v>806</v>
      </c>
    </row>
    <row r="400" spans="1:90">
      <c r="A400" s="40">
        <v>375</v>
      </c>
      <c r="B400" s="40" t="s">
        <v>1708</v>
      </c>
      <c r="C400" s="2" t="s">
        <v>1709</v>
      </c>
      <c r="D400" s="2" t="s">
        <v>26</v>
      </c>
      <c r="E400" s="2" t="s">
        <v>9</v>
      </c>
      <c r="F400" s="2">
        <v>60</v>
      </c>
      <c r="G400" s="2">
        <v>75</v>
      </c>
      <c r="H400" s="2">
        <v>100</v>
      </c>
      <c r="I400" s="2">
        <v>55</v>
      </c>
      <c r="J400" s="2">
        <v>80</v>
      </c>
      <c r="K400" s="2">
        <v>50</v>
      </c>
      <c r="L400" s="2">
        <v>420</v>
      </c>
      <c r="M400" s="2" t="s">
        <v>1145</v>
      </c>
      <c r="N400" s="2" t="s">
        <v>1061</v>
      </c>
      <c r="O400" t="s">
        <v>223</v>
      </c>
      <c r="P400" t="s">
        <v>287</v>
      </c>
      <c r="Q400" t="s">
        <v>783</v>
      </c>
      <c r="R400" t="s">
        <v>988</v>
      </c>
      <c r="S400" t="s">
        <v>287</v>
      </c>
      <c r="T400" t="s">
        <v>783</v>
      </c>
      <c r="U400" t="s">
        <v>773</v>
      </c>
      <c r="V400" t="s">
        <v>1184</v>
      </c>
      <c r="W400" t="s">
        <v>1019</v>
      </c>
      <c r="X400" t="s">
        <v>1186</v>
      </c>
      <c r="Y400" t="s">
        <v>1092</v>
      </c>
      <c r="Z400" t="s">
        <v>306</v>
      </c>
      <c r="AA400" t="s">
        <v>9</v>
      </c>
      <c r="AB400" t="s">
        <v>932</v>
      </c>
      <c r="AC400" t="s">
        <v>177</v>
      </c>
      <c r="AD400" t="s">
        <v>247</v>
      </c>
      <c r="AE400" t="s">
        <v>1062</v>
      </c>
      <c r="AF400" t="s">
        <v>226</v>
      </c>
      <c r="AG400" t="s">
        <v>227</v>
      </c>
      <c r="AH400" t="s">
        <v>1063</v>
      </c>
      <c r="AI400" t="s">
        <v>1030</v>
      </c>
      <c r="AJ400" t="s">
        <v>1151</v>
      </c>
      <c r="AK400" t="s">
        <v>148</v>
      </c>
      <c r="AL400" t="s">
        <v>172</v>
      </c>
      <c r="AM400" t="s">
        <v>752</v>
      </c>
      <c r="AN400" t="s">
        <v>247</v>
      </c>
      <c r="AO400" t="s">
        <v>228</v>
      </c>
      <c r="AP400" t="s">
        <v>1078</v>
      </c>
      <c r="AQ400" t="s">
        <v>766</v>
      </c>
      <c r="AR400" t="s">
        <v>1079</v>
      </c>
      <c r="AS400" t="s">
        <v>136</v>
      </c>
      <c r="AT400" t="s">
        <v>1080</v>
      </c>
      <c r="AU400" t="s">
        <v>9</v>
      </c>
      <c r="AV400" t="s">
        <v>174</v>
      </c>
      <c r="AW400" t="s">
        <v>1094</v>
      </c>
      <c r="AX400" t="s">
        <v>230</v>
      </c>
      <c r="AY400" t="s">
        <v>380</v>
      </c>
      <c r="AZ400" t="s">
        <v>1081</v>
      </c>
      <c r="BA400" t="s">
        <v>765</v>
      </c>
      <c r="BB400" t="s">
        <v>1095</v>
      </c>
      <c r="BC400" t="s">
        <v>1096</v>
      </c>
      <c r="BD400" t="s">
        <v>917</v>
      </c>
      <c r="BE400" t="s">
        <v>231</v>
      </c>
      <c r="BF400" t="s">
        <v>1037</v>
      </c>
      <c r="BG400" t="s">
        <v>485</v>
      </c>
      <c r="BH400" t="s">
        <v>1003</v>
      </c>
      <c r="BI400" t="s">
        <v>232</v>
      </c>
      <c r="BJ400" t="s">
        <v>980</v>
      </c>
      <c r="BK400" t="s">
        <v>785</v>
      </c>
      <c r="BL400" t="s">
        <v>1021</v>
      </c>
      <c r="BM400" t="s">
        <v>143</v>
      </c>
      <c r="BN400" t="s">
        <v>977</v>
      </c>
      <c r="BO400" t="s">
        <v>756</v>
      </c>
      <c r="BP400" t="s">
        <v>757</v>
      </c>
      <c r="BQ400" t="s">
        <v>233</v>
      </c>
      <c r="BR400" t="s">
        <v>973</v>
      </c>
      <c r="BS400" t="s">
        <v>760</v>
      </c>
      <c r="BT400" t="s">
        <v>2398</v>
      </c>
      <c r="BU400" t="s">
        <v>2339</v>
      </c>
      <c r="BV400" t="s">
        <v>234</v>
      </c>
      <c r="BW400" t="s">
        <v>239</v>
      </c>
      <c r="BX400" t="s">
        <v>241</v>
      </c>
      <c r="BY400" t="s">
        <v>805</v>
      </c>
      <c r="BZ400" t="s">
        <v>806</v>
      </c>
    </row>
    <row r="401" spans="1:87">
      <c r="A401" s="40">
        <v>376</v>
      </c>
      <c r="B401" s="40" t="s">
        <v>1710</v>
      </c>
      <c r="C401" s="2" t="s">
        <v>1711</v>
      </c>
      <c r="D401" s="2" t="s">
        <v>26</v>
      </c>
      <c r="E401" s="2" t="s">
        <v>9</v>
      </c>
      <c r="F401" s="2">
        <v>80</v>
      </c>
      <c r="G401" s="2">
        <v>135</v>
      </c>
      <c r="H401" s="2">
        <v>130</v>
      </c>
      <c r="I401" s="2">
        <v>95</v>
      </c>
      <c r="J401" s="2">
        <v>90</v>
      </c>
      <c r="K401" s="2">
        <v>70</v>
      </c>
      <c r="L401" s="2">
        <v>600</v>
      </c>
      <c r="M401" s="2" t="s">
        <v>1091</v>
      </c>
      <c r="N401" s="2" t="s">
        <v>1061</v>
      </c>
      <c r="O401" t="s">
        <v>223</v>
      </c>
      <c r="P401" t="s">
        <v>287</v>
      </c>
      <c r="Q401" t="s">
        <v>783</v>
      </c>
      <c r="R401" t="s">
        <v>988</v>
      </c>
      <c r="S401" t="s">
        <v>287</v>
      </c>
      <c r="T401" t="s">
        <v>783</v>
      </c>
      <c r="U401" t="s">
        <v>773</v>
      </c>
      <c r="V401" t="s">
        <v>1184</v>
      </c>
      <c r="W401" t="s">
        <v>1019</v>
      </c>
      <c r="X401" t="s">
        <v>1186</v>
      </c>
      <c r="Y401" t="s">
        <v>1092</v>
      </c>
      <c r="Z401" t="s">
        <v>306</v>
      </c>
      <c r="AA401" t="s">
        <v>9</v>
      </c>
      <c r="AB401" t="s">
        <v>932</v>
      </c>
      <c r="AC401" t="s">
        <v>981</v>
      </c>
      <c r="AD401" t="s">
        <v>177</v>
      </c>
      <c r="AE401" t="s">
        <v>247</v>
      </c>
      <c r="AF401" t="s">
        <v>1062</v>
      </c>
      <c r="AG401" t="s">
        <v>226</v>
      </c>
      <c r="AH401" t="s">
        <v>227</v>
      </c>
      <c r="AI401" t="s">
        <v>1063</v>
      </c>
      <c r="AJ401" t="s">
        <v>1030</v>
      </c>
      <c r="AK401" t="s">
        <v>1151</v>
      </c>
      <c r="AL401" t="s">
        <v>148</v>
      </c>
      <c r="AM401" t="s">
        <v>172</v>
      </c>
      <c r="AN401" t="s">
        <v>752</v>
      </c>
      <c r="AO401" t="s">
        <v>247</v>
      </c>
      <c r="AP401" t="s">
        <v>228</v>
      </c>
      <c r="AQ401" t="s">
        <v>1078</v>
      </c>
      <c r="AR401" t="s">
        <v>766</v>
      </c>
      <c r="AS401" t="s">
        <v>1079</v>
      </c>
      <c r="AT401" t="s">
        <v>136</v>
      </c>
      <c r="AU401" t="s">
        <v>1080</v>
      </c>
      <c r="AV401" t="s">
        <v>9</v>
      </c>
      <c r="AW401" t="s">
        <v>174</v>
      </c>
      <c r="AX401" t="s">
        <v>1094</v>
      </c>
      <c r="AY401" t="s">
        <v>230</v>
      </c>
      <c r="AZ401" t="s">
        <v>380</v>
      </c>
      <c r="BA401" t="s">
        <v>1081</v>
      </c>
      <c r="BB401" t="s">
        <v>765</v>
      </c>
      <c r="BC401" t="s">
        <v>1095</v>
      </c>
      <c r="BD401" t="s">
        <v>1096</v>
      </c>
      <c r="BE401" t="s">
        <v>917</v>
      </c>
      <c r="BF401" t="s">
        <v>231</v>
      </c>
      <c r="BG401" t="s">
        <v>1037</v>
      </c>
      <c r="BH401" t="s">
        <v>485</v>
      </c>
      <c r="BI401" t="s">
        <v>976</v>
      </c>
      <c r="BJ401" t="s">
        <v>1003</v>
      </c>
      <c r="BK401" t="s">
        <v>232</v>
      </c>
      <c r="BL401" t="s">
        <v>980</v>
      </c>
      <c r="BM401" t="s">
        <v>785</v>
      </c>
      <c r="BN401" t="s">
        <v>1021</v>
      </c>
      <c r="BO401" t="s">
        <v>143</v>
      </c>
      <c r="BP401" t="s">
        <v>977</v>
      </c>
      <c r="BQ401" t="s">
        <v>756</v>
      </c>
      <c r="BR401" t="s">
        <v>757</v>
      </c>
      <c r="BS401" t="s">
        <v>233</v>
      </c>
      <c r="BT401" t="s">
        <v>973</v>
      </c>
      <c r="BU401" t="s">
        <v>760</v>
      </c>
      <c r="BV401" t="s">
        <v>2398</v>
      </c>
      <c r="BW401" t="s">
        <v>2339</v>
      </c>
      <c r="BX401" t="s">
        <v>234</v>
      </c>
      <c r="BY401" t="s">
        <v>239</v>
      </c>
      <c r="BZ401" t="s">
        <v>241</v>
      </c>
      <c r="CA401" t="s">
        <v>805</v>
      </c>
      <c r="CB401" t="s">
        <v>806</v>
      </c>
    </row>
    <row r="402" spans="1:87">
      <c r="A402" s="40">
        <v>377</v>
      </c>
      <c r="B402" s="40" t="s">
        <v>1712</v>
      </c>
      <c r="C402" s="2" t="s">
        <v>1713</v>
      </c>
      <c r="D402" s="2" t="s">
        <v>25</v>
      </c>
      <c r="E402" s="2"/>
      <c r="F402" s="2">
        <v>80</v>
      </c>
      <c r="G402" s="2">
        <v>100</v>
      </c>
      <c r="H402" s="2">
        <v>200</v>
      </c>
      <c r="I402" s="2">
        <v>50</v>
      </c>
      <c r="J402" s="2">
        <v>100</v>
      </c>
      <c r="K402" s="2">
        <v>50</v>
      </c>
      <c r="L402" s="2">
        <v>580</v>
      </c>
      <c r="M402" s="2" t="s">
        <v>1120</v>
      </c>
      <c r="N402" s="2" t="s">
        <v>1061</v>
      </c>
      <c r="O402" t="s">
        <v>493</v>
      </c>
      <c r="P402" t="s">
        <v>485</v>
      </c>
      <c r="Q402" t="s">
        <v>483</v>
      </c>
      <c r="R402" t="s">
        <v>751</v>
      </c>
      <c r="S402" t="s">
        <v>947</v>
      </c>
      <c r="T402" t="s">
        <v>170</v>
      </c>
      <c r="U402" t="s">
        <v>177</v>
      </c>
      <c r="V402" t="s">
        <v>963</v>
      </c>
      <c r="W402" t="s">
        <v>1204</v>
      </c>
      <c r="X402" t="s">
        <v>1207</v>
      </c>
      <c r="Y402" t="s">
        <v>183</v>
      </c>
      <c r="Z402" t="s">
        <v>981</v>
      </c>
      <c r="AA402" t="s">
        <v>247</v>
      </c>
      <c r="AB402" t="s">
        <v>1062</v>
      </c>
      <c r="AC402" t="s">
        <v>227</v>
      </c>
      <c r="AD402" t="s">
        <v>1063</v>
      </c>
      <c r="AE402" t="s">
        <v>148</v>
      </c>
      <c r="AF402" t="s">
        <v>172</v>
      </c>
      <c r="AG402" t="s">
        <v>752</v>
      </c>
      <c r="AH402" t="s">
        <v>247</v>
      </c>
      <c r="AI402" t="s">
        <v>1078</v>
      </c>
      <c r="AJ402" t="s">
        <v>759</v>
      </c>
      <c r="AK402" t="s">
        <v>1079</v>
      </c>
      <c r="AL402" t="s">
        <v>1109</v>
      </c>
      <c r="AM402" t="s">
        <v>146</v>
      </c>
      <c r="AN402" t="s">
        <v>321</v>
      </c>
      <c r="AO402" t="s">
        <v>136</v>
      </c>
      <c r="AP402" t="s">
        <v>1080</v>
      </c>
      <c r="AQ402" t="s">
        <v>256</v>
      </c>
      <c r="AR402" t="s">
        <v>1094</v>
      </c>
      <c r="AS402" t="s">
        <v>230</v>
      </c>
      <c r="AT402" t="s">
        <v>765</v>
      </c>
      <c r="AU402" t="s">
        <v>1095</v>
      </c>
      <c r="AV402" t="s">
        <v>917</v>
      </c>
      <c r="AW402" t="s">
        <v>231</v>
      </c>
      <c r="AX402" t="s">
        <v>1037</v>
      </c>
      <c r="AY402" t="s">
        <v>1102</v>
      </c>
      <c r="AZ402" t="s">
        <v>974</v>
      </c>
      <c r="BA402" t="s">
        <v>963</v>
      </c>
      <c r="BB402" t="s">
        <v>485</v>
      </c>
      <c r="BC402" t="s">
        <v>976</v>
      </c>
      <c r="BD402" t="s">
        <v>1003</v>
      </c>
      <c r="BE402" t="s">
        <v>183</v>
      </c>
      <c r="BF402" t="s">
        <v>322</v>
      </c>
      <c r="BG402" t="s">
        <v>785</v>
      </c>
      <c r="BH402" t="s">
        <v>1021</v>
      </c>
      <c r="BI402" t="s">
        <v>143</v>
      </c>
      <c r="BJ402" t="s">
        <v>756</v>
      </c>
      <c r="BK402" t="s">
        <v>233</v>
      </c>
      <c r="BL402" t="s">
        <v>760</v>
      </c>
      <c r="BM402" t="s">
        <v>234</v>
      </c>
      <c r="BN402" t="s">
        <v>239</v>
      </c>
      <c r="BO402" t="s">
        <v>241</v>
      </c>
      <c r="BP402" t="s">
        <v>805</v>
      </c>
      <c r="BQ402" t="s">
        <v>806</v>
      </c>
    </row>
    <row r="403" spans="1:87">
      <c r="A403" s="40">
        <v>378</v>
      </c>
      <c r="B403" s="40" t="s">
        <v>1714</v>
      </c>
      <c r="C403" s="2" t="s">
        <v>1715</v>
      </c>
      <c r="D403" s="2" t="s">
        <v>23</v>
      </c>
      <c r="E403" s="2"/>
      <c r="F403" s="2">
        <v>80</v>
      </c>
      <c r="G403" s="2">
        <v>50</v>
      </c>
      <c r="H403" s="2">
        <v>100</v>
      </c>
      <c r="I403" s="2">
        <v>100</v>
      </c>
      <c r="J403" s="2">
        <v>200</v>
      </c>
      <c r="K403" s="2">
        <v>50</v>
      </c>
      <c r="L403" s="2">
        <v>580</v>
      </c>
      <c r="M403" s="2" t="s">
        <v>1199</v>
      </c>
      <c r="N403" s="2" t="s">
        <v>1061</v>
      </c>
      <c r="O403" t="s">
        <v>493</v>
      </c>
      <c r="P403" t="s">
        <v>485</v>
      </c>
      <c r="Q403" t="s">
        <v>769</v>
      </c>
      <c r="R403" t="s">
        <v>751</v>
      </c>
      <c r="S403" t="s">
        <v>947</v>
      </c>
      <c r="T403" t="s">
        <v>170</v>
      </c>
      <c r="U403" t="s">
        <v>235</v>
      </c>
      <c r="V403" t="s">
        <v>963</v>
      </c>
      <c r="W403" t="s">
        <v>1204</v>
      </c>
      <c r="X403" t="s">
        <v>1207</v>
      </c>
      <c r="Y403" t="s">
        <v>141</v>
      </c>
      <c r="Z403" t="s">
        <v>981</v>
      </c>
      <c r="AA403" t="s">
        <v>247</v>
      </c>
      <c r="AB403" t="s">
        <v>1062</v>
      </c>
      <c r="AC403" t="s">
        <v>227</v>
      </c>
      <c r="AD403" t="s">
        <v>1063</v>
      </c>
      <c r="AE403" t="s">
        <v>148</v>
      </c>
      <c r="AF403" t="s">
        <v>1104</v>
      </c>
      <c r="AG403" t="s">
        <v>172</v>
      </c>
      <c r="AH403" t="s">
        <v>141</v>
      </c>
      <c r="AI403" t="s">
        <v>271</v>
      </c>
      <c r="AJ403" t="s">
        <v>247</v>
      </c>
      <c r="AK403" t="s">
        <v>1078</v>
      </c>
      <c r="AL403" t="s">
        <v>766</v>
      </c>
      <c r="AM403" t="s">
        <v>759</v>
      </c>
      <c r="AN403" t="s">
        <v>1079</v>
      </c>
      <c r="AO403" t="s">
        <v>146</v>
      </c>
      <c r="AP403" t="s">
        <v>321</v>
      </c>
      <c r="AQ403" t="s">
        <v>136</v>
      </c>
      <c r="AR403" t="s">
        <v>1080</v>
      </c>
      <c r="AS403" t="s">
        <v>1094</v>
      </c>
      <c r="AT403" t="s">
        <v>230</v>
      </c>
      <c r="AU403" t="s">
        <v>1095</v>
      </c>
      <c r="AV403" t="s">
        <v>917</v>
      </c>
      <c r="AW403" t="s">
        <v>231</v>
      </c>
      <c r="AX403" t="s">
        <v>1037</v>
      </c>
      <c r="AY403" t="s">
        <v>1102</v>
      </c>
      <c r="AZ403" t="s">
        <v>974</v>
      </c>
      <c r="BA403" t="s">
        <v>963</v>
      </c>
      <c r="BB403" t="s">
        <v>485</v>
      </c>
      <c r="BC403" t="s">
        <v>976</v>
      </c>
      <c r="BD403" t="s">
        <v>1003</v>
      </c>
      <c r="BE403" t="s">
        <v>322</v>
      </c>
      <c r="BF403" t="s">
        <v>785</v>
      </c>
      <c r="BG403" t="s">
        <v>1021</v>
      </c>
      <c r="BH403" t="s">
        <v>1027</v>
      </c>
      <c r="BI403" t="s">
        <v>143</v>
      </c>
      <c r="BJ403" t="s">
        <v>756</v>
      </c>
      <c r="BK403" t="s">
        <v>233</v>
      </c>
      <c r="BL403" t="s">
        <v>973</v>
      </c>
      <c r="BM403" t="s">
        <v>760</v>
      </c>
      <c r="BN403" t="s">
        <v>234</v>
      </c>
      <c r="BO403" t="s">
        <v>239</v>
      </c>
      <c r="BP403" t="s">
        <v>241</v>
      </c>
      <c r="BQ403" t="s">
        <v>805</v>
      </c>
      <c r="BR403" t="s">
        <v>806</v>
      </c>
    </row>
    <row r="404" spans="1:87">
      <c r="A404" s="40">
        <v>379</v>
      </c>
      <c r="B404" s="40" t="s">
        <v>1716</v>
      </c>
      <c r="C404" s="2" t="s">
        <v>1717</v>
      </c>
      <c r="D404" s="2" t="s">
        <v>26</v>
      </c>
      <c r="E404" s="2"/>
      <c r="F404" s="2">
        <v>80</v>
      </c>
      <c r="G404" s="2">
        <v>75</v>
      </c>
      <c r="H404" s="2">
        <v>150</v>
      </c>
      <c r="I404" s="2">
        <v>75</v>
      </c>
      <c r="J404" s="2">
        <v>150</v>
      </c>
      <c r="K404" s="2">
        <v>50</v>
      </c>
      <c r="L404" s="2">
        <v>580</v>
      </c>
      <c r="M404" s="2" t="s">
        <v>1112</v>
      </c>
      <c r="N404" s="2" t="s">
        <v>1061</v>
      </c>
      <c r="O404" t="s">
        <v>493</v>
      </c>
      <c r="P404" t="s">
        <v>485</v>
      </c>
      <c r="Q404" t="s">
        <v>783</v>
      </c>
      <c r="R404" t="s">
        <v>751</v>
      </c>
      <c r="S404" t="s">
        <v>947</v>
      </c>
      <c r="T404" t="s">
        <v>170</v>
      </c>
      <c r="U404" t="s">
        <v>235</v>
      </c>
      <c r="V404" t="s">
        <v>177</v>
      </c>
      <c r="W404" t="s">
        <v>963</v>
      </c>
      <c r="X404" t="s">
        <v>1204</v>
      </c>
      <c r="Y404" t="s">
        <v>1207</v>
      </c>
      <c r="Z404" t="s">
        <v>973</v>
      </c>
      <c r="AA404" t="s">
        <v>985</v>
      </c>
      <c r="AB404" t="s">
        <v>981</v>
      </c>
      <c r="AC404" t="s">
        <v>247</v>
      </c>
      <c r="AD404" t="s">
        <v>1062</v>
      </c>
      <c r="AE404" t="s">
        <v>227</v>
      </c>
      <c r="AF404" t="s">
        <v>1063</v>
      </c>
      <c r="AG404" t="s">
        <v>1030</v>
      </c>
      <c r="AH404" t="s">
        <v>148</v>
      </c>
      <c r="AI404" t="s">
        <v>172</v>
      </c>
      <c r="AJ404" t="s">
        <v>752</v>
      </c>
      <c r="AK404" t="s">
        <v>247</v>
      </c>
      <c r="AL404" t="s">
        <v>1078</v>
      </c>
      <c r="AM404" t="s">
        <v>766</v>
      </c>
      <c r="AN404" t="s">
        <v>759</v>
      </c>
      <c r="AO404" t="s">
        <v>1079</v>
      </c>
      <c r="AP404" t="s">
        <v>146</v>
      </c>
      <c r="AQ404" t="s">
        <v>321</v>
      </c>
      <c r="AR404" t="s">
        <v>136</v>
      </c>
      <c r="AS404" t="s">
        <v>1080</v>
      </c>
      <c r="AT404" t="s">
        <v>1094</v>
      </c>
      <c r="AU404" t="s">
        <v>230</v>
      </c>
      <c r="AV404" t="s">
        <v>765</v>
      </c>
      <c r="AW404" t="s">
        <v>1095</v>
      </c>
      <c r="AX404" t="s">
        <v>1096</v>
      </c>
      <c r="AY404" t="s">
        <v>917</v>
      </c>
      <c r="AZ404" t="s">
        <v>231</v>
      </c>
      <c r="BA404" t="s">
        <v>1037</v>
      </c>
      <c r="BB404" t="s">
        <v>1102</v>
      </c>
      <c r="BC404" t="s">
        <v>974</v>
      </c>
      <c r="BD404" t="s">
        <v>963</v>
      </c>
      <c r="BE404" t="s">
        <v>485</v>
      </c>
      <c r="BF404" t="s">
        <v>1005</v>
      </c>
      <c r="BG404" t="s">
        <v>976</v>
      </c>
      <c r="BH404" t="s">
        <v>1003</v>
      </c>
      <c r="BI404" t="s">
        <v>322</v>
      </c>
      <c r="BJ404" t="s">
        <v>785</v>
      </c>
      <c r="BK404" t="s">
        <v>1021</v>
      </c>
      <c r="BL404" t="s">
        <v>143</v>
      </c>
      <c r="BM404" t="s">
        <v>756</v>
      </c>
      <c r="BN404" t="s">
        <v>233</v>
      </c>
      <c r="BO404" t="s">
        <v>973</v>
      </c>
      <c r="BP404" t="s">
        <v>760</v>
      </c>
      <c r="BQ404" t="s">
        <v>234</v>
      </c>
      <c r="BR404" t="s">
        <v>239</v>
      </c>
      <c r="BS404" t="s">
        <v>241</v>
      </c>
      <c r="BT404" t="s">
        <v>805</v>
      </c>
      <c r="BU404" t="s">
        <v>806</v>
      </c>
    </row>
    <row r="405" spans="1:87">
      <c r="A405" s="40">
        <v>380</v>
      </c>
      <c r="B405" s="40" t="s">
        <v>1718</v>
      </c>
      <c r="C405" s="2" t="s">
        <v>1719</v>
      </c>
      <c r="D405" s="2" t="s">
        <v>16</v>
      </c>
      <c r="E405" s="2" t="s">
        <v>9</v>
      </c>
      <c r="F405" s="2">
        <v>80</v>
      </c>
      <c r="G405" s="2">
        <v>80</v>
      </c>
      <c r="H405" s="2">
        <v>90</v>
      </c>
      <c r="I405" s="2">
        <v>110</v>
      </c>
      <c r="J405" s="2">
        <v>130</v>
      </c>
      <c r="K405" s="2">
        <v>110</v>
      </c>
      <c r="L405" s="2">
        <v>600</v>
      </c>
      <c r="M405" s="2" t="s">
        <v>1090</v>
      </c>
      <c r="N405" s="2" t="s">
        <v>1061</v>
      </c>
      <c r="O405" t="s">
        <v>529</v>
      </c>
      <c r="P405" t="s">
        <v>957</v>
      </c>
      <c r="Q405" t="s">
        <v>925</v>
      </c>
      <c r="R405" t="s">
        <v>759</v>
      </c>
      <c r="S405" t="s">
        <v>762</v>
      </c>
      <c r="T405" t="s">
        <v>955</v>
      </c>
      <c r="U405" t="s">
        <v>1106</v>
      </c>
      <c r="V405" t="s">
        <v>1720</v>
      </c>
      <c r="W405" t="s">
        <v>1019</v>
      </c>
      <c r="X405" t="s">
        <v>459</v>
      </c>
      <c r="Y405" t="s">
        <v>1262</v>
      </c>
      <c r="Z405" t="s">
        <v>781</v>
      </c>
      <c r="AA405" t="s">
        <v>9</v>
      </c>
      <c r="AB405" t="s">
        <v>1200</v>
      </c>
      <c r="AC405" t="s">
        <v>1227</v>
      </c>
      <c r="AD405" t="s">
        <v>1182</v>
      </c>
      <c r="AE405" t="s">
        <v>967</v>
      </c>
      <c r="AF405" t="s">
        <v>982</v>
      </c>
      <c r="AG405" t="s">
        <v>1062</v>
      </c>
      <c r="AH405" t="s">
        <v>226</v>
      </c>
      <c r="AI405" t="s">
        <v>138</v>
      </c>
      <c r="AJ405" t="s">
        <v>144</v>
      </c>
      <c r="AK405" t="s">
        <v>270</v>
      </c>
      <c r="AL405" t="s">
        <v>914</v>
      </c>
      <c r="AM405" t="s">
        <v>1063</v>
      </c>
      <c r="AN405" t="s">
        <v>1030</v>
      </c>
      <c r="AO405" t="s">
        <v>1093</v>
      </c>
      <c r="AP405" t="s">
        <v>1151</v>
      </c>
      <c r="AQ405" t="s">
        <v>912</v>
      </c>
      <c r="AR405" t="s">
        <v>246</v>
      </c>
      <c r="AS405" t="s">
        <v>148</v>
      </c>
      <c r="AT405" t="s">
        <v>172</v>
      </c>
      <c r="AU405" t="s">
        <v>752</v>
      </c>
      <c r="AV405" t="s">
        <v>141</v>
      </c>
      <c r="AW405" t="s">
        <v>247</v>
      </c>
      <c r="AX405" t="s">
        <v>228</v>
      </c>
      <c r="AY405" t="s">
        <v>1078</v>
      </c>
      <c r="AZ405" t="s">
        <v>766</v>
      </c>
      <c r="BA405" t="s">
        <v>759</v>
      </c>
      <c r="BB405" t="s">
        <v>1079</v>
      </c>
      <c r="BC405" t="s">
        <v>229</v>
      </c>
      <c r="BD405" t="s">
        <v>146</v>
      </c>
      <c r="BE405" t="s">
        <v>321</v>
      </c>
      <c r="BF405" t="s">
        <v>136</v>
      </c>
      <c r="BG405" t="s">
        <v>1080</v>
      </c>
      <c r="BH405" t="s">
        <v>9</v>
      </c>
      <c r="BI405" t="s">
        <v>174</v>
      </c>
      <c r="BJ405" t="s">
        <v>230</v>
      </c>
      <c r="BK405" t="s">
        <v>380</v>
      </c>
      <c r="BL405" t="s">
        <v>765</v>
      </c>
      <c r="BM405" t="s">
        <v>1096</v>
      </c>
      <c r="BN405" t="s">
        <v>917</v>
      </c>
      <c r="BO405" t="s">
        <v>231</v>
      </c>
      <c r="BP405" t="s">
        <v>1082</v>
      </c>
      <c r="BQ405" t="s">
        <v>1037</v>
      </c>
      <c r="BR405" t="s">
        <v>970</v>
      </c>
      <c r="BS405" t="s">
        <v>963</v>
      </c>
      <c r="BT405" t="s">
        <v>1005</v>
      </c>
      <c r="BU405" t="s">
        <v>1036</v>
      </c>
      <c r="BV405" t="s">
        <v>976</v>
      </c>
      <c r="BW405" t="s">
        <v>232</v>
      </c>
      <c r="BX405" t="s">
        <v>322</v>
      </c>
      <c r="BY405" t="s">
        <v>785</v>
      </c>
      <c r="BZ405" t="s">
        <v>1021</v>
      </c>
      <c r="CA405" t="s">
        <v>293</v>
      </c>
      <c r="CB405" t="s">
        <v>977</v>
      </c>
      <c r="CC405" t="s">
        <v>756</v>
      </c>
      <c r="CD405" t="s">
        <v>233</v>
      </c>
      <c r="CE405" t="s">
        <v>234</v>
      </c>
      <c r="CF405" t="s">
        <v>239</v>
      </c>
      <c r="CG405" t="s">
        <v>241</v>
      </c>
      <c r="CH405" t="s">
        <v>805</v>
      </c>
      <c r="CI405" t="s">
        <v>806</v>
      </c>
    </row>
    <row r="406" spans="1:87">
      <c r="A406" s="40">
        <v>381</v>
      </c>
      <c r="B406" s="40" t="s">
        <v>1721</v>
      </c>
      <c r="C406" s="2" t="s">
        <v>1722</v>
      </c>
      <c r="D406" s="2" t="s">
        <v>16</v>
      </c>
      <c r="E406" s="2" t="s">
        <v>9</v>
      </c>
      <c r="F406" s="2">
        <v>80</v>
      </c>
      <c r="G406" s="2">
        <v>90</v>
      </c>
      <c r="H406" s="2">
        <v>80</v>
      </c>
      <c r="I406" s="2">
        <v>130</v>
      </c>
      <c r="J406" s="2">
        <v>110</v>
      </c>
      <c r="K406" s="2">
        <v>110</v>
      </c>
      <c r="L406" s="2">
        <v>600</v>
      </c>
      <c r="M406" s="2" t="s">
        <v>1090</v>
      </c>
      <c r="N406" s="2" t="s">
        <v>1061</v>
      </c>
      <c r="O406" t="s">
        <v>529</v>
      </c>
      <c r="P406" t="s">
        <v>1451</v>
      </c>
      <c r="Q406" t="s">
        <v>925</v>
      </c>
      <c r="R406" t="s">
        <v>759</v>
      </c>
      <c r="S406" t="s">
        <v>762</v>
      </c>
      <c r="T406" t="s">
        <v>1078</v>
      </c>
      <c r="U406" t="s">
        <v>1106</v>
      </c>
      <c r="V406" t="s">
        <v>1723</v>
      </c>
      <c r="W406" t="s">
        <v>1019</v>
      </c>
      <c r="X406" t="s">
        <v>459</v>
      </c>
      <c r="Y406" t="s">
        <v>1262</v>
      </c>
      <c r="Z406" t="s">
        <v>915</v>
      </c>
      <c r="AA406" t="s">
        <v>9</v>
      </c>
      <c r="AB406" t="s">
        <v>1200</v>
      </c>
      <c r="AC406" t="s">
        <v>1152</v>
      </c>
      <c r="AD406" t="s">
        <v>1033</v>
      </c>
      <c r="AE406" t="s">
        <v>967</v>
      </c>
      <c r="AF406" t="s">
        <v>931</v>
      </c>
      <c r="AG406" t="s">
        <v>1062</v>
      </c>
      <c r="AH406" t="s">
        <v>226</v>
      </c>
      <c r="AI406" t="s">
        <v>138</v>
      </c>
      <c r="AJ406" t="s">
        <v>144</v>
      </c>
      <c r="AK406" t="s">
        <v>270</v>
      </c>
      <c r="AL406" t="s">
        <v>914</v>
      </c>
      <c r="AM406" t="s">
        <v>1063</v>
      </c>
      <c r="AN406" t="s">
        <v>1030</v>
      </c>
      <c r="AO406" t="s">
        <v>1093</v>
      </c>
      <c r="AP406" t="s">
        <v>1151</v>
      </c>
      <c r="AQ406" t="s">
        <v>912</v>
      </c>
      <c r="AR406" t="s">
        <v>246</v>
      </c>
      <c r="AS406" t="s">
        <v>148</v>
      </c>
      <c r="AT406" t="s">
        <v>172</v>
      </c>
      <c r="AU406" t="s">
        <v>752</v>
      </c>
      <c r="AV406" t="s">
        <v>141</v>
      </c>
      <c r="AW406" t="s">
        <v>247</v>
      </c>
      <c r="AX406" t="s">
        <v>228</v>
      </c>
      <c r="AY406" t="s">
        <v>1078</v>
      </c>
      <c r="AZ406" t="s">
        <v>766</v>
      </c>
      <c r="BA406" t="s">
        <v>759</v>
      </c>
      <c r="BB406" t="s">
        <v>1079</v>
      </c>
      <c r="BC406" t="s">
        <v>229</v>
      </c>
      <c r="BD406" t="s">
        <v>146</v>
      </c>
      <c r="BE406" t="s">
        <v>321</v>
      </c>
      <c r="BF406" t="s">
        <v>136</v>
      </c>
      <c r="BG406" t="s">
        <v>1080</v>
      </c>
      <c r="BH406" t="s">
        <v>9</v>
      </c>
      <c r="BI406" t="s">
        <v>174</v>
      </c>
      <c r="BJ406" t="s">
        <v>230</v>
      </c>
      <c r="BK406" t="s">
        <v>380</v>
      </c>
      <c r="BL406" t="s">
        <v>765</v>
      </c>
      <c r="BM406" t="s">
        <v>1096</v>
      </c>
      <c r="BN406" t="s">
        <v>917</v>
      </c>
      <c r="BO406" t="s">
        <v>231</v>
      </c>
      <c r="BP406" t="s">
        <v>1082</v>
      </c>
      <c r="BQ406" t="s">
        <v>1037</v>
      </c>
      <c r="BR406" t="s">
        <v>970</v>
      </c>
      <c r="BS406" t="s">
        <v>963</v>
      </c>
      <c r="BT406" t="s">
        <v>1005</v>
      </c>
      <c r="BU406" t="s">
        <v>1036</v>
      </c>
      <c r="BV406" t="s">
        <v>976</v>
      </c>
      <c r="BW406" t="s">
        <v>232</v>
      </c>
      <c r="BX406" t="s">
        <v>322</v>
      </c>
      <c r="BY406" t="s">
        <v>785</v>
      </c>
      <c r="BZ406" t="s">
        <v>1021</v>
      </c>
      <c r="CA406" t="s">
        <v>293</v>
      </c>
      <c r="CB406" t="s">
        <v>977</v>
      </c>
      <c r="CC406" t="s">
        <v>756</v>
      </c>
      <c r="CD406" t="s">
        <v>233</v>
      </c>
      <c r="CE406" t="s">
        <v>234</v>
      </c>
      <c r="CF406" t="s">
        <v>239</v>
      </c>
      <c r="CG406" t="s">
        <v>241</v>
      </c>
      <c r="CH406" t="s">
        <v>805</v>
      </c>
      <c r="CI406" t="s">
        <v>806</v>
      </c>
    </row>
    <row r="407" spans="1:87">
      <c r="A407" s="40">
        <v>382</v>
      </c>
      <c r="B407" s="40" t="s">
        <v>1724</v>
      </c>
      <c r="C407" s="2" t="s">
        <v>1725</v>
      </c>
      <c r="D407" s="2" t="s">
        <v>27</v>
      </c>
      <c r="E407" s="2"/>
      <c r="F407" s="2">
        <v>100</v>
      </c>
      <c r="G407" s="2">
        <v>100</v>
      </c>
      <c r="H407" s="2">
        <v>90</v>
      </c>
      <c r="I407" s="2">
        <v>150</v>
      </c>
      <c r="J407" s="2">
        <v>140</v>
      </c>
      <c r="K407" s="2">
        <v>90</v>
      </c>
      <c r="L407" s="2">
        <v>670</v>
      </c>
      <c r="M407" s="2" t="s">
        <v>1120</v>
      </c>
      <c r="N407" s="2" t="s">
        <v>1061</v>
      </c>
      <c r="O407" t="s">
        <v>954</v>
      </c>
      <c r="P407" t="s">
        <v>1092</v>
      </c>
      <c r="Q407" t="s">
        <v>364</v>
      </c>
      <c r="R407" t="s">
        <v>1105</v>
      </c>
      <c r="S407" t="s">
        <v>178</v>
      </c>
      <c r="T407" t="s">
        <v>141</v>
      </c>
      <c r="U407" t="s">
        <v>170</v>
      </c>
      <c r="V407" t="s">
        <v>1107</v>
      </c>
      <c r="W407" t="s">
        <v>912</v>
      </c>
      <c r="X407" t="s">
        <v>179</v>
      </c>
      <c r="Y407" t="s">
        <v>1210</v>
      </c>
      <c r="Z407" t="s">
        <v>225</v>
      </c>
      <c r="AA407" t="s">
        <v>140</v>
      </c>
      <c r="AB407" t="s">
        <v>1062</v>
      </c>
      <c r="AC407" t="s">
        <v>144</v>
      </c>
      <c r="AD407" t="s">
        <v>227</v>
      </c>
      <c r="AE407" t="s">
        <v>270</v>
      </c>
      <c r="AF407" t="s">
        <v>914</v>
      </c>
      <c r="AG407" t="s">
        <v>1063</v>
      </c>
      <c r="AH407" t="s">
        <v>912</v>
      </c>
      <c r="AI407" t="s">
        <v>246</v>
      </c>
      <c r="AJ407" t="s">
        <v>148</v>
      </c>
      <c r="AK407" t="s">
        <v>1104</v>
      </c>
      <c r="AL407" t="s">
        <v>172</v>
      </c>
      <c r="AM407" t="s">
        <v>141</v>
      </c>
      <c r="AN407" t="s">
        <v>271</v>
      </c>
      <c r="AO407" t="s">
        <v>247</v>
      </c>
      <c r="AP407" t="s">
        <v>1078</v>
      </c>
      <c r="AQ407" t="s">
        <v>766</v>
      </c>
      <c r="AR407" t="s">
        <v>759</v>
      </c>
      <c r="AS407" t="s">
        <v>1079</v>
      </c>
      <c r="AT407" t="s">
        <v>146</v>
      </c>
      <c r="AU407" t="s">
        <v>321</v>
      </c>
      <c r="AV407" t="s">
        <v>136</v>
      </c>
      <c r="AW407" t="s">
        <v>1080</v>
      </c>
      <c r="AX407" t="s">
        <v>1094</v>
      </c>
      <c r="AY407" t="s">
        <v>230</v>
      </c>
      <c r="AZ407" t="s">
        <v>1095</v>
      </c>
      <c r="BA407" t="s">
        <v>917</v>
      </c>
      <c r="BB407" t="s">
        <v>231</v>
      </c>
      <c r="BC407" t="s">
        <v>1037</v>
      </c>
      <c r="BD407" t="s">
        <v>1038</v>
      </c>
      <c r="BE407" t="s">
        <v>976</v>
      </c>
      <c r="BF407" t="s">
        <v>322</v>
      </c>
      <c r="BG407" t="s">
        <v>785</v>
      </c>
      <c r="BH407" t="s">
        <v>1021</v>
      </c>
      <c r="BI407" t="s">
        <v>143</v>
      </c>
      <c r="BJ407" t="s">
        <v>756</v>
      </c>
      <c r="BK407" t="s">
        <v>233</v>
      </c>
      <c r="BL407" t="s">
        <v>760</v>
      </c>
      <c r="BM407" t="s">
        <v>234</v>
      </c>
      <c r="BN407" t="s">
        <v>239</v>
      </c>
      <c r="BO407" t="s">
        <v>241</v>
      </c>
      <c r="BP407" t="s">
        <v>805</v>
      </c>
      <c r="BQ407" t="s">
        <v>806</v>
      </c>
    </row>
    <row r="408" spans="1:87">
      <c r="A408" s="40">
        <v>383</v>
      </c>
      <c r="B408" s="40" t="s">
        <v>1726</v>
      </c>
      <c r="C408" s="2" t="s">
        <v>1727</v>
      </c>
      <c r="D408" s="2" t="s">
        <v>22</v>
      </c>
      <c r="E408" s="2"/>
      <c r="F408" s="2">
        <v>100</v>
      </c>
      <c r="G408" s="2">
        <v>150</v>
      </c>
      <c r="H408" s="2">
        <v>140</v>
      </c>
      <c r="I408" s="2">
        <v>100</v>
      </c>
      <c r="J408" s="2">
        <v>90</v>
      </c>
      <c r="K408" s="2">
        <v>90</v>
      </c>
      <c r="L408" s="2">
        <v>670</v>
      </c>
      <c r="M408" s="2" t="s">
        <v>1074</v>
      </c>
      <c r="N408" s="2" t="s">
        <v>1061</v>
      </c>
      <c r="O408" t="s">
        <v>1144</v>
      </c>
      <c r="P408" t="s">
        <v>1092</v>
      </c>
      <c r="Q408" t="s">
        <v>1231</v>
      </c>
      <c r="R408" t="s">
        <v>981</v>
      </c>
      <c r="S408" t="s">
        <v>231</v>
      </c>
      <c r="T408" t="s">
        <v>136</v>
      </c>
      <c r="U408" t="s">
        <v>170</v>
      </c>
      <c r="V408" t="s">
        <v>1244</v>
      </c>
      <c r="W408" t="s">
        <v>1175</v>
      </c>
      <c r="X408" t="s">
        <v>968</v>
      </c>
      <c r="Y408" t="s">
        <v>419</v>
      </c>
      <c r="Z408" t="s">
        <v>229</v>
      </c>
      <c r="AA408" t="s">
        <v>257</v>
      </c>
      <c r="AB408" t="s">
        <v>1062</v>
      </c>
      <c r="AC408" t="s">
        <v>226</v>
      </c>
      <c r="AD408" t="s">
        <v>227</v>
      </c>
      <c r="AE408" t="s">
        <v>1063</v>
      </c>
      <c r="AF408" t="s">
        <v>1030</v>
      </c>
      <c r="AG408" t="s">
        <v>1093</v>
      </c>
      <c r="AH408" t="s">
        <v>246</v>
      </c>
      <c r="AI408" t="s">
        <v>148</v>
      </c>
      <c r="AJ408" t="s">
        <v>1175</v>
      </c>
      <c r="AK408" t="s">
        <v>172</v>
      </c>
      <c r="AL408" t="s">
        <v>752</v>
      </c>
      <c r="AM408" t="s">
        <v>247</v>
      </c>
      <c r="AN408" t="s">
        <v>1078</v>
      </c>
      <c r="AO408" t="s">
        <v>759</v>
      </c>
      <c r="AP408" t="s">
        <v>1079</v>
      </c>
      <c r="AQ408" t="s">
        <v>229</v>
      </c>
      <c r="AR408" t="s">
        <v>1109</v>
      </c>
      <c r="AS408" t="s">
        <v>146</v>
      </c>
      <c r="AT408" t="s">
        <v>321</v>
      </c>
      <c r="AU408" t="s">
        <v>136</v>
      </c>
      <c r="AV408" t="s">
        <v>1080</v>
      </c>
      <c r="AW408" t="s">
        <v>256</v>
      </c>
      <c r="AX408" t="s">
        <v>1094</v>
      </c>
      <c r="AY408" t="s">
        <v>230</v>
      </c>
      <c r="AZ408" t="s">
        <v>254</v>
      </c>
      <c r="BA408" t="s">
        <v>765</v>
      </c>
      <c r="BB408" t="s">
        <v>257</v>
      </c>
      <c r="BC408" t="s">
        <v>1095</v>
      </c>
      <c r="BD408" t="s">
        <v>1096</v>
      </c>
      <c r="BE408" t="s">
        <v>917</v>
      </c>
      <c r="BF408" t="s">
        <v>231</v>
      </c>
      <c r="BG408" t="s">
        <v>1037</v>
      </c>
      <c r="BH408" t="s">
        <v>1098</v>
      </c>
      <c r="BI408" t="s">
        <v>1102</v>
      </c>
      <c r="BJ408" t="s">
        <v>974</v>
      </c>
      <c r="BK408" t="s">
        <v>1031</v>
      </c>
      <c r="BL408" t="s">
        <v>1005</v>
      </c>
      <c r="BM408" t="s">
        <v>976</v>
      </c>
      <c r="BN408" t="s">
        <v>1003</v>
      </c>
      <c r="BO408" t="s">
        <v>183</v>
      </c>
      <c r="BP408" t="s">
        <v>322</v>
      </c>
      <c r="BQ408" t="s">
        <v>145</v>
      </c>
      <c r="BR408" t="s">
        <v>785</v>
      </c>
      <c r="BS408" t="s">
        <v>1021</v>
      </c>
      <c r="BT408" t="s">
        <v>143</v>
      </c>
      <c r="BU408" t="s">
        <v>1022</v>
      </c>
      <c r="BV408" t="s">
        <v>756</v>
      </c>
      <c r="BW408" t="s">
        <v>233</v>
      </c>
      <c r="BX408" t="s">
        <v>760</v>
      </c>
      <c r="BY408" t="s">
        <v>234</v>
      </c>
      <c r="BZ408" t="s">
        <v>239</v>
      </c>
      <c r="CA408" t="s">
        <v>241</v>
      </c>
      <c r="CB408" t="s">
        <v>805</v>
      </c>
      <c r="CC408" t="s">
        <v>806</v>
      </c>
    </row>
    <row r="409" spans="1:87">
      <c r="A409" s="40">
        <v>384</v>
      </c>
      <c r="B409" s="40" t="s">
        <v>1728</v>
      </c>
      <c r="C409" s="2" t="s">
        <v>1729</v>
      </c>
      <c r="D409" s="2" t="s">
        <v>16</v>
      </c>
      <c r="E409" s="2" t="s">
        <v>20</v>
      </c>
      <c r="F409" s="2">
        <v>105</v>
      </c>
      <c r="G409" s="2">
        <v>150</v>
      </c>
      <c r="H409" s="2">
        <v>90</v>
      </c>
      <c r="I409" s="2">
        <v>150</v>
      </c>
      <c r="J409" s="2">
        <v>90</v>
      </c>
      <c r="K409" s="2">
        <v>95</v>
      </c>
      <c r="L409" s="2">
        <v>680</v>
      </c>
      <c r="M409" s="2" t="s">
        <v>1090</v>
      </c>
      <c r="N409" s="2" t="s">
        <v>1061</v>
      </c>
      <c r="O409" t="s">
        <v>796</v>
      </c>
      <c r="P409" t="s">
        <v>1092</v>
      </c>
      <c r="Q409" t="s">
        <v>777</v>
      </c>
      <c r="R409" t="s">
        <v>1160</v>
      </c>
      <c r="S409" t="s">
        <v>231</v>
      </c>
      <c r="T409" t="s">
        <v>1101</v>
      </c>
      <c r="U409" t="s">
        <v>170</v>
      </c>
      <c r="V409" t="s">
        <v>764</v>
      </c>
      <c r="W409" t="s">
        <v>915</v>
      </c>
      <c r="X409" t="s">
        <v>138</v>
      </c>
      <c r="Y409" t="s">
        <v>791</v>
      </c>
      <c r="Z409" t="s">
        <v>247</v>
      </c>
      <c r="AA409" t="s">
        <v>967</v>
      </c>
      <c r="AB409" t="s">
        <v>1062</v>
      </c>
      <c r="AC409" t="s">
        <v>138</v>
      </c>
      <c r="AD409" t="s">
        <v>144</v>
      </c>
      <c r="AE409" t="s">
        <v>227</v>
      </c>
      <c r="AF409" t="s">
        <v>270</v>
      </c>
      <c r="AG409" t="s">
        <v>914</v>
      </c>
      <c r="AH409" t="s">
        <v>1063</v>
      </c>
      <c r="AI409" t="s">
        <v>1030</v>
      </c>
      <c r="AJ409" t="s">
        <v>1093</v>
      </c>
      <c r="AK409" t="s">
        <v>246</v>
      </c>
      <c r="AL409" t="s">
        <v>148</v>
      </c>
      <c r="AM409" t="s">
        <v>1175</v>
      </c>
      <c r="AN409" t="s">
        <v>172</v>
      </c>
      <c r="AO409" t="s">
        <v>752</v>
      </c>
      <c r="AP409" t="s">
        <v>141</v>
      </c>
      <c r="AQ409" t="s">
        <v>271</v>
      </c>
      <c r="AR409" t="s">
        <v>247</v>
      </c>
      <c r="AS409" t="s">
        <v>1078</v>
      </c>
      <c r="AT409" t="s">
        <v>766</v>
      </c>
      <c r="AU409" t="s">
        <v>1079</v>
      </c>
      <c r="AV409" t="s">
        <v>229</v>
      </c>
      <c r="AW409" t="s">
        <v>146</v>
      </c>
      <c r="AX409" t="s">
        <v>321</v>
      </c>
      <c r="AY409" t="s">
        <v>136</v>
      </c>
      <c r="AZ409" t="s">
        <v>1080</v>
      </c>
      <c r="BA409" t="s">
        <v>1094</v>
      </c>
      <c r="BB409" t="s">
        <v>230</v>
      </c>
      <c r="BC409" t="s">
        <v>254</v>
      </c>
      <c r="BD409" t="s">
        <v>765</v>
      </c>
      <c r="BE409" t="s">
        <v>257</v>
      </c>
      <c r="BF409" t="s">
        <v>1095</v>
      </c>
      <c r="BG409" t="s">
        <v>1096</v>
      </c>
      <c r="BH409" t="s">
        <v>917</v>
      </c>
      <c r="BI409" t="s">
        <v>231</v>
      </c>
      <c r="BJ409" t="s">
        <v>1037</v>
      </c>
      <c r="BK409" t="s">
        <v>1083</v>
      </c>
      <c r="BL409" t="s">
        <v>1098</v>
      </c>
      <c r="BM409" t="s">
        <v>1102</v>
      </c>
      <c r="BN409" t="s">
        <v>970</v>
      </c>
      <c r="BO409" t="s">
        <v>974</v>
      </c>
      <c r="BP409" t="s">
        <v>1039</v>
      </c>
      <c r="BQ409" t="s">
        <v>1031</v>
      </c>
      <c r="BR409" t="s">
        <v>1005</v>
      </c>
      <c r="BS409" t="s">
        <v>976</v>
      </c>
      <c r="BT409" t="s">
        <v>183</v>
      </c>
      <c r="BU409" t="s">
        <v>322</v>
      </c>
      <c r="BV409" t="s">
        <v>980</v>
      </c>
      <c r="BW409" t="s">
        <v>145</v>
      </c>
      <c r="BX409" t="s">
        <v>785</v>
      </c>
      <c r="BY409" t="s">
        <v>1021</v>
      </c>
      <c r="BZ409" t="s">
        <v>143</v>
      </c>
      <c r="CA409" t="s">
        <v>1022</v>
      </c>
      <c r="CB409" t="s">
        <v>756</v>
      </c>
      <c r="CC409" t="s">
        <v>233</v>
      </c>
      <c r="CD409" t="s">
        <v>760</v>
      </c>
      <c r="CE409" t="s">
        <v>234</v>
      </c>
      <c r="CF409" t="s">
        <v>239</v>
      </c>
      <c r="CG409" t="s">
        <v>241</v>
      </c>
      <c r="CH409" t="s">
        <v>805</v>
      </c>
      <c r="CI409" t="s">
        <v>806</v>
      </c>
    </row>
    <row r="410" spans="1:87">
      <c r="A410" s="40">
        <v>385</v>
      </c>
      <c r="B410" s="40" t="s">
        <v>1730</v>
      </c>
      <c r="C410" s="2" t="s">
        <v>1731</v>
      </c>
      <c r="D410" s="2" t="s">
        <v>26</v>
      </c>
      <c r="E410" s="2" t="s">
        <v>9</v>
      </c>
      <c r="F410" s="2">
        <v>100</v>
      </c>
      <c r="G410" s="2">
        <v>100</v>
      </c>
      <c r="H410" s="2">
        <v>100</v>
      </c>
      <c r="I410" s="2">
        <v>100</v>
      </c>
      <c r="J410" s="2">
        <v>100</v>
      </c>
      <c r="K410" s="2">
        <v>100</v>
      </c>
      <c r="L410" s="2">
        <v>600</v>
      </c>
      <c r="M410" s="2" t="s">
        <v>1162</v>
      </c>
      <c r="N410" s="2" t="s">
        <v>1061</v>
      </c>
      <c r="O410" t="s">
        <v>287</v>
      </c>
      <c r="P410" t="s">
        <v>957</v>
      </c>
      <c r="Q410" t="s">
        <v>231</v>
      </c>
      <c r="R410" t="s">
        <v>354</v>
      </c>
      <c r="S410" t="s">
        <v>925</v>
      </c>
      <c r="T410" t="s">
        <v>9</v>
      </c>
      <c r="U410" t="s">
        <v>1106</v>
      </c>
      <c r="V410" t="s">
        <v>231</v>
      </c>
      <c r="W410" t="s">
        <v>1019</v>
      </c>
      <c r="X410" t="s">
        <v>225</v>
      </c>
      <c r="Y410" t="s">
        <v>978</v>
      </c>
      <c r="Z410" t="s">
        <v>982</v>
      </c>
      <c r="AA410" t="s">
        <v>790</v>
      </c>
      <c r="AB410" t="s">
        <v>1149</v>
      </c>
      <c r="AC410" t="s">
        <v>986</v>
      </c>
      <c r="AD410" t="s">
        <v>1732</v>
      </c>
      <c r="AE410" t="s">
        <v>1062</v>
      </c>
      <c r="AF410" t="s">
        <v>1063</v>
      </c>
      <c r="AG410" t="s">
        <v>1151</v>
      </c>
      <c r="AH410" t="s">
        <v>912</v>
      </c>
      <c r="AI410" t="s">
        <v>148</v>
      </c>
      <c r="AJ410" t="s">
        <v>172</v>
      </c>
      <c r="AK410" t="s">
        <v>752</v>
      </c>
      <c r="AL410" t="s">
        <v>247</v>
      </c>
      <c r="AM410" t="s">
        <v>228</v>
      </c>
      <c r="AN410" t="s">
        <v>1078</v>
      </c>
      <c r="AO410" t="s">
        <v>766</v>
      </c>
      <c r="AP410" t="s">
        <v>759</v>
      </c>
      <c r="AQ410" t="s">
        <v>1079</v>
      </c>
      <c r="AR410" t="s">
        <v>146</v>
      </c>
      <c r="AS410" t="s">
        <v>321</v>
      </c>
      <c r="AT410" t="s">
        <v>1080</v>
      </c>
      <c r="AU410" t="s">
        <v>9</v>
      </c>
      <c r="AV410" t="s">
        <v>174</v>
      </c>
      <c r="AW410" t="s">
        <v>230</v>
      </c>
      <c r="AX410" t="s">
        <v>380</v>
      </c>
      <c r="AY410" t="s">
        <v>765</v>
      </c>
      <c r="AZ410" t="s">
        <v>1096</v>
      </c>
      <c r="BA410" t="s">
        <v>917</v>
      </c>
      <c r="BB410" t="s">
        <v>231</v>
      </c>
      <c r="BC410" t="s">
        <v>1037</v>
      </c>
      <c r="BD410" t="s">
        <v>970</v>
      </c>
      <c r="BE410" t="s">
        <v>974</v>
      </c>
      <c r="BF410" t="s">
        <v>963</v>
      </c>
      <c r="BG410" t="s">
        <v>976</v>
      </c>
      <c r="BH410" t="s">
        <v>232</v>
      </c>
      <c r="BI410" t="s">
        <v>322</v>
      </c>
      <c r="BJ410" t="s">
        <v>785</v>
      </c>
      <c r="BK410" t="s">
        <v>293</v>
      </c>
      <c r="BL410" t="s">
        <v>977</v>
      </c>
      <c r="BM410" t="s">
        <v>756</v>
      </c>
      <c r="BN410" t="s">
        <v>1014</v>
      </c>
      <c r="BO410" t="s">
        <v>233</v>
      </c>
      <c r="BP410" t="s">
        <v>973</v>
      </c>
      <c r="BQ410" t="s">
        <v>1012</v>
      </c>
      <c r="BR410" t="s">
        <v>234</v>
      </c>
      <c r="BS410" t="s">
        <v>239</v>
      </c>
      <c r="BT410" t="s">
        <v>241</v>
      </c>
      <c r="BU410" t="s">
        <v>805</v>
      </c>
      <c r="BV410" t="s">
        <v>806</v>
      </c>
    </row>
    <row r="411" spans="1:87">
      <c r="A411" s="40">
        <v>386.1</v>
      </c>
      <c r="B411" s="40" t="s">
        <v>1733</v>
      </c>
      <c r="C411" s="2" t="s">
        <v>1734</v>
      </c>
      <c r="D411" s="2" t="s">
        <v>9</v>
      </c>
      <c r="E411" s="2"/>
      <c r="F411" s="2">
        <v>50</v>
      </c>
      <c r="G411" s="2">
        <v>150</v>
      </c>
      <c r="H411" s="2">
        <v>50</v>
      </c>
      <c r="I411" s="2">
        <v>150</v>
      </c>
      <c r="J411" s="2">
        <v>50</v>
      </c>
      <c r="K411" s="2">
        <v>150</v>
      </c>
      <c r="L411" s="2">
        <v>600</v>
      </c>
      <c r="M411" s="2" t="s">
        <v>1158</v>
      </c>
      <c r="N411" s="2" t="s">
        <v>1061</v>
      </c>
      <c r="O411" t="s">
        <v>338</v>
      </c>
      <c r="P411" t="s">
        <v>330</v>
      </c>
      <c r="Q411" t="s">
        <v>528</v>
      </c>
      <c r="R411" t="s">
        <v>454</v>
      </c>
      <c r="S411" t="s">
        <v>928</v>
      </c>
      <c r="T411" t="s">
        <v>773</v>
      </c>
      <c r="U411" t="s">
        <v>9</v>
      </c>
      <c r="V411" t="s">
        <v>945</v>
      </c>
      <c r="W411" t="s">
        <v>1262</v>
      </c>
      <c r="X411" t="s">
        <v>1019</v>
      </c>
      <c r="Y411" t="s">
        <v>1149</v>
      </c>
      <c r="Z411" t="s">
        <v>459</v>
      </c>
      <c r="AA411" t="s">
        <v>1735</v>
      </c>
      <c r="AB411" t="s">
        <v>247</v>
      </c>
      <c r="AC411" t="s">
        <v>1062</v>
      </c>
      <c r="AD411" t="s">
        <v>226</v>
      </c>
      <c r="AE411" t="s">
        <v>227</v>
      </c>
      <c r="AF411" t="s">
        <v>1063</v>
      </c>
      <c r="AG411" t="s">
        <v>1151</v>
      </c>
      <c r="AH411" t="s">
        <v>912</v>
      </c>
      <c r="AI411" t="s">
        <v>148</v>
      </c>
      <c r="AJ411" t="s">
        <v>172</v>
      </c>
      <c r="AK411" t="s">
        <v>752</v>
      </c>
      <c r="AL411" t="s">
        <v>1126</v>
      </c>
      <c r="AM411" t="s">
        <v>141</v>
      </c>
      <c r="AN411" t="s">
        <v>247</v>
      </c>
      <c r="AO411" t="s">
        <v>228</v>
      </c>
      <c r="AP411" t="s">
        <v>1078</v>
      </c>
      <c r="AQ411" t="s">
        <v>766</v>
      </c>
      <c r="AR411" t="s">
        <v>759</v>
      </c>
      <c r="AS411" t="s">
        <v>1079</v>
      </c>
      <c r="AT411" t="s">
        <v>229</v>
      </c>
      <c r="AU411" t="s">
        <v>146</v>
      </c>
      <c r="AV411" t="s">
        <v>321</v>
      </c>
      <c r="AW411" t="s">
        <v>1080</v>
      </c>
      <c r="AX411" t="s">
        <v>9</v>
      </c>
      <c r="AY411" t="s">
        <v>174</v>
      </c>
      <c r="AZ411" t="s">
        <v>1094</v>
      </c>
      <c r="BA411" t="s">
        <v>230</v>
      </c>
      <c r="BB411" t="s">
        <v>380</v>
      </c>
      <c r="BC411" t="s">
        <v>1095</v>
      </c>
      <c r="BD411" t="s">
        <v>1096</v>
      </c>
      <c r="BE411" t="s">
        <v>951</v>
      </c>
      <c r="BF411" t="s">
        <v>917</v>
      </c>
      <c r="BG411" t="s">
        <v>231</v>
      </c>
      <c r="BH411" t="s">
        <v>1172</v>
      </c>
      <c r="BI411" t="s">
        <v>1037</v>
      </c>
      <c r="BJ411" t="s">
        <v>1102</v>
      </c>
      <c r="BK411" t="s">
        <v>970</v>
      </c>
      <c r="BL411" t="s">
        <v>974</v>
      </c>
      <c r="BM411" t="s">
        <v>963</v>
      </c>
      <c r="BN411" t="s">
        <v>976</v>
      </c>
      <c r="BO411" t="s">
        <v>232</v>
      </c>
      <c r="BP411" t="s">
        <v>322</v>
      </c>
      <c r="BQ411" t="s">
        <v>785</v>
      </c>
      <c r="BR411" t="s">
        <v>143</v>
      </c>
      <c r="BS411" t="s">
        <v>997</v>
      </c>
      <c r="BT411" t="s">
        <v>293</v>
      </c>
      <c r="BU411" t="s">
        <v>977</v>
      </c>
      <c r="BV411" t="s">
        <v>756</v>
      </c>
      <c r="BW411" t="s">
        <v>233</v>
      </c>
      <c r="BX411" t="s">
        <v>973</v>
      </c>
      <c r="BY411" t="s">
        <v>1012</v>
      </c>
      <c r="BZ411" t="s">
        <v>760</v>
      </c>
      <c r="CA411" t="s">
        <v>234</v>
      </c>
      <c r="CB411" t="s">
        <v>239</v>
      </c>
      <c r="CC411" t="s">
        <v>241</v>
      </c>
      <c r="CD411" t="s">
        <v>805</v>
      </c>
      <c r="CE411" t="s">
        <v>806</v>
      </c>
    </row>
    <row r="412" spans="1:87">
      <c r="A412" s="40">
        <v>386.2</v>
      </c>
      <c r="B412" s="40" t="s">
        <v>1736</v>
      </c>
      <c r="C412" s="2" t="s">
        <v>1737</v>
      </c>
      <c r="D412" s="2" t="s">
        <v>9</v>
      </c>
      <c r="E412" s="2"/>
      <c r="F412" s="2">
        <v>50</v>
      </c>
      <c r="G412" s="2">
        <v>180</v>
      </c>
      <c r="H412" s="2">
        <v>20</v>
      </c>
      <c r="I412" s="2">
        <v>180</v>
      </c>
      <c r="J412" s="2">
        <v>20</v>
      </c>
      <c r="K412" s="2">
        <v>150</v>
      </c>
      <c r="L412" s="2">
        <v>600</v>
      </c>
      <c r="M412" s="2" t="s">
        <v>1158</v>
      </c>
      <c r="N412" s="2" t="s">
        <v>1061</v>
      </c>
      <c r="O412" t="s">
        <v>338</v>
      </c>
      <c r="P412" t="s">
        <v>330</v>
      </c>
      <c r="Q412" t="s">
        <v>528</v>
      </c>
      <c r="R412" t="s">
        <v>454</v>
      </c>
      <c r="S412" t="s">
        <v>1126</v>
      </c>
      <c r="T412" t="s">
        <v>773</v>
      </c>
      <c r="U412" t="s">
        <v>9</v>
      </c>
      <c r="V412" t="s">
        <v>947</v>
      </c>
      <c r="W412" t="s">
        <v>1262</v>
      </c>
      <c r="X412" t="s">
        <v>1019</v>
      </c>
      <c r="Y412" t="s">
        <v>1149</v>
      </c>
      <c r="Z412" t="s">
        <v>1207</v>
      </c>
      <c r="AA412" t="s">
        <v>1735</v>
      </c>
      <c r="AB412" t="s">
        <v>247</v>
      </c>
      <c r="AC412" t="s">
        <v>1062</v>
      </c>
      <c r="AD412" t="s">
        <v>226</v>
      </c>
      <c r="AE412" t="s">
        <v>227</v>
      </c>
      <c r="AF412" t="s">
        <v>1063</v>
      </c>
      <c r="AG412" t="s">
        <v>1151</v>
      </c>
      <c r="AH412" t="s">
        <v>912</v>
      </c>
      <c r="AI412" t="s">
        <v>148</v>
      </c>
      <c r="AJ412" t="s">
        <v>172</v>
      </c>
      <c r="AK412" t="s">
        <v>752</v>
      </c>
      <c r="AL412" t="s">
        <v>1126</v>
      </c>
      <c r="AM412" t="s">
        <v>141</v>
      </c>
      <c r="AN412" t="s">
        <v>247</v>
      </c>
      <c r="AO412" t="s">
        <v>228</v>
      </c>
      <c r="AP412" t="s">
        <v>1078</v>
      </c>
      <c r="AQ412" t="s">
        <v>766</v>
      </c>
      <c r="AR412" t="s">
        <v>759</v>
      </c>
      <c r="AS412" t="s">
        <v>1079</v>
      </c>
      <c r="AT412" t="s">
        <v>229</v>
      </c>
      <c r="AU412" t="s">
        <v>146</v>
      </c>
      <c r="AV412" t="s">
        <v>321</v>
      </c>
      <c r="AW412" t="s">
        <v>1080</v>
      </c>
      <c r="AX412" t="s">
        <v>9</v>
      </c>
      <c r="AY412" t="s">
        <v>174</v>
      </c>
      <c r="AZ412" t="s">
        <v>1094</v>
      </c>
      <c r="BA412" t="s">
        <v>230</v>
      </c>
      <c r="BB412" t="s">
        <v>380</v>
      </c>
      <c r="BC412" t="s">
        <v>1095</v>
      </c>
      <c r="BD412" t="s">
        <v>1096</v>
      </c>
      <c r="BE412" t="s">
        <v>951</v>
      </c>
      <c r="BF412" t="s">
        <v>917</v>
      </c>
      <c r="BG412" t="s">
        <v>231</v>
      </c>
      <c r="BH412" t="s">
        <v>1172</v>
      </c>
      <c r="BI412" t="s">
        <v>1037</v>
      </c>
      <c r="BJ412" t="s">
        <v>1102</v>
      </c>
      <c r="BK412" t="s">
        <v>970</v>
      </c>
      <c r="BL412" t="s">
        <v>974</v>
      </c>
      <c r="BM412" t="s">
        <v>963</v>
      </c>
      <c r="BN412" t="s">
        <v>976</v>
      </c>
      <c r="BO412" t="s">
        <v>232</v>
      </c>
      <c r="BP412" t="s">
        <v>322</v>
      </c>
      <c r="BQ412" t="s">
        <v>785</v>
      </c>
      <c r="BR412" t="s">
        <v>143</v>
      </c>
      <c r="BS412" t="s">
        <v>997</v>
      </c>
      <c r="BT412" t="s">
        <v>293</v>
      </c>
      <c r="BU412" t="s">
        <v>977</v>
      </c>
      <c r="BV412" t="s">
        <v>756</v>
      </c>
      <c r="BW412" t="s">
        <v>233</v>
      </c>
      <c r="BX412" t="s">
        <v>973</v>
      </c>
      <c r="BY412" t="s">
        <v>1012</v>
      </c>
      <c r="BZ412" t="s">
        <v>760</v>
      </c>
      <c r="CA412" t="s">
        <v>234</v>
      </c>
      <c r="CB412" t="s">
        <v>239</v>
      </c>
      <c r="CC412" t="s">
        <v>241</v>
      </c>
      <c r="CD412" t="s">
        <v>805</v>
      </c>
      <c r="CE412" t="s">
        <v>806</v>
      </c>
    </row>
    <row r="413" spans="1:87">
      <c r="A413" s="40">
        <v>386.3</v>
      </c>
      <c r="B413" s="40" t="s">
        <v>1738</v>
      </c>
      <c r="C413" s="2" t="s">
        <v>1739</v>
      </c>
      <c r="D413" s="2" t="s">
        <v>9</v>
      </c>
      <c r="E413" s="2"/>
      <c r="F413" s="2">
        <v>50</v>
      </c>
      <c r="G413" s="2">
        <v>70</v>
      </c>
      <c r="H413" s="2">
        <v>160</v>
      </c>
      <c r="I413" s="2">
        <v>70</v>
      </c>
      <c r="J413" s="2">
        <v>160</v>
      </c>
      <c r="K413" s="2">
        <v>90</v>
      </c>
      <c r="L413" s="2">
        <v>600</v>
      </c>
      <c r="M413" s="2" t="s">
        <v>1137</v>
      </c>
      <c r="N413" s="2" t="s">
        <v>1061</v>
      </c>
      <c r="O413" t="s">
        <v>338</v>
      </c>
      <c r="P413" t="s">
        <v>330</v>
      </c>
      <c r="Q413" t="s">
        <v>528</v>
      </c>
      <c r="R413" t="s">
        <v>454</v>
      </c>
      <c r="S413" t="s">
        <v>928</v>
      </c>
      <c r="T413" t="s">
        <v>1215</v>
      </c>
      <c r="U413" t="s">
        <v>9</v>
      </c>
      <c r="V413" t="s">
        <v>945</v>
      </c>
      <c r="W413" t="s">
        <v>1262</v>
      </c>
      <c r="X413" t="s">
        <v>1019</v>
      </c>
      <c r="Y413" t="s">
        <v>235</v>
      </c>
      <c r="Z413" t="s">
        <v>177</v>
      </c>
      <c r="AA413" t="s">
        <v>459</v>
      </c>
      <c r="AB413" t="s">
        <v>1735</v>
      </c>
      <c r="AC413" t="s">
        <v>259</v>
      </c>
      <c r="AD413" t="s">
        <v>772</v>
      </c>
      <c r="AE413" t="s">
        <v>1062</v>
      </c>
      <c r="AF413" t="s">
        <v>226</v>
      </c>
      <c r="AG413" t="s">
        <v>227</v>
      </c>
      <c r="AH413" t="s">
        <v>1063</v>
      </c>
      <c r="AI413" t="s">
        <v>1151</v>
      </c>
      <c r="AJ413" t="s">
        <v>912</v>
      </c>
      <c r="AK413" t="s">
        <v>148</v>
      </c>
      <c r="AL413" t="s">
        <v>172</v>
      </c>
      <c r="AM413" t="s">
        <v>752</v>
      </c>
      <c r="AN413" t="s">
        <v>1126</v>
      </c>
      <c r="AO413" t="s">
        <v>141</v>
      </c>
      <c r="AP413" t="s">
        <v>247</v>
      </c>
      <c r="AQ413" t="s">
        <v>228</v>
      </c>
      <c r="AR413" t="s">
        <v>1078</v>
      </c>
      <c r="AS413" t="s">
        <v>766</v>
      </c>
      <c r="AT413" t="s">
        <v>759</v>
      </c>
      <c r="AU413" t="s">
        <v>1079</v>
      </c>
      <c r="AV413" t="s">
        <v>229</v>
      </c>
      <c r="AW413" t="s">
        <v>146</v>
      </c>
      <c r="AX413" t="s">
        <v>321</v>
      </c>
      <c r="AY413" t="s">
        <v>1080</v>
      </c>
      <c r="AZ413" t="s">
        <v>9</v>
      </c>
      <c r="BA413" t="s">
        <v>174</v>
      </c>
      <c r="BB413" t="s">
        <v>1094</v>
      </c>
      <c r="BC413" t="s">
        <v>230</v>
      </c>
      <c r="BD413" t="s">
        <v>380</v>
      </c>
      <c r="BE413" t="s">
        <v>1095</v>
      </c>
      <c r="BF413" t="s">
        <v>1096</v>
      </c>
      <c r="BG413" t="s">
        <v>951</v>
      </c>
      <c r="BH413" t="s">
        <v>917</v>
      </c>
      <c r="BI413" t="s">
        <v>231</v>
      </c>
      <c r="BJ413" t="s">
        <v>1172</v>
      </c>
      <c r="BK413" t="s">
        <v>1037</v>
      </c>
      <c r="BL413" t="s">
        <v>1102</v>
      </c>
      <c r="BM413" t="s">
        <v>970</v>
      </c>
      <c r="BN413" t="s">
        <v>974</v>
      </c>
      <c r="BO413" t="s">
        <v>963</v>
      </c>
      <c r="BP413" t="s">
        <v>976</v>
      </c>
      <c r="BQ413" t="s">
        <v>232</v>
      </c>
      <c r="BR413" t="s">
        <v>322</v>
      </c>
      <c r="BS413" t="s">
        <v>785</v>
      </c>
      <c r="BT413" t="s">
        <v>143</v>
      </c>
      <c r="BU413" t="s">
        <v>997</v>
      </c>
      <c r="BV413" t="s">
        <v>293</v>
      </c>
      <c r="BW413" t="s">
        <v>977</v>
      </c>
      <c r="BX413" t="s">
        <v>756</v>
      </c>
      <c r="BY413" t="s">
        <v>233</v>
      </c>
      <c r="BZ413" t="s">
        <v>973</v>
      </c>
      <c r="CA413" t="s">
        <v>1012</v>
      </c>
      <c r="CB413" t="s">
        <v>760</v>
      </c>
      <c r="CC413" t="s">
        <v>234</v>
      </c>
      <c r="CD413" t="s">
        <v>239</v>
      </c>
      <c r="CE413" t="s">
        <v>241</v>
      </c>
      <c r="CF413" t="s">
        <v>805</v>
      </c>
      <c r="CG413" t="s">
        <v>806</v>
      </c>
    </row>
    <row r="414" spans="1:87">
      <c r="A414" s="40">
        <v>386.4</v>
      </c>
      <c r="B414" s="40" t="s">
        <v>1740</v>
      </c>
      <c r="C414" s="2" t="s">
        <v>1741</v>
      </c>
      <c r="D414" s="2" t="s">
        <v>9</v>
      </c>
      <c r="E414" s="2"/>
      <c r="F414" s="2">
        <v>50</v>
      </c>
      <c r="G414" s="2">
        <v>95</v>
      </c>
      <c r="H414" s="2">
        <v>90</v>
      </c>
      <c r="I414" s="2">
        <v>95</v>
      </c>
      <c r="J414" s="2">
        <v>90</v>
      </c>
      <c r="K414" s="2">
        <v>180</v>
      </c>
      <c r="L414" s="2">
        <v>600</v>
      </c>
      <c r="M414" s="2" t="s">
        <v>1158</v>
      </c>
      <c r="N414" s="2" t="s">
        <v>1061</v>
      </c>
      <c r="O414" t="s">
        <v>338</v>
      </c>
      <c r="P414" t="s">
        <v>330</v>
      </c>
      <c r="Q414" t="s">
        <v>528</v>
      </c>
      <c r="R414" t="s">
        <v>230</v>
      </c>
      <c r="S414" t="s">
        <v>928</v>
      </c>
      <c r="T414" t="s">
        <v>773</v>
      </c>
      <c r="U414" t="s">
        <v>9</v>
      </c>
      <c r="V414" t="s">
        <v>354</v>
      </c>
      <c r="W414" t="s">
        <v>1262</v>
      </c>
      <c r="X414" t="s">
        <v>1019</v>
      </c>
      <c r="Y414" t="s">
        <v>306</v>
      </c>
      <c r="Z414" t="s">
        <v>459</v>
      </c>
      <c r="AA414" t="s">
        <v>1735</v>
      </c>
      <c r="AB414" t="s">
        <v>791</v>
      </c>
      <c r="AC414" t="s">
        <v>1062</v>
      </c>
      <c r="AD414" t="s">
        <v>226</v>
      </c>
      <c r="AE414" t="s">
        <v>227</v>
      </c>
      <c r="AF414" t="s">
        <v>1063</v>
      </c>
      <c r="AG414" t="s">
        <v>1151</v>
      </c>
      <c r="AH414" t="s">
        <v>912</v>
      </c>
      <c r="AI414" t="s">
        <v>148</v>
      </c>
      <c r="AJ414" t="s">
        <v>172</v>
      </c>
      <c r="AK414" t="s">
        <v>752</v>
      </c>
      <c r="AL414" t="s">
        <v>1126</v>
      </c>
      <c r="AM414" t="s">
        <v>141</v>
      </c>
      <c r="AN414" t="s">
        <v>247</v>
      </c>
      <c r="AO414" t="s">
        <v>228</v>
      </c>
      <c r="AP414" t="s">
        <v>1078</v>
      </c>
      <c r="AQ414" t="s">
        <v>766</v>
      </c>
      <c r="AR414" t="s">
        <v>759</v>
      </c>
      <c r="AS414" t="s">
        <v>1079</v>
      </c>
      <c r="AT414" t="s">
        <v>229</v>
      </c>
      <c r="AU414" t="s">
        <v>146</v>
      </c>
      <c r="AV414" t="s">
        <v>321</v>
      </c>
      <c r="AW414" t="s">
        <v>1080</v>
      </c>
      <c r="AX414" t="s">
        <v>9</v>
      </c>
      <c r="AY414" t="s">
        <v>174</v>
      </c>
      <c r="AZ414" t="s">
        <v>1094</v>
      </c>
      <c r="BA414" t="s">
        <v>230</v>
      </c>
      <c r="BB414" t="s">
        <v>380</v>
      </c>
      <c r="BC414" t="s">
        <v>1095</v>
      </c>
      <c r="BD414" t="s">
        <v>1096</v>
      </c>
      <c r="BE414" t="s">
        <v>951</v>
      </c>
      <c r="BF414" t="s">
        <v>917</v>
      </c>
      <c r="BG414" t="s">
        <v>231</v>
      </c>
      <c r="BH414" t="s">
        <v>1172</v>
      </c>
      <c r="BI414" t="s">
        <v>1037</v>
      </c>
      <c r="BJ414" t="s">
        <v>1102</v>
      </c>
      <c r="BK414" t="s">
        <v>970</v>
      </c>
      <c r="BL414" t="s">
        <v>974</v>
      </c>
      <c r="BM414" t="s">
        <v>963</v>
      </c>
      <c r="BN414" t="s">
        <v>976</v>
      </c>
      <c r="BO414" t="s">
        <v>232</v>
      </c>
      <c r="BP414" t="s">
        <v>322</v>
      </c>
      <c r="BQ414" t="s">
        <v>785</v>
      </c>
      <c r="BR414" t="s">
        <v>143</v>
      </c>
      <c r="BS414" t="s">
        <v>997</v>
      </c>
      <c r="BT414" t="s">
        <v>293</v>
      </c>
      <c r="BU414" t="s">
        <v>977</v>
      </c>
      <c r="BV414" t="s">
        <v>756</v>
      </c>
      <c r="BW414" t="s">
        <v>233</v>
      </c>
      <c r="BX414" t="s">
        <v>973</v>
      </c>
      <c r="BY414" t="s">
        <v>1012</v>
      </c>
      <c r="BZ414" t="s">
        <v>760</v>
      </c>
      <c r="CA414" t="s">
        <v>234</v>
      </c>
      <c r="CB414" t="s">
        <v>239</v>
      </c>
      <c r="CC414" t="s">
        <v>241</v>
      </c>
      <c r="CD414" t="s">
        <v>805</v>
      </c>
      <c r="CE414" t="s">
        <v>806</v>
      </c>
    </row>
    <row r="415" spans="1:87">
      <c r="A415" s="40">
        <v>387</v>
      </c>
      <c r="B415" s="40" t="s">
        <v>1742</v>
      </c>
      <c r="C415" s="2" t="s">
        <v>1743</v>
      </c>
      <c r="D415" s="2" t="s">
        <v>21</v>
      </c>
      <c r="E415" s="2"/>
      <c r="F415" s="2">
        <v>55</v>
      </c>
      <c r="G415" s="2">
        <v>68</v>
      </c>
      <c r="H415" s="2">
        <v>64</v>
      </c>
      <c r="I415" s="2">
        <v>45</v>
      </c>
      <c r="J415" s="2">
        <v>55</v>
      </c>
      <c r="K415" s="2">
        <v>31</v>
      </c>
      <c r="L415" s="2">
        <v>318</v>
      </c>
      <c r="M415" s="2" t="s">
        <v>1188</v>
      </c>
      <c r="N415" s="2" t="s">
        <v>1061</v>
      </c>
      <c r="O415" t="s">
        <v>219</v>
      </c>
      <c r="P415" t="s">
        <v>268</v>
      </c>
      <c r="Q415" t="s">
        <v>402</v>
      </c>
      <c r="R415" t="s">
        <v>224</v>
      </c>
      <c r="S415" t="s">
        <v>751</v>
      </c>
      <c r="T415" t="s">
        <v>258</v>
      </c>
      <c r="U415" t="s">
        <v>403</v>
      </c>
      <c r="V415" t="s">
        <v>142</v>
      </c>
      <c r="W415" t="s">
        <v>750</v>
      </c>
      <c r="X415" t="s">
        <v>777</v>
      </c>
      <c r="Y415" t="s">
        <v>171</v>
      </c>
      <c r="Z415" t="s">
        <v>1086</v>
      </c>
      <c r="AA415" t="s">
        <v>1062</v>
      </c>
      <c r="AB415" t="s">
        <v>226</v>
      </c>
      <c r="AC415" t="s">
        <v>227</v>
      </c>
      <c r="AD415" t="s">
        <v>1063</v>
      </c>
      <c r="AE415" t="s">
        <v>148</v>
      </c>
      <c r="AF415" t="s">
        <v>172</v>
      </c>
      <c r="AG415" t="s">
        <v>752</v>
      </c>
      <c r="AH415" t="s">
        <v>228</v>
      </c>
      <c r="AI415" t="s">
        <v>1078</v>
      </c>
      <c r="AJ415" t="s">
        <v>759</v>
      </c>
      <c r="AK415" t="s">
        <v>1079</v>
      </c>
      <c r="AL415" t="s">
        <v>229</v>
      </c>
      <c r="AM415" t="s">
        <v>1080</v>
      </c>
      <c r="AN415" t="s">
        <v>230</v>
      </c>
      <c r="AO415" t="s">
        <v>380</v>
      </c>
      <c r="AP415" t="s">
        <v>917</v>
      </c>
      <c r="AQ415" t="s">
        <v>231</v>
      </c>
      <c r="AR415" t="s">
        <v>1082</v>
      </c>
      <c r="AS415" t="s">
        <v>1037</v>
      </c>
      <c r="AT415" t="s">
        <v>970</v>
      </c>
      <c r="AU415" t="s">
        <v>232</v>
      </c>
      <c r="AV415" t="s">
        <v>145</v>
      </c>
      <c r="AW415" t="s">
        <v>977</v>
      </c>
      <c r="AX415" t="s">
        <v>756</v>
      </c>
      <c r="AY415" t="s">
        <v>233</v>
      </c>
      <c r="AZ415" t="s">
        <v>760</v>
      </c>
      <c r="BA415" t="s">
        <v>234</v>
      </c>
      <c r="BB415" t="s">
        <v>364</v>
      </c>
      <c r="BC415" t="s">
        <v>373</v>
      </c>
      <c r="BD415" t="s">
        <v>225</v>
      </c>
      <c r="BE415" t="s">
        <v>215</v>
      </c>
      <c r="BF415" t="s">
        <v>235</v>
      </c>
      <c r="BG415" t="s">
        <v>946</v>
      </c>
      <c r="BH415" t="s">
        <v>1133</v>
      </c>
      <c r="BI415" t="s">
        <v>948</v>
      </c>
      <c r="BJ415" t="s">
        <v>947</v>
      </c>
      <c r="BK415" t="s">
        <v>950</v>
      </c>
      <c r="BL415" t="s">
        <v>939</v>
      </c>
      <c r="BM415" t="s">
        <v>1017</v>
      </c>
      <c r="BN415" t="s">
        <v>1004</v>
      </c>
      <c r="BO415" t="s">
        <v>968</v>
      </c>
      <c r="BP415" t="s">
        <v>1187</v>
      </c>
      <c r="BQ415" t="s">
        <v>239</v>
      </c>
      <c r="BR415" t="s">
        <v>241</v>
      </c>
      <c r="BS415" t="s">
        <v>805</v>
      </c>
      <c r="BT415" t="s">
        <v>806</v>
      </c>
    </row>
    <row r="416" spans="1:87">
      <c r="A416" s="40">
        <v>388</v>
      </c>
      <c r="B416" s="40" t="s">
        <v>1744</v>
      </c>
      <c r="C416" s="2" t="s">
        <v>1745</v>
      </c>
      <c r="D416" s="2" t="s">
        <v>21</v>
      </c>
      <c r="E416" s="2"/>
      <c r="F416" s="2">
        <v>75</v>
      </c>
      <c r="G416" s="2">
        <v>89</v>
      </c>
      <c r="H416" s="2">
        <v>85</v>
      </c>
      <c r="I416" s="2">
        <v>55</v>
      </c>
      <c r="J416" s="2">
        <v>65</v>
      </c>
      <c r="K416" s="2">
        <v>36</v>
      </c>
      <c r="L416" s="2">
        <v>405</v>
      </c>
      <c r="M416" s="2" t="s">
        <v>1112</v>
      </c>
      <c r="N416" s="2" t="s">
        <v>1061</v>
      </c>
      <c r="O416" t="s">
        <v>219</v>
      </c>
      <c r="P416" t="s">
        <v>268</v>
      </c>
      <c r="Q416" t="s">
        <v>268</v>
      </c>
      <c r="R416" t="s">
        <v>402</v>
      </c>
      <c r="S416" t="s">
        <v>224</v>
      </c>
      <c r="T416" t="s">
        <v>751</v>
      </c>
      <c r="U416" t="s">
        <v>258</v>
      </c>
      <c r="V416" t="s">
        <v>403</v>
      </c>
      <c r="W416" t="s">
        <v>142</v>
      </c>
      <c r="X416" t="s">
        <v>750</v>
      </c>
      <c r="Y416" t="s">
        <v>777</v>
      </c>
      <c r="Z416" t="s">
        <v>171</v>
      </c>
      <c r="AA416" t="s">
        <v>1086</v>
      </c>
      <c r="AB416" t="s">
        <v>1062</v>
      </c>
      <c r="AC416" t="s">
        <v>226</v>
      </c>
      <c r="AD416" t="s">
        <v>227</v>
      </c>
      <c r="AE416" t="s">
        <v>1063</v>
      </c>
      <c r="AF416" t="s">
        <v>148</v>
      </c>
      <c r="AG416" t="s">
        <v>172</v>
      </c>
      <c r="AH416" t="s">
        <v>752</v>
      </c>
      <c r="AI416" t="s">
        <v>228</v>
      </c>
      <c r="AJ416" t="s">
        <v>1078</v>
      </c>
      <c r="AK416" t="s">
        <v>759</v>
      </c>
      <c r="AL416" t="s">
        <v>1079</v>
      </c>
      <c r="AM416" t="s">
        <v>229</v>
      </c>
      <c r="AN416" t="s">
        <v>1080</v>
      </c>
      <c r="AO416" t="s">
        <v>230</v>
      </c>
      <c r="AP416" t="s">
        <v>380</v>
      </c>
      <c r="AQ416" t="s">
        <v>917</v>
      </c>
      <c r="AR416" t="s">
        <v>231</v>
      </c>
      <c r="AS416" t="s">
        <v>1082</v>
      </c>
      <c r="AT416" t="s">
        <v>1037</v>
      </c>
      <c r="AU416" t="s">
        <v>970</v>
      </c>
      <c r="AV416" t="s">
        <v>232</v>
      </c>
      <c r="AW416" t="s">
        <v>145</v>
      </c>
      <c r="AX416" t="s">
        <v>977</v>
      </c>
      <c r="AY416" t="s">
        <v>756</v>
      </c>
      <c r="AZ416" t="s">
        <v>233</v>
      </c>
      <c r="BA416" t="s">
        <v>760</v>
      </c>
      <c r="BB416" t="s">
        <v>234</v>
      </c>
      <c r="BC416" t="s">
        <v>364</v>
      </c>
      <c r="BD416" t="s">
        <v>373</v>
      </c>
      <c r="BE416" t="s">
        <v>225</v>
      </c>
      <c r="BF416" t="s">
        <v>215</v>
      </c>
      <c r="BG416" t="s">
        <v>235</v>
      </c>
      <c r="BH416" t="s">
        <v>946</v>
      </c>
      <c r="BI416" t="s">
        <v>1133</v>
      </c>
      <c r="BJ416" t="s">
        <v>948</v>
      </c>
      <c r="BK416" t="s">
        <v>947</v>
      </c>
      <c r="BL416" t="s">
        <v>950</v>
      </c>
      <c r="BM416" t="s">
        <v>939</v>
      </c>
      <c r="BN416" t="s">
        <v>1017</v>
      </c>
      <c r="BO416" t="s">
        <v>1004</v>
      </c>
      <c r="BP416" t="s">
        <v>968</v>
      </c>
      <c r="BQ416" t="s">
        <v>1187</v>
      </c>
      <c r="BR416" t="s">
        <v>239</v>
      </c>
      <c r="BS416" t="s">
        <v>241</v>
      </c>
      <c r="BT416" t="s">
        <v>805</v>
      </c>
      <c r="BU416" t="s">
        <v>806</v>
      </c>
    </row>
    <row r="417" spans="1:105">
      <c r="A417" s="40">
        <v>389</v>
      </c>
      <c r="B417" s="40" t="s">
        <v>1746</v>
      </c>
      <c r="C417" s="2" t="s">
        <v>1747</v>
      </c>
      <c r="D417" s="2" t="s">
        <v>21</v>
      </c>
      <c r="E417" s="2" t="s">
        <v>22</v>
      </c>
      <c r="F417" s="2">
        <v>95</v>
      </c>
      <c r="G417" s="2">
        <v>109</v>
      </c>
      <c r="H417" s="2">
        <v>105</v>
      </c>
      <c r="I417" s="2">
        <v>75</v>
      </c>
      <c r="J417" s="2">
        <v>85</v>
      </c>
      <c r="K417" s="2">
        <v>56</v>
      </c>
      <c r="L417" s="2">
        <v>525</v>
      </c>
      <c r="M417" s="2" t="s">
        <v>1090</v>
      </c>
      <c r="N417" s="2" t="s">
        <v>1061</v>
      </c>
      <c r="O417" t="s">
        <v>219</v>
      </c>
      <c r="P417" t="s">
        <v>402</v>
      </c>
      <c r="Q417" t="s">
        <v>224</v>
      </c>
      <c r="R417" t="s">
        <v>268</v>
      </c>
      <c r="S417" t="s">
        <v>1218</v>
      </c>
      <c r="T417" t="s">
        <v>268</v>
      </c>
      <c r="U417" t="s">
        <v>402</v>
      </c>
      <c r="V417" t="s">
        <v>224</v>
      </c>
      <c r="W417" t="s">
        <v>751</v>
      </c>
      <c r="X417" t="s">
        <v>258</v>
      </c>
      <c r="Y417" t="s">
        <v>403</v>
      </c>
      <c r="Z417" t="s">
        <v>136</v>
      </c>
      <c r="AA417" t="s">
        <v>142</v>
      </c>
      <c r="AB417" t="s">
        <v>750</v>
      </c>
      <c r="AC417" t="s">
        <v>777</v>
      </c>
      <c r="AD417" t="s">
        <v>171</v>
      </c>
      <c r="AE417" t="s">
        <v>1086</v>
      </c>
      <c r="AF417" t="s">
        <v>1062</v>
      </c>
      <c r="AG417" t="s">
        <v>226</v>
      </c>
      <c r="AH417" t="s">
        <v>227</v>
      </c>
      <c r="AI417" t="s">
        <v>1063</v>
      </c>
      <c r="AJ417" t="s">
        <v>246</v>
      </c>
      <c r="AK417" t="s">
        <v>148</v>
      </c>
      <c r="AL417" t="s">
        <v>172</v>
      </c>
      <c r="AM417" t="s">
        <v>752</v>
      </c>
      <c r="AN417" t="s">
        <v>247</v>
      </c>
      <c r="AO417" t="s">
        <v>228</v>
      </c>
      <c r="AP417" t="s">
        <v>1078</v>
      </c>
      <c r="AQ417" t="s">
        <v>759</v>
      </c>
      <c r="AR417" t="s">
        <v>1079</v>
      </c>
      <c r="AS417" t="s">
        <v>229</v>
      </c>
      <c r="AT417" t="s">
        <v>136</v>
      </c>
      <c r="AU417" t="s">
        <v>1080</v>
      </c>
      <c r="AV417" t="s">
        <v>230</v>
      </c>
      <c r="AW417" t="s">
        <v>380</v>
      </c>
      <c r="AX417" t="s">
        <v>765</v>
      </c>
      <c r="AY417" t="s">
        <v>1095</v>
      </c>
      <c r="AZ417" t="s">
        <v>917</v>
      </c>
      <c r="BA417" t="s">
        <v>231</v>
      </c>
      <c r="BB417" t="s">
        <v>1082</v>
      </c>
      <c r="BC417" t="s">
        <v>1037</v>
      </c>
      <c r="BD417" t="s">
        <v>970</v>
      </c>
      <c r="BE417" t="s">
        <v>976</v>
      </c>
      <c r="BF417" t="s">
        <v>1003</v>
      </c>
      <c r="BG417" t="s">
        <v>232</v>
      </c>
      <c r="BH417" t="s">
        <v>183</v>
      </c>
      <c r="BI417" t="s">
        <v>145</v>
      </c>
      <c r="BJ417" t="s">
        <v>1021</v>
      </c>
      <c r="BK417" t="s">
        <v>143</v>
      </c>
      <c r="BL417" t="s">
        <v>977</v>
      </c>
      <c r="BM417" t="s">
        <v>756</v>
      </c>
      <c r="BN417" t="s">
        <v>233</v>
      </c>
      <c r="BO417" t="s">
        <v>760</v>
      </c>
      <c r="BP417" t="s">
        <v>234</v>
      </c>
      <c r="BQ417" t="s">
        <v>364</v>
      </c>
      <c r="BR417" t="s">
        <v>373</v>
      </c>
      <c r="BS417" t="s">
        <v>225</v>
      </c>
      <c r="BT417" t="s">
        <v>215</v>
      </c>
      <c r="BU417" t="s">
        <v>235</v>
      </c>
      <c r="BV417" t="s">
        <v>946</v>
      </c>
      <c r="BW417" t="s">
        <v>1133</v>
      </c>
      <c r="BX417" t="s">
        <v>948</v>
      </c>
      <c r="BY417" t="s">
        <v>947</v>
      </c>
      <c r="BZ417" t="s">
        <v>950</v>
      </c>
      <c r="CA417" t="s">
        <v>939</v>
      </c>
      <c r="CB417" t="s">
        <v>1017</v>
      </c>
      <c r="CC417" t="s">
        <v>1004</v>
      </c>
      <c r="CD417" t="s">
        <v>968</v>
      </c>
      <c r="CE417" t="s">
        <v>1187</v>
      </c>
      <c r="CF417" t="s">
        <v>239</v>
      </c>
      <c r="CG417" t="s">
        <v>241</v>
      </c>
      <c r="CH417" t="s">
        <v>805</v>
      </c>
      <c r="CI417" t="s">
        <v>806</v>
      </c>
    </row>
    <row r="418" spans="1:105">
      <c r="A418" s="40">
        <v>390</v>
      </c>
      <c r="B418" s="40" t="s">
        <v>1748</v>
      </c>
      <c r="C418" s="2" t="s">
        <v>1749</v>
      </c>
      <c r="D418" s="2" t="s">
        <v>19</v>
      </c>
      <c r="E418" s="2"/>
      <c r="F418" s="2">
        <v>44</v>
      </c>
      <c r="G418" s="2">
        <v>58</v>
      </c>
      <c r="H418" s="2">
        <v>44</v>
      </c>
      <c r="I418" s="2">
        <v>58</v>
      </c>
      <c r="J418" s="2">
        <v>44</v>
      </c>
      <c r="K418" s="2">
        <v>61</v>
      </c>
      <c r="L418" s="2">
        <v>309</v>
      </c>
      <c r="M418" s="2" t="s">
        <v>1141</v>
      </c>
      <c r="N418" s="2" t="s">
        <v>1061</v>
      </c>
      <c r="O418" t="s">
        <v>249</v>
      </c>
      <c r="P418" t="s">
        <v>330</v>
      </c>
      <c r="Q418" t="s">
        <v>250</v>
      </c>
      <c r="R418" t="s">
        <v>1126</v>
      </c>
      <c r="S418" t="s">
        <v>323</v>
      </c>
      <c r="T418" t="s">
        <v>1127</v>
      </c>
      <c r="U418" t="s">
        <v>991</v>
      </c>
      <c r="V418" t="s">
        <v>951</v>
      </c>
      <c r="W418" t="s">
        <v>917</v>
      </c>
      <c r="X418" t="s">
        <v>255</v>
      </c>
      <c r="Y418" t="s">
        <v>1020</v>
      </c>
      <c r="Z418" t="s">
        <v>943</v>
      </c>
      <c r="AA418" t="s">
        <v>254</v>
      </c>
      <c r="AB418" t="s">
        <v>1062</v>
      </c>
      <c r="AC418" t="s">
        <v>226</v>
      </c>
      <c r="AD418" t="s">
        <v>227</v>
      </c>
      <c r="AE418" t="s">
        <v>1063</v>
      </c>
      <c r="AF418" t="s">
        <v>1030</v>
      </c>
      <c r="AG418" t="s">
        <v>148</v>
      </c>
      <c r="AH418" t="s">
        <v>1175</v>
      </c>
      <c r="AI418" t="s">
        <v>172</v>
      </c>
      <c r="AJ418" t="s">
        <v>752</v>
      </c>
      <c r="AK418" t="s">
        <v>1126</v>
      </c>
      <c r="AL418" t="s">
        <v>1078</v>
      </c>
      <c r="AM418" t="s">
        <v>1079</v>
      </c>
      <c r="AN418" t="s">
        <v>1080</v>
      </c>
      <c r="AO418" t="s">
        <v>256</v>
      </c>
      <c r="AP418" t="s">
        <v>1094</v>
      </c>
      <c r="AQ418" t="s">
        <v>230</v>
      </c>
      <c r="AR418" t="s">
        <v>254</v>
      </c>
      <c r="AS418" t="s">
        <v>257</v>
      </c>
      <c r="AT418" t="s">
        <v>1096</v>
      </c>
      <c r="AU418" t="s">
        <v>951</v>
      </c>
      <c r="AV418" t="s">
        <v>917</v>
      </c>
      <c r="AW418" t="s">
        <v>1097</v>
      </c>
      <c r="AX418" t="s">
        <v>231</v>
      </c>
      <c r="AY418" t="s">
        <v>1082</v>
      </c>
      <c r="AZ418" t="s">
        <v>1172</v>
      </c>
      <c r="BA418" t="s">
        <v>1037</v>
      </c>
      <c r="BB418" t="s">
        <v>1098</v>
      </c>
      <c r="BC418" t="s">
        <v>974</v>
      </c>
      <c r="BD418" t="s">
        <v>1031</v>
      </c>
      <c r="BE418" t="s">
        <v>956</v>
      </c>
      <c r="BF418" t="s">
        <v>1020</v>
      </c>
      <c r="BG418" t="s">
        <v>1005</v>
      </c>
      <c r="BH418" t="s">
        <v>145</v>
      </c>
      <c r="BI418" t="s">
        <v>977</v>
      </c>
      <c r="BJ418" t="s">
        <v>756</v>
      </c>
      <c r="BK418" t="s">
        <v>1014</v>
      </c>
      <c r="BL418" t="s">
        <v>233</v>
      </c>
      <c r="BM418" t="s">
        <v>760</v>
      </c>
      <c r="BN418" t="s">
        <v>234</v>
      </c>
      <c r="BO418" t="s">
        <v>137</v>
      </c>
      <c r="BP418" t="s">
        <v>147</v>
      </c>
      <c r="BQ418" t="s">
        <v>359</v>
      </c>
      <c r="BR418" t="s">
        <v>451</v>
      </c>
      <c r="BS418" t="s">
        <v>259</v>
      </c>
      <c r="BT418" t="s">
        <v>302</v>
      </c>
      <c r="BU418" t="s">
        <v>779</v>
      </c>
      <c r="BV418" t="s">
        <v>176</v>
      </c>
      <c r="BW418" t="s">
        <v>924</v>
      </c>
      <c r="BX418" t="s">
        <v>920</v>
      </c>
      <c r="BY418" t="s">
        <v>925</v>
      </c>
      <c r="BZ418" t="s">
        <v>1166</v>
      </c>
      <c r="CA418" t="s">
        <v>1222</v>
      </c>
      <c r="CB418" t="s">
        <v>1035</v>
      </c>
      <c r="CC418" t="s">
        <v>239</v>
      </c>
      <c r="CD418" t="s">
        <v>241</v>
      </c>
      <c r="CE418" t="s">
        <v>805</v>
      </c>
      <c r="CF418" t="s">
        <v>806</v>
      </c>
    </row>
    <row r="419" spans="1:105">
      <c r="A419" s="40">
        <v>391</v>
      </c>
      <c r="B419" s="40" t="s">
        <v>1750</v>
      </c>
      <c r="C419" s="2" t="s">
        <v>1751</v>
      </c>
      <c r="D419" s="2" t="s">
        <v>19</v>
      </c>
      <c r="E419" s="2" t="s">
        <v>18</v>
      </c>
      <c r="F419" s="2">
        <v>64</v>
      </c>
      <c r="G419" s="2">
        <v>78</v>
      </c>
      <c r="H419" s="2">
        <v>52</v>
      </c>
      <c r="I419" s="2">
        <v>78</v>
      </c>
      <c r="J419" s="2">
        <v>52</v>
      </c>
      <c r="K419" s="2">
        <v>81</v>
      </c>
      <c r="L419" s="2">
        <v>405</v>
      </c>
      <c r="M419" s="2" t="s">
        <v>1161</v>
      </c>
      <c r="N419" s="2" t="s">
        <v>1061</v>
      </c>
      <c r="O419" t="s">
        <v>249</v>
      </c>
      <c r="P419" t="s">
        <v>330</v>
      </c>
      <c r="Q419" t="s">
        <v>250</v>
      </c>
      <c r="R419" t="s">
        <v>250</v>
      </c>
      <c r="S419" t="s">
        <v>1126</v>
      </c>
      <c r="T419" t="s">
        <v>1223</v>
      </c>
      <c r="U419" t="s">
        <v>323</v>
      </c>
      <c r="V419" t="s">
        <v>1127</v>
      </c>
      <c r="W419" t="s">
        <v>971</v>
      </c>
      <c r="X419" t="s">
        <v>951</v>
      </c>
      <c r="Y419" t="s">
        <v>1174</v>
      </c>
      <c r="Z419" t="s">
        <v>255</v>
      </c>
      <c r="AA419" t="s">
        <v>1020</v>
      </c>
      <c r="AB419" t="s">
        <v>943</v>
      </c>
      <c r="AC419" t="s">
        <v>972</v>
      </c>
      <c r="AD419" t="s">
        <v>1062</v>
      </c>
      <c r="AE419" t="s">
        <v>226</v>
      </c>
      <c r="AF419" t="s">
        <v>227</v>
      </c>
      <c r="AG419" t="s">
        <v>1063</v>
      </c>
      <c r="AH419" t="s">
        <v>1030</v>
      </c>
      <c r="AI419" t="s">
        <v>148</v>
      </c>
      <c r="AJ419" t="s">
        <v>1175</v>
      </c>
      <c r="AK419" t="s">
        <v>172</v>
      </c>
      <c r="AL419" t="s">
        <v>752</v>
      </c>
      <c r="AM419" t="s">
        <v>1126</v>
      </c>
      <c r="AN419" t="s">
        <v>1078</v>
      </c>
      <c r="AO419" t="s">
        <v>1079</v>
      </c>
      <c r="AP419" t="s">
        <v>1080</v>
      </c>
      <c r="AQ419" t="s">
        <v>256</v>
      </c>
      <c r="AR419" t="s">
        <v>1094</v>
      </c>
      <c r="AS419" t="s">
        <v>230</v>
      </c>
      <c r="AT419" t="s">
        <v>254</v>
      </c>
      <c r="AU419" t="s">
        <v>257</v>
      </c>
      <c r="AV419" t="s">
        <v>1095</v>
      </c>
      <c r="AW419" t="s">
        <v>1096</v>
      </c>
      <c r="AX419" t="s">
        <v>951</v>
      </c>
      <c r="AY419" t="s">
        <v>917</v>
      </c>
      <c r="AZ419" t="s">
        <v>1097</v>
      </c>
      <c r="BA419" t="s">
        <v>231</v>
      </c>
      <c r="BB419" t="s">
        <v>1082</v>
      </c>
      <c r="BC419" t="s">
        <v>1172</v>
      </c>
      <c r="BD419" t="s">
        <v>1037</v>
      </c>
      <c r="BE419" t="s">
        <v>1098</v>
      </c>
      <c r="BF419" t="s">
        <v>1102</v>
      </c>
      <c r="BG419" t="s">
        <v>974</v>
      </c>
      <c r="BH419" t="s">
        <v>1031</v>
      </c>
      <c r="BI419" t="s">
        <v>956</v>
      </c>
      <c r="BJ419" t="s">
        <v>1020</v>
      </c>
      <c r="BK419" t="s">
        <v>1005</v>
      </c>
      <c r="BL419" t="s">
        <v>1036</v>
      </c>
      <c r="BM419" t="s">
        <v>145</v>
      </c>
      <c r="BN419" t="s">
        <v>143</v>
      </c>
      <c r="BO419" t="s">
        <v>997</v>
      </c>
      <c r="BP419" t="s">
        <v>977</v>
      </c>
      <c r="BQ419" t="s">
        <v>756</v>
      </c>
      <c r="BR419" t="s">
        <v>1014</v>
      </c>
      <c r="BS419" t="s">
        <v>233</v>
      </c>
      <c r="BT419" t="s">
        <v>760</v>
      </c>
      <c r="BU419" t="s">
        <v>234</v>
      </c>
      <c r="BV419" t="s">
        <v>137</v>
      </c>
      <c r="BW419" t="s">
        <v>147</v>
      </c>
      <c r="BX419" t="s">
        <v>359</v>
      </c>
      <c r="BY419" t="s">
        <v>451</v>
      </c>
      <c r="BZ419" t="s">
        <v>259</v>
      </c>
      <c r="CA419" t="s">
        <v>302</v>
      </c>
      <c r="CB419" t="s">
        <v>779</v>
      </c>
      <c r="CC419" t="s">
        <v>176</v>
      </c>
      <c r="CD419" t="s">
        <v>924</v>
      </c>
      <c r="CE419" t="s">
        <v>920</v>
      </c>
      <c r="CF419" t="s">
        <v>925</v>
      </c>
      <c r="CG419" t="s">
        <v>1166</v>
      </c>
      <c r="CH419" t="s">
        <v>1222</v>
      </c>
      <c r="CI419" t="s">
        <v>1035</v>
      </c>
      <c r="CJ419" t="s">
        <v>239</v>
      </c>
      <c r="CK419" t="s">
        <v>241</v>
      </c>
      <c r="CL419" t="s">
        <v>991</v>
      </c>
      <c r="CM419" t="s">
        <v>917</v>
      </c>
      <c r="CN419" t="s">
        <v>254</v>
      </c>
      <c r="CO419" t="s">
        <v>805</v>
      </c>
      <c r="CP419" t="s">
        <v>806</v>
      </c>
    </row>
    <row r="420" spans="1:105">
      <c r="A420" s="40">
        <v>392</v>
      </c>
      <c r="B420" s="40" t="s">
        <v>1753</v>
      </c>
      <c r="C420" s="2" t="s">
        <v>1754</v>
      </c>
      <c r="D420" s="2" t="s">
        <v>19</v>
      </c>
      <c r="E420" s="2" t="s">
        <v>18</v>
      </c>
      <c r="F420" s="2">
        <v>76</v>
      </c>
      <c r="G420" s="2">
        <v>104</v>
      </c>
      <c r="H420" s="2">
        <v>71</v>
      </c>
      <c r="I420" s="2">
        <v>104</v>
      </c>
      <c r="J420" s="2">
        <v>71</v>
      </c>
      <c r="K420" s="2">
        <v>108</v>
      </c>
      <c r="L420" s="2">
        <v>534</v>
      </c>
      <c r="M420" s="2" t="s">
        <v>2416</v>
      </c>
      <c r="N420" s="2" t="s">
        <v>1061</v>
      </c>
      <c r="O420" t="s">
        <v>249</v>
      </c>
      <c r="P420" t="s">
        <v>330</v>
      </c>
      <c r="Q420" t="s">
        <v>250</v>
      </c>
      <c r="R420" t="s">
        <v>1126</v>
      </c>
      <c r="S420" t="s">
        <v>250</v>
      </c>
      <c r="T420" t="s">
        <v>1126</v>
      </c>
      <c r="U420" t="s">
        <v>1223</v>
      </c>
      <c r="V420" t="s">
        <v>323</v>
      </c>
      <c r="W420" t="s">
        <v>1127</v>
      </c>
      <c r="X420" t="s">
        <v>971</v>
      </c>
      <c r="Y420" t="s">
        <v>1001</v>
      </c>
      <c r="Z420" t="s">
        <v>1174</v>
      </c>
      <c r="AA420" t="s">
        <v>255</v>
      </c>
      <c r="AB420" t="s">
        <v>1020</v>
      </c>
      <c r="AC420" t="s">
        <v>912</v>
      </c>
      <c r="AD420" t="s">
        <v>972</v>
      </c>
      <c r="AE420" t="s">
        <v>1062</v>
      </c>
      <c r="AF420" t="s">
        <v>226</v>
      </c>
      <c r="AG420" t="s">
        <v>227</v>
      </c>
      <c r="AH420" t="s">
        <v>1063</v>
      </c>
      <c r="AI420" t="s">
        <v>1030</v>
      </c>
      <c r="AJ420" t="s">
        <v>912</v>
      </c>
      <c r="AK420" t="s">
        <v>246</v>
      </c>
      <c r="AL420" t="s">
        <v>148</v>
      </c>
      <c r="AM420" t="s">
        <v>1175</v>
      </c>
      <c r="AN420" t="s">
        <v>172</v>
      </c>
      <c r="AO420" t="s">
        <v>752</v>
      </c>
      <c r="AP420" t="s">
        <v>1126</v>
      </c>
      <c r="AQ420" t="s">
        <v>247</v>
      </c>
      <c r="AR420" t="s">
        <v>1078</v>
      </c>
      <c r="AS420" t="s">
        <v>1079</v>
      </c>
      <c r="AT420" t="s">
        <v>229</v>
      </c>
      <c r="AU420" t="s">
        <v>136</v>
      </c>
      <c r="AV420" t="s">
        <v>1080</v>
      </c>
      <c r="AW420" t="s">
        <v>256</v>
      </c>
      <c r="AX420" t="s">
        <v>1094</v>
      </c>
      <c r="AY420" t="s">
        <v>230</v>
      </c>
      <c r="AZ420" t="s">
        <v>254</v>
      </c>
      <c r="BA420" t="s">
        <v>257</v>
      </c>
      <c r="BB420" t="s">
        <v>1095</v>
      </c>
      <c r="BC420" t="s">
        <v>1096</v>
      </c>
      <c r="BD420" t="s">
        <v>951</v>
      </c>
      <c r="BE420" t="s">
        <v>917</v>
      </c>
      <c r="BF420" t="s">
        <v>1097</v>
      </c>
      <c r="BG420" t="s">
        <v>231</v>
      </c>
      <c r="BH420" t="s">
        <v>1082</v>
      </c>
      <c r="BI420" t="s">
        <v>1172</v>
      </c>
      <c r="BJ420" t="s">
        <v>1037</v>
      </c>
      <c r="BK420" t="s">
        <v>1098</v>
      </c>
      <c r="BL420" t="s">
        <v>1102</v>
      </c>
      <c r="BM420" t="s">
        <v>974</v>
      </c>
      <c r="BN420" t="s">
        <v>1031</v>
      </c>
      <c r="BO420" t="s">
        <v>956</v>
      </c>
      <c r="BP420" t="s">
        <v>1020</v>
      </c>
      <c r="BQ420" t="s">
        <v>1005</v>
      </c>
      <c r="BR420" t="s">
        <v>1036</v>
      </c>
      <c r="BS420" t="s">
        <v>976</v>
      </c>
      <c r="BT420" t="s">
        <v>183</v>
      </c>
      <c r="BU420" t="s">
        <v>145</v>
      </c>
      <c r="BV420" t="s">
        <v>1021</v>
      </c>
      <c r="BW420" t="s">
        <v>143</v>
      </c>
      <c r="BX420" t="s">
        <v>997</v>
      </c>
      <c r="BY420" t="s">
        <v>977</v>
      </c>
      <c r="BZ420" t="s">
        <v>756</v>
      </c>
      <c r="CA420" t="s">
        <v>1014</v>
      </c>
      <c r="CB420" t="s">
        <v>233</v>
      </c>
      <c r="CC420" t="s">
        <v>760</v>
      </c>
      <c r="CD420" t="s">
        <v>234</v>
      </c>
      <c r="CE420" t="s">
        <v>137</v>
      </c>
      <c r="CF420" t="s">
        <v>147</v>
      </c>
      <c r="CG420" t="s">
        <v>359</v>
      </c>
      <c r="CH420" t="s">
        <v>451</v>
      </c>
      <c r="CI420" t="s">
        <v>259</v>
      </c>
      <c r="CJ420" t="s">
        <v>302</v>
      </c>
      <c r="CK420" t="s">
        <v>779</v>
      </c>
      <c r="CL420" t="s">
        <v>176</v>
      </c>
      <c r="CM420" t="s">
        <v>924</v>
      </c>
      <c r="CN420" t="s">
        <v>920</v>
      </c>
      <c r="CO420" t="s">
        <v>925</v>
      </c>
      <c r="CP420" t="s">
        <v>1166</v>
      </c>
      <c r="CQ420" t="s">
        <v>1222</v>
      </c>
      <c r="CR420" t="s">
        <v>1035</v>
      </c>
      <c r="CS420" t="s">
        <v>239</v>
      </c>
      <c r="CT420" t="s">
        <v>241</v>
      </c>
      <c r="CU420" t="s">
        <v>991</v>
      </c>
      <c r="CV420" t="s">
        <v>951</v>
      </c>
      <c r="CW420" t="s">
        <v>917</v>
      </c>
      <c r="CX420" t="s">
        <v>943</v>
      </c>
      <c r="CY420" t="s">
        <v>254</v>
      </c>
      <c r="CZ420" t="s">
        <v>805</v>
      </c>
      <c r="DA420" t="s">
        <v>806</v>
      </c>
    </row>
    <row r="421" spans="1:105">
      <c r="A421" s="40">
        <v>393</v>
      </c>
      <c r="B421" s="40" t="s">
        <v>1756</v>
      </c>
      <c r="C421" s="2" t="s">
        <v>1757</v>
      </c>
      <c r="D421" s="2" t="s">
        <v>27</v>
      </c>
      <c r="E421" s="2"/>
      <c r="F421" s="2">
        <v>53</v>
      </c>
      <c r="G421" s="2">
        <v>51</v>
      </c>
      <c r="H421" s="2">
        <v>53</v>
      </c>
      <c r="I421" s="2">
        <v>61</v>
      </c>
      <c r="J421" s="2">
        <v>56</v>
      </c>
      <c r="K421" s="2">
        <v>40</v>
      </c>
      <c r="L421" s="2">
        <v>314</v>
      </c>
      <c r="M421" s="2" t="s">
        <v>1075</v>
      </c>
      <c r="N421" s="2" t="s">
        <v>1061</v>
      </c>
      <c r="O421" t="s">
        <v>376</v>
      </c>
      <c r="P421" t="s">
        <v>220</v>
      </c>
      <c r="Q421" t="s">
        <v>267</v>
      </c>
      <c r="R421" t="s">
        <v>955</v>
      </c>
      <c r="S421" t="s">
        <v>329</v>
      </c>
      <c r="T421" t="s">
        <v>446</v>
      </c>
      <c r="U421" t="s">
        <v>347</v>
      </c>
      <c r="V421" t="s">
        <v>301</v>
      </c>
      <c r="W421" t="s">
        <v>961</v>
      </c>
      <c r="X421" t="s">
        <v>767</v>
      </c>
      <c r="Y421" t="s">
        <v>273</v>
      </c>
      <c r="Z421" t="s">
        <v>331</v>
      </c>
      <c r="AA421" t="s">
        <v>140</v>
      </c>
      <c r="AB421" t="s">
        <v>1062</v>
      </c>
      <c r="AC421" t="s">
        <v>226</v>
      </c>
      <c r="AD421" t="s">
        <v>144</v>
      </c>
      <c r="AE421" t="s">
        <v>270</v>
      </c>
      <c r="AF421" t="s">
        <v>914</v>
      </c>
      <c r="AG421" t="s">
        <v>1063</v>
      </c>
      <c r="AH421" t="s">
        <v>148</v>
      </c>
      <c r="AI421" t="s">
        <v>1104</v>
      </c>
      <c r="AJ421" t="s">
        <v>172</v>
      </c>
      <c r="AK421" t="s">
        <v>141</v>
      </c>
      <c r="AL421" t="s">
        <v>271</v>
      </c>
      <c r="AM421" t="s">
        <v>1078</v>
      </c>
      <c r="AN421" t="s">
        <v>766</v>
      </c>
      <c r="AO421" t="s">
        <v>1079</v>
      </c>
      <c r="AP421" t="s">
        <v>1080</v>
      </c>
      <c r="AQ421" t="s">
        <v>256</v>
      </c>
      <c r="AR421" t="s">
        <v>1094</v>
      </c>
      <c r="AS421" t="s">
        <v>230</v>
      </c>
      <c r="AT421" t="s">
        <v>1095</v>
      </c>
      <c r="AU421" t="s">
        <v>1096</v>
      </c>
      <c r="AV421" t="s">
        <v>917</v>
      </c>
      <c r="AW421" t="s">
        <v>231</v>
      </c>
      <c r="AX421" t="s">
        <v>1082</v>
      </c>
      <c r="AY421" t="s">
        <v>1037</v>
      </c>
      <c r="AZ421" t="s">
        <v>1083</v>
      </c>
      <c r="BA421" t="s">
        <v>1038</v>
      </c>
      <c r="BB421" t="s">
        <v>974</v>
      </c>
      <c r="BC421" t="s">
        <v>1034</v>
      </c>
      <c r="BD421" t="s">
        <v>977</v>
      </c>
      <c r="BE421" t="s">
        <v>756</v>
      </c>
      <c r="BF421" t="s">
        <v>233</v>
      </c>
      <c r="BG421" t="s">
        <v>234</v>
      </c>
      <c r="BH421" t="s">
        <v>290</v>
      </c>
      <c r="BI421" t="s">
        <v>140</v>
      </c>
      <c r="BJ421" t="s">
        <v>306</v>
      </c>
      <c r="BK421" t="s">
        <v>347</v>
      </c>
      <c r="BL421" t="s">
        <v>753</v>
      </c>
      <c r="BM421" t="s">
        <v>770</v>
      </c>
      <c r="BN421" t="s">
        <v>755</v>
      </c>
      <c r="BO421" t="s">
        <v>769</v>
      </c>
      <c r="BP421" t="s">
        <v>958</v>
      </c>
      <c r="BQ421" t="s">
        <v>1121</v>
      </c>
      <c r="BR421" t="s">
        <v>933</v>
      </c>
      <c r="BS421" t="s">
        <v>178</v>
      </c>
      <c r="BT421" t="s">
        <v>965</v>
      </c>
      <c r="BU421" t="s">
        <v>239</v>
      </c>
      <c r="BV421" t="s">
        <v>241</v>
      </c>
      <c r="BW421" t="s">
        <v>805</v>
      </c>
      <c r="BX421" t="s">
        <v>806</v>
      </c>
    </row>
    <row r="422" spans="1:105">
      <c r="A422" s="40">
        <v>394</v>
      </c>
      <c r="B422" s="40" t="s">
        <v>1758</v>
      </c>
      <c r="C422" s="2" t="s">
        <v>1759</v>
      </c>
      <c r="D422" s="2" t="s">
        <v>27</v>
      </c>
      <c r="E422" s="2"/>
      <c r="F422" s="2">
        <v>64</v>
      </c>
      <c r="G422" s="2">
        <v>66</v>
      </c>
      <c r="H422" s="2">
        <v>68</v>
      </c>
      <c r="I422" s="2">
        <v>81</v>
      </c>
      <c r="J422" s="2">
        <v>76</v>
      </c>
      <c r="K422" s="2">
        <v>50</v>
      </c>
      <c r="L422" s="2">
        <v>405</v>
      </c>
      <c r="M422" s="2" t="s">
        <v>1158</v>
      </c>
      <c r="N422" s="2" t="s">
        <v>1061</v>
      </c>
      <c r="O422" t="s">
        <v>219</v>
      </c>
      <c r="P422" t="s">
        <v>220</v>
      </c>
      <c r="Q422" t="s">
        <v>220</v>
      </c>
      <c r="R422" t="s">
        <v>267</v>
      </c>
      <c r="S422" t="s">
        <v>955</v>
      </c>
      <c r="T422" t="s">
        <v>329</v>
      </c>
      <c r="U422" t="s">
        <v>783</v>
      </c>
      <c r="V422" t="s">
        <v>446</v>
      </c>
      <c r="W422" t="s">
        <v>347</v>
      </c>
      <c r="X422" t="s">
        <v>301</v>
      </c>
      <c r="Y422" t="s">
        <v>961</v>
      </c>
      <c r="Z422" t="s">
        <v>767</v>
      </c>
      <c r="AA422" t="s">
        <v>273</v>
      </c>
      <c r="AB422" t="s">
        <v>331</v>
      </c>
      <c r="AC422" t="s">
        <v>140</v>
      </c>
      <c r="AD422" t="s">
        <v>1062</v>
      </c>
      <c r="AE422" t="s">
        <v>226</v>
      </c>
      <c r="AF422" t="s">
        <v>144</v>
      </c>
      <c r="AG422" t="s">
        <v>227</v>
      </c>
      <c r="AH422" t="s">
        <v>270</v>
      </c>
      <c r="AI422" t="s">
        <v>914</v>
      </c>
      <c r="AJ422" t="s">
        <v>1063</v>
      </c>
      <c r="AK422" t="s">
        <v>1030</v>
      </c>
      <c r="AL422" t="s">
        <v>148</v>
      </c>
      <c r="AM422" t="s">
        <v>1104</v>
      </c>
      <c r="AN422" t="s">
        <v>172</v>
      </c>
      <c r="AO422" t="s">
        <v>141</v>
      </c>
      <c r="AP422" t="s">
        <v>271</v>
      </c>
      <c r="AQ422" t="s">
        <v>1078</v>
      </c>
      <c r="AR422" t="s">
        <v>766</v>
      </c>
      <c r="AS422" t="s">
        <v>1079</v>
      </c>
      <c r="AT422" t="s">
        <v>1080</v>
      </c>
      <c r="AU422" t="s">
        <v>256</v>
      </c>
      <c r="AV422" t="s">
        <v>1094</v>
      </c>
      <c r="AW422" t="s">
        <v>230</v>
      </c>
      <c r="AX422" t="s">
        <v>1095</v>
      </c>
      <c r="AY422" t="s">
        <v>1096</v>
      </c>
      <c r="AZ422" t="s">
        <v>917</v>
      </c>
      <c r="BA422" t="s">
        <v>231</v>
      </c>
      <c r="BB422" t="s">
        <v>1082</v>
      </c>
      <c r="BC422" t="s">
        <v>1037</v>
      </c>
      <c r="BD422" t="s">
        <v>1083</v>
      </c>
      <c r="BE422" t="s">
        <v>1038</v>
      </c>
      <c r="BF422" t="s">
        <v>974</v>
      </c>
      <c r="BG422" t="s">
        <v>1034</v>
      </c>
      <c r="BH422" t="s">
        <v>1005</v>
      </c>
      <c r="BI422" t="s">
        <v>977</v>
      </c>
      <c r="BJ422" t="s">
        <v>756</v>
      </c>
      <c r="BK422" t="s">
        <v>233</v>
      </c>
      <c r="BL422" t="s">
        <v>760</v>
      </c>
      <c r="BM422" t="s">
        <v>234</v>
      </c>
      <c r="BN422" t="s">
        <v>290</v>
      </c>
      <c r="BO422" t="s">
        <v>140</v>
      </c>
      <c r="BP422" t="s">
        <v>306</v>
      </c>
      <c r="BQ422" t="s">
        <v>347</v>
      </c>
      <c r="BR422" t="s">
        <v>753</v>
      </c>
      <c r="BS422" t="s">
        <v>770</v>
      </c>
      <c r="BT422" t="s">
        <v>755</v>
      </c>
      <c r="BU422" t="s">
        <v>769</v>
      </c>
      <c r="BV422" t="s">
        <v>958</v>
      </c>
      <c r="BW422" t="s">
        <v>1121</v>
      </c>
      <c r="BX422" t="s">
        <v>933</v>
      </c>
      <c r="BY422" t="s">
        <v>178</v>
      </c>
      <c r="BZ422" t="s">
        <v>965</v>
      </c>
      <c r="CA422" t="s">
        <v>239</v>
      </c>
      <c r="CB422" t="s">
        <v>241</v>
      </c>
      <c r="CC422" t="s">
        <v>376</v>
      </c>
      <c r="CD422" t="s">
        <v>805</v>
      </c>
      <c r="CE422" t="s">
        <v>806</v>
      </c>
    </row>
    <row r="423" spans="1:105">
      <c r="A423" s="40">
        <v>395</v>
      </c>
      <c r="B423" s="40" t="s">
        <v>1760</v>
      </c>
      <c r="C423" s="2" t="s">
        <v>1761</v>
      </c>
      <c r="D423" s="2" t="s">
        <v>27</v>
      </c>
      <c r="E423" s="2" t="s">
        <v>26</v>
      </c>
      <c r="F423" s="2">
        <v>84</v>
      </c>
      <c r="G423" s="2">
        <v>86</v>
      </c>
      <c r="H423" s="2">
        <v>88</v>
      </c>
      <c r="I423" s="2">
        <v>111</v>
      </c>
      <c r="J423" s="2">
        <v>101</v>
      </c>
      <c r="K423" s="2">
        <v>60</v>
      </c>
      <c r="L423" s="2">
        <v>530</v>
      </c>
      <c r="M423" s="2" t="s">
        <v>1255</v>
      </c>
      <c r="N423" s="2" t="s">
        <v>1061</v>
      </c>
      <c r="O423" t="s">
        <v>219</v>
      </c>
      <c r="P423" t="s">
        <v>220</v>
      </c>
      <c r="Q423" t="s">
        <v>267</v>
      </c>
      <c r="R423" t="s">
        <v>220</v>
      </c>
      <c r="S423" t="s">
        <v>267</v>
      </c>
      <c r="T423" t="s">
        <v>145</v>
      </c>
      <c r="U423" t="s">
        <v>329</v>
      </c>
      <c r="V423" t="s">
        <v>783</v>
      </c>
      <c r="W423" t="s">
        <v>446</v>
      </c>
      <c r="X423" t="s">
        <v>756</v>
      </c>
      <c r="Y423" t="s">
        <v>301</v>
      </c>
      <c r="Z423" t="s">
        <v>961</v>
      </c>
      <c r="AA423" t="s">
        <v>959</v>
      </c>
      <c r="AB423" t="s">
        <v>767</v>
      </c>
      <c r="AC423" t="s">
        <v>273</v>
      </c>
      <c r="AD423" t="s">
        <v>331</v>
      </c>
      <c r="AE423" t="s">
        <v>140</v>
      </c>
      <c r="AF423" t="s">
        <v>1062</v>
      </c>
      <c r="AG423" t="s">
        <v>226</v>
      </c>
      <c r="AH423" t="s">
        <v>144</v>
      </c>
      <c r="AI423" t="s">
        <v>227</v>
      </c>
      <c r="AJ423" t="s">
        <v>270</v>
      </c>
      <c r="AK423" t="s">
        <v>914</v>
      </c>
      <c r="AL423" t="s">
        <v>1063</v>
      </c>
      <c r="AM423" t="s">
        <v>1030</v>
      </c>
      <c r="AN423" t="s">
        <v>246</v>
      </c>
      <c r="AO423" t="s">
        <v>148</v>
      </c>
      <c r="AP423" t="s">
        <v>1104</v>
      </c>
      <c r="AQ423" t="s">
        <v>172</v>
      </c>
      <c r="AR423" t="s">
        <v>141</v>
      </c>
      <c r="AS423" t="s">
        <v>271</v>
      </c>
      <c r="AT423" t="s">
        <v>247</v>
      </c>
      <c r="AU423" t="s">
        <v>1078</v>
      </c>
      <c r="AV423" t="s">
        <v>766</v>
      </c>
      <c r="AW423" t="s">
        <v>1079</v>
      </c>
      <c r="AX423" t="s">
        <v>136</v>
      </c>
      <c r="AY423" t="s">
        <v>1080</v>
      </c>
      <c r="AZ423" t="s">
        <v>256</v>
      </c>
      <c r="BA423" t="s">
        <v>1094</v>
      </c>
      <c r="BB423" t="s">
        <v>230</v>
      </c>
      <c r="BC423" t="s">
        <v>1095</v>
      </c>
      <c r="BD423" t="s">
        <v>1096</v>
      </c>
      <c r="BE423" t="s">
        <v>917</v>
      </c>
      <c r="BF423" t="s">
        <v>231</v>
      </c>
      <c r="BG423" t="s">
        <v>1082</v>
      </c>
      <c r="BH423" t="s">
        <v>1037</v>
      </c>
      <c r="BI423" t="s">
        <v>1083</v>
      </c>
      <c r="BJ423" t="s">
        <v>1038</v>
      </c>
      <c r="BK423" t="s">
        <v>974</v>
      </c>
      <c r="BL423" t="s">
        <v>1034</v>
      </c>
      <c r="BM423" t="s">
        <v>1005</v>
      </c>
      <c r="BN423" t="s">
        <v>976</v>
      </c>
      <c r="BO423" t="s">
        <v>145</v>
      </c>
      <c r="BP423" t="s">
        <v>1021</v>
      </c>
      <c r="BQ423" t="s">
        <v>143</v>
      </c>
      <c r="BR423" t="s">
        <v>977</v>
      </c>
      <c r="BS423" t="s">
        <v>756</v>
      </c>
      <c r="BT423" t="s">
        <v>233</v>
      </c>
      <c r="BU423" t="s">
        <v>973</v>
      </c>
      <c r="BV423" t="s">
        <v>760</v>
      </c>
      <c r="BW423" t="s">
        <v>234</v>
      </c>
      <c r="BX423" t="s">
        <v>290</v>
      </c>
      <c r="BY423" t="s">
        <v>140</v>
      </c>
      <c r="BZ423" t="s">
        <v>306</v>
      </c>
      <c r="CA423" t="s">
        <v>347</v>
      </c>
      <c r="CB423" t="s">
        <v>753</v>
      </c>
      <c r="CC423" t="s">
        <v>770</v>
      </c>
      <c r="CD423" t="s">
        <v>755</v>
      </c>
      <c r="CE423" t="s">
        <v>769</v>
      </c>
      <c r="CF423" t="s">
        <v>958</v>
      </c>
      <c r="CG423" t="s">
        <v>1121</v>
      </c>
      <c r="CH423" t="s">
        <v>933</v>
      </c>
      <c r="CI423" t="s">
        <v>178</v>
      </c>
      <c r="CJ423" t="s">
        <v>965</v>
      </c>
      <c r="CK423" t="s">
        <v>239</v>
      </c>
      <c r="CL423" t="s">
        <v>241</v>
      </c>
      <c r="CM423" t="s">
        <v>376</v>
      </c>
      <c r="CN423" t="s">
        <v>955</v>
      </c>
      <c r="CO423" t="s">
        <v>347</v>
      </c>
      <c r="CP423" t="s">
        <v>805</v>
      </c>
      <c r="CQ423" t="s">
        <v>806</v>
      </c>
    </row>
    <row r="424" spans="1:105">
      <c r="A424" s="40">
        <v>396</v>
      </c>
      <c r="B424" s="40" t="s">
        <v>1762</v>
      </c>
      <c r="C424" s="2" t="s">
        <v>1763</v>
      </c>
      <c r="D424" s="2" t="s">
        <v>24</v>
      </c>
      <c r="E424" s="2" t="s">
        <v>20</v>
      </c>
      <c r="F424" s="2">
        <v>40</v>
      </c>
      <c r="G424" s="2">
        <v>55</v>
      </c>
      <c r="H424" s="2">
        <v>30</v>
      </c>
      <c r="I424" s="2">
        <v>30</v>
      </c>
      <c r="J424" s="2">
        <v>30</v>
      </c>
      <c r="K424" s="2">
        <v>60</v>
      </c>
      <c r="L424" s="2">
        <v>245</v>
      </c>
      <c r="M424" s="2" t="s">
        <v>1208</v>
      </c>
      <c r="N424" s="2" t="s">
        <v>1061</v>
      </c>
      <c r="O424" t="s">
        <v>219</v>
      </c>
      <c r="P424" t="s">
        <v>220</v>
      </c>
      <c r="Q424" t="s">
        <v>310</v>
      </c>
      <c r="R424" t="s">
        <v>264</v>
      </c>
      <c r="S424" t="s">
        <v>230</v>
      </c>
      <c r="T424" t="s">
        <v>916</v>
      </c>
      <c r="U424" t="s">
        <v>291</v>
      </c>
      <c r="V424" t="s">
        <v>1096</v>
      </c>
      <c r="W424" t="s">
        <v>223</v>
      </c>
      <c r="X424" t="s">
        <v>306</v>
      </c>
      <c r="Y424" t="s">
        <v>1123</v>
      </c>
      <c r="Z424" t="s">
        <v>1024</v>
      </c>
      <c r="AA424" t="s">
        <v>1062</v>
      </c>
      <c r="AB424" t="s">
        <v>138</v>
      </c>
      <c r="AC424" t="s">
        <v>1063</v>
      </c>
      <c r="AD424" t="s">
        <v>148</v>
      </c>
      <c r="AE424" t="s">
        <v>172</v>
      </c>
      <c r="AF424" t="s">
        <v>752</v>
      </c>
      <c r="AG424" t="s">
        <v>1078</v>
      </c>
      <c r="AH424" t="s">
        <v>766</v>
      </c>
      <c r="AI424" t="s">
        <v>1119</v>
      </c>
      <c r="AJ424" t="s">
        <v>1079</v>
      </c>
      <c r="AK424" t="s">
        <v>1080</v>
      </c>
      <c r="AL424" t="s">
        <v>230</v>
      </c>
      <c r="AM424" t="s">
        <v>1096</v>
      </c>
      <c r="AN424" t="s">
        <v>917</v>
      </c>
      <c r="AO424" t="s">
        <v>231</v>
      </c>
      <c r="AP424" t="s">
        <v>1082</v>
      </c>
      <c r="AQ424" t="s">
        <v>1117</v>
      </c>
      <c r="AR424" t="s">
        <v>1037</v>
      </c>
      <c r="AS424" t="s">
        <v>1083</v>
      </c>
      <c r="AT424" t="s">
        <v>1125</v>
      </c>
      <c r="AU424" t="s">
        <v>756</v>
      </c>
      <c r="AV424" t="s">
        <v>757</v>
      </c>
      <c r="AW424" t="s">
        <v>1014</v>
      </c>
      <c r="AX424" t="s">
        <v>233</v>
      </c>
      <c r="AY424" t="s">
        <v>2339</v>
      </c>
      <c r="AZ424" t="s">
        <v>234</v>
      </c>
      <c r="BA424" t="s">
        <v>309</v>
      </c>
      <c r="BB424" t="s">
        <v>301</v>
      </c>
      <c r="BC424" t="s">
        <v>225</v>
      </c>
      <c r="BD424" t="s">
        <v>771</v>
      </c>
      <c r="BE424" t="s">
        <v>1220</v>
      </c>
      <c r="BF424" t="s">
        <v>1125</v>
      </c>
      <c r="BG424" t="s">
        <v>773</v>
      </c>
      <c r="BH424" t="s">
        <v>953</v>
      </c>
      <c r="BI424" t="s">
        <v>1128</v>
      </c>
      <c r="BJ424" t="s">
        <v>1121</v>
      </c>
      <c r="BK424" t="s">
        <v>1130</v>
      </c>
      <c r="BL424" t="s">
        <v>1119</v>
      </c>
      <c r="BM424" t="s">
        <v>239</v>
      </c>
      <c r="BN424" t="s">
        <v>241</v>
      </c>
      <c r="BO424" t="s">
        <v>805</v>
      </c>
      <c r="BP424" t="s">
        <v>806</v>
      </c>
    </row>
    <row r="425" spans="1:105">
      <c r="A425" s="40">
        <v>397</v>
      </c>
      <c r="B425" s="40" t="s">
        <v>1764</v>
      </c>
      <c r="C425" s="2" t="s">
        <v>1765</v>
      </c>
      <c r="D425" s="2" t="s">
        <v>24</v>
      </c>
      <c r="E425" s="2" t="s">
        <v>20</v>
      </c>
      <c r="F425" s="2">
        <v>55</v>
      </c>
      <c r="G425" s="2">
        <v>75</v>
      </c>
      <c r="H425" s="2">
        <v>50</v>
      </c>
      <c r="I425" s="2">
        <v>40</v>
      </c>
      <c r="J425" s="2">
        <v>40</v>
      </c>
      <c r="K425" s="2">
        <v>80</v>
      </c>
      <c r="L425" s="2">
        <v>340</v>
      </c>
      <c r="M425" s="2" t="s">
        <v>1199</v>
      </c>
      <c r="N425" s="2" t="s">
        <v>1061</v>
      </c>
      <c r="O425" t="s">
        <v>219</v>
      </c>
      <c r="P425" t="s">
        <v>220</v>
      </c>
      <c r="Q425" t="s">
        <v>310</v>
      </c>
      <c r="R425" t="s">
        <v>310</v>
      </c>
      <c r="S425" t="s">
        <v>264</v>
      </c>
      <c r="T425" t="s">
        <v>230</v>
      </c>
      <c r="U425" t="s">
        <v>916</v>
      </c>
      <c r="V425" t="s">
        <v>291</v>
      </c>
      <c r="W425" t="s">
        <v>1096</v>
      </c>
      <c r="X425" t="s">
        <v>223</v>
      </c>
      <c r="Y425" t="s">
        <v>306</v>
      </c>
      <c r="Z425" t="s">
        <v>1123</v>
      </c>
      <c r="AA425" t="s">
        <v>1024</v>
      </c>
      <c r="AB425" t="s">
        <v>1062</v>
      </c>
      <c r="AC425" t="s">
        <v>138</v>
      </c>
      <c r="AD425" t="s">
        <v>1063</v>
      </c>
      <c r="AE425" t="s">
        <v>148</v>
      </c>
      <c r="AF425" t="s">
        <v>172</v>
      </c>
      <c r="AG425" t="s">
        <v>752</v>
      </c>
      <c r="AH425" t="s">
        <v>1078</v>
      </c>
      <c r="AI425" t="s">
        <v>766</v>
      </c>
      <c r="AJ425" t="s">
        <v>1119</v>
      </c>
      <c r="AK425" t="s">
        <v>1079</v>
      </c>
      <c r="AL425" t="s">
        <v>1080</v>
      </c>
      <c r="AM425" t="s">
        <v>230</v>
      </c>
      <c r="AN425" t="s">
        <v>1096</v>
      </c>
      <c r="AO425" t="s">
        <v>917</v>
      </c>
      <c r="AP425" t="s">
        <v>231</v>
      </c>
      <c r="AQ425" t="s">
        <v>1082</v>
      </c>
      <c r="AR425" t="s">
        <v>1117</v>
      </c>
      <c r="AS425" t="s">
        <v>1037</v>
      </c>
      <c r="AT425" t="s">
        <v>1083</v>
      </c>
      <c r="AU425" t="s">
        <v>1125</v>
      </c>
      <c r="AV425" t="s">
        <v>1036</v>
      </c>
      <c r="AW425" t="s">
        <v>756</v>
      </c>
      <c r="AX425" t="s">
        <v>757</v>
      </c>
      <c r="AY425" t="s">
        <v>1014</v>
      </c>
      <c r="AZ425" t="s">
        <v>233</v>
      </c>
      <c r="BA425" t="s">
        <v>2339</v>
      </c>
      <c r="BB425" t="s">
        <v>234</v>
      </c>
      <c r="BC425" t="s">
        <v>309</v>
      </c>
      <c r="BD425" t="s">
        <v>301</v>
      </c>
      <c r="BE425" t="s">
        <v>225</v>
      </c>
      <c r="BF425" t="s">
        <v>771</v>
      </c>
      <c r="BG425" t="s">
        <v>1220</v>
      </c>
      <c r="BH425" t="s">
        <v>1125</v>
      </c>
      <c r="BI425" t="s">
        <v>773</v>
      </c>
      <c r="BJ425" t="s">
        <v>953</v>
      </c>
      <c r="BK425" t="s">
        <v>1128</v>
      </c>
      <c r="BL425" t="s">
        <v>1121</v>
      </c>
      <c r="BM425" t="s">
        <v>1130</v>
      </c>
      <c r="BN425" t="s">
        <v>1119</v>
      </c>
      <c r="BO425" t="s">
        <v>239</v>
      </c>
      <c r="BP425" t="s">
        <v>241</v>
      </c>
      <c r="BQ425" t="s">
        <v>805</v>
      </c>
      <c r="BR425" t="s">
        <v>806</v>
      </c>
    </row>
    <row r="426" spans="1:105">
      <c r="A426" s="40">
        <v>398</v>
      </c>
      <c r="B426" s="40" t="s">
        <v>1766</v>
      </c>
      <c r="C426" s="2" t="s">
        <v>1767</v>
      </c>
      <c r="D426" s="2" t="s">
        <v>24</v>
      </c>
      <c r="E426" s="2" t="s">
        <v>20</v>
      </c>
      <c r="F426" s="2">
        <v>85</v>
      </c>
      <c r="G426" s="2">
        <v>120</v>
      </c>
      <c r="H426" s="2">
        <v>70</v>
      </c>
      <c r="I426" s="2">
        <v>50</v>
      </c>
      <c r="J426" s="2">
        <v>50</v>
      </c>
      <c r="K426" s="2">
        <v>100</v>
      </c>
      <c r="L426" s="2">
        <v>475</v>
      </c>
      <c r="M426" s="2" t="s">
        <v>1162</v>
      </c>
      <c r="N426" s="2" t="s">
        <v>1061</v>
      </c>
      <c r="O426" t="s">
        <v>264</v>
      </c>
      <c r="P426" t="s">
        <v>219</v>
      </c>
      <c r="Q426" t="s">
        <v>220</v>
      </c>
      <c r="R426" t="s">
        <v>310</v>
      </c>
      <c r="S426" t="s">
        <v>310</v>
      </c>
      <c r="T426" t="s">
        <v>264</v>
      </c>
      <c r="U426" t="s">
        <v>230</v>
      </c>
      <c r="V426" t="s">
        <v>916</v>
      </c>
      <c r="W426" t="s">
        <v>291</v>
      </c>
      <c r="X426" t="s">
        <v>1096</v>
      </c>
      <c r="Y426" t="s">
        <v>223</v>
      </c>
      <c r="Z426" t="s">
        <v>1174</v>
      </c>
      <c r="AA426" t="s">
        <v>306</v>
      </c>
      <c r="AB426" t="s">
        <v>1123</v>
      </c>
      <c r="AC426" t="s">
        <v>1024</v>
      </c>
      <c r="AD426" t="s">
        <v>1062</v>
      </c>
      <c r="AE426" t="s">
        <v>138</v>
      </c>
      <c r="AF426" t="s">
        <v>1063</v>
      </c>
      <c r="AG426" t="s">
        <v>148</v>
      </c>
      <c r="AH426" t="s">
        <v>172</v>
      </c>
      <c r="AI426" t="s">
        <v>752</v>
      </c>
      <c r="AJ426" t="s">
        <v>247</v>
      </c>
      <c r="AK426" t="s">
        <v>1078</v>
      </c>
      <c r="AL426" t="s">
        <v>766</v>
      </c>
      <c r="AM426" t="s">
        <v>1119</v>
      </c>
      <c r="AN426" t="s">
        <v>1079</v>
      </c>
      <c r="AO426" t="s">
        <v>1080</v>
      </c>
      <c r="AP426" t="s">
        <v>230</v>
      </c>
      <c r="AQ426" t="s">
        <v>1096</v>
      </c>
      <c r="AR426" t="s">
        <v>917</v>
      </c>
      <c r="AS426" t="s">
        <v>231</v>
      </c>
      <c r="AT426" t="s">
        <v>1082</v>
      </c>
      <c r="AU426" t="s">
        <v>1117</v>
      </c>
      <c r="AV426" t="s">
        <v>1037</v>
      </c>
      <c r="AW426" t="s">
        <v>1083</v>
      </c>
      <c r="AX426" t="s">
        <v>1125</v>
      </c>
      <c r="AY426" t="s">
        <v>1036</v>
      </c>
      <c r="AZ426" t="s">
        <v>976</v>
      </c>
      <c r="BA426" t="s">
        <v>756</v>
      </c>
      <c r="BB426" t="s">
        <v>757</v>
      </c>
      <c r="BC426" t="s">
        <v>1014</v>
      </c>
      <c r="BD426" t="s">
        <v>233</v>
      </c>
      <c r="BE426" t="s">
        <v>2339</v>
      </c>
      <c r="BF426" t="s">
        <v>234</v>
      </c>
      <c r="BG426" t="s">
        <v>309</v>
      </c>
      <c r="BH426" t="s">
        <v>301</v>
      </c>
      <c r="BI426" t="s">
        <v>225</v>
      </c>
      <c r="BJ426" t="s">
        <v>771</v>
      </c>
      <c r="BK426" t="s">
        <v>1220</v>
      </c>
      <c r="BL426" t="s">
        <v>1125</v>
      </c>
      <c r="BM426" t="s">
        <v>773</v>
      </c>
      <c r="BN426" t="s">
        <v>953</v>
      </c>
      <c r="BO426" t="s">
        <v>1128</v>
      </c>
      <c r="BP426" t="s">
        <v>1121</v>
      </c>
      <c r="BQ426" t="s">
        <v>1130</v>
      </c>
      <c r="BR426" t="s">
        <v>1119</v>
      </c>
      <c r="BS426" t="s">
        <v>239</v>
      </c>
      <c r="BT426" t="s">
        <v>241</v>
      </c>
      <c r="BU426" t="s">
        <v>805</v>
      </c>
      <c r="BV426" t="s">
        <v>806</v>
      </c>
    </row>
    <row r="427" spans="1:105">
      <c r="A427" s="40">
        <v>399</v>
      </c>
      <c r="B427" s="40" t="s">
        <v>1768</v>
      </c>
      <c r="C427" s="2" t="s">
        <v>1769</v>
      </c>
      <c r="D427" s="2" t="s">
        <v>24</v>
      </c>
      <c r="E427" s="2"/>
      <c r="F427" s="2">
        <v>59</v>
      </c>
      <c r="G427" s="2">
        <v>45</v>
      </c>
      <c r="H427" s="2">
        <v>40</v>
      </c>
      <c r="I427" s="2">
        <v>35</v>
      </c>
      <c r="J427" s="2">
        <v>40</v>
      </c>
      <c r="K427" s="2">
        <v>31</v>
      </c>
      <c r="L427" s="2">
        <v>250</v>
      </c>
      <c r="M427" s="2" t="s">
        <v>1145</v>
      </c>
      <c r="N427" s="2" t="s">
        <v>1061</v>
      </c>
      <c r="O427" t="s">
        <v>219</v>
      </c>
      <c r="P427" t="s">
        <v>220</v>
      </c>
      <c r="Q427" t="s">
        <v>353</v>
      </c>
      <c r="R427" t="s">
        <v>768</v>
      </c>
      <c r="S427" t="s">
        <v>420</v>
      </c>
      <c r="T427" t="s">
        <v>319</v>
      </c>
      <c r="U427" t="s">
        <v>958</v>
      </c>
      <c r="V427" t="s">
        <v>235</v>
      </c>
      <c r="W427" t="s">
        <v>223</v>
      </c>
      <c r="X427" t="s">
        <v>320</v>
      </c>
      <c r="Y427" t="s">
        <v>947</v>
      </c>
      <c r="Z427" t="s">
        <v>751</v>
      </c>
      <c r="AA427" t="s">
        <v>1062</v>
      </c>
      <c r="AB427" t="s">
        <v>226</v>
      </c>
      <c r="AC427" t="s">
        <v>1063</v>
      </c>
      <c r="AD427" t="s">
        <v>148</v>
      </c>
      <c r="AE427" t="s">
        <v>172</v>
      </c>
      <c r="AF427" t="s">
        <v>752</v>
      </c>
      <c r="AG427" t="s">
        <v>1126</v>
      </c>
      <c r="AH427" t="s">
        <v>141</v>
      </c>
      <c r="AI427" t="s">
        <v>271</v>
      </c>
      <c r="AJ427" t="s">
        <v>1078</v>
      </c>
      <c r="AK427" t="s">
        <v>766</v>
      </c>
      <c r="AL427" t="s">
        <v>1079</v>
      </c>
      <c r="AM427" t="s">
        <v>146</v>
      </c>
      <c r="AN427" t="s">
        <v>321</v>
      </c>
      <c r="AO427" t="s">
        <v>1080</v>
      </c>
      <c r="AP427" t="s">
        <v>256</v>
      </c>
      <c r="AQ427" t="s">
        <v>174</v>
      </c>
      <c r="AR427" t="s">
        <v>230</v>
      </c>
      <c r="AS427" t="s">
        <v>917</v>
      </c>
      <c r="AT427" t="s">
        <v>231</v>
      </c>
      <c r="AU427" t="s">
        <v>1082</v>
      </c>
      <c r="AV427" t="s">
        <v>1117</v>
      </c>
      <c r="AW427" t="s">
        <v>1037</v>
      </c>
      <c r="AX427" t="s">
        <v>1083</v>
      </c>
      <c r="AY427" t="s">
        <v>963</v>
      </c>
      <c r="AZ427" t="s">
        <v>1036</v>
      </c>
      <c r="BA427" t="s">
        <v>322</v>
      </c>
      <c r="BB427" t="s">
        <v>977</v>
      </c>
      <c r="BC427" t="s">
        <v>756</v>
      </c>
      <c r="BD427" t="s">
        <v>757</v>
      </c>
      <c r="BE427" t="s">
        <v>233</v>
      </c>
      <c r="BF427" t="s">
        <v>760</v>
      </c>
      <c r="BG427" t="s">
        <v>2339</v>
      </c>
      <c r="BH427" t="s">
        <v>234</v>
      </c>
      <c r="BI427" t="s">
        <v>219</v>
      </c>
      <c r="BJ427" t="s">
        <v>225</v>
      </c>
      <c r="BK427" t="s">
        <v>220</v>
      </c>
      <c r="BL427" t="s">
        <v>310</v>
      </c>
      <c r="BM427" t="s">
        <v>353</v>
      </c>
      <c r="BN427" t="s">
        <v>237</v>
      </c>
      <c r="BO427" t="s">
        <v>323</v>
      </c>
      <c r="BP427" t="s">
        <v>754</v>
      </c>
      <c r="BQ427" t="s">
        <v>768</v>
      </c>
      <c r="BR427" t="s">
        <v>757</v>
      </c>
      <c r="BS427" t="s">
        <v>934</v>
      </c>
      <c r="BT427" t="s">
        <v>955</v>
      </c>
      <c r="BU427" t="s">
        <v>179</v>
      </c>
      <c r="BV427" t="s">
        <v>1002</v>
      </c>
      <c r="BW427" t="s">
        <v>239</v>
      </c>
      <c r="BX427" t="s">
        <v>241</v>
      </c>
      <c r="BY427" t="s">
        <v>805</v>
      </c>
      <c r="BZ427" t="s">
        <v>806</v>
      </c>
    </row>
    <row r="428" spans="1:105">
      <c r="A428" s="40">
        <v>400</v>
      </c>
      <c r="B428" s="40" t="s">
        <v>1770</v>
      </c>
      <c r="C428" s="2" t="s">
        <v>1771</v>
      </c>
      <c r="D428" s="2" t="s">
        <v>24</v>
      </c>
      <c r="E428" s="2" t="s">
        <v>27</v>
      </c>
      <c r="F428" s="2">
        <v>79</v>
      </c>
      <c r="G428" s="2">
        <v>85</v>
      </c>
      <c r="H428" s="2">
        <v>60</v>
      </c>
      <c r="I428" s="2">
        <v>55</v>
      </c>
      <c r="J428" s="2">
        <v>60</v>
      </c>
      <c r="K428" s="2">
        <v>71</v>
      </c>
      <c r="L428" s="2">
        <v>410</v>
      </c>
      <c r="M428" s="2" t="s">
        <v>1168</v>
      </c>
      <c r="N428" s="2" t="s">
        <v>1061</v>
      </c>
      <c r="O428" t="s">
        <v>219</v>
      </c>
      <c r="P428" t="s">
        <v>220</v>
      </c>
      <c r="Q428" t="s">
        <v>2400</v>
      </c>
      <c r="R428" t="s">
        <v>220</v>
      </c>
      <c r="S428" t="s">
        <v>353</v>
      </c>
      <c r="T428" t="s">
        <v>768</v>
      </c>
      <c r="U428" t="s">
        <v>269</v>
      </c>
      <c r="V428" t="s">
        <v>420</v>
      </c>
      <c r="W428" t="s">
        <v>319</v>
      </c>
      <c r="X428" t="s">
        <v>958</v>
      </c>
      <c r="Y428" t="s">
        <v>235</v>
      </c>
      <c r="Z428" t="s">
        <v>223</v>
      </c>
      <c r="AA428" t="s">
        <v>320</v>
      </c>
      <c r="AB428" t="s">
        <v>947</v>
      </c>
      <c r="AC428" t="s">
        <v>751</v>
      </c>
      <c r="AD428" t="s">
        <v>1062</v>
      </c>
      <c r="AE428" t="s">
        <v>226</v>
      </c>
      <c r="AF428" t="s">
        <v>144</v>
      </c>
      <c r="AG428" t="s">
        <v>227</v>
      </c>
      <c r="AH428" t="s">
        <v>270</v>
      </c>
      <c r="AI428" t="s">
        <v>914</v>
      </c>
      <c r="AJ428" t="s">
        <v>1063</v>
      </c>
      <c r="AK428" t="s">
        <v>148</v>
      </c>
      <c r="AL428" t="s">
        <v>172</v>
      </c>
      <c r="AM428" t="s">
        <v>752</v>
      </c>
      <c r="AN428" t="s">
        <v>1126</v>
      </c>
      <c r="AO428" t="s">
        <v>141</v>
      </c>
      <c r="AP428" t="s">
        <v>271</v>
      </c>
      <c r="AQ428" t="s">
        <v>247</v>
      </c>
      <c r="AR428" t="s">
        <v>1078</v>
      </c>
      <c r="AS428" t="s">
        <v>766</v>
      </c>
      <c r="AT428" t="s">
        <v>1079</v>
      </c>
      <c r="AU428" t="s">
        <v>146</v>
      </c>
      <c r="AV428" t="s">
        <v>321</v>
      </c>
      <c r="AW428" t="s">
        <v>1080</v>
      </c>
      <c r="AX428" t="s">
        <v>256</v>
      </c>
      <c r="AY428" t="s">
        <v>174</v>
      </c>
      <c r="AZ428" t="s">
        <v>230</v>
      </c>
      <c r="BA428" t="s">
        <v>917</v>
      </c>
      <c r="BB428" t="s">
        <v>231</v>
      </c>
      <c r="BC428" t="s">
        <v>1082</v>
      </c>
      <c r="BD428" t="s">
        <v>1117</v>
      </c>
      <c r="BE428" t="s">
        <v>1037</v>
      </c>
      <c r="BF428" t="s">
        <v>1083</v>
      </c>
      <c r="BG428" t="s">
        <v>1038</v>
      </c>
      <c r="BH428" t="s">
        <v>974</v>
      </c>
      <c r="BI428" t="s">
        <v>963</v>
      </c>
      <c r="BJ428" t="s">
        <v>1036</v>
      </c>
      <c r="BK428" t="s">
        <v>976</v>
      </c>
      <c r="BL428" t="s">
        <v>322</v>
      </c>
      <c r="BM428" t="s">
        <v>1021</v>
      </c>
      <c r="BN428" t="s">
        <v>977</v>
      </c>
      <c r="BO428" t="s">
        <v>756</v>
      </c>
      <c r="BP428" t="s">
        <v>757</v>
      </c>
      <c r="BQ428" t="s">
        <v>233</v>
      </c>
      <c r="BR428" t="s">
        <v>760</v>
      </c>
      <c r="BS428" t="s">
        <v>2339</v>
      </c>
      <c r="BT428" t="s">
        <v>234</v>
      </c>
      <c r="BU428" t="s">
        <v>219</v>
      </c>
      <c r="BV428" t="s">
        <v>225</v>
      </c>
      <c r="BW428" t="s">
        <v>220</v>
      </c>
      <c r="BX428" t="s">
        <v>310</v>
      </c>
      <c r="BY428" t="s">
        <v>353</v>
      </c>
      <c r="BZ428" t="s">
        <v>237</v>
      </c>
      <c r="CA428" t="s">
        <v>323</v>
      </c>
      <c r="CB428" t="s">
        <v>754</v>
      </c>
      <c r="CC428" t="s">
        <v>768</v>
      </c>
      <c r="CD428" t="s">
        <v>757</v>
      </c>
      <c r="CE428" t="s">
        <v>934</v>
      </c>
      <c r="CF428" t="s">
        <v>955</v>
      </c>
      <c r="CG428" t="s">
        <v>179</v>
      </c>
      <c r="CH428" t="s">
        <v>1002</v>
      </c>
      <c r="CI428" t="s">
        <v>239</v>
      </c>
      <c r="CJ428" t="s">
        <v>241</v>
      </c>
      <c r="CK428" t="s">
        <v>805</v>
      </c>
      <c r="CL428" t="s">
        <v>806</v>
      </c>
    </row>
    <row r="429" spans="1:105">
      <c r="A429" s="40">
        <v>401</v>
      </c>
      <c r="B429" s="40" t="s">
        <v>1772</v>
      </c>
      <c r="C429" s="2" t="s">
        <v>1773</v>
      </c>
      <c r="D429" s="2" t="s">
        <v>14</v>
      </c>
      <c r="E429" s="2"/>
      <c r="F429" s="2">
        <v>37</v>
      </c>
      <c r="G429" s="2">
        <v>25</v>
      </c>
      <c r="H429" s="2">
        <v>41</v>
      </c>
      <c r="I429" s="2">
        <v>25</v>
      </c>
      <c r="J429" s="2">
        <v>41</v>
      </c>
      <c r="K429" s="2">
        <v>25</v>
      </c>
      <c r="L429" s="2">
        <v>194</v>
      </c>
      <c r="M429" s="2" t="s">
        <v>1232</v>
      </c>
      <c r="N429" s="2" t="s">
        <v>1061</v>
      </c>
      <c r="O429" t="s">
        <v>220</v>
      </c>
      <c r="P429" t="s">
        <v>347</v>
      </c>
      <c r="Q429" t="s">
        <v>1042</v>
      </c>
      <c r="R429" t="s">
        <v>1110</v>
      </c>
      <c r="S429" t="s">
        <v>1062</v>
      </c>
      <c r="T429" t="s">
        <v>1063</v>
      </c>
      <c r="U429" t="s">
        <v>234</v>
      </c>
      <c r="V429" t="s">
        <v>239</v>
      </c>
      <c r="W429" t="s">
        <v>241</v>
      </c>
      <c r="X429" t="s">
        <v>805</v>
      </c>
      <c r="Y429" t="s">
        <v>806</v>
      </c>
    </row>
    <row r="430" spans="1:105">
      <c r="A430" s="40">
        <v>402</v>
      </c>
      <c r="B430" s="40" t="s">
        <v>1774</v>
      </c>
      <c r="C430" s="2" t="s">
        <v>1775</v>
      </c>
      <c r="D430" s="2" t="s">
        <v>14</v>
      </c>
      <c r="E430" s="2"/>
      <c r="F430" s="2">
        <v>77</v>
      </c>
      <c r="G430" s="2">
        <v>85</v>
      </c>
      <c r="H430" s="2">
        <v>51</v>
      </c>
      <c r="I430" s="2">
        <v>55</v>
      </c>
      <c r="J430" s="2">
        <v>51</v>
      </c>
      <c r="K430" s="2">
        <v>65</v>
      </c>
      <c r="L430" s="2">
        <v>384</v>
      </c>
      <c r="M430" s="2" t="s">
        <v>1066</v>
      </c>
      <c r="N430" s="2" t="s">
        <v>1061</v>
      </c>
      <c r="O430" t="s">
        <v>220</v>
      </c>
      <c r="P430" t="s">
        <v>347</v>
      </c>
      <c r="Q430" t="s">
        <v>758</v>
      </c>
      <c r="R430" t="s">
        <v>397</v>
      </c>
      <c r="S430" t="s">
        <v>377</v>
      </c>
      <c r="T430" t="s">
        <v>302</v>
      </c>
      <c r="U430" t="s">
        <v>253</v>
      </c>
      <c r="V430" t="s">
        <v>1018</v>
      </c>
      <c r="W430" t="s">
        <v>324</v>
      </c>
      <c r="X430" t="s">
        <v>1126</v>
      </c>
      <c r="Y430" t="s">
        <v>993</v>
      </c>
      <c r="Z430" t="s">
        <v>1115</v>
      </c>
      <c r="AA430" t="s">
        <v>786</v>
      </c>
      <c r="AB430" t="s">
        <v>1062</v>
      </c>
      <c r="AC430" t="s">
        <v>226</v>
      </c>
      <c r="AD430" t="s">
        <v>227</v>
      </c>
      <c r="AE430" t="s">
        <v>1063</v>
      </c>
      <c r="AF430" t="s">
        <v>1030</v>
      </c>
      <c r="AG430" t="s">
        <v>148</v>
      </c>
      <c r="AH430" t="s">
        <v>172</v>
      </c>
      <c r="AI430" t="s">
        <v>752</v>
      </c>
      <c r="AJ430" t="s">
        <v>1126</v>
      </c>
      <c r="AK430" t="s">
        <v>247</v>
      </c>
      <c r="AL430" t="s">
        <v>1078</v>
      </c>
      <c r="AM430" t="s">
        <v>766</v>
      </c>
      <c r="AN430" t="s">
        <v>1079</v>
      </c>
      <c r="AO430" t="s">
        <v>1080</v>
      </c>
      <c r="AP430" t="s">
        <v>1094</v>
      </c>
      <c r="AQ430" t="s">
        <v>230</v>
      </c>
      <c r="AR430" t="s">
        <v>1096</v>
      </c>
      <c r="AS430" t="s">
        <v>917</v>
      </c>
      <c r="AT430" t="s">
        <v>231</v>
      </c>
      <c r="AU430" t="s">
        <v>1082</v>
      </c>
      <c r="AV430" t="s">
        <v>1037</v>
      </c>
      <c r="AW430" t="s">
        <v>1083</v>
      </c>
      <c r="AX430" t="s">
        <v>776</v>
      </c>
      <c r="AY430" t="s">
        <v>976</v>
      </c>
      <c r="AZ430" t="s">
        <v>232</v>
      </c>
      <c r="BA430" t="s">
        <v>145</v>
      </c>
      <c r="BB430" t="s">
        <v>1042</v>
      </c>
      <c r="BC430" t="s">
        <v>1018</v>
      </c>
      <c r="BD430" t="s">
        <v>756</v>
      </c>
      <c r="BE430" t="s">
        <v>233</v>
      </c>
      <c r="BF430" t="s">
        <v>760</v>
      </c>
      <c r="BG430" t="s">
        <v>234</v>
      </c>
      <c r="BH430" t="s">
        <v>239</v>
      </c>
      <c r="BI430" t="s">
        <v>241</v>
      </c>
      <c r="BJ430" t="s">
        <v>1042</v>
      </c>
      <c r="BK430" t="s">
        <v>1110</v>
      </c>
      <c r="BL430" t="s">
        <v>805</v>
      </c>
      <c r="BM430" t="s">
        <v>806</v>
      </c>
    </row>
    <row r="431" spans="1:105">
      <c r="A431" s="40">
        <v>403</v>
      </c>
      <c r="B431" s="40" t="s">
        <v>1776</v>
      </c>
      <c r="C431" s="2" t="s">
        <v>1777</v>
      </c>
      <c r="D431" s="2" t="s">
        <v>17</v>
      </c>
      <c r="E431" s="2"/>
      <c r="F431" s="2">
        <v>45</v>
      </c>
      <c r="G431" s="2">
        <v>65</v>
      </c>
      <c r="H431" s="2">
        <v>34</v>
      </c>
      <c r="I431" s="2">
        <v>40</v>
      </c>
      <c r="J431" s="2">
        <v>34</v>
      </c>
      <c r="K431" s="2">
        <v>45</v>
      </c>
      <c r="L431" s="2">
        <v>263</v>
      </c>
      <c r="M431" s="2" t="s">
        <v>1112</v>
      </c>
      <c r="N431" s="2" t="s">
        <v>1061</v>
      </c>
      <c r="O431" t="s">
        <v>219</v>
      </c>
      <c r="P431" t="s">
        <v>330</v>
      </c>
      <c r="Q431" t="s">
        <v>1140</v>
      </c>
      <c r="R431" t="s">
        <v>2333</v>
      </c>
      <c r="S431" t="s">
        <v>1203</v>
      </c>
      <c r="T431" t="s">
        <v>258</v>
      </c>
      <c r="U431" t="s">
        <v>246</v>
      </c>
      <c r="V431" t="s">
        <v>756</v>
      </c>
      <c r="W431" t="s">
        <v>1010</v>
      </c>
      <c r="X431" t="s">
        <v>777</v>
      </c>
      <c r="Y431" t="s">
        <v>1092</v>
      </c>
      <c r="Z431" t="s">
        <v>1138</v>
      </c>
      <c r="AA431" t="s">
        <v>1047</v>
      </c>
      <c r="AB431" t="s">
        <v>1062</v>
      </c>
      <c r="AC431" t="s">
        <v>227</v>
      </c>
      <c r="AD431" t="s">
        <v>1063</v>
      </c>
      <c r="AE431" t="s">
        <v>246</v>
      </c>
      <c r="AF431" t="s">
        <v>148</v>
      </c>
      <c r="AG431" t="s">
        <v>172</v>
      </c>
      <c r="AH431" t="s">
        <v>228</v>
      </c>
      <c r="AI431" t="s">
        <v>1078</v>
      </c>
      <c r="AJ431" t="s">
        <v>766</v>
      </c>
      <c r="AK431" t="s">
        <v>1079</v>
      </c>
      <c r="AL431" t="s">
        <v>146</v>
      </c>
      <c r="AM431" t="s">
        <v>321</v>
      </c>
      <c r="AN431" t="s">
        <v>1080</v>
      </c>
      <c r="AO431" t="s">
        <v>230</v>
      </c>
      <c r="AP431" t="s">
        <v>917</v>
      </c>
      <c r="AQ431" t="s">
        <v>231</v>
      </c>
      <c r="AR431" t="s">
        <v>1082</v>
      </c>
      <c r="AS431" t="s">
        <v>1117</v>
      </c>
      <c r="AT431" t="s">
        <v>1037</v>
      </c>
      <c r="AU431" t="s">
        <v>963</v>
      </c>
      <c r="AV431" t="s">
        <v>232</v>
      </c>
      <c r="AW431" t="s">
        <v>1045</v>
      </c>
      <c r="AX431" t="s">
        <v>322</v>
      </c>
      <c r="AY431" t="s">
        <v>756</v>
      </c>
      <c r="AZ431" t="s">
        <v>757</v>
      </c>
      <c r="BA431" t="s">
        <v>233</v>
      </c>
      <c r="BB431" t="s">
        <v>1047</v>
      </c>
      <c r="BC431" t="s">
        <v>1040</v>
      </c>
      <c r="BD431" t="s">
        <v>2339</v>
      </c>
      <c r="BE431" t="s">
        <v>234</v>
      </c>
      <c r="BF431" t="s">
        <v>359</v>
      </c>
      <c r="BG431" t="s">
        <v>223</v>
      </c>
      <c r="BH431" t="s">
        <v>310</v>
      </c>
      <c r="BI431" t="s">
        <v>354</v>
      </c>
      <c r="BJ431" t="s">
        <v>925</v>
      </c>
      <c r="BK431" t="s">
        <v>216</v>
      </c>
      <c r="BL431" t="s">
        <v>1155</v>
      </c>
      <c r="BM431" t="s">
        <v>1230</v>
      </c>
      <c r="BN431" t="s">
        <v>993</v>
      </c>
      <c r="BO431" t="s">
        <v>1010</v>
      </c>
      <c r="BP431" t="s">
        <v>983</v>
      </c>
      <c r="BQ431" t="s">
        <v>182</v>
      </c>
      <c r="BR431" t="s">
        <v>239</v>
      </c>
      <c r="BS431" t="s">
        <v>241</v>
      </c>
      <c r="BT431" t="s">
        <v>805</v>
      </c>
      <c r="BU431" t="s">
        <v>806</v>
      </c>
    </row>
    <row r="432" spans="1:105">
      <c r="A432" s="40">
        <v>404</v>
      </c>
      <c r="B432" s="40" t="s">
        <v>1778</v>
      </c>
      <c r="C432" s="2" t="s">
        <v>1779</v>
      </c>
      <c r="D432" s="2" t="s">
        <v>17</v>
      </c>
      <c r="E432" s="2"/>
      <c r="F432" s="2">
        <v>60</v>
      </c>
      <c r="G432" s="2">
        <v>85</v>
      </c>
      <c r="H432" s="2">
        <v>49</v>
      </c>
      <c r="I432" s="2">
        <v>60</v>
      </c>
      <c r="J432" s="2">
        <v>49</v>
      </c>
      <c r="K432" s="2">
        <v>60</v>
      </c>
      <c r="L432" s="2">
        <v>363</v>
      </c>
      <c r="M432" s="2" t="s">
        <v>1162</v>
      </c>
      <c r="N432" s="2" t="s">
        <v>1061</v>
      </c>
      <c r="O432" t="s">
        <v>219</v>
      </c>
      <c r="P432" t="s">
        <v>330</v>
      </c>
      <c r="Q432" t="s">
        <v>330</v>
      </c>
      <c r="R432" t="s">
        <v>1140</v>
      </c>
      <c r="S432" t="s">
        <v>1203</v>
      </c>
      <c r="T432" t="s">
        <v>258</v>
      </c>
      <c r="U432" t="s">
        <v>246</v>
      </c>
      <c r="V432" t="s">
        <v>756</v>
      </c>
      <c r="W432" t="s">
        <v>1010</v>
      </c>
      <c r="X432" t="s">
        <v>777</v>
      </c>
      <c r="Y432" t="s">
        <v>1092</v>
      </c>
      <c r="Z432" t="s">
        <v>1138</v>
      </c>
      <c r="AA432" t="s">
        <v>1047</v>
      </c>
      <c r="AB432" t="s">
        <v>1062</v>
      </c>
      <c r="AC432" t="s">
        <v>227</v>
      </c>
      <c r="AD432" t="s">
        <v>1063</v>
      </c>
      <c r="AE432" t="s">
        <v>246</v>
      </c>
      <c r="AF432" t="s">
        <v>148</v>
      </c>
      <c r="AG432" t="s">
        <v>172</v>
      </c>
      <c r="AH432" t="s">
        <v>228</v>
      </c>
      <c r="AI432" t="s">
        <v>1078</v>
      </c>
      <c r="AJ432" t="s">
        <v>766</v>
      </c>
      <c r="AK432" t="s">
        <v>1079</v>
      </c>
      <c r="AL432" t="s">
        <v>146</v>
      </c>
      <c r="AM432" t="s">
        <v>321</v>
      </c>
      <c r="AN432" t="s">
        <v>1080</v>
      </c>
      <c r="AO432" t="s">
        <v>230</v>
      </c>
      <c r="AP432" t="s">
        <v>917</v>
      </c>
      <c r="AQ432" t="s">
        <v>231</v>
      </c>
      <c r="AR432" t="s">
        <v>1082</v>
      </c>
      <c r="AS432" t="s">
        <v>1117</v>
      </c>
      <c r="AT432" t="s">
        <v>1037</v>
      </c>
      <c r="AU432" t="s">
        <v>963</v>
      </c>
      <c r="AV432" t="s">
        <v>232</v>
      </c>
      <c r="AW432" t="s">
        <v>1045</v>
      </c>
      <c r="AX432" t="s">
        <v>322</v>
      </c>
      <c r="AY432" t="s">
        <v>756</v>
      </c>
      <c r="AZ432" t="s">
        <v>757</v>
      </c>
      <c r="BA432" t="s">
        <v>233</v>
      </c>
      <c r="BB432" t="s">
        <v>1047</v>
      </c>
      <c r="BC432" t="s">
        <v>1040</v>
      </c>
      <c r="BD432" t="s">
        <v>2339</v>
      </c>
      <c r="BE432" t="s">
        <v>234</v>
      </c>
      <c r="BF432" t="s">
        <v>359</v>
      </c>
      <c r="BG432" t="s">
        <v>223</v>
      </c>
      <c r="BH432" t="s">
        <v>310</v>
      </c>
      <c r="BI432" t="s">
        <v>354</v>
      </c>
      <c r="BJ432" t="s">
        <v>925</v>
      </c>
      <c r="BK432" t="s">
        <v>216</v>
      </c>
      <c r="BL432" t="s">
        <v>1155</v>
      </c>
      <c r="BM432" t="s">
        <v>1230</v>
      </c>
      <c r="BN432" t="s">
        <v>993</v>
      </c>
      <c r="BO432" t="s">
        <v>1010</v>
      </c>
      <c r="BP432" t="s">
        <v>983</v>
      </c>
      <c r="BQ432" t="s">
        <v>182</v>
      </c>
      <c r="BR432" t="s">
        <v>239</v>
      </c>
      <c r="BS432" t="s">
        <v>241</v>
      </c>
      <c r="BT432" t="s">
        <v>2333</v>
      </c>
      <c r="BU432" t="s">
        <v>805</v>
      </c>
      <c r="BV432" t="s">
        <v>806</v>
      </c>
    </row>
    <row r="433" spans="1:92">
      <c r="A433" s="40">
        <v>405</v>
      </c>
      <c r="B433" s="40" t="s">
        <v>1780</v>
      </c>
      <c r="C433" s="2" t="s">
        <v>1781</v>
      </c>
      <c r="D433" s="2" t="s">
        <v>17</v>
      </c>
      <c r="E433" s="2"/>
      <c r="F433" s="2">
        <v>80</v>
      </c>
      <c r="G433" s="2">
        <v>120</v>
      </c>
      <c r="H433" s="2">
        <v>79</v>
      </c>
      <c r="I433" s="2">
        <v>95</v>
      </c>
      <c r="J433" s="2">
        <v>79</v>
      </c>
      <c r="K433" s="2">
        <v>70</v>
      </c>
      <c r="L433" s="2">
        <v>523</v>
      </c>
      <c r="M433" s="2" t="s">
        <v>1145</v>
      </c>
      <c r="N433" s="2" t="s">
        <v>1061</v>
      </c>
      <c r="O433" t="s">
        <v>219</v>
      </c>
      <c r="P433" t="s">
        <v>330</v>
      </c>
      <c r="Q433" t="s">
        <v>1140</v>
      </c>
      <c r="R433" t="s">
        <v>330</v>
      </c>
      <c r="S433" t="s">
        <v>1140</v>
      </c>
      <c r="T433" t="s">
        <v>1203</v>
      </c>
      <c r="U433" t="s">
        <v>258</v>
      </c>
      <c r="V433" t="s">
        <v>246</v>
      </c>
      <c r="W433" t="s">
        <v>756</v>
      </c>
      <c r="X433" t="s">
        <v>1010</v>
      </c>
      <c r="Y433" t="s">
        <v>777</v>
      </c>
      <c r="Z433" t="s">
        <v>1092</v>
      </c>
      <c r="AA433" t="s">
        <v>1138</v>
      </c>
      <c r="AB433" t="s">
        <v>1047</v>
      </c>
      <c r="AC433" t="s">
        <v>2348</v>
      </c>
      <c r="AD433" t="s">
        <v>1062</v>
      </c>
      <c r="AE433" t="s">
        <v>227</v>
      </c>
      <c r="AF433" t="s">
        <v>1063</v>
      </c>
      <c r="AG433" t="s">
        <v>246</v>
      </c>
      <c r="AH433" t="s">
        <v>148</v>
      </c>
      <c r="AI433" t="s">
        <v>172</v>
      </c>
      <c r="AJ433" t="s">
        <v>247</v>
      </c>
      <c r="AK433" t="s">
        <v>228</v>
      </c>
      <c r="AL433" t="s">
        <v>1078</v>
      </c>
      <c r="AM433" t="s">
        <v>766</v>
      </c>
      <c r="AN433" t="s">
        <v>1079</v>
      </c>
      <c r="AO433" t="s">
        <v>146</v>
      </c>
      <c r="AP433" t="s">
        <v>321</v>
      </c>
      <c r="AQ433" t="s">
        <v>1080</v>
      </c>
      <c r="AR433" t="s">
        <v>230</v>
      </c>
      <c r="AS433" t="s">
        <v>917</v>
      </c>
      <c r="AT433" t="s">
        <v>231</v>
      </c>
      <c r="AU433" t="s">
        <v>1082</v>
      </c>
      <c r="AV433" t="s">
        <v>1117</v>
      </c>
      <c r="AW433" t="s">
        <v>1037</v>
      </c>
      <c r="AX433" t="s">
        <v>963</v>
      </c>
      <c r="AY433" t="s">
        <v>976</v>
      </c>
      <c r="AZ433" t="s">
        <v>232</v>
      </c>
      <c r="BA433" t="s">
        <v>1045</v>
      </c>
      <c r="BB433" t="s">
        <v>322</v>
      </c>
      <c r="BC433" t="s">
        <v>756</v>
      </c>
      <c r="BD433" t="s">
        <v>757</v>
      </c>
      <c r="BE433" t="s">
        <v>233</v>
      </c>
      <c r="BF433" t="s">
        <v>1047</v>
      </c>
      <c r="BG433" t="s">
        <v>1040</v>
      </c>
      <c r="BH433" t="s">
        <v>2339</v>
      </c>
      <c r="BI433" t="s">
        <v>234</v>
      </c>
      <c r="BJ433" t="s">
        <v>359</v>
      </c>
      <c r="BK433" t="s">
        <v>223</v>
      </c>
      <c r="BL433" t="s">
        <v>310</v>
      </c>
      <c r="BM433" t="s">
        <v>354</v>
      </c>
      <c r="BN433" t="s">
        <v>925</v>
      </c>
      <c r="BO433" t="s">
        <v>216</v>
      </c>
      <c r="BP433" t="s">
        <v>1155</v>
      </c>
      <c r="BQ433" t="s">
        <v>1230</v>
      </c>
      <c r="BR433" t="s">
        <v>993</v>
      </c>
      <c r="BS433" t="s">
        <v>1010</v>
      </c>
      <c r="BT433" t="s">
        <v>983</v>
      </c>
      <c r="BU433" t="s">
        <v>182</v>
      </c>
      <c r="BV433" t="s">
        <v>239</v>
      </c>
      <c r="BW433" t="s">
        <v>241</v>
      </c>
      <c r="BX433" t="s">
        <v>2333</v>
      </c>
      <c r="BY433" t="s">
        <v>805</v>
      </c>
      <c r="BZ433" t="s">
        <v>806</v>
      </c>
    </row>
    <row r="434" spans="1:92">
      <c r="A434" s="40">
        <v>406</v>
      </c>
      <c r="B434" s="40" t="s">
        <v>1782</v>
      </c>
      <c r="C434" s="2" t="s">
        <v>1783</v>
      </c>
      <c r="D434" s="2" t="s">
        <v>21</v>
      </c>
      <c r="E434" s="2" t="s">
        <v>11</v>
      </c>
      <c r="F434" s="2">
        <v>40</v>
      </c>
      <c r="G434" s="2">
        <v>30</v>
      </c>
      <c r="H434" s="2">
        <v>35</v>
      </c>
      <c r="I434" s="2">
        <v>50</v>
      </c>
      <c r="J434" s="2">
        <v>70</v>
      </c>
      <c r="K434" s="2">
        <v>55</v>
      </c>
      <c r="L434" s="2">
        <v>280</v>
      </c>
      <c r="M434" s="2" t="s">
        <v>1208</v>
      </c>
      <c r="N434" s="2" t="s">
        <v>1061</v>
      </c>
      <c r="O434" t="s">
        <v>402</v>
      </c>
      <c r="P434" t="s">
        <v>215</v>
      </c>
      <c r="Q434" t="s">
        <v>955</v>
      </c>
      <c r="R434" t="s">
        <v>288</v>
      </c>
      <c r="S434" t="s">
        <v>403</v>
      </c>
      <c r="T434" t="s">
        <v>1017</v>
      </c>
      <c r="U434" t="s">
        <v>1062</v>
      </c>
      <c r="V434" t="s">
        <v>226</v>
      </c>
      <c r="W434" t="s">
        <v>1063</v>
      </c>
      <c r="X434" t="s">
        <v>148</v>
      </c>
      <c r="Y434" t="s">
        <v>1077</v>
      </c>
      <c r="Z434" t="s">
        <v>172</v>
      </c>
      <c r="AA434" t="s">
        <v>752</v>
      </c>
      <c r="AB434" t="s">
        <v>1078</v>
      </c>
      <c r="AC434" t="s">
        <v>766</v>
      </c>
      <c r="AD434" t="s">
        <v>1079</v>
      </c>
      <c r="AE434" t="s">
        <v>229</v>
      </c>
      <c r="AF434" t="s">
        <v>1080</v>
      </c>
      <c r="AG434" t="s">
        <v>174</v>
      </c>
      <c r="AH434" t="s">
        <v>230</v>
      </c>
      <c r="AI434" t="s">
        <v>1081</v>
      </c>
      <c r="AJ434" t="s">
        <v>917</v>
      </c>
      <c r="AK434" t="s">
        <v>231</v>
      </c>
      <c r="AL434" t="s">
        <v>1082</v>
      </c>
      <c r="AM434" t="s">
        <v>1037</v>
      </c>
      <c r="AN434" t="s">
        <v>970</v>
      </c>
      <c r="AO434" t="s">
        <v>232</v>
      </c>
      <c r="AP434" t="s">
        <v>145</v>
      </c>
      <c r="AQ434" t="s">
        <v>785</v>
      </c>
      <c r="AR434" t="s">
        <v>977</v>
      </c>
      <c r="AS434" t="s">
        <v>756</v>
      </c>
      <c r="AT434" t="s">
        <v>757</v>
      </c>
      <c r="AU434" t="s">
        <v>233</v>
      </c>
      <c r="AV434" t="s">
        <v>1087</v>
      </c>
      <c r="AW434" t="s">
        <v>2342</v>
      </c>
      <c r="AX434" t="s">
        <v>2339</v>
      </c>
      <c r="AY434" t="s">
        <v>234</v>
      </c>
      <c r="AZ434" t="s">
        <v>305</v>
      </c>
      <c r="BA434" t="s">
        <v>224</v>
      </c>
      <c r="BB434" t="s">
        <v>222</v>
      </c>
      <c r="BC434" t="s">
        <v>792</v>
      </c>
      <c r="BD434" t="s">
        <v>1297</v>
      </c>
      <c r="BE434" t="s">
        <v>1215</v>
      </c>
      <c r="BF434" t="s">
        <v>171</v>
      </c>
      <c r="BG434" t="s">
        <v>750</v>
      </c>
      <c r="BH434" t="s">
        <v>1084</v>
      </c>
      <c r="BI434" t="s">
        <v>1154</v>
      </c>
      <c r="BJ434" t="s">
        <v>992</v>
      </c>
      <c r="BK434" t="s">
        <v>1004</v>
      </c>
      <c r="BL434" t="s">
        <v>1086</v>
      </c>
      <c r="BM434" t="s">
        <v>239</v>
      </c>
      <c r="BN434" t="s">
        <v>241</v>
      </c>
      <c r="BO434" t="s">
        <v>805</v>
      </c>
      <c r="BP434" t="s">
        <v>806</v>
      </c>
    </row>
    <row r="435" spans="1:92">
      <c r="A435" s="40">
        <v>407</v>
      </c>
      <c r="B435" s="40" t="s">
        <v>1784</v>
      </c>
      <c r="C435" s="2" t="s">
        <v>1785</v>
      </c>
      <c r="D435" s="2" t="s">
        <v>21</v>
      </c>
      <c r="E435" s="2" t="s">
        <v>11</v>
      </c>
      <c r="F435" s="2">
        <v>60</v>
      </c>
      <c r="G435" s="2">
        <v>70</v>
      </c>
      <c r="H435" s="2">
        <v>55</v>
      </c>
      <c r="I435" s="2">
        <v>125</v>
      </c>
      <c r="J435" s="2">
        <v>105</v>
      </c>
      <c r="K435" s="2">
        <v>90</v>
      </c>
      <c r="L435" s="2">
        <v>505</v>
      </c>
      <c r="M435" s="2" t="s">
        <v>1090</v>
      </c>
      <c r="N435" s="2" t="s">
        <v>1061</v>
      </c>
      <c r="O435" t="s">
        <v>296</v>
      </c>
      <c r="P435" t="s">
        <v>403</v>
      </c>
      <c r="Q435" t="s">
        <v>1076</v>
      </c>
      <c r="R435" t="s">
        <v>1192</v>
      </c>
      <c r="S435" t="s">
        <v>930</v>
      </c>
      <c r="T435" t="s">
        <v>2410</v>
      </c>
      <c r="U435" t="s">
        <v>2367</v>
      </c>
      <c r="V435" t="s">
        <v>1062</v>
      </c>
      <c r="W435" t="s">
        <v>226</v>
      </c>
      <c r="X435" t="s">
        <v>1063</v>
      </c>
      <c r="Y435" t="s">
        <v>148</v>
      </c>
      <c r="Z435" t="s">
        <v>1077</v>
      </c>
      <c r="AA435" t="s">
        <v>172</v>
      </c>
      <c r="AB435" t="s">
        <v>752</v>
      </c>
      <c r="AC435" t="s">
        <v>247</v>
      </c>
      <c r="AD435" t="s">
        <v>1078</v>
      </c>
      <c r="AE435" t="s">
        <v>766</v>
      </c>
      <c r="AF435" t="s">
        <v>1079</v>
      </c>
      <c r="AG435" t="s">
        <v>229</v>
      </c>
      <c r="AH435" t="s">
        <v>1080</v>
      </c>
      <c r="AI435" t="s">
        <v>174</v>
      </c>
      <c r="AJ435" t="s">
        <v>230</v>
      </c>
      <c r="AK435" t="s">
        <v>1081</v>
      </c>
      <c r="AL435" t="s">
        <v>917</v>
      </c>
      <c r="AM435" t="s">
        <v>231</v>
      </c>
      <c r="AN435" t="s">
        <v>1082</v>
      </c>
      <c r="AO435" t="s">
        <v>1037</v>
      </c>
      <c r="AP435" t="s">
        <v>970</v>
      </c>
      <c r="AQ435" t="s">
        <v>976</v>
      </c>
      <c r="AR435" t="s">
        <v>232</v>
      </c>
      <c r="AS435" t="s">
        <v>145</v>
      </c>
      <c r="AT435" t="s">
        <v>785</v>
      </c>
      <c r="AU435" t="s">
        <v>997</v>
      </c>
      <c r="AV435" t="s">
        <v>977</v>
      </c>
      <c r="AW435" t="s">
        <v>756</v>
      </c>
      <c r="AX435" t="s">
        <v>757</v>
      </c>
      <c r="AY435" t="s">
        <v>233</v>
      </c>
      <c r="AZ435" t="s">
        <v>1087</v>
      </c>
      <c r="BA435" t="s">
        <v>2342</v>
      </c>
      <c r="BB435" t="s">
        <v>2339</v>
      </c>
      <c r="BC435" t="s">
        <v>234</v>
      </c>
      <c r="BD435" t="s">
        <v>305</v>
      </c>
      <c r="BE435" t="s">
        <v>224</v>
      </c>
      <c r="BF435" t="s">
        <v>222</v>
      </c>
      <c r="BG435" t="s">
        <v>792</v>
      </c>
      <c r="BH435" t="s">
        <v>1297</v>
      </c>
      <c r="BI435" t="s">
        <v>1215</v>
      </c>
      <c r="BJ435" t="s">
        <v>171</v>
      </c>
      <c r="BK435" t="s">
        <v>750</v>
      </c>
      <c r="BL435" t="s">
        <v>1084</v>
      </c>
      <c r="BM435" t="s">
        <v>1154</v>
      </c>
      <c r="BN435" t="s">
        <v>992</v>
      </c>
      <c r="BO435" t="s">
        <v>1004</v>
      </c>
      <c r="BP435" t="s">
        <v>1086</v>
      </c>
      <c r="BQ435" t="s">
        <v>239</v>
      </c>
      <c r="BR435" t="s">
        <v>241</v>
      </c>
      <c r="BS435" t="s">
        <v>402</v>
      </c>
      <c r="BT435" t="s">
        <v>215</v>
      </c>
      <c r="BU435" t="s">
        <v>955</v>
      </c>
      <c r="BV435" t="s">
        <v>288</v>
      </c>
      <c r="BW435" t="s">
        <v>142</v>
      </c>
      <c r="BX435" t="s">
        <v>1017</v>
      </c>
      <c r="BY435" t="s">
        <v>1084</v>
      </c>
      <c r="BZ435" t="s">
        <v>171</v>
      </c>
      <c r="CA435" t="s">
        <v>1011</v>
      </c>
      <c r="CB435" t="s">
        <v>1085</v>
      </c>
      <c r="CC435" t="s">
        <v>236</v>
      </c>
      <c r="CD435" t="s">
        <v>148</v>
      </c>
      <c r="CE435" t="s">
        <v>1153</v>
      </c>
      <c r="CF435" t="s">
        <v>750</v>
      </c>
      <c r="CG435" t="s">
        <v>2391</v>
      </c>
      <c r="CH435" t="s">
        <v>805</v>
      </c>
      <c r="CI435" t="s">
        <v>806</v>
      </c>
    </row>
    <row r="436" spans="1:92">
      <c r="A436" s="40">
        <v>408</v>
      </c>
      <c r="B436" s="40" t="s">
        <v>1786</v>
      </c>
      <c r="C436" s="2" t="s">
        <v>1787</v>
      </c>
      <c r="D436" s="2" t="s">
        <v>25</v>
      </c>
      <c r="E436" s="2"/>
      <c r="F436" s="2">
        <v>67</v>
      </c>
      <c r="G436" s="2">
        <v>125</v>
      </c>
      <c r="H436" s="2">
        <v>40</v>
      </c>
      <c r="I436" s="2">
        <v>30</v>
      </c>
      <c r="J436" s="2">
        <v>30</v>
      </c>
      <c r="K436" s="2">
        <v>58</v>
      </c>
      <c r="L436" s="2">
        <v>350</v>
      </c>
      <c r="M436" s="2" t="s">
        <v>1141</v>
      </c>
      <c r="N436" s="2" t="s">
        <v>1061</v>
      </c>
      <c r="O436" t="s">
        <v>420</v>
      </c>
      <c r="P436" t="s">
        <v>330</v>
      </c>
      <c r="Q436" t="s">
        <v>302</v>
      </c>
      <c r="R436" t="s">
        <v>773</v>
      </c>
      <c r="S436" t="s">
        <v>223</v>
      </c>
      <c r="T436" t="s">
        <v>1092</v>
      </c>
      <c r="U436" t="s">
        <v>960</v>
      </c>
      <c r="V436" t="s">
        <v>1142</v>
      </c>
      <c r="W436" t="s">
        <v>170</v>
      </c>
      <c r="X436" t="s">
        <v>1019</v>
      </c>
      <c r="Y436" t="s">
        <v>324</v>
      </c>
      <c r="Z436" t="s">
        <v>800</v>
      </c>
      <c r="AA436" t="s">
        <v>1062</v>
      </c>
      <c r="AB436" t="s">
        <v>227</v>
      </c>
      <c r="AC436" t="s">
        <v>1063</v>
      </c>
      <c r="AD436" t="s">
        <v>246</v>
      </c>
      <c r="AE436" t="s">
        <v>148</v>
      </c>
      <c r="AF436" t="s">
        <v>172</v>
      </c>
      <c r="AG436" t="s">
        <v>752</v>
      </c>
      <c r="AH436" t="s">
        <v>141</v>
      </c>
      <c r="AI436" t="s">
        <v>271</v>
      </c>
      <c r="AJ436" t="s">
        <v>1078</v>
      </c>
      <c r="AK436" t="s">
        <v>766</v>
      </c>
      <c r="AL436" t="s">
        <v>1079</v>
      </c>
      <c r="AM436" t="s">
        <v>1109</v>
      </c>
      <c r="AN436" t="s">
        <v>146</v>
      </c>
      <c r="AO436" t="s">
        <v>321</v>
      </c>
      <c r="AP436" t="s">
        <v>136</v>
      </c>
      <c r="AQ436" t="s">
        <v>1080</v>
      </c>
      <c r="AR436" t="s">
        <v>256</v>
      </c>
      <c r="AS436" t="s">
        <v>230</v>
      </c>
      <c r="AT436" t="s">
        <v>254</v>
      </c>
      <c r="AU436" t="s">
        <v>765</v>
      </c>
      <c r="AV436" t="s">
        <v>257</v>
      </c>
      <c r="AW436" t="s">
        <v>1095</v>
      </c>
      <c r="AX436" t="s">
        <v>917</v>
      </c>
      <c r="AY436" t="s">
        <v>231</v>
      </c>
      <c r="AZ436" t="s">
        <v>1082</v>
      </c>
      <c r="BA436" t="s">
        <v>1117</v>
      </c>
      <c r="BB436" t="s">
        <v>1037</v>
      </c>
      <c r="BC436" t="s">
        <v>974</v>
      </c>
      <c r="BD436" t="s">
        <v>1031</v>
      </c>
      <c r="BE436" t="s">
        <v>995</v>
      </c>
      <c r="BF436" t="s">
        <v>1003</v>
      </c>
      <c r="BG436" t="s">
        <v>183</v>
      </c>
      <c r="BH436" t="s">
        <v>145</v>
      </c>
      <c r="BI436" t="s">
        <v>1021</v>
      </c>
      <c r="BJ436" t="s">
        <v>143</v>
      </c>
      <c r="BK436" t="s">
        <v>756</v>
      </c>
      <c r="BL436" t="s">
        <v>757</v>
      </c>
      <c r="BM436" t="s">
        <v>233</v>
      </c>
      <c r="BN436" t="s">
        <v>760</v>
      </c>
      <c r="BO436" t="s">
        <v>2398</v>
      </c>
      <c r="BP436" t="s">
        <v>2339</v>
      </c>
      <c r="BQ436" t="s">
        <v>234</v>
      </c>
      <c r="BR436" t="s">
        <v>291</v>
      </c>
      <c r="BS436" t="s">
        <v>341</v>
      </c>
      <c r="BT436" t="s">
        <v>493</v>
      </c>
      <c r="BU436" t="s">
        <v>373</v>
      </c>
      <c r="BV436" t="s">
        <v>225</v>
      </c>
      <c r="BW436" t="s">
        <v>330</v>
      </c>
      <c r="BX436" t="s">
        <v>751</v>
      </c>
      <c r="BY436" t="s">
        <v>761</v>
      </c>
      <c r="BZ436" t="s">
        <v>777</v>
      </c>
      <c r="CA436" t="s">
        <v>981</v>
      </c>
      <c r="CB436" t="s">
        <v>985</v>
      </c>
      <c r="CC436" t="s">
        <v>239</v>
      </c>
      <c r="CD436" t="s">
        <v>241</v>
      </c>
      <c r="CE436" t="s">
        <v>805</v>
      </c>
      <c r="CF436" t="s">
        <v>806</v>
      </c>
    </row>
    <row r="437" spans="1:92">
      <c r="A437" s="40">
        <v>409</v>
      </c>
      <c r="B437" s="40" t="s">
        <v>1788</v>
      </c>
      <c r="C437" s="2" t="s">
        <v>1789</v>
      </c>
      <c r="D437" s="2" t="s">
        <v>25</v>
      </c>
      <c r="E437" s="2"/>
      <c r="F437" s="2">
        <v>97</v>
      </c>
      <c r="G437" s="2">
        <v>165</v>
      </c>
      <c r="H437" s="2">
        <v>60</v>
      </c>
      <c r="I437" s="2">
        <v>65</v>
      </c>
      <c r="J437" s="2">
        <v>50</v>
      </c>
      <c r="K437" s="2">
        <v>58</v>
      </c>
      <c r="L437" s="2">
        <v>495</v>
      </c>
      <c r="M437" s="2" t="s">
        <v>1108</v>
      </c>
      <c r="N437" s="2" t="s">
        <v>1061</v>
      </c>
      <c r="O437" t="s">
        <v>420</v>
      </c>
      <c r="P437" t="s">
        <v>330</v>
      </c>
      <c r="Q437" t="s">
        <v>302</v>
      </c>
      <c r="R437" t="s">
        <v>773</v>
      </c>
      <c r="S437" t="s">
        <v>223</v>
      </c>
      <c r="T437" t="s">
        <v>1092</v>
      </c>
      <c r="U437" t="s">
        <v>960</v>
      </c>
      <c r="V437" t="s">
        <v>1142</v>
      </c>
      <c r="W437" t="s">
        <v>916</v>
      </c>
      <c r="X437" t="s">
        <v>170</v>
      </c>
      <c r="Y437" t="s">
        <v>1019</v>
      </c>
      <c r="Z437" t="s">
        <v>324</v>
      </c>
      <c r="AA437" t="s">
        <v>800</v>
      </c>
      <c r="AB437" t="s">
        <v>1062</v>
      </c>
      <c r="AC437" t="s">
        <v>226</v>
      </c>
      <c r="AD437" t="s">
        <v>144</v>
      </c>
      <c r="AE437" t="s">
        <v>227</v>
      </c>
      <c r="AF437" t="s">
        <v>1063</v>
      </c>
      <c r="AG437" t="s">
        <v>246</v>
      </c>
      <c r="AH437" t="s">
        <v>148</v>
      </c>
      <c r="AI437" t="s">
        <v>172</v>
      </c>
      <c r="AJ437" t="s">
        <v>752</v>
      </c>
      <c r="AK437" t="s">
        <v>141</v>
      </c>
      <c r="AL437" t="s">
        <v>271</v>
      </c>
      <c r="AM437" t="s">
        <v>247</v>
      </c>
      <c r="AN437" t="s">
        <v>1078</v>
      </c>
      <c r="AO437" t="s">
        <v>766</v>
      </c>
      <c r="AP437" t="s">
        <v>1079</v>
      </c>
      <c r="AQ437" t="s">
        <v>1109</v>
      </c>
      <c r="AR437" t="s">
        <v>146</v>
      </c>
      <c r="AS437" t="s">
        <v>321</v>
      </c>
      <c r="AT437" t="s">
        <v>136</v>
      </c>
      <c r="AU437" t="s">
        <v>1080</v>
      </c>
      <c r="AV437" t="s">
        <v>256</v>
      </c>
      <c r="AW437" t="s">
        <v>1094</v>
      </c>
      <c r="AX437" t="s">
        <v>230</v>
      </c>
      <c r="AY437" t="s">
        <v>254</v>
      </c>
      <c r="AZ437" t="s">
        <v>765</v>
      </c>
      <c r="BA437" t="s">
        <v>257</v>
      </c>
      <c r="BB437" t="s">
        <v>1095</v>
      </c>
      <c r="BC437" t="s">
        <v>917</v>
      </c>
      <c r="BD437" t="s">
        <v>231</v>
      </c>
      <c r="BE437" t="s">
        <v>1082</v>
      </c>
      <c r="BF437" t="s">
        <v>1117</v>
      </c>
      <c r="BG437" t="s">
        <v>1037</v>
      </c>
      <c r="BH437" t="s">
        <v>1102</v>
      </c>
      <c r="BI437" t="s">
        <v>974</v>
      </c>
      <c r="BJ437" t="s">
        <v>1031</v>
      </c>
      <c r="BK437" t="s">
        <v>995</v>
      </c>
      <c r="BL437" t="s">
        <v>976</v>
      </c>
      <c r="BM437" t="s">
        <v>1003</v>
      </c>
      <c r="BN437" t="s">
        <v>183</v>
      </c>
      <c r="BO437" t="s">
        <v>145</v>
      </c>
      <c r="BP437" t="s">
        <v>1021</v>
      </c>
      <c r="BQ437" t="s">
        <v>143</v>
      </c>
      <c r="BR437" t="s">
        <v>1022</v>
      </c>
      <c r="BS437" t="s">
        <v>756</v>
      </c>
      <c r="BT437" t="s">
        <v>757</v>
      </c>
      <c r="BU437" t="s">
        <v>233</v>
      </c>
      <c r="BV437" t="s">
        <v>760</v>
      </c>
      <c r="BW437" t="s">
        <v>2398</v>
      </c>
      <c r="BX437" t="s">
        <v>2339</v>
      </c>
      <c r="BY437" t="s">
        <v>234</v>
      </c>
      <c r="BZ437" t="s">
        <v>291</v>
      </c>
      <c r="CA437" t="s">
        <v>341</v>
      </c>
      <c r="CB437" t="s">
        <v>493</v>
      </c>
      <c r="CC437" t="s">
        <v>373</v>
      </c>
      <c r="CD437" t="s">
        <v>225</v>
      </c>
      <c r="CE437" t="s">
        <v>330</v>
      </c>
      <c r="CF437" t="s">
        <v>751</v>
      </c>
      <c r="CG437" t="s">
        <v>761</v>
      </c>
      <c r="CH437" t="s">
        <v>777</v>
      </c>
      <c r="CI437" t="s">
        <v>981</v>
      </c>
      <c r="CJ437" t="s">
        <v>985</v>
      </c>
      <c r="CK437" t="s">
        <v>239</v>
      </c>
      <c r="CL437" t="s">
        <v>241</v>
      </c>
      <c r="CM437" t="s">
        <v>805</v>
      </c>
      <c r="CN437" t="s">
        <v>806</v>
      </c>
    </row>
    <row r="438" spans="1:92">
      <c r="A438" s="40">
        <v>410</v>
      </c>
      <c r="B438" s="40" t="s">
        <v>1790</v>
      </c>
      <c r="C438" s="2" t="s">
        <v>1791</v>
      </c>
      <c r="D438" s="2" t="s">
        <v>25</v>
      </c>
      <c r="E438" s="2" t="s">
        <v>26</v>
      </c>
      <c r="F438" s="2">
        <v>30</v>
      </c>
      <c r="G438" s="2">
        <v>42</v>
      </c>
      <c r="H438" s="2">
        <v>118</v>
      </c>
      <c r="I438" s="2">
        <v>42</v>
      </c>
      <c r="J438" s="2">
        <v>88</v>
      </c>
      <c r="K438" s="2">
        <v>30</v>
      </c>
      <c r="L438" s="2">
        <v>350</v>
      </c>
      <c r="M438" s="2" t="s">
        <v>1158</v>
      </c>
      <c r="N438" s="2" t="s">
        <v>1061</v>
      </c>
      <c r="O438" t="s">
        <v>219</v>
      </c>
      <c r="P438" t="s">
        <v>1078</v>
      </c>
      <c r="Q438" t="s">
        <v>1126</v>
      </c>
      <c r="R438" t="s">
        <v>1202</v>
      </c>
      <c r="S438" t="s">
        <v>223</v>
      </c>
      <c r="T438" t="s">
        <v>177</v>
      </c>
      <c r="U438" t="s">
        <v>756</v>
      </c>
      <c r="V438" t="s">
        <v>170</v>
      </c>
      <c r="W438" t="s">
        <v>754</v>
      </c>
      <c r="X438" t="s">
        <v>1559</v>
      </c>
      <c r="Y438" t="s">
        <v>985</v>
      </c>
      <c r="Z438" t="s">
        <v>184</v>
      </c>
      <c r="AA438" t="s">
        <v>1062</v>
      </c>
      <c r="AB438" t="s">
        <v>227</v>
      </c>
      <c r="AC438" t="s">
        <v>1063</v>
      </c>
      <c r="AD438" t="s">
        <v>246</v>
      </c>
      <c r="AE438" t="s">
        <v>148</v>
      </c>
      <c r="AF438" t="s">
        <v>172</v>
      </c>
      <c r="AG438" t="s">
        <v>752</v>
      </c>
      <c r="AH438" t="s">
        <v>1126</v>
      </c>
      <c r="AI438" t="s">
        <v>141</v>
      </c>
      <c r="AJ438" t="s">
        <v>271</v>
      </c>
      <c r="AK438" t="s">
        <v>1078</v>
      </c>
      <c r="AL438" t="s">
        <v>766</v>
      </c>
      <c r="AM438" t="s">
        <v>1079</v>
      </c>
      <c r="AN438" t="s">
        <v>1109</v>
      </c>
      <c r="AO438" t="s">
        <v>146</v>
      </c>
      <c r="AP438" t="s">
        <v>321</v>
      </c>
      <c r="AQ438" t="s">
        <v>136</v>
      </c>
      <c r="AR438" t="s">
        <v>1080</v>
      </c>
      <c r="AS438" t="s">
        <v>256</v>
      </c>
      <c r="AT438" t="s">
        <v>230</v>
      </c>
      <c r="AU438" t="s">
        <v>254</v>
      </c>
      <c r="AV438" t="s">
        <v>765</v>
      </c>
      <c r="AW438" t="s">
        <v>257</v>
      </c>
      <c r="AX438" t="s">
        <v>1095</v>
      </c>
      <c r="AY438" t="s">
        <v>951</v>
      </c>
      <c r="AZ438" t="s">
        <v>917</v>
      </c>
      <c r="BA438" t="s">
        <v>231</v>
      </c>
      <c r="BB438" t="s">
        <v>1082</v>
      </c>
      <c r="BC438" t="s">
        <v>1037</v>
      </c>
      <c r="BD438" t="s">
        <v>1031</v>
      </c>
      <c r="BE438" t="s">
        <v>1003</v>
      </c>
      <c r="BF438" t="s">
        <v>183</v>
      </c>
      <c r="BG438" t="s">
        <v>1021</v>
      </c>
      <c r="BH438" t="s">
        <v>143</v>
      </c>
      <c r="BI438" t="s">
        <v>756</v>
      </c>
      <c r="BJ438" t="s">
        <v>757</v>
      </c>
      <c r="BK438" t="s">
        <v>233</v>
      </c>
      <c r="BL438" t="s">
        <v>973</v>
      </c>
      <c r="BM438" t="s">
        <v>760</v>
      </c>
      <c r="BN438" t="s">
        <v>2339</v>
      </c>
      <c r="BO438" t="s">
        <v>234</v>
      </c>
      <c r="BP438" t="s">
        <v>420</v>
      </c>
      <c r="BQ438" t="s">
        <v>364</v>
      </c>
      <c r="BR438" t="s">
        <v>225</v>
      </c>
      <c r="BS438" t="s">
        <v>259</v>
      </c>
      <c r="BT438" t="s">
        <v>419</v>
      </c>
      <c r="BU438" t="s">
        <v>324</v>
      </c>
      <c r="BV438" t="s">
        <v>302</v>
      </c>
      <c r="BW438" t="s">
        <v>751</v>
      </c>
      <c r="BX438" t="s">
        <v>1092</v>
      </c>
      <c r="BY438" t="s">
        <v>1196</v>
      </c>
      <c r="BZ438" t="s">
        <v>1007</v>
      </c>
      <c r="CA438" t="s">
        <v>1187</v>
      </c>
      <c r="CB438" t="s">
        <v>239</v>
      </c>
      <c r="CC438" t="s">
        <v>241</v>
      </c>
      <c r="CD438" t="s">
        <v>805</v>
      </c>
      <c r="CE438" t="s">
        <v>806</v>
      </c>
    </row>
    <row r="439" spans="1:92">
      <c r="A439" s="40">
        <v>411</v>
      </c>
      <c r="B439" s="40" t="s">
        <v>1792</v>
      </c>
      <c r="C439" s="2" t="s">
        <v>1793</v>
      </c>
      <c r="D439" s="2" t="s">
        <v>25</v>
      </c>
      <c r="E439" s="2" t="s">
        <v>26</v>
      </c>
      <c r="F439" s="2">
        <v>60</v>
      </c>
      <c r="G439" s="2">
        <v>52</v>
      </c>
      <c r="H439" s="2">
        <v>168</v>
      </c>
      <c r="I439" s="2">
        <v>47</v>
      </c>
      <c r="J439" s="2">
        <v>138</v>
      </c>
      <c r="K439" s="2">
        <v>30</v>
      </c>
      <c r="L439" s="2">
        <v>495</v>
      </c>
      <c r="M439" s="2" t="s">
        <v>1221</v>
      </c>
      <c r="N439" s="2" t="s">
        <v>1061</v>
      </c>
      <c r="O439" t="s">
        <v>219</v>
      </c>
      <c r="P439" t="s">
        <v>1078</v>
      </c>
      <c r="Q439" t="s">
        <v>1126</v>
      </c>
      <c r="R439" t="s">
        <v>1202</v>
      </c>
      <c r="S439" t="s">
        <v>1126</v>
      </c>
      <c r="T439" t="s">
        <v>1202</v>
      </c>
      <c r="U439" t="s">
        <v>223</v>
      </c>
      <c r="V439" t="s">
        <v>177</v>
      </c>
      <c r="W439" t="s">
        <v>756</v>
      </c>
      <c r="X439" t="s">
        <v>170</v>
      </c>
      <c r="Y439" t="s">
        <v>911</v>
      </c>
      <c r="Z439" t="s">
        <v>754</v>
      </c>
      <c r="AA439" t="s">
        <v>1559</v>
      </c>
      <c r="AB439" t="s">
        <v>985</v>
      </c>
      <c r="AC439" t="s">
        <v>184</v>
      </c>
      <c r="AD439" t="s">
        <v>1062</v>
      </c>
      <c r="AE439" t="s">
        <v>227</v>
      </c>
      <c r="AF439" t="s">
        <v>1063</v>
      </c>
      <c r="AG439" t="s">
        <v>246</v>
      </c>
      <c r="AH439" t="s">
        <v>148</v>
      </c>
      <c r="AI439" t="s">
        <v>172</v>
      </c>
      <c r="AJ439" t="s">
        <v>752</v>
      </c>
      <c r="AK439" t="s">
        <v>1126</v>
      </c>
      <c r="AL439" t="s">
        <v>141</v>
      </c>
      <c r="AM439" t="s">
        <v>271</v>
      </c>
      <c r="AN439" t="s">
        <v>247</v>
      </c>
      <c r="AO439" t="s">
        <v>1078</v>
      </c>
      <c r="AP439" t="s">
        <v>766</v>
      </c>
      <c r="AQ439" t="s">
        <v>1079</v>
      </c>
      <c r="AR439" t="s">
        <v>1109</v>
      </c>
      <c r="AS439" t="s">
        <v>146</v>
      </c>
      <c r="AT439" t="s">
        <v>321</v>
      </c>
      <c r="AU439" t="s">
        <v>136</v>
      </c>
      <c r="AV439" t="s">
        <v>1080</v>
      </c>
      <c r="AW439" t="s">
        <v>256</v>
      </c>
      <c r="AX439" t="s">
        <v>230</v>
      </c>
      <c r="AY439" t="s">
        <v>254</v>
      </c>
      <c r="AZ439" t="s">
        <v>765</v>
      </c>
      <c r="BA439" t="s">
        <v>257</v>
      </c>
      <c r="BB439" t="s">
        <v>1095</v>
      </c>
      <c r="BC439" t="s">
        <v>951</v>
      </c>
      <c r="BD439" t="s">
        <v>917</v>
      </c>
      <c r="BE439" t="s">
        <v>231</v>
      </c>
      <c r="BF439" t="s">
        <v>1082</v>
      </c>
      <c r="BG439" t="s">
        <v>1037</v>
      </c>
      <c r="BH439" t="s">
        <v>1031</v>
      </c>
      <c r="BI439" t="s">
        <v>976</v>
      </c>
      <c r="BJ439" t="s">
        <v>1003</v>
      </c>
      <c r="BK439" t="s">
        <v>183</v>
      </c>
      <c r="BL439" t="s">
        <v>1021</v>
      </c>
      <c r="BM439" t="s">
        <v>143</v>
      </c>
      <c r="BN439" t="s">
        <v>756</v>
      </c>
      <c r="BO439" t="s">
        <v>757</v>
      </c>
      <c r="BP439" t="s">
        <v>233</v>
      </c>
      <c r="BQ439" t="s">
        <v>973</v>
      </c>
      <c r="BR439" t="s">
        <v>760</v>
      </c>
      <c r="BS439" t="s">
        <v>2339</v>
      </c>
      <c r="BT439" t="s">
        <v>234</v>
      </c>
      <c r="BU439" t="s">
        <v>420</v>
      </c>
      <c r="BV439" t="s">
        <v>364</v>
      </c>
      <c r="BW439" t="s">
        <v>225</v>
      </c>
      <c r="BX439" t="s">
        <v>259</v>
      </c>
      <c r="BY439" t="s">
        <v>419</v>
      </c>
      <c r="BZ439" t="s">
        <v>324</v>
      </c>
      <c r="CA439" t="s">
        <v>302</v>
      </c>
      <c r="CB439" t="s">
        <v>751</v>
      </c>
      <c r="CC439" t="s">
        <v>1092</v>
      </c>
      <c r="CD439" t="s">
        <v>1196</v>
      </c>
      <c r="CE439" t="s">
        <v>1007</v>
      </c>
      <c r="CF439" t="s">
        <v>1187</v>
      </c>
      <c r="CG439" t="s">
        <v>239</v>
      </c>
      <c r="CH439" t="s">
        <v>241</v>
      </c>
      <c r="CI439" t="s">
        <v>805</v>
      </c>
      <c r="CJ439" t="s">
        <v>806</v>
      </c>
    </row>
    <row r="440" spans="1:92">
      <c r="A440" s="40">
        <v>412</v>
      </c>
      <c r="B440" s="40" t="s">
        <v>1794</v>
      </c>
      <c r="C440" s="2" t="s">
        <v>1795</v>
      </c>
      <c r="D440" s="2" t="s">
        <v>14</v>
      </c>
      <c r="E440" s="2"/>
      <c r="F440" s="2">
        <v>40</v>
      </c>
      <c r="G440" s="2">
        <v>29</v>
      </c>
      <c r="H440" s="2">
        <v>45</v>
      </c>
      <c r="I440" s="2">
        <v>29</v>
      </c>
      <c r="J440" s="2">
        <v>45</v>
      </c>
      <c r="K440" s="2">
        <v>36</v>
      </c>
      <c r="L440" s="2">
        <v>224</v>
      </c>
      <c r="M440" s="2" t="s">
        <v>1232</v>
      </c>
      <c r="N440" s="2" t="s">
        <v>1061</v>
      </c>
      <c r="O440" t="s">
        <v>1078</v>
      </c>
      <c r="P440" t="s">
        <v>219</v>
      </c>
      <c r="Q440" t="s">
        <v>1110</v>
      </c>
      <c r="R440" t="s">
        <v>172</v>
      </c>
      <c r="S440" t="s">
        <v>1062</v>
      </c>
      <c r="T440" t="s">
        <v>1063</v>
      </c>
      <c r="U440" t="s">
        <v>234</v>
      </c>
      <c r="V440" t="s">
        <v>239</v>
      </c>
      <c r="W440" t="s">
        <v>241</v>
      </c>
      <c r="X440" t="s">
        <v>805</v>
      </c>
      <c r="Y440" t="s">
        <v>806</v>
      </c>
    </row>
    <row r="441" spans="1:92">
      <c r="A441" s="40">
        <v>413.1</v>
      </c>
      <c r="B441" s="40" t="s">
        <v>1796</v>
      </c>
      <c r="C441" s="2" t="s">
        <v>1797</v>
      </c>
      <c r="D441" s="2" t="s">
        <v>14</v>
      </c>
      <c r="E441" s="2" t="s">
        <v>21</v>
      </c>
      <c r="F441" s="2">
        <v>60</v>
      </c>
      <c r="G441" s="2">
        <v>59</v>
      </c>
      <c r="H441" s="2">
        <v>85</v>
      </c>
      <c r="I441" s="2">
        <v>79</v>
      </c>
      <c r="J441" s="2">
        <v>105</v>
      </c>
      <c r="K441" s="2">
        <v>36</v>
      </c>
      <c r="L441" s="2">
        <v>424</v>
      </c>
      <c r="M441" s="2" t="s">
        <v>1066</v>
      </c>
      <c r="N441" s="2" t="s">
        <v>1061</v>
      </c>
      <c r="O441" t="s">
        <v>219</v>
      </c>
      <c r="P441" t="s">
        <v>1078</v>
      </c>
      <c r="Q441" t="s">
        <v>1110</v>
      </c>
      <c r="R441" t="s">
        <v>172</v>
      </c>
      <c r="S441" t="s">
        <v>287</v>
      </c>
      <c r="T441" t="s">
        <v>224</v>
      </c>
      <c r="U441" t="s">
        <v>215</v>
      </c>
      <c r="V441" t="s">
        <v>292</v>
      </c>
      <c r="W441" t="s">
        <v>962</v>
      </c>
      <c r="X441" t="s">
        <v>770</v>
      </c>
      <c r="Y441" t="s">
        <v>1082</v>
      </c>
      <c r="Z441" t="s">
        <v>9</v>
      </c>
      <c r="AA441" t="s">
        <v>1086</v>
      </c>
      <c r="AB441" t="s">
        <v>1062</v>
      </c>
      <c r="AC441" t="s">
        <v>1063</v>
      </c>
      <c r="AD441" t="s">
        <v>148</v>
      </c>
      <c r="AE441" t="s">
        <v>1077</v>
      </c>
      <c r="AF441" t="s">
        <v>172</v>
      </c>
      <c r="AG441" t="s">
        <v>752</v>
      </c>
      <c r="AH441" t="s">
        <v>247</v>
      </c>
      <c r="AI441" t="s">
        <v>1078</v>
      </c>
      <c r="AJ441" t="s">
        <v>766</v>
      </c>
      <c r="AK441" t="s">
        <v>759</v>
      </c>
      <c r="AL441" t="s">
        <v>1079</v>
      </c>
      <c r="AM441" t="s">
        <v>229</v>
      </c>
      <c r="AN441" t="s">
        <v>1080</v>
      </c>
      <c r="AO441" t="s">
        <v>9</v>
      </c>
      <c r="AP441" t="s">
        <v>174</v>
      </c>
      <c r="AQ441" t="s">
        <v>230</v>
      </c>
      <c r="AR441" t="s">
        <v>917</v>
      </c>
      <c r="AS441" t="s">
        <v>231</v>
      </c>
      <c r="AT441" t="s">
        <v>1082</v>
      </c>
      <c r="AU441" t="s">
        <v>1117</v>
      </c>
      <c r="AV441" t="s">
        <v>1037</v>
      </c>
      <c r="AW441" t="s">
        <v>970</v>
      </c>
      <c r="AX441" t="s">
        <v>976</v>
      </c>
      <c r="AY441" t="s">
        <v>232</v>
      </c>
      <c r="AZ441" t="s">
        <v>1042</v>
      </c>
      <c r="BA441" t="s">
        <v>785</v>
      </c>
      <c r="BB441" t="s">
        <v>2369</v>
      </c>
      <c r="BC441" t="s">
        <v>293</v>
      </c>
      <c r="BD441" t="s">
        <v>977</v>
      </c>
      <c r="BE441" t="s">
        <v>756</v>
      </c>
      <c r="BF441" t="s">
        <v>757</v>
      </c>
      <c r="BG441" t="s">
        <v>233</v>
      </c>
      <c r="BH441" t="s">
        <v>2339</v>
      </c>
      <c r="BI441" t="s">
        <v>234</v>
      </c>
      <c r="BJ441" t="s">
        <v>239</v>
      </c>
      <c r="BK441" t="s">
        <v>241</v>
      </c>
      <c r="BL441" t="s">
        <v>805</v>
      </c>
      <c r="BM441" t="s">
        <v>806</v>
      </c>
    </row>
    <row r="442" spans="1:92">
      <c r="A442" s="40">
        <v>413.2</v>
      </c>
      <c r="B442" s="40" t="s">
        <v>1798</v>
      </c>
      <c r="C442" s="2" t="s">
        <v>1799</v>
      </c>
      <c r="D442" s="2" t="s">
        <v>14</v>
      </c>
      <c r="E442" s="2" t="s">
        <v>22</v>
      </c>
      <c r="F442" s="2">
        <v>60</v>
      </c>
      <c r="G442" s="2">
        <v>79</v>
      </c>
      <c r="H442" s="2">
        <v>105</v>
      </c>
      <c r="I442" s="2">
        <v>59</v>
      </c>
      <c r="J442" s="2">
        <v>85</v>
      </c>
      <c r="K442" s="2">
        <v>36</v>
      </c>
      <c r="L442" s="2">
        <v>424</v>
      </c>
      <c r="M442" s="2" t="s">
        <v>1071</v>
      </c>
      <c r="N442" s="2" t="s">
        <v>1061</v>
      </c>
      <c r="O442" t="s">
        <v>219</v>
      </c>
      <c r="P442" t="s">
        <v>1078</v>
      </c>
      <c r="Q442" t="s">
        <v>1110</v>
      </c>
      <c r="R442" t="s">
        <v>172</v>
      </c>
      <c r="S442" t="s">
        <v>287</v>
      </c>
      <c r="T442" t="s">
        <v>1196</v>
      </c>
      <c r="U442" t="s">
        <v>284</v>
      </c>
      <c r="V442" t="s">
        <v>292</v>
      </c>
      <c r="W442" t="s">
        <v>962</v>
      </c>
      <c r="X442" t="s">
        <v>770</v>
      </c>
      <c r="Y442" t="s">
        <v>1082</v>
      </c>
      <c r="Z442" t="s">
        <v>9</v>
      </c>
      <c r="AA442" t="s">
        <v>419</v>
      </c>
      <c r="AB442" t="s">
        <v>1062</v>
      </c>
      <c r="AC442" t="s">
        <v>1063</v>
      </c>
      <c r="AD442" t="s">
        <v>148</v>
      </c>
      <c r="AE442" t="s">
        <v>1077</v>
      </c>
      <c r="AF442" t="s">
        <v>172</v>
      </c>
      <c r="AG442" t="s">
        <v>752</v>
      </c>
      <c r="AH442" t="s">
        <v>247</v>
      </c>
      <c r="AI442" t="s">
        <v>1078</v>
      </c>
      <c r="AJ442" t="s">
        <v>766</v>
      </c>
      <c r="AK442" t="s">
        <v>759</v>
      </c>
      <c r="AL442" t="s">
        <v>1079</v>
      </c>
      <c r="AM442" t="s">
        <v>136</v>
      </c>
      <c r="AN442" t="s">
        <v>1080</v>
      </c>
      <c r="AO442" t="s">
        <v>256</v>
      </c>
      <c r="AP442" t="s">
        <v>9</v>
      </c>
      <c r="AQ442" t="s">
        <v>174</v>
      </c>
      <c r="AR442" t="s">
        <v>230</v>
      </c>
      <c r="AS442" t="s">
        <v>765</v>
      </c>
      <c r="AT442" t="s">
        <v>1095</v>
      </c>
      <c r="AU442" t="s">
        <v>917</v>
      </c>
      <c r="AV442" t="s">
        <v>231</v>
      </c>
      <c r="AW442" t="s">
        <v>1082</v>
      </c>
      <c r="AX442" t="s">
        <v>1117</v>
      </c>
      <c r="AY442" t="s">
        <v>1037</v>
      </c>
      <c r="AZ442" t="s">
        <v>976</v>
      </c>
      <c r="BA442" t="s">
        <v>232</v>
      </c>
      <c r="BB442" t="s">
        <v>1042</v>
      </c>
      <c r="BC442" t="s">
        <v>785</v>
      </c>
      <c r="BD442" t="s">
        <v>1021</v>
      </c>
      <c r="BE442" t="s">
        <v>2369</v>
      </c>
      <c r="BF442" t="s">
        <v>293</v>
      </c>
      <c r="BG442" t="s">
        <v>756</v>
      </c>
      <c r="BH442" t="s">
        <v>757</v>
      </c>
      <c r="BI442" t="s">
        <v>233</v>
      </c>
      <c r="BJ442" t="s">
        <v>2339</v>
      </c>
      <c r="BK442" t="s">
        <v>234</v>
      </c>
      <c r="BL442" t="s">
        <v>239</v>
      </c>
      <c r="BM442" t="s">
        <v>241</v>
      </c>
      <c r="BN442" t="s">
        <v>805</v>
      </c>
      <c r="BO442" t="s">
        <v>806</v>
      </c>
    </row>
    <row r="443" spans="1:92">
      <c r="A443" s="40">
        <v>413.3</v>
      </c>
      <c r="B443" s="40" t="s">
        <v>1800</v>
      </c>
      <c r="C443" s="2" t="s">
        <v>1801</v>
      </c>
      <c r="D443" s="2" t="s">
        <v>14</v>
      </c>
      <c r="E443" s="2" t="s">
        <v>26</v>
      </c>
      <c r="F443" s="2">
        <v>60</v>
      </c>
      <c r="G443" s="2">
        <v>69</v>
      </c>
      <c r="H443" s="2">
        <v>95</v>
      </c>
      <c r="I443" s="2">
        <v>69</v>
      </c>
      <c r="J443" s="2">
        <v>95</v>
      </c>
      <c r="K443" s="2">
        <v>36</v>
      </c>
      <c r="L443" s="2">
        <v>424</v>
      </c>
      <c r="M443" s="2" t="s">
        <v>1065</v>
      </c>
      <c r="N443" s="2" t="s">
        <v>1061</v>
      </c>
      <c r="O443" t="s">
        <v>219</v>
      </c>
      <c r="P443" t="s">
        <v>1078</v>
      </c>
      <c r="Q443" t="s">
        <v>1110</v>
      </c>
      <c r="R443" t="s">
        <v>172</v>
      </c>
      <c r="S443" t="s">
        <v>287</v>
      </c>
      <c r="T443" t="s">
        <v>1206</v>
      </c>
      <c r="U443" t="s">
        <v>1202</v>
      </c>
      <c r="V443" t="s">
        <v>292</v>
      </c>
      <c r="W443" t="s">
        <v>962</v>
      </c>
      <c r="X443" t="s">
        <v>770</v>
      </c>
      <c r="Y443" t="s">
        <v>1082</v>
      </c>
      <c r="Z443" t="s">
        <v>9</v>
      </c>
      <c r="AA443" t="s">
        <v>985</v>
      </c>
      <c r="AB443" t="s">
        <v>1062</v>
      </c>
      <c r="AC443" t="s">
        <v>1063</v>
      </c>
      <c r="AD443" t="s">
        <v>148</v>
      </c>
      <c r="AE443" t="s">
        <v>1077</v>
      </c>
      <c r="AF443" t="s">
        <v>172</v>
      </c>
      <c r="AG443" t="s">
        <v>752</v>
      </c>
      <c r="AH443" t="s">
        <v>247</v>
      </c>
      <c r="AI443" t="s">
        <v>1078</v>
      </c>
      <c r="AJ443" t="s">
        <v>766</v>
      </c>
      <c r="AK443" t="s">
        <v>759</v>
      </c>
      <c r="AL443" t="s">
        <v>1079</v>
      </c>
      <c r="AM443" t="s">
        <v>1080</v>
      </c>
      <c r="AN443" t="s">
        <v>9</v>
      </c>
      <c r="AO443" t="s">
        <v>174</v>
      </c>
      <c r="AP443" t="s">
        <v>230</v>
      </c>
      <c r="AQ443" t="s">
        <v>917</v>
      </c>
      <c r="AR443" t="s">
        <v>231</v>
      </c>
      <c r="AS443" t="s">
        <v>1082</v>
      </c>
      <c r="AT443" t="s">
        <v>1117</v>
      </c>
      <c r="AU443" t="s">
        <v>1037</v>
      </c>
      <c r="AV443" t="s">
        <v>976</v>
      </c>
      <c r="AW443" t="s">
        <v>232</v>
      </c>
      <c r="AX443" t="s">
        <v>980</v>
      </c>
      <c r="AY443" t="s">
        <v>1042</v>
      </c>
      <c r="AZ443" t="s">
        <v>785</v>
      </c>
      <c r="BA443" t="s">
        <v>2369</v>
      </c>
      <c r="BB443" t="s">
        <v>293</v>
      </c>
      <c r="BC443" t="s">
        <v>756</v>
      </c>
      <c r="BD443" t="s">
        <v>757</v>
      </c>
      <c r="BE443" t="s">
        <v>233</v>
      </c>
      <c r="BF443" t="s">
        <v>973</v>
      </c>
      <c r="BG443" t="s">
        <v>2339</v>
      </c>
      <c r="BH443" t="s">
        <v>234</v>
      </c>
      <c r="BI443" t="s">
        <v>239</v>
      </c>
      <c r="BJ443" t="s">
        <v>241</v>
      </c>
      <c r="BK443" t="s">
        <v>805</v>
      </c>
      <c r="BL443" t="s">
        <v>806</v>
      </c>
    </row>
    <row r="444" spans="1:92">
      <c r="A444" s="40">
        <v>414</v>
      </c>
      <c r="B444" s="40" t="s">
        <v>1802</v>
      </c>
      <c r="C444" s="2" t="s">
        <v>1803</v>
      </c>
      <c r="D444" s="2" t="s">
        <v>14</v>
      </c>
      <c r="E444" s="2" t="s">
        <v>20</v>
      </c>
      <c r="F444" s="2">
        <v>70</v>
      </c>
      <c r="G444" s="2">
        <v>94</v>
      </c>
      <c r="H444" s="2">
        <v>50</v>
      </c>
      <c r="I444" s="2">
        <v>94</v>
      </c>
      <c r="J444" s="2">
        <v>50</v>
      </c>
      <c r="K444" s="2">
        <v>66</v>
      </c>
      <c r="L444" s="2">
        <v>424</v>
      </c>
      <c r="M444" s="2" t="s">
        <v>1120</v>
      </c>
      <c r="N444" s="2" t="s">
        <v>1061</v>
      </c>
      <c r="O444" t="s">
        <v>219</v>
      </c>
      <c r="P444" t="s">
        <v>1078</v>
      </c>
      <c r="Q444" t="s">
        <v>1110</v>
      </c>
      <c r="R444" t="s">
        <v>172</v>
      </c>
      <c r="S444" t="s">
        <v>287</v>
      </c>
      <c r="T444" t="s">
        <v>289</v>
      </c>
      <c r="U444" t="s">
        <v>221</v>
      </c>
      <c r="V444" t="s">
        <v>292</v>
      </c>
      <c r="W444" t="s">
        <v>1226</v>
      </c>
      <c r="X444" t="s">
        <v>1113</v>
      </c>
      <c r="Y444" t="s">
        <v>1101</v>
      </c>
      <c r="Z444" t="s">
        <v>9</v>
      </c>
      <c r="AA444" t="s">
        <v>1115</v>
      </c>
      <c r="AB444" t="s">
        <v>1116</v>
      </c>
      <c r="AC444" t="s">
        <v>1062</v>
      </c>
      <c r="AD444" t="s">
        <v>1063</v>
      </c>
      <c r="AE444" t="s">
        <v>148</v>
      </c>
      <c r="AF444" t="s">
        <v>1077</v>
      </c>
      <c r="AG444" t="s">
        <v>172</v>
      </c>
      <c r="AH444" t="s">
        <v>752</v>
      </c>
      <c r="AI444" t="s">
        <v>247</v>
      </c>
      <c r="AJ444" t="s">
        <v>1078</v>
      </c>
      <c r="AK444" t="s">
        <v>766</v>
      </c>
      <c r="AL444" t="s">
        <v>1119</v>
      </c>
      <c r="AM444" t="s">
        <v>759</v>
      </c>
      <c r="AN444" t="s">
        <v>1079</v>
      </c>
      <c r="AO444" t="s">
        <v>229</v>
      </c>
      <c r="AP444" t="s">
        <v>1080</v>
      </c>
      <c r="AQ444" t="s">
        <v>9</v>
      </c>
      <c r="AR444" t="s">
        <v>174</v>
      </c>
      <c r="AS444" t="s">
        <v>230</v>
      </c>
      <c r="AT444" t="s">
        <v>1096</v>
      </c>
      <c r="AU444" t="s">
        <v>917</v>
      </c>
      <c r="AV444" t="s">
        <v>231</v>
      </c>
      <c r="AW444" t="s">
        <v>1082</v>
      </c>
      <c r="AX444" t="s">
        <v>1117</v>
      </c>
      <c r="AY444" t="s">
        <v>1037</v>
      </c>
      <c r="AZ444" t="s">
        <v>970</v>
      </c>
      <c r="BA444" t="s">
        <v>1020</v>
      </c>
      <c r="BB444" t="s">
        <v>976</v>
      </c>
      <c r="BC444" t="s">
        <v>232</v>
      </c>
      <c r="BD444" t="s">
        <v>1042</v>
      </c>
      <c r="BE444" t="s">
        <v>785</v>
      </c>
      <c r="BF444" t="s">
        <v>2369</v>
      </c>
      <c r="BG444" t="s">
        <v>293</v>
      </c>
      <c r="BH444" t="s">
        <v>756</v>
      </c>
      <c r="BI444" t="s">
        <v>757</v>
      </c>
      <c r="BJ444" t="s">
        <v>1014</v>
      </c>
      <c r="BK444" t="s">
        <v>233</v>
      </c>
      <c r="BL444" t="s">
        <v>2339</v>
      </c>
      <c r="BM444" t="s">
        <v>234</v>
      </c>
      <c r="BN444" t="s">
        <v>239</v>
      </c>
      <c r="BO444" t="s">
        <v>241</v>
      </c>
      <c r="BP444" t="s">
        <v>805</v>
      </c>
      <c r="BQ444" t="s">
        <v>806</v>
      </c>
    </row>
    <row r="445" spans="1:92">
      <c r="A445" s="40">
        <v>415</v>
      </c>
      <c r="B445" s="40" t="s">
        <v>1804</v>
      </c>
      <c r="C445" s="2" t="s">
        <v>1805</v>
      </c>
      <c r="D445" s="2" t="s">
        <v>14</v>
      </c>
      <c r="E445" s="2" t="s">
        <v>20</v>
      </c>
      <c r="F445" s="2">
        <v>30</v>
      </c>
      <c r="G445" s="2">
        <v>30</v>
      </c>
      <c r="H445" s="2">
        <v>42</v>
      </c>
      <c r="I445" s="2">
        <v>30</v>
      </c>
      <c r="J445" s="2">
        <v>42</v>
      </c>
      <c r="K445" s="2">
        <v>70</v>
      </c>
      <c r="L445" s="2">
        <v>244</v>
      </c>
      <c r="M445" s="2" t="s">
        <v>1232</v>
      </c>
      <c r="N445" s="2" t="s">
        <v>1061</v>
      </c>
      <c r="O445" t="s">
        <v>289</v>
      </c>
      <c r="P445" t="s">
        <v>1076</v>
      </c>
      <c r="Q445" t="s">
        <v>1110</v>
      </c>
      <c r="R445" t="s">
        <v>1115</v>
      </c>
      <c r="S445" t="s">
        <v>1062</v>
      </c>
      <c r="T445" t="s">
        <v>1063</v>
      </c>
      <c r="U445" t="s">
        <v>234</v>
      </c>
      <c r="V445" t="s">
        <v>239</v>
      </c>
      <c r="W445" t="s">
        <v>241</v>
      </c>
      <c r="X445" t="s">
        <v>805</v>
      </c>
      <c r="Y445" t="s">
        <v>806</v>
      </c>
    </row>
    <row r="446" spans="1:92">
      <c r="A446" s="40">
        <v>416</v>
      </c>
      <c r="B446" s="40" t="s">
        <v>1806</v>
      </c>
      <c r="C446" s="2" t="s">
        <v>1807</v>
      </c>
      <c r="D446" s="2" t="s">
        <v>14</v>
      </c>
      <c r="E446" s="2" t="s">
        <v>20</v>
      </c>
      <c r="F446" s="2">
        <v>70</v>
      </c>
      <c r="G446" s="2">
        <v>80</v>
      </c>
      <c r="H446" s="2">
        <v>102</v>
      </c>
      <c r="I446" s="2">
        <v>80</v>
      </c>
      <c r="J446" s="2">
        <v>102</v>
      </c>
      <c r="K446" s="2">
        <v>40</v>
      </c>
      <c r="L446" s="2">
        <v>474</v>
      </c>
      <c r="M446" s="2" t="s">
        <v>1162</v>
      </c>
      <c r="N446" s="2" t="s">
        <v>1061</v>
      </c>
      <c r="O446" t="s">
        <v>289</v>
      </c>
      <c r="P446" t="s">
        <v>296</v>
      </c>
      <c r="Q446" t="s">
        <v>387</v>
      </c>
      <c r="R446" t="s">
        <v>1076</v>
      </c>
      <c r="S446" t="s">
        <v>758</v>
      </c>
      <c r="T446" t="s">
        <v>773</v>
      </c>
      <c r="U446" t="s">
        <v>323</v>
      </c>
      <c r="V446" t="s">
        <v>1808</v>
      </c>
      <c r="W446" t="s">
        <v>253</v>
      </c>
      <c r="X446" t="s">
        <v>1169</v>
      </c>
      <c r="Y446" t="s">
        <v>1809</v>
      </c>
      <c r="Z446" t="s">
        <v>148</v>
      </c>
      <c r="AA446" t="s">
        <v>1101</v>
      </c>
      <c r="AB446" t="s">
        <v>962</v>
      </c>
      <c r="AC446" t="s">
        <v>1810</v>
      </c>
      <c r="AD446" t="s">
        <v>756</v>
      </c>
      <c r="AE446" t="s">
        <v>793</v>
      </c>
      <c r="AF446" t="s">
        <v>2355</v>
      </c>
      <c r="AG446" t="s">
        <v>1062</v>
      </c>
      <c r="AH446" t="s">
        <v>226</v>
      </c>
      <c r="AI446" t="s">
        <v>1063</v>
      </c>
      <c r="AJ446" t="s">
        <v>1030</v>
      </c>
      <c r="AK446" t="s">
        <v>148</v>
      </c>
      <c r="AL446" t="s">
        <v>1077</v>
      </c>
      <c r="AM446" t="s">
        <v>172</v>
      </c>
      <c r="AN446" t="s">
        <v>752</v>
      </c>
      <c r="AO446" t="s">
        <v>247</v>
      </c>
      <c r="AP446" t="s">
        <v>1078</v>
      </c>
      <c r="AQ446" t="s">
        <v>766</v>
      </c>
      <c r="AR446" t="s">
        <v>1119</v>
      </c>
      <c r="AS446" t="s">
        <v>1079</v>
      </c>
      <c r="AT446" t="s">
        <v>1080</v>
      </c>
      <c r="AU446" t="s">
        <v>230</v>
      </c>
      <c r="AV446" t="s">
        <v>1081</v>
      </c>
      <c r="AW446" t="s">
        <v>1096</v>
      </c>
      <c r="AX446" t="s">
        <v>917</v>
      </c>
      <c r="AY446" t="s">
        <v>231</v>
      </c>
      <c r="AZ446" t="s">
        <v>1082</v>
      </c>
      <c r="BA446" t="s">
        <v>1117</v>
      </c>
      <c r="BB446" t="s">
        <v>1037</v>
      </c>
      <c r="BC446" t="s">
        <v>974</v>
      </c>
      <c r="BD446" t="s">
        <v>1034</v>
      </c>
      <c r="BE446" t="s">
        <v>1020</v>
      </c>
      <c r="BF446" t="s">
        <v>976</v>
      </c>
      <c r="BG446" t="s">
        <v>232</v>
      </c>
      <c r="BH446" t="s">
        <v>1042</v>
      </c>
      <c r="BI446" t="s">
        <v>1018</v>
      </c>
      <c r="BJ446" t="s">
        <v>2369</v>
      </c>
      <c r="BK446" t="s">
        <v>756</v>
      </c>
      <c r="BL446" t="s">
        <v>757</v>
      </c>
      <c r="BM446" t="s">
        <v>1014</v>
      </c>
      <c r="BN446" t="s">
        <v>233</v>
      </c>
      <c r="BO446" t="s">
        <v>2339</v>
      </c>
      <c r="BP446" t="s">
        <v>234</v>
      </c>
      <c r="BQ446" t="s">
        <v>239</v>
      </c>
      <c r="BR446" t="s">
        <v>241</v>
      </c>
      <c r="BS446" t="s">
        <v>1110</v>
      </c>
      <c r="BT446" t="s">
        <v>1115</v>
      </c>
      <c r="BU446" t="s">
        <v>805</v>
      </c>
      <c r="BV446" t="s">
        <v>806</v>
      </c>
    </row>
    <row r="447" spans="1:92">
      <c r="A447" s="40">
        <v>417</v>
      </c>
      <c r="B447" s="40" t="s">
        <v>1811</v>
      </c>
      <c r="C447" s="2" t="s">
        <v>1812</v>
      </c>
      <c r="D447" s="2" t="s">
        <v>17</v>
      </c>
      <c r="E447" s="2"/>
      <c r="F447" s="2">
        <v>60</v>
      </c>
      <c r="G447" s="2">
        <v>45</v>
      </c>
      <c r="H447" s="2">
        <v>70</v>
      </c>
      <c r="I447" s="2">
        <v>45</v>
      </c>
      <c r="J447" s="2">
        <v>90</v>
      </c>
      <c r="K447" s="2">
        <v>95</v>
      </c>
      <c r="L447" s="2">
        <v>405</v>
      </c>
      <c r="M447" s="2" t="s">
        <v>1103</v>
      </c>
      <c r="N447" s="2" t="s">
        <v>1061</v>
      </c>
      <c r="O447" t="s">
        <v>220</v>
      </c>
      <c r="P447" t="s">
        <v>347</v>
      </c>
      <c r="Q447" t="s">
        <v>310</v>
      </c>
      <c r="R447" t="s">
        <v>781</v>
      </c>
      <c r="S447" t="s">
        <v>1203</v>
      </c>
      <c r="T447" t="s">
        <v>754</v>
      </c>
      <c r="U447" t="s">
        <v>2385</v>
      </c>
      <c r="V447" t="s">
        <v>354</v>
      </c>
      <c r="W447" t="s">
        <v>1023</v>
      </c>
      <c r="X447" t="s">
        <v>782</v>
      </c>
      <c r="Y447" t="s">
        <v>322</v>
      </c>
      <c r="Z447" t="s">
        <v>320</v>
      </c>
      <c r="AA447" t="s">
        <v>1138</v>
      </c>
      <c r="AB447" t="s">
        <v>986</v>
      </c>
      <c r="AC447" t="s">
        <v>319</v>
      </c>
      <c r="AD447" t="s">
        <v>1062</v>
      </c>
      <c r="AE447" t="s">
        <v>226</v>
      </c>
      <c r="AF447" t="s">
        <v>1063</v>
      </c>
      <c r="AG447" t="s">
        <v>148</v>
      </c>
      <c r="AH447" t="s">
        <v>172</v>
      </c>
      <c r="AI447" t="s">
        <v>228</v>
      </c>
      <c r="AJ447" t="s">
        <v>1078</v>
      </c>
      <c r="AK447" t="s">
        <v>766</v>
      </c>
      <c r="AL447" t="s">
        <v>1079</v>
      </c>
      <c r="AM447" t="s">
        <v>146</v>
      </c>
      <c r="AN447" t="s">
        <v>321</v>
      </c>
      <c r="AO447" t="s">
        <v>1080</v>
      </c>
      <c r="AP447" t="s">
        <v>256</v>
      </c>
      <c r="AQ447" t="s">
        <v>230</v>
      </c>
      <c r="AR447" t="s">
        <v>917</v>
      </c>
      <c r="AS447" t="s">
        <v>231</v>
      </c>
      <c r="AT447" t="s">
        <v>1082</v>
      </c>
      <c r="AU447" t="s">
        <v>1037</v>
      </c>
      <c r="AV447" t="s">
        <v>1083</v>
      </c>
      <c r="AW447" t="s">
        <v>974</v>
      </c>
      <c r="AX447" t="s">
        <v>963</v>
      </c>
      <c r="AY447" t="s">
        <v>232</v>
      </c>
      <c r="AZ447" t="s">
        <v>1045</v>
      </c>
      <c r="BA447" t="s">
        <v>322</v>
      </c>
      <c r="BB447" t="s">
        <v>977</v>
      </c>
      <c r="BC447" t="s">
        <v>756</v>
      </c>
      <c r="BD447" t="s">
        <v>757</v>
      </c>
      <c r="BE447" t="s">
        <v>1014</v>
      </c>
      <c r="BF447" t="s">
        <v>233</v>
      </c>
      <c r="BG447" t="s">
        <v>2339</v>
      </c>
      <c r="BH447" t="s">
        <v>234</v>
      </c>
      <c r="BI447" t="s">
        <v>266</v>
      </c>
      <c r="BJ447" t="s">
        <v>258</v>
      </c>
      <c r="BK447" t="s">
        <v>353</v>
      </c>
      <c r="BL447" t="s">
        <v>770</v>
      </c>
      <c r="BM447" t="s">
        <v>768</v>
      </c>
      <c r="BN447" t="s">
        <v>761</v>
      </c>
      <c r="BO447" t="s">
        <v>919</v>
      </c>
      <c r="BP447" t="s">
        <v>921</v>
      </c>
      <c r="BQ447" t="s">
        <v>1140</v>
      </c>
      <c r="BR447" t="s">
        <v>918</v>
      </c>
      <c r="BS447" t="s">
        <v>913</v>
      </c>
      <c r="BT447" t="s">
        <v>1139</v>
      </c>
      <c r="BU447" t="s">
        <v>2370</v>
      </c>
      <c r="BV447" t="s">
        <v>239</v>
      </c>
      <c r="BW447" t="s">
        <v>241</v>
      </c>
      <c r="BX447" t="s">
        <v>805</v>
      </c>
      <c r="BY447" t="s">
        <v>806</v>
      </c>
    </row>
    <row r="448" spans="1:92">
      <c r="A448" s="40">
        <v>418</v>
      </c>
      <c r="B448" s="40" t="s">
        <v>1813</v>
      </c>
      <c r="C448" s="2" t="s">
        <v>1814</v>
      </c>
      <c r="D448" s="2" t="s">
        <v>27</v>
      </c>
      <c r="E448" s="2"/>
      <c r="F448" s="2">
        <v>55</v>
      </c>
      <c r="G448" s="2">
        <v>65</v>
      </c>
      <c r="H448" s="2">
        <v>35</v>
      </c>
      <c r="I448" s="2">
        <v>60</v>
      </c>
      <c r="J448" s="2">
        <v>30</v>
      </c>
      <c r="K448" s="2">
        <v>85</v>
      </c>
      <c r="L448" s="2">
        <v>330</v>
      </c>
      <c r="M448" s="2" t="s">
        <v>1089</v>
      </c>
      <c r="N448" s="2" t="s">
        <v>1061</v>
      </c>
      <c r="O448" t="s">
        <v>502</v>
      </c>
      <c r="P448" t="s">
        <v>220</v>
      </c>
      <c r="Q448" t="s">
        <v>955</v>
      </c>
      <c r="R448" t="s">
        <v>310</v>
      </c>
      <c r="S448" t="s">
        <v>269</v>
      </c>
      <c r="T448" t="s">
        <v>773</v>
      </c>
      <c r="U448" t="s">
        <v>354</v>
      </c>
      <c r="V448" t="s">
        <v>959</v>
      </c>
      <c r="W448" t="s">
        <v>965</v>
      </c>
      <c r="X448" t="s">
        <v>767</v>
      </c>
      <c r="Y448" t="s">
        <v>332</v>
      </c>
      <c r="Z448" t="s">
        <v>179</v>
      </c>
      <c r="AA448" t="s">
        <v>306</v>
      </c>
      <c r="AB448" t="s">
        <v>140</v>
      </c>
      <c r="AC448" t="s">
        <v>1062</v>
      </c>
      <c r="AD448" t="s">
        <v>144</v>
      </c>
      <c r="AE448" t="s">
        <v>227</v>
      </c>
      <c r="AF448" t="s">
        <v>270</v>
      </c>
      <c r="AG448" t="s">
        <v>914</v>
      </c>
      <c r="AH448" t="s">
        <v>1063</v>
      </c>
      <c r="AI448" t="s">
        <v>148</v>
      </c>
      <c r="AJ448" t="s">
        <v>1104</v>
      </c>
      <c r="AK448" t="s">
        <v>1175</v>
      </c>
      <c r="AL448" t="s">
        <v>172</v>
      </c>
      <c r="AM448" t="s">
        <v>141</v>
      </c>
      <c r="AN448" t="s">
        <v>271</v>
      </c>
      <c r="AO448" t="s">
        <v>1078</v>
      </c>
      <c r="AP448" t="s">
        <v>766</v>
      </c>
      <c r="AQ448" t="s">
        <v>1079</v>
      </c>
      <c r="AR448" t="s">
        <v>1080</v>
      </c>
      <c r="AS448" t="s">
        <v>256</v>
      </c>
      <c r="AT448" t="s">
        <v>1094</v>
      </c>
      <c r="AU448" t="s">
        <v>230</v>
      </c>
      <c r="AV448" t="s">
        <v>1095</v>
      </c>
      <c r="AW448" t="s">
        <v>917</v>
      </c>
      <c r="AX448" t="s">
        <v>231</v>
      </c>
      <c r="AY448" t="s">
        <v>1082</v>
      </c>
      <c r="AZ448" t="s">
        <v>1037</v>
      </c>
      <c r="BA448" t="s">
        <v>1083</v>
      </c>
      <c r="BB448" t="s">
        <v>1038</v>
      </c>
      <c r="BC448" t="s">
        <v>756</v>
      </c>
      <c r="BD448" t="s">
        <v>757</v>
      </c>
      <c r="BE448" t="s">
        <v>233</v>
      </c>
      <c r="BF448" t="s">
        <v>760</v>
      </c>
      <c r="BG448" t="s">
        <v>2398</v>
      </c>
      <c r="BH448" t="s">
        <v>2339</v>
      </c>
      <c r="BI448" t="s">
        <v>234</v>
      </c>
      <c r="BJ448" t="s">
        <v>348</v>
      </c>
      <c r="BK448" t="s">
        <v>420</v>
      </c>
      <c r="BL448" t="s">
        <v>323</v>
      </c>
      <c r="BM448" t="s">
        <v>253</v>
      </c>
      <c r="BN448" t="s">
        <v>755</v>
      </c>
      <c r="BO448" t="s">
        <v>758</v>
      </c>
      <c r="BP448" t="s">
        <v>788</v>
      </c>
      <c r="BQ448" t="s">
        <v>934</v>
      </c>
      <c r="BR448" t="s">
        <v>989</v>
      </c>
      <c r="BS448" t="s">
        <v>178</v>
      </c>
      <c r="BT448" t="s">
        <v>179</v>
      </c>
      <c r="BU448" t="s">
        <v>1136</v>
      </c>
      <c r="BV448" t="s">
        <v>1170</v>
      </c>
      <c r="BW448" t="s">
        <v>1156</v>
      </c>
      <c r="BX448" t="s">
        <v>239</v>
      </c>
      <c r="BY448" t="s">
        <v>241</v>
      </c>
      <c r="BZ448" t="s">
        <v>805</v>
      </c>
      <c r="CA448" t="s">
        <v>806</v>
      </c>
    </row>
    <row r="449" spans="1:93">
      <c r="A449" s="40">
        <v>419</v>
      </c>
      <c r="B449" s="40" t="s">
        <v>1815</v>
      </c>
      <c r="C449" s="2" t="s">
        <v>1816</v>
      </c>
      <c r="D449" s="2" t="s">
        <v>27</v>
      </c>
      <c r="E449" s="2"/>
      <c r="F449" s="2">
        <v>85</v>
      </c>
      <c r="G449" s="2">
        <v>105</v>
      </c>
      <c r="H449" s="2">
        <v>55</v>
      </c>
      <c r="I449" s="2">
        <v>85</v>
      </c>
      <c r="J449" s="2">
        <v>50</v>
      </c>
      <c r="K449" s="2">
        <v>115</v>
      </c>
      <c r="L449" s="2">
        <v>495</v>
      </c>
      <c r="M449" s="2" t="s">
        <v>1159</v>
      </c>
      <c r="N449" s="2" t="s">
        <v>1061</v>
      </c>
      <c r="O449" t="s">
        <v>220</v>
      </c>
      <c r="P449" t="s">
        <v>502</v>
      </c>
      <c r="Q449" t="s">
        <v>310</v>
      </c>
      <c r="R449" t="s">
        <v>777</v>
      </c>
      <c r="S449" t="s">
        <v>955</v>
      </c>
      <c r="T449" t="s">
        <v>983</v>
      </c>
      <c r="U449" t="s">
        <v>220</v>
      </c>
      <c r="V449" t="s">
        <v>955</v>
      </c>
      <c r="W449" t="s">
        <v>310</v>
      </c>
      <c r="X449" t="s">
        <v>269</v>
      </c>
      <c r="Y449" t="s">
        <v>773</v>
      </c>
      <c r="Z449" t="s">
        <v>354</v>
      </c>
      <c r="AA449" t="s">
        <v>959</v>
      </c>
      <c r="AB449" t="s">
        <v>965</v>
      </c>
      <c r="AC449" t="s">
        <v>767</v>
      </c>
      <c r="AD449" t="s">
        <v>332</v>
      </c>
      <c r="AE449" t="s">
        <v>179</v>
      </c>
      <c r="AF449" t="s">
        <v>306</v>
      </c>
      <c r="AG449" t="s">
        <v>140</v>
      </c>
      <c r="AH449" t="s">
        <v>1062</v>
      </c>
      <c r="AI449" t="s">
        <v>144</v>
      </c>
      <c r="AJ449" t="s">
        <v>227</v>
      </c>
      <c r="AK449" t="s">
        <v>270</v>
      </c>
      <c r="AL449" t="s">
        <v>914</v>
      </c>
      <c r="AM449" t="s">
        <v>1063</v>
      </c>
      <c r="AN449" t="s">
        <v>246</v>
      </c>
      <c r="AO449" t="s">
        <v>148</v>
      </c>
      <c r="AP449" t="s">
        <v>1104</v>
      </c>
      <c r="AQ449" t="s">
        <v>1175</v>
      </c>
      <c r="AR449" t="s">
        <v>172</v>
      </c>
      <c r="AS449" t="s">
        <v>1126</v>
      </c>
      <c r="AT449" t="s">
        <v>141</v>
      </c>
      <c r="AU449" t="s">
        <v>271</v>
      </c>
      <c r="AV449" t="s">
        <v>247</v>
      </c>
      <c r="AW449" t="s">
        <v>1078</v>
      </c>
      <c r="AX449" t="s">
        <v>766</v>
      </c>
      <c r="AY449" t="s">
        <v>1079</v>
      </c>
      <c r="AZ449" t="s">
        <v>1080</v>
      </c>
      <c r="BA449" t="s">
        <v>256</v>
      </c>
      <c r="BB449" t="s">
        <v>1094</v>
      </c>
      <c r="BC449" t="s">
        <v>230</v>
      </c>
      <c r="BD449" t="s">
        <v>1095</v>
      </c>
      <c r="BE449" t="s">
        <v>951</v>
      </c>
      <c r="BF449" t="s">
        <v>917</v>
      </c>
      <c r="BG449" t="s">
        <v>231</v>
      </c>
      <c r="BH449" t="s">
        <v>1082</v>
      </c>
      <c r="BI449" t="s">
        <v>1037</v>
      </c>
      <c r="BJ449" t="s">
        <v>1083</v>
      </c>
      <c r="BK449" t="s">
        <v>1102</v>
      </c>
      <c r="BL449" t="s">
        <v>1038</v>
      </c>
      <c r="BM449" t="s">
        <v>995</v>
      </c>
      <c r="BN449" t="s">
        <v>976</v>
      </c>
      <c r="BO449" t="s">
        <v>756</v>
      </c>
      <c r="BP449" t="s">
        <v>757</v>
      </c>
      <c r="BQ449" t="s">
        <v>233</v>
      </c>
      <c r="BR449" t="s">
        <v>760</v>
      </c>
      <c r="BS449" t="s">
        <v>2398</v>
      </c>
      <c r="BT449" t="s">
        <v>2339</v>
      </c>
      <c r="BU449" t="s">
        <v>234</v>
      </c>
      <c r="BV449" t="s">
        <v>348</v>
      </c>
      <c r="BW449" t="s">
        <v>420</v>
      </c>
      <c r="BX449" t="s">
        <v>323</v>
      </c>
      <c r="BY449" t="s">
        <v>253</v>
      </c>
      <c r="BZ449" t="s">
        <v>755</v>
      </c>
      <c r="CA449" t="s">
        <v>758</v>
      </c>
      <c r="CB449" t="s">
        <v>788</v>
      </c>
      <c r="CC449" t="s">
        <v>934</v>
      </c>
      <c r="CD449" t="s">
        <v>989</v>
      </c>
      <c r="CE449" t="s">
        <v>178</v>
      </c>
      <c r="CF449" t="s">
        <v>179</v>
      </c>
      <c r="CG449" t="s">
        <v>1136</v>
      </c>
      <c r="CH449" t="s">
        <v>1170</v>
      </c>
      <c r="CI449" t="s">
        <v>1156</v>
      </c>
      <c r="CJ449" t="s">
        <v>239</v>
      </c>
      <c r="CK449" t="s">
        <v>241</v>
      </c>
      <c r="CL449" t="s">
        <v>805</v>
      </c>
      <c r="CM449" t="s">
        <v>806</v>
      </c>
    </row>
    <row r="450" spans="1:93">
      <c r="A450" s="40">
        <v>420</v>
      </c>
      <c r="B450" s="40" t="s">
        <v>1817</v>
      </c>
      <c r="C450" s="2" t="s">
        <v>1818</v>
      </c>
      <c r="D450" s="2" t="s">
        <v>21</v>
      </c>
      <c r="E450" s="2"/>
      <c r="F450" s="2">
        <v>45</v>
      </c>
      <c r="G450" s="2">
        <v>35</v>
      </c>
      <c r="H450" s="2">
        <v>45</v>
      </c>
      <c r="I450" s="2">
        <v>62</v>
      </c>
      <c r="J450" s="2">
        <v>53</v>
      </c>
      <c r="K450" s="2">
        <v>35</v>
      </c>
      <c r="L450" s="2">
        <v>275</v>
      </c>
      <c r="M450" s="2" t="s">
        <v>1065</v>
      </c>
      <c r="N450" s="2" t="s">
        <v>1061</v>
      </c>
      <c r="O450" t="s">
        <v>219</v>
      </c>
      <c r="P450" t="s">
        <v>1164</v>
      </c>
      <c r="Q450" t="s">
        <v>215</v>
      </c>
      <c r="R450" t="s">
        <v>142</v>
      </c>
      <c r="S450" t="s">
        <v>925</v>
      </c>
      <c r="T450" t="s">
        <v>930</v>
      </c>
      <c r="U450" t="s">
        <v>752</v>
      </c>
      <c r="V450" t="s">
        <v>1017</v>
      </c>
      <c r="W450" t="s">
        <v>223</v>
      </c>
      <c r="X450" t="s">
        <v>229</v>
      </c>
      <c r="Y450" t="s">
        <v>987</v>
      </c>
      <c r="Z450" t="s">
        <v>1062</v>
      </c>
      <c r="AA450" t="s">
        <v>1063</v>
      </c>
      <c r="AB450" t="s">
        <v>148</v>
      </c>
      <c r="AC450" t="s">
        <v>172</v>
      </c>
      <c r="AD450" t="s">
        <v>752</v>
      </c>
      <c r="AE450" t="s">
        <v>1078</v>
      </c>
      <c r="AF450" t="s">
        <v>759</v>
      </c>
      <c r="AG450" t="s">
        <v>1079</v>
      </c>
      <c r="AH450" t="s">
        <v>229</v>
      </c>
      <c r="AI450" t="s">
        <v>1080</v>
      </c>
      <c r="AJ450" t="s">
        <v>230</v>
      </c>
      <c r="AK450" t="s">
        <v>917</v>
      </c>
      <c r="AL450" t="s">
        <v>231</v>
      </c>
      <c r="AM450" t="s">
        <v>1082</v>
      </c>
      <c r="AN450" t="s">
        <v>1037</v>
      </c>
      <c r="AO450" t="s">
        <v>970</v>
      </c>
      <c r="AP450" t="s">
        <v>232</v>
      </c>
      <c r="AQ450" t="s">
        <v>145</v>
      </c>
      <c r="AR450" t="s">
        <v>977</v>
      </c>
      <c r="AS450" t="s">
        <v>756</v>
      </c>
      <c r="AT450" t="s">
        <v>233</v>
      </c>
      <c r="AU450" t="s">
        <v>234</v>
      </c>
      <c r="AV450" t="s">
        <v>224</v>
      </c>
      <c r="AW450" t="s">
        <v>353</v>
      </c>
      <c r="AX450" t="s">
        <v>768</v>
      </c>
      <c r="AY450" t="s">
        <v>1076</v>
      </c>
      <c r="AZ450" t="s">
        <v>1087</v>
      </c>
      <c r="BA450" t="s">
        <v>1192</v>
      </c>
      <c r="BB450" t="s">
        <v>1153</v>
      </c>
      <c r="BC450" t="s">
        <v>1084</v>
      </c>
      <c r="BD450" t="s">
        <v>950</v>
      </c>
      <c r="BE450" t="s">
        <v>982</v>
      </c>
      <c r="BF450" t="s">
        <v>992</v>
      </c>
      <c r="BG450" t="s">
        <v>1004</v>
      </c>
      <c r="BH450" t="s">
        <v>1200</v>
      </c>
      <c r="BI450" t="s">
        <v>239</v>
      </c>
      <c r="BJ450" t="s">
        <v>241</v>
      </c>
      <c r="BK450" t="s">
        <v>805</v>
      </c>
      <c r="BL450" t="s">
        <v>806</v>
      </c>
    </row>
    <row r="451" spans="1:93">
      <c r="A451" s="40">
        <v>421</v>
      </c>
      <c r="B451" s="40" t="s">
        <v>1819</v>
      </c>
      <c r="C451" s="2" t="s">
        <v>1820</v>
      </c>
      <c r="D451" s="2" t="s">
        <v>21</v>
      </c>
      <c r="E451" s="2"/>
      <c r="F451" s="2">
        <v>70</v>
      </c>
      <c r="G451" s="2">
        <v>60</v>
      </c>
      <c r="H451" s="2">
        <v>70</v>
      </c>
      <c r="I451" s="2">
        <v>87</v>
      </c>
      <c r="J451" s="2">
        <v>78</v>
      </c>
      <c r="K451" s="2">
        <v>85</v>
      </c>
      <c r="L451" s="2">
        <v>450</v>
      </c>
      <c r="M451" s="2" t="s">
        <v>1208</v>
      </c>
      <c r="N451" s="2" t="s">
        <v>1061</v>
      </c>
      <c r="O451" t="s">
        <v>219</v>
      </c>
      <c r="P451" t="s">
        <v>215</v>
      </c>
      <c r="Q451" t="s">
        <v>1164</v>
      </c>
      <c r="R451" t="s">
        <v>215</v>
      </c>
      <c r="S451" t="s">
        <v>142</v>
      </c>
      <c r="T451" t="s">
        <v>925</v>
      </c>
      <c r="U451" t="s">
        <v>930</v>
      </c>
      <c r="V451" t="s">
        <v>752</v>
      </c>
      <c r="W451" t="s">
        <v>236</v>
      </c>
      <c r="X451" t="s">
        <v>1017</v>
      </c>
      <c r="Y451" t="s">
        <v>223</v>
      </c>
      <c r="Z451" t="s">
        <v>229</v>
      </c>
      <c r="AA451" t="s">
        <v>987</v>
      </c>
      <c r="AB451" t="s">
        <v>1062</v>
      </c>
      <c r="AC451" t="s">
        <v>1063</v>
      </c>
      <c r="AD451" t="s">
        <v>148</v>
      </c>
      <c r="AE451" t="s">
        <v>172</v>
      </c>
      <c r="AF451" t="s">
        <v>752</v>
      </c>
      <c r="AG451" t="s">
        <v>247</v>
      </c>
      <c r="AH451" t="s">
        <v>1078</v>
      </c>
      <c r="AI451" t="s">
        <v>759</v>
      </c>
      <c r="AJ451" t="s">
        <v>1079</v>
      </c>
      <c r="AK451" t="s">
        <v>229</v>
      </c>
      <c r="AL451" t="s">
        <v>1080</v>
      </c>
      <c r="AM451" t="s">
        <v>230</v>
      </c>
      <c r="AN451" t="s">
        <v>917</v>
      </c>
      <c r="AO451" t="s">
        <v>231</v>
      </c>
      <c r="AP451" t="s">
        <v>1082</v>
      </c>
      <c r="AQ451" t="s">
        <v>1037</v>
      </c>
      <c r="AR451" t="s">
        <v>970</v>
      </c>
      <c r="AS451" t="s">
        <v>976</v>
      </c>
      <c r="AT451" t="s">
        <v>232</v>
      </c>
      <c r="AU451" t="s">
        <v>145</v>
      </c>
      <c r="AV451" t="s">
        <v>977</v>
      </c>
      <c r="AW451" t="s">
        <v>756</v>
      </c>
      <c r="AX451" t="s">
        <v>233</v>
      </c>
      <c r="AY451" t="s">
        <v>234</v>
      </c>
      <c r="AZ451" t="s">
        <v>224</v>
      </c>
      <c r="BA451" t="s">
        <v>353</v>
      </c>
      <c r="BB451" t="s">
        <v>768</v>
      </c>
      <c r="BC451" t="s">
        <v>1076</v>
      </c>
      <c r="BD451" t="s">
        <v>1087</v>
      </c>
      <c r="BE451" t="s">
        <v>1192</v>
      </c>
      <c r="BF451" t="s">
        <v>1153</v>
      </c>
      <c r="BG451" t="s">
        <v>1084</v>
      </c>
      <c r="BH451" t="s">
        <v>950</v>
      </c>
      <c r="BI451" t="s">
        <v>982</v>
      </c>
      <c r="BJ451" t="s">
        <v>992</v>
      </c>
      <c r="BK451" t="s">
        <v>1004</v>
      </c>
      <c r="BL451" t="s">
        <v>1200</v>
      </c>
      <c r="BM451" t="s">
        <v>239</v>
      </c>
      <c r="BN451" t="s">
        <v>241</v>
      </c>
      <c r="BO451" t="s">
        <v>805</v>
      </c>
      <c r="BP451" t="s">
        <v>806</v>
      </c>
    </row>
    <row r="452" spans="1:93">
      <c r="A452" s="40">
        <v>422</v>
      </c>
      <c r="B452" s="40" t="s">
        <v>1821</v>
      </c>
      <c r="C452" s="2" t="s">
        <v>1822</v>
      </c>
      <c r="D452" s="2" t="s">
        <v>27</v>
      </c>
      <c r="E452" s="2"/>
      <c r="F452" s="2">
        <v>76</v>
      </c>
      <c r="G452" s="2">
        <v>48</v>
      </c>
      <c r="H452" s="2">
        <v>48</v>
      </c>
      <c r="I452" s="2">
        <v>57</v>
      </c>
      <c r="J452" s="2">
        <v>62</v>
      </c>
      <c r="K452" s="2">
        <v>34</v>
      </c>
      <c r="L452" s="2">
        <v>325</v>
      </c>
      <c r="M452" s="2" t="s">
        <v>1120</v>
      </c>
      <c r="N452" s="2" t="s">
        <v>1061</v>
      </c>
      <c r="O452" t="s">
        <v>755</v>
      </c>
      <c r="P452" t="s">
        <v>933</v>
      </c>
      <c r="Q452" t="s">
        <v>284</v>
      </c>
      <c r="R452" t="s">
        <v>954</v>
      </c>
      <c r="S452" t="s">
        <v>990</v>
      </c>
      <c r="T452" t="s">
        <v>172</v>
      </c>
      <c r="U452" t="s">
        <v>766</v>
      </c>
      <c r="V452" t="s">
        <v>364</v>
      </c>
      <c r="W452" t="s">
        <v>1105</v>
      </c>
      <c r="X452" t="s">
        <v>459</v>
      </c>
      <c r="Y452" t="s">
        <v>1062</v>
      </c>
      <c r="Z452" t="s">
        <v>144</v>
      </c>
      <c r="AA452" t="s">
        <v>914</v>
      </c>
      <c r="AB452" t="s">
        <v>1063</v>
      </c>
      <c r="AC452" t="s">
        <v>148</v>
      </c>
      <c r="AD452" t="s">
        <v>1104</v>
      </c>
      <c r="AE452" t="s">
        <v>172</v>
      </c>
      <c r="AF452" t="s">
        <v>141</v>
      </c>
      <c r="AG452" t="s">
        <v>271</v>
      </c>
      <c r="AH452" t="s">
        <v>1078</v>
      </c>
      <c r="AI452" t="s">
        <v>766</v>
      </c>
      <c r="AJ452" t="s">
        <v>1079</v>
      </c>
      <c r="AK452" t="s">
        <v>1080</v>
      </c>
      <c r="AL452" t="s">
        <v>230</v>
      </c>
      <c r="AM452" t="s">
        <v>917</v>
      </c>
      <c r="AN452" t="s">
        <v>231</v>
      </c>
      <c r="AO452" t="s">
        <v>1082</v>
      </c>
      <c r="AP452" t="s">
        <v>1037</v>
      </c>
      <c r="AQ452" t="s">
        <v>1038</v>
      </c>
      <c r="AR452" t="s">
        <v>2369</v>
      </c>
      <c r="AS452" t="s">
        <v>756</v>
      </c>
      <c r="AT452" t="s">
        <v>757</v>
      </c>
      <c r="AU452" t="s">
        <v>233</v>
      </c>
      <c r="AV452" t="s">
        <v>2339</v>
      </c>
      <c r="AW452" t="s">
        <v>234</v>
      </c>
      <c r="AX452" t="s">
        <v>273</v>
      </c>
      <c r="AY452" t="s">
        <v>259</v>
      </c>
      <c r="AZ452" t="s">
        <v>419</v>
      </c>
      <c r="BA452" t="s">
        <v>238</v>
      </c>
      <c r="BB452" t="s">
        <v>235</v>
      </c>
      <c r="BC452" t="s">
        <v>517</v>
      </c>
      <c r="BD452" t="s">
        <v>751</v>
      </c>
      <c r="BE452" t="s">
        <v>772</v>
      </c>
      <c r="BF452" t="s">
        <v>946</v>
      </c>
      <c r="BG452" t="s">
        <v>1133</v>
      </c>
      <c r="BH452" t="s">
        <v>948</v>
      </c>
      <c r="BI452" t="s">
        <v>931</v>
      </c>
      <c r="BJ452" t="s">
        <v>958</v>
      </c>
      <c r="BK452" t="s">
        <v>961</v>
      </c>
      <c r="BL452" t="s">
        <v>1013</v>
      </c>
      <c r="BM452" t="s">
        <v>1191</v>
      </c>
      <c r="BN452" t="s">
        <v>239</v>
      </c>
      <c r="BO452" t="s">
        <v>241</v>
      </c>
      <c r="BP452" t="s">
        <v>805</v>
      </c>
      <c r="BQ452" t="s">
        <v>806</v>
      </c>
    </row>
    <row r="453" spans="1:93">
      <c r="A453" s="40">
        <v>423</v>
      </c>
      <c r="B453" s="40" t="s">
        <v>1823</v>
      </c>
      <c r="C453" s="2" t="s">
        <v>1824</v>
      </c>
      <c r="D453" s="2" t="s">
        <v>27</v>
      </c>
      <c r="E453" s="2" t="s">
        <v>22</v>
      </c>
      <c r="F453" s="2">
        <v>111</v>
      </c>
      <c r="G453" s="2">
        <v>83</v>
      </c>
      <c r="H453" s="2">
        <v>68</v>
      </c>
      <c r="I453" s="2">
        <v>92</v>
      </c>
      <c r="J453" s="2">
        <v>82</v>
      </c>
      <c r="K453" s="2">
        <v>39</v>
      </c>
      <c r="L453" s="2">
        <v>475</v>
      </c>
      <c r="M453" s="2" t="s">
        <v>1090</v>
      </c>
      <c r="N453" s="2" t="s">
        <v>1061</v>
      </c>
      <c r="O453" t="s">
        <v>284</v>
      </c>
      <c r="P453" t="s">
        <v>755</v>
      </c>
      <c r="Q453" t="s">
        <v>933</v>
      </c>
      <c r="R453" t="s">
        <v>954</v>
      </c>
      <c r="S453" t="s">
        <v>933</v>
      </c>
      <c r="T453" t="s">
        <v>284</v>
      </c>
      <c r="U453" t="s">
        <v>954</v>
      </c>
      <c r="V453" t="s">
        <v>990</v>
      </c>
      <c r="W453" t="s">
        <v>172</v>
      </c>
      <c r="X453" t="s">
        <v>766</v>
      </c>
      <c r="Y453" t="s">
        <v>364</v>
      </c>
      <c r="Z453" t="s">
        <v>1105</v>
      </c>
      <c r="AA453" t="s">
        <v>459</v>
      </c>
      <c r="AB453" t="s">
        <v>1062</v>
      </c>
      <c r="AC453" t="s">
        <v>144</v>
      </c>
      <c r="AD453" t="s">
        <v>227</v>
      </c>
      <c r="AE453" t="s">
        <v>270</v>
      </c>
      <c r="AF453" t="s">
        <v>914</v>
      </c>
      <c r="AG453" t="s">
        <v>1063</v>
      </c>
      <c r="AH453" t="s">
        <v>148</v>
      </c>
      <c r="AI453" t="s">
        <v>1104</v>
      </c>
      <c r="AJ453" t="s">
        <v>172</v>
      </c>
      <c r="AK453" t="s">
        <v>141</v>
      </c>
      <c r="AL453" t="s">
        <v>271</v>
      </c>
      <c r="AM453" t="s">
        <v>247</v>
      </c>
      <c r="AN453" t="s">
        <v>1078</v>
      </c>
      <c r="AO453" t="s">
        <v>766</v>
      </c>
      <c r="AP453" t="s">
        <v>1079</v>
      </c>
      <c r="AQ453" t="s">
        <v>136</v>
      </c>
      <c r="AR453" t="s">
        <v>1080</v>
      </c>
      <c r="AS453" t="s">
        <v>256</v>
      </c>
      <c r="AT453" t="s">
        <v>230</v>
      </c>
      <c r="AU453" t="s">
        <v>186</v>
      </c>
      <c r="AV453" t="s">
        <v>1081</v>
      </c>
      <c r="AW453" t="s">
        <v>765</v>
      </c>
      <c r="AX453" t="s">
        <v>1095</v>
      </c>
      <c r="AY453" t="s">
        <v>917</v>
      </c>
      <c r="AZ453" t="s">
        <v>231</v>
      </c>
      <c r="BA453" t="s">
        <v>1082</v>
      </c>
      <c r="BB453" t="s">
        <v>1037</v>
      </c>
      <c r="BC453" t="s">
        <v>1038</v>
      </c>
      <c r="BD453" t="s">
        <v>976</v>
      </c>
      <c r="BE453" t="s">
        <v>232</v>
      </c>
      <c r="BF453" t="s">
        <v>183</v>
      </c>
      <c r="BG453" t="s">
        <v>1021</v>
      </c>
      <c r="BH453" t="s">
        <v>143</v>
      </c>
      <c r="BI453" t="s">
        <v>2369</v>
      </c>
      <c r="BJ453" t="s">
        <v>756</v>
      </c>
      <c r="BK453" t="s">
        <v>757</v>
      </c>
      <c r="BL453" t="s">
        <v>233</v>
      </c>
      <c r="BM453" t="s">
        <v>760</v>
      </c>
      <c r="BN453" t="s">
        <v>2339</v>
      </c>
      <c r="BO453" t="s">
        <v>234</v>
      </c>
      <c r="BP453" t="s">
        <v>273</v>
      </c>
      <c r="BQ453" t="s">
        <v>259</v>
      </c>
      <c r="BR453" t="s">
        <v>419</v>
      </c>
      <c r="BS453" t="s">
        <v>238</v>
      </c>
      <c r="BT453" t="s">
        <v>235</v>
      </c>
      <c r="BU453" t="s">
        <v>517</v>
      </c>
      <c r="BV453" t="s">
        <v>751</v>
      </c>
      <c r="BW453" t="s">
        <v>772</v>
      </c>
      <c r="BX453" t="s">
        <v>946</v>
      </c>
      <c r="BY453" t="s">
        <v>1133</v>
      </c>
      <c r="BZ453" t="s">
        <v>948</v>
      </c>
      <c r="CA453" t="s">
        <v>931</v>
      </c>
      <c r="CB453" t="s">
        <v>958</v>
      </c>
      <c r="CC453" t="s">
        <v>961</v>
      </c>
      <c r="CD453" t="s">
        <v>1013</v>
      </c>
      <c r="CE453" t="s">
        <v>1191</v>
      </c>
      <c r="CF453" t="s">
        <v>239</v>
      </c>
      <c r="CG453" t="s">
        <v>241</v>
      </c>
      <c r="CH453" t="s">
        <v>805</v>
      </c>
      <c r="CI453" t="s">
        <v>806</v>
      </c>
    </row>
    <row r="454" spans="1:93">
      <c r="A454" s="40">
        <v>424</v>
      </c>
      <c r="B454" s="40" t="s">
        <v>1825</v>
      </c>
      <c r="C454" s="2" t="s">
        <v>1826</v>
      </c>
      <c r="D454" s="2" t="s">
        <v>24</v>
      </c>
      <c r="E454" s="2"/>
      <c r="F454" s="2">
        <v>75</v>
      </c>
      <c r="G454" s="2">
        <v>100</v>
      </c>
      <c r="H454" s="2">
        <v>66</v>
      </c>
      <c r="I454" s="2">
        <v>60</v>
      </c>
      <c r="J454" s="2">
        <v>66</v>
      </c>
      <c r="K454" s="2">
        <v>115</v>
      </c>
      <c r="L454" s="2">
        <v>482</v>
      </c>
      <c r="M454" s="2" t="s">
        <v>1176</v>
      </c>
      <c r="N454" s="2" t="s">
        <v>1061</v>
      </c>
      <c r="O454" t="s">
        <v>249</v>
      </c>
      <c r="P454" t="s">
        <v>309</v>
      </c>
      <c r="Q454" t="s">
        <v>266</v>
      </c>
      <c r="R454" t="s">
        <v>1130</v>
      </c>
      <c r="S454" t="s">
        <v>309</v>
      </c>
      <c r="T454" t="s">
        <v>1130</v>
      </c>
      <c r="U454" t="s">
        <v>788</v>
      </c>
      <c r="V454" t="s">
        <v>950</v>
      </c>
      <c r="W454" t="s">
        <v>323</v>
      </c>
      <c r="X454" t="s">
        <v>354</v>
      </c>
      <c r="Y454" t="s">
        <v>324</v>
      </c>
      <c r="Z454" t="s">
        <v>306</v>
      </c>
      <c r="AA454" t="s">
        <v>965</v>
      </c>
      <c r="AB454" t="s">
        <v>974</v>
      </c>
      <c r="AC454" t="s">
        <v>991</v>
      </c>
      <c r="AD454" t="s">
        <v>986</v>
      </c>
      <c r="AE454" t="s">
        <v>1062</v>
      </c>
      <c r="AF454" t="s">
        <v>226</v>
      </c>
      <c r="AG454" t="s">
        <v>227</v>
      </c>
      <c r="AH454" t="s">
        <v>1063</v>
      </c>
      <c r="AI454" t="s">
        <v>1030</v>
      </c>
      <c r="AJ454" t="s">
        <v>148</v>
      </c>
      <c r="AK454" t="s">
        <v>172</v>
      </c>
      <c r="AL454" t="s">
        <v>752</v>
      </c>
      <c r="AM454" t="s">
        <v>1126</v>
      </c>
      <c r="AN454" t="s">
        <v>247</v>
      </c>
      <c r="AO454" t="s">
        <v>1078</v>
      </c>
      <c r="AP454" t="s">
        <v>766</v>
      </c>
      <c r="AQ454" t="s">
        <v>1079</v>
      </c>
      <c r="AR454" t="s">
        <v>229</v>
      </c>
      <c r="AS454" t="s">
        <v>146</v>
      </c>
      <c r="AT454" t="s">
        <v>321</v>
      </c>
      <c r="AU454" t="s">
        <v>1080</v>
      </c>
      <c r="AV454" t="s">
        <v>256</v>
      </c>
      <c r="AW454" t="s">
        <v>174</v>
      </c>
      <c r="AX454" t="s">
        <v>1094</v>
      </c>
      <c r="AY454" t="s">
        <v>230</v>
      </c>
      <c r="AZ454" t="s">
        <v>1096</v>
      </c>
      <c r="BA454" t="s">
        <v>917</v>
      </c>
      <c r="BB454" t="s">
        <v>231</v>
      </c>
      <c r="BC454" t="s">
        <v>1082</v>
      </c>
      <c r="BD454" t="s">
        <v>1117</v>
      </c>
      <c r="BE454" t="s">
        <v>1172</v>
      </c>
      <c r="BF454" t="s">
        <v>1037</v>
      </c>
      <c r="BG454" t="s">
        <v>974</v>
      </c>
      <c r="BH454" t="s">
        <v>1020</v>
      </c>
      <c r="BI454" t="s">
        <v>1005</v>
      </c>
      <c r="BJ454" t="s">
        <v>995</v>
      </c>
      <c r="BK454" t="s">
        <v>1036</v>
      </c>
      <c r="BL454" t="s">
        <v>976</v>
      </c>
      <c r="BM454" t="s">
        <v>322</v>
      </c>
      <c r="BN454" t="s">
        <v>293</v>
      </c>
      <c r="BO454" t="s">
        <v>977</v>
      </c>
      <c r="BP454" t="s">
        <v>756</v>
      </c>
      <c r="BQ454" t="s">
        <v>757</v>
      </c>
      <c r="BR454" t="s">
        <v>1014</v>
      </c>
      <c r="BS454" t="s">
        <v>233</v>
      </c>
      <c r="BT454" t="s">
        <v>760</v>
      </c>
      <c r="BU454" t="s">
        <v>2398</v>
      </c>
      <c r="BV454" t="s">
        <v>2339</v>
      </c>
      <c r="BW454" t="s">
        <v>234</v>
      </c>
      <c r="BX454" t="s">
        <v>348</v>
      </c>
      <c r="BY454" t="s">
        <v>341</v>
      </c>
      <c r="BZ454" t="s">
        <v>259</v>
      </c>
      <c r="CA454" t="s">
        <v>306</v>
      </c>
      <c r="CB454" t="s">
        <v>324</v>
      </c>
      <c r="CC454" t="s">
        <v>778</v>
      </c>
      <c r="CD454" t="s">
        <v>773</v>
      </c>
      <c r="CE454" t="s">
        <v>763</v>
      </c>
      <c r="CF454" t="s">
        <v>176</v>
      </c>
      <c r="CG454" t="s">
        <v>1128</v>
      </c>
      <c r="CH454" t="s">
        <v>175</v>
      </c>
      <c r="CI454" t="s">
        <v>913</v>
      </c>
      <c r="CJ454" t="s">
        <v>1136</v>
      </c>
      <c r="CK454" t="s">
        <v>1035</v>
      </c>
      <c r="CL454" t="s">
        <v>239</v>
      </c>
      <c r="CM454" t="s">
        <v>241</v>
      </c>
      <c r="CN454" t="s">
        <v>805</v>
      </c>
      <c r="CO454" t="s">
        <v>806</v>
      </c>
    </row>
    <row r="455" spans="1:93">
      <c r="A455" s="40">
        <v>425</v>
      </c>
      <c r="B455" s="40" t="s">
        <v>1827</v>
      </c>
      <c r="C455" s="2" t="s">
        <v>1828</v>
      </c>
      <c r="D455" s="2" t="s">
        <v>10</v>
      </c>
      <c r="E455" s="2" t="s">
        <v>20</v>
      </c>
      <c r="F455" s="2">
        <v>90</v>
      </c>
      <c r="G455" s="2">
        <v>50</v>
      </c>
      <c r="H455" s="2">
        <v>34</v>
      </c>
      <c r="I455" s="2">
        <v>60</v>
      </c>
      <c r="J455" s="2">
        <v>44</v>
      </c>
      <c r="K455" s="2">
        <v>70</v>
      </c>
      <c r="L455" s="2">
        <v>348</v>
      </c>
      <c r="M455" s="2" t="s">
        <v>1089</v>
      </c>
      <c r="N455" s="2" t="s">
        <v>1061</v>
      </c>
      <c r="O455" t="s">
        <v>378</v>
      </c>
      <c r="P455" t="s">
        <v>477</v>
      </c>
      <c r="Q455" t="s">
        <v>1130</v>
      </c>
      <c r="R455" t="s">
        <v>289</v>
      </c>
      <c r="S455" t="s">
        <v>302</v>
      </c>
      <c r="T455" t="s">
        <v>995</v>
      </c>
      <c r="U455" t="s">
        <v>994</v>
      </c>
      <c r="V455" t="s">
        <v>946</v>
      </c>
      <c r="W455" t="s">
        <v>1029</v>
      </c>
      <c r="X455" t="s">
        <v>1133</v>
      </c>
      <c r="Y455" t="s">
        <v>948</v>
      </c>
      <c r="Z455" t="s">
        <v>174</v>
      </c>
      <c r="AA455" t="s">
        <v>235</v>
      </c>
      <c r="AB455" t="s">
        <v>788</v>
      </c>
      <c r="AC455" t="s">
        <v>485</v>
      </c>
      <c r="AD455" t="s">
        <v>1062</v>
      </c>
      <c r="AE455" t="s">
        <v>226</v>
      </c>
      <c r="AF455" t="s">
        <v>1063</v>
      </c>
      <c r="AG455" t="s">
        <v>912</v>
      </c>
      <c r="AH455" t="s">
        <v>148</v>
      </c>
      <c r="AI455" t="s">
        <v>172</v>
      </c>
      <c r="AJ455" t="s">
        <v>752</v>
      </c>
      <c r="AK455" t="s">
        <v>1078</v>
      </c>
      <c r="AL455" t="s">
        <v>766</v>
      </c>
      <c r="AM455" t="s">
        <v>1079</v>
      </c>
      <c r="AN455" t="s">
        <v>146</v>
      </c>
      <c r="AO455" t="s">
        <v>321</v>
      </c>
      <c r="AP455" t="s">
        <v>1080</v>
      </c>
      <c r="AQ455" t="s">
        <v>9</v>
      </c>
      <c r="AR455" t="s">
        <v>174</v>
      </c>
      <c r="AS455" t="s">
        <v>230</v>
      </c>
      <c r="AT455" t="s">
        <v>917</v>
      </c>
      <c r="AU455" t="s">
        <v>231</v>
      </c>
      <c r="AV455" t="s">
        <v>1082</v>
      </c>
      <c r="AW455" t="s">
        <v>1117</v>
      </c>
      <c r="AX455" t="s">
        <v>1037</v>
      </c>
      <c r="AY455" t="s">
        <v>963</v>
      </c>
      <c r="AZ455" t="s">
        <v>956</v>
      </c>
      <c r="BA455" t="s">
        <v>1020</v>
      </c>
      <c r="BB455" t="s">
        <v>969</v>
      </c>
      <c r="BC455" t="s">
        <v>485</v>
      </c>
      <c r="BD455" t="s">
        <v>995</v>
      </c>
      <c r="BE455" t="s">
        <v>232</v>
      </c>
      <c r="BF455" t="s">
        <v>322</v>
      </c>
      <c r="BG455" t="s">
        <v>980</v>
      </c>
      <c r="BH455" t="s">
        <v>785</v>
      </c>
      <c r="BI455" t="s">
        <v>293</v>
      </c>
      <c r="BJ455" t="s">
        <v>756</v>
      </c>
      <c r="BK455" t="s">
        <v>757</v>
      </c>
      <c r="BL455" t="s">
        <v>233</v>
      </c>
      <c r="BM455" t="s">
        <v>2339</v>
      </c>
      <c r="BN455" t="s">
        <v>234</v>
      </c>
      <c r="BO455" t="s">
        <v>364</v>
      </c>
      <c r="BP455" t="s">
        <v>340</v>
      </c>
      <c r="BQ455" t="s">
        <v>388</v>
      </c>
      <c r="BR455" t="s">
        <v>272</v>
      </c>
      <c r="BS455" t="s">
        <v>793</v>
      </c>
      <c r="BT455" t="s">
        <v>931</v>
      </c>
      <c r="BU455" t="s">
        <v>1192</v>
      </c>
      <c r="BV455" t="s">
        <v>1124</v>
      </c>
      <c r="BW455" t="s">
        <v>1191</v>
      </c>
      <c r="BX455" t="s">
        <v>239</v>
      </c>
      <c r="BY455" t="s">
        <v>241</v>
      </c>
      <c r="BZ455" t="s">
        <v>805</v>
      </c>
      <c r="CA455" t="s">
        <v>806</v>
      </c>
    </row>
    <row r="456" spans="1:93">
      <c r="A456" s="40">
        <v>426</v>
      </c>
      <c r="B456" s="40" t="s">
        <v>1829</v>
      </c>
      <c r="C456" s="2" t="s">
        <v>1830</v>
      </c>
      <c r="D456" s="2" t="s">
        <v>10</v>
      </c>
      <c r="E456" s="2" t="s">
        <v>20</v>
      </c>
      <c r="F456" s="2">
        <v>150</v>
      </c>
      <c r="G456" s="2">
        <v>80</v>
      </c>
      <c r="H456" s="2">
        <v>44</v>
      </c>
      <c r="I456" s="2">
        <v>90</v>
      </c>
      <c r="J456" s="2">
        <v>54</v>
      </c>
      <c r="K456" s="2">
        <v>80</v>
      </c>
      <c r="L456" s="2">
        <v>498</v>
      </c>
      <c r="M456" s="2" t="s">
        <v>1137</v>
      </c>
      <c r="N456" s="2" t="s">
        <v>1061</v>
      </c>
      <c r="O456" t="s">
        <v>289</v>
      </c>
      <c r="P456" t="s">
        <v>378</v>
      </c>
      <c r="Q456" t="s">
        <v>477</v>
      </c>
      <c r="R456" t="s">
        <v>1130</v>
      </c>
      <c r="S456" t="s">
        <v>1130</v>
      </c>
      <c r="T456" t="s">
        <v>289</v>
      </c>
      <c r="U456" t="s">
        <v>302</v>
      </c>
      <c r="V456" t="s">
        <v>995</v>
      </c>
      <c r="W456" t="s">
        <v>994</v>
      </c>
      <c r="X456" t="s">
        <v>946</v>
      </c>
      <c r="Y456" t="s">
        <v>1029</v>
      </c>
      <c r="Z456" t="s">
        <v>1133</v>
      </c>
      <c r="AA456" t="s">
        <v>948</v>
      </c>
      <c r="AB456" t="s">
        <v>174</v>
      </c>
      <c r="AC456" t="s">
        <v>235</v>
      </c>
      <c r="AD456" t="s">
        <v>788</v>
      </c>
      <c r="AE456" t="s">
        <v>485</v>
      </c>
      <c r="AF456" t="s">
        <v>2392</v>
      </c>
      <c r="AG456" t="s">
        <v>1062</v>
      </c>
      <c r="AH456" t="s">
        <v>226</v>
      </c>
      <c r="AI456" t="s">
        <v>138</v>
      </c>
      <c r="AJ456" t="s">
        <v>1063</v>
      </c>
      <c r="AK456" t="s">
        <v>912</v>
      </c>
      <c r="AL456" t="s">
        <v>148</v>
      </c>
      <c r="AM456" t="s">
        <v>172</v>
      </c>
      <c r="AN456" t="s">
        <v>752</v>
      </c>
      <c r="AO456" t="s">
        <v>247</v>
      </c>
      <c r="AP456" t="s">
        <v>1078</v>
      </c>
      <c r="AQ456" t="s">
        <v>766</v>
      </c>
      <c r="AR456" t="s">
        <v>1079</v>
      </c>
      <c r="AS456" t="s">
        <v>146</v>
      </c>
      <c r="AT456" t="s">
        <v>321</v>
      </c>
      <c r="AU456" t="s">
        <v>1080</v>
      </c>
      <c r="AV456" t="s">
        <v>9</v>
      </c>
      <c r="AW456" t="s">
        <v>174</v>
      </c>
      <c r="AX456" t="s">
        <v>230</v>
      </c>
      <c r="AY456" t="s">
        <v>917</v>
      </c>
      <c r="AZ456" t="s">
        <v>231</v>
      </c>
      <c r="BA456" t="s">
        <v>1082</v>
      </c>
      <c r="BB456" t="s">
        <v>1117</v>
      </c>
      <c r="BC456" t="s">
        <v>1037</v>
      </c>
      <c r="BD456" t="s">
        <v>963</v>
      </c>
      <c r="BE456" t="s">
        <v>956</v>
      </c>
      <c r="BF456" t="s">
        <v>1020</v>
      </c>
      <c r="BG456" t="s">
        <v>969</v>
      </c>
      <c r="BH456" t="s">
        <v>485</v>
      </c>
      <c r="BI456" t="s">
        <v>995</v>
      </c>
      <c r="BJ456" t="s">
        <v>976</v>
      </c>
      <c r="BK456" t="s">
        <v>232</v>
      </c>
      <c r="BL456" t="s">
        <v>322</v>
      </c>
      <c r="BM456" t="s">
        <v>980</v>
      </c>
      <c r="BN456" t="s">
        <v>785</v>
      </c>
      <c r="BO456" t="s">
        <v>293</v>
      </c>
      <c r="BP456" t="s">
        <v>756</v>
      </c>
      <c r="BQ456" t="s">
        <v>757</v>
      </c>
      <c r="BR456" t="s">
        <v>233</v>
      </c>
      <c r="BS456" t="s">
        <v>2339</v>
      </c>
      <c r="BT456" t="s">
        <v>234</v>
      </c>
      <c r="BU456" t="s">
        <v>364</v>
      </c>
      <c r="BV456" t="s">
        <v>340</v>
      </c>
      <c r="BW456" t="s">
        <v>388</v>
      </c>
      <c r="BX456" t="s">
        <v>272</v>
      </c>
      <c r="BY456" t="s">
        <v>793</v>
      </c>
      <c r="BZ456" t="s">
        <v>931</v>
      </c>
      <c r="CA456" t="s">
        <v>1192</v>
      </c>
      <c r="CB456" t="s">
        <v>1124</v>
      </c>
      <c r="CC456" t="s">
        <v>1191</v>
      </c>
      <c r="CD456" t="s">
        <v>239</v>
      </c>
      <c r="CE456" t="s">
        <v>241</v>
      </c>
      <c r="CF456" t="s">
        <v>805</v>
      </c>
      <c r="CG456" t="s">
        <v>806</v>
      </c>
    </row>
    <row r="457" spans="1:93">
      <c r="A457" s="40">
        <v>427</v>
      </c>
      <c r="B457" s="40" t="s">
        <v>1831</v>
      </c>
      <c r="C457" s="2" t="s">
        <v>1832</v>
      </c>
      <c r="D457" s="2" t="s">
        <v>24</v>
      </c>
      <c r="E457" s="2"/>
      <c r="F457" s="2">
        <v>55</v>
      </c>
      <c r="G457" s="2">
        <v>66</v>
      </c>
      <c r="H457" s="2">
        <v>44</v>
      </c>
      <c r="I457" s="2">
        <v>44</v>
      </c>
      <c r="J457" s="2">
        <v>56</v>
      </c>
      <c r="K457" s="2">
        <v>85</v>
      </c>
      <c r="L457" s="2">
        <v>350</v>
      </c>
      <c r="M457" s="2" t="s">
        <v>1145</v>
      </c>
      <c r="N457" s="2" t="s">
        <v>1061</v>
      </c>
      <c r="O457" t="s">
        <v>376</v>
      </c>
      <c r="P457" t="s">
        <v>353</v>
      </c>
      <c r="Q457" t="s">
        <v>382</v>
      </c>
      <c r="R457" t="s">
        <v>771</v>
      </c>
      <c r="S457" t="s">
        <v>754</v>
      </c>
      <c r="T457" t="s">
        <v>1079</v>
      </c>
      <c r="U457" t="s">
        <v>310</v>
      </c>
      <c r="V457" t="s">
        <v>565</v>
      </c>
      <c r="W457" t="s">
        <v>788</v>
      </c>
      <c r="X457" t="s">
        <v>306</v>
      </c>
      <c r="Y457" t="s">
        <v>588</v>
      </c>
      <c r="Z457" t="s">
        <v>1150</v>
      </c>
      <c r="AA457" t="s">
        <v>781</v>
      </c>
      <c r="AB457" t="s">
        <v>1577</v>
      </c>
      <c r="AC457" t="s">
        <v>175</v>
      </c>
      <c r="AD457" t="s">
        <v>982</v>
      </c>
      <c r="AE457" t="s">
        <v>1062</v>
      </c>
      <c r="AF457" t="s">
        <v>226</v>
      </c>
      <c r="AG457" t="s">
        <v>1063</v>
      </c>
      <c r="AH457" t="s">
        <v>148</v>
      </c>
      <c r="AI457" t="s">
        <v>172</v>
      </c>
      <c r="AJ457" t="s">
        <v>752</v>
      </c>
      <c r="AK457" t="s">
        <v>141</v>
      </c>
      <c r="AL457" t="s">
        <v>1078</v>
      </c>
      <c r="AM457" t="s">
        <v>766</v>
      </c>
      <c r="AN457" t="s">
        <v>1079</v>
      </c>
      <c r="AO457" t="s">
        <v>229</v>
      </c>
      <c r="AP457" t="s">
        <v>146</v>
      </c>
      <c r="AQ457" t="s">
        <v>1080</v>
      </c>
      <c r="AR457" t="s">
        <v>256</v>
      </c>
      <c r="AS457" t="s">
        <v>174</v>
      </c>
      <c r="AT457" t="s">
        <v>230</v>
      </c>
      <c r="AU457" t="s">
        <v>917</v>
      </c>
      <c r="AV457" t="s">
        <v>231</v>
      </c>
      <c r="AW457" t="s">
        <v>1082</v>
      </c>
      <c r="AX457" t="s">
        <v>1037</v>
      </c>
      <c r="AY457" t="s">
        <v>974</v>
      </c>
      <c r="AZ457" t="s">
        <v>963</v>
      </c>
      <c r="BA457" t="s">
        <v>1036</v>
      </c>
      <c r="BB457" t="s">
        <v>322</v>
      </c>
      <c r="BC457" t="s">
        <v>977</v>
      </c>
      <c r="BD457" t="s">
        <v>756</v>
      </c>
      <c r="BE457" t="s">
        <v>233</v>
      </c>
      <c r="BF457" t="s">
        <v>760</v>
      </c>
      <c r="BG457" t="s">
        <v>234</v>
      </c>
      <c r="BH457" t="s">
        <v>137</v>
      </c>
      <c r="BI457" t="s">
        <v>274</v>
      </c>
      <c r="BJ457" t="s">
        <v>147</v>
      </c>
      <c r="BK457" t="s">
        <v>432</v>
      </c>
      <c r="BL457" t="s">
        <v>770</v>
      </c>
      <c r="BM457" t="s">
        <v>782</v>
      </c>
      <c r="BN457" t="s">
        <v>779</v>
      </c>
      <c r="BO457" t="s">
        <v>176</v>
      </c>
      <c r="BP457" t="s">
        <v>920</v>
      </c>
      <c r="BQ457" t="s">
        <v>918</v>
      </c>
      <c r="BR457" t="s">
        <v>942</v>
      </c>
      <c r="BS457" t="s">
        <v>964</v>
      </c>
      <c r="BT457" t="s">
        <v>1136</v>
      </c>
      <c r="BU457" t="s">
        <v>965</v>
      </c>
      <c r="BV457" t="s">
        <v>1180</v>
      </c>
      <c r="BW457" t="s">
        <v>239</v>
      </c>
      <c r="BX457" t="s">
        <v>241</v>
      </c>
      <c r="BY457" t="s">
        <v>805</v>
      </c>
      <c r="BZ457" t="s">
        <v>806</v>
      </c>
    </row>
    <row r="458" spans="1:93">
      <c r="A458" s="40">
        <v>428</v>
      </c>
      <c r="B458" s="40" t="s">
        <v>1833</v>
      </c>
      <c r="C458" s="2" t="s">
        <v>1834</v>
      </c>
      <c r="D458" s="2" t="s">
        <v>24</v>
      </c>
      <c r="E458" s="2"/>
      <c r="F458" s="2">
        <v>65</v>
      </c>
      <c r="G458" s="2">
        <v>76</v>
      </c>
      <c r="H458" s="2">
        <v>84</v>
      </c>
      <c r="I458" s="2">
        <v>54</v>
      </c>
      <c r="J458" s="2">
        <v>96</v>
      </c>
      <c r="K458" s="2">
        <v>105</v>
      </c>
      <c r="L458" s="2">
        <v>480</v>
      </c>
      <c r="M458" s="2" t="s">
        <v>1221</v>
      </c>
      <c r="N458" s="2" t="s">
        <v>1061</v>
      </c>
      <c r="O458" t="s">
        <v>376</v>
      </c>
      <c r="P458" t="s">
        <v>353</v>
      </c>
      <c r="Q458" t="s">
        <v>382</v>
      </c>
      <c r="R458" t="s">
        <v>771</v>
      </c>
      <c r="S458" t="s">
        <v>772</v>
      </c>
      <c r="T458" t="s">
        <v>929</v>
      </c>
      <c r="U458" t="s">
        <v>754</v>
      </c>
      <c r="V458" t="s">
        <v>1080</v>
      </c>
      <c r="W458" t="s">
        <v>310</v>
      </c>
      <c r="X458" t="s">
        <v>565</v>
      </c>
      <c r="Y458" t="s">
        <v>788</v>
      </c>
      <c r="Z458" t="s">
        <v>306</v>
      </c>
      <c r="AA458" t="s">
        <v>588</v>
      </c>
      <c r="AB458" t="s">
        <v>1150</v>
      </c>
      <c r="AC458" t="s">
        <v>781</v>
      </c>
      <c r="AD458" t="s">
        <v>1577</v>
      </c>
      <c r="AE458" t="s">
        <v>175</v>
      </c>
      <c r="AF458" t="s">
        <v>982</v>
      </c>
      <c r="AG458" t="s">
        <v>1062</v>
      </c>
      <c r="AH458" t="s">
        <v>226</v>
      </c>
      <c r="AI458" t="s">
        <v>227</v>
      </c>
      <c r="AJ458" t="s">
        <v>1063</v>
      </c>
      <c r="AK458" t="s">
        <v>148</v>
      </c>
      <c r="AL458" t="s">
        <v>172</v>
      </c>
      <c r="AM458" t="s">
        <v>752</v>
      </c>
      <c r="AN458" t="s">
        <v>141</v>
      </c>
      <c r="AO458" t="s">
        <v>271</v>
      </c>
      <c r="AP458" t="s">
        <v>247</v>
      </c>
      <c r="AQ458" t="s">
        <v>1078</v>
      </c>
      <c r="AR458" t="s">
        <v>766</v>
      </c>
      <c r="AS458" t="s">
        <v>1079</v>
      </c>
      <c r="AT458" t="s">
        <v>229</v>
      </c>
      <c r="AU458" t="s">
        <v>146</v>
      </c>
      <c r="AV458" t="s">
        <v>321</v>
      </c>
      <c r="AW458" t="s">
        <v>1080</v>
      </c>
      <c r="AX458" t="s">
        <v>256</v>
      </c>
      <c r="AY458" t="s">
        <v>174</v>
      </c>
      <c r="AZ458" t="s">
        <v>230</v>
      </c>
      <c r="BA458" t="s">
        <v>917</v>
      </c>
      <c r="BB458" t="s">
        <v>231</v>
      </c>
      <c r="BC458" t="s">
        <v>1082</v>
      </c>
      <c r="BD458" t="s">
        <v>1172</v>
      </c>
      <c r="BE458" t="s">
        <v>1037</v>
      </c>
      <c r="BF458" t="s">
        <v>1102</v>
      </c>
      <c r="BG458" t="s">
        <v>974</v>
      </c>
      <c r="BH458" t="s">
        <v>963</v>
      </c>
      <c r="BI458" t="s">
        <v>1036</v>
      </c>
      <c r="BJ458" t="s">
        <v>976</v>
      </c>
      <c r="BK458" t="s">
        <v>322</v>
      </c>
      <c r="BL458" t="s">
        <v>977</v>
      </c>
      <c r="BM458" t="s">
        <v>756</v>
      </c>
      <c r="BN458" t="s">
        <v>233</v>
      </c>
      <c r="BO458" t="s">
        <v>760</v>
      </c>
      <c r="BP458" t="s">
        <v>234</v>
      </c>
      <c r="BQ458" t="s">
        <v>137</v>
      </c>
      <c r="BR458" t="s">
        <v>274</v>
      </c>
      <c r="BS458" t="s">
        <v>147</v>
      </c>
      <c r="BT458" t="s">
        <v>432</v>
      </c>
      <c r="BU458" t="s">
        <v>770</v>
      </c>
      <c r="BV458" t="s">
        <v>782</v>
      </c>
      <c r="BW458" t="s">
        <v>779</v>
      </c>
      <c r="BX458" t="s">
        <v>176</v>
      </c>
      <c r="BY458" t="s">
        <v>920</v>
      </c>
      <c r="BZ458" t="s">
        <v>918</v>
      </c>
      <c r="CA458" t="s">
        <v>942</v>
      </c>
      <c r="CB458" t="s">
        <v>964</v>
      </c>
      <c r="CC458" t="s">
        <v>1136</v>
      </c>
      <c r="CD458" t="s">
        <v>965</v>
      </c>
      <c r="CE458" t="s">
        <v>1180</v>
      </c>
      <c r="CF458" t="s">
        <v>239</v>
      </c>
      <c r="CG458" t="s">
        <v>241</v>
      </c>
      <c r="CH458" t="s">
        <v>1079</v>
      </c>
      <c r="CI458" t="s">
        <v>805</v>
      </c>
      <c r="CJ458" t="s">
        <v>806</v>
      </c>
    </row>
    <row r="459" spans="1:93">
      <c r="A459" s="40">
        <v>429</v>
      </c>
      <c r="B459" s="40" t="s">
        <v>1835</v>
      </c>
      <c r="C459" s="2" t="s">
        <v>1836</v>
      </c>
      <c r="D459" s="2" t="s">
        <v>10</v>
      </c>
      <c r="E459" s="2"/>
      <c r="F459" s="2">
        <v>60</v>
      </c>
      <c r="G459" s="2">
        <v>60</v>
      </c>
      <c r="H459" s="2">
        <v>60</v>
      </c>
      <c r="I459" s="2">
        <v>105</v>
      </c>
      <c r="J459" s="2">
        <v>105</v>
      </c>
      <c r="K459" s="2">
        <v>105</v>
      </c>
      <c r="L459" s="2">
        <v>495</v>
      </c>
      <c r="M459" s="2" t="s">
        <v>1137</v>
      </c>
      <c r="N459" s="2" t="s">
        <v>1061</v>
      </c>
      <c r="O459" t="s">
        <v>220</v>
      </c>
      <c r="P459" t="s">
        <v>529</v>
      </c>
      <c r="Q459" t="s">
        <v>778</v>
      </c>
      <c r="R459" t="s">
        <v>1130</v>
      </c>
      <c r="S459" t="s">
        <v>930</v>
      </c>
      <c r="T459" t="s">
        <v>987</v>
      </c>
      <c r="U459" t="s">
        <v>1062</v>
      </c>
      <c r="V459" t="s">
        <v>1063</v>
      </c>
      <c r="W459" t="s">
        <v>912</v>
      </c>
      <c r="X459" t="s">
        <v>148</v>
      </c>
      <c r="Y459" t="s">
        <v>172</v>
      </c>
      <c r="Z459" t="s">
        <v>752</v>
      </c>
      <c r="AA459" t="s">
        <v>1126</v>
      </c>
      <c r="AB459" t="s">
        <v>247</v>
      </c>
      <c r="AC459" t="s">
        <v>1078</v>
      </c>
      <c r="AD459" t="s">
        <v>766</v>
      </c>
      <c r="AE459" t="s">
        <v>1079</v>
      </c>
      <c r="AF459" t="s">
        <v>146</v>
      </c>
      <c r="AG459" t="s">
        <v>321</v>
      </c>
      <c r="AH459" t="s">
        <v>1080</v>
      </c>
      <c r="AI459" t="s">
        <v>9</v>
      </c>
      <c r="AJ459" t="s">
        <v>174</v>
      </c>
      <c r="AK459" t="s">
        <v>230</v>
      </c>
      <c r="AL459" t="s">
        <v>1096</v>
      </c>
      <c r="AM459" t="s">
        <v>951</v>
      </c>
      <c r="AN459" t="s">
        <v>917</v>
      </c>
      <c r="AO459" t="s">
        <v>231</v>
      </c>
      <c r="AP459" t="s">
        <v>1082</v>
      </c>
      <c r="AQ459" t="s">
        <v>1117</v>
      </c>
      <c r="AR459" t="s">
        <v>1037</v>
      </c>
      <c r="AS459" t="s">
        <v>1083</v>
      </c>
      <c r="AT459" t="s">
        <v>970</v>
      </c>
      <c r="AU459" t="s">
        <v>963</v>
      </c>
      <c r="AV459" t="s">
        <v>956</v>
      </c>
      <c r="AW459" t="s">
        <v>969</v>
      </c>
      <c r="AX459" t="s">
        <v>995</v>
      </c>
      <c r="AY459" t="s">
        <v>976</v>
      </c>
      <c r="AZ459" t="s">
        <v>232</v>
      </c>
      <c r="BA459" t="s">
        <v>322</v>
      </c>
      <c r="BB459" t="s">
        <v>785</v>
      </c>
      <c r="BC459" t="s">
        <v>293</v>
      </c>
      <c r="BD459" t="s">
        <v>756</v>
      </c>
      <c r="BE459" t="s">
        <v>233</v>
      </c>
      <c r="BF459" t="s">
        <v>1012</v>
      </c>
      <c r="BG459" t="s">
        <v>234</v>
      </c>
      <c r="BH459" t="s">
        <v>324</v>
      </c>
      <c r="BI459" t="s">
        <v>751</v>
      </c>
      <c r="BJ459" t="s">
        <v>778</v>
      </c>
      <c r="BK459" t="s">
        <v>793</v>
      </c>
      <c r="BL459" t="s">
        <v>931</v>
      </c>
      <c r="BM459" t="s">
        <v>941</v>
      </c>
      <c r="BN459" t="s">
        <v>927</v>
      </c>
      <c r="BO459" t="s">
        <v>1008</v>
      </c>
      <c r="BP459" t="s">
        <v>991</v>
      </c>
      <c r="BQ459" t="s">
        <v>1006</v>
      </c>
      <c r="BR459" t="s">
        <v>994</v>
      </c>
      <c r="BS459" t="s">
        <v>1048</v>
      </c>
      <c r="BT459" t="s">
        <v>239</v>
      </c>
      <c r="BU459" t="s">
        <v>241</v>
      </c>
      <c r="BV459" t="s">
        <v>387</v>
      </c>
      <c r="BW459" t="s">
        <v>787</v>
      </c>
      <c r="BX459" t="s">
        <v>1029</v>
      </c>
      <c r="BY459" t="s">
        <v>292</v>
      </c>
      <c r="BZ459" t="s">
        <v>794</v>
      </c>
      <c r="CA459" t="s">
        <v>995</v>
      </c>
      <c r="CB459" t="s">
        <v>174</v>
      </c>
      <c r="CC459" t="s">
        <v>786</v>
      </c>
      <c r="CD459" t="s">
        <v>923</v>
      </c>
      <c r="CE459" t="s">
        <v>1169</v>
      </c>
      <c r="CF459" t="s">
        <v>805</v>
      </c>
      <c r="CG459" t="s">
        <v>806</v>
      </c>
    </row>
    <row r="460" spans="1:93">
      <c r="A460" s="40">
        <v>430</v>
      </c>
      <c r="B460" s="40" t="s">
        <v>1837</v>
      </c>
      <c r="C460" s="2" t="s">
        <v>1838</v>
      </c>
      <c r="D460" s="2" t="s">
        <v>15</v>
      </c>
      <c r="E460" s="2" t="s">
        <v>20</v>
      </c>
      <c r="F460" s="2">
        <v>100</v>
      </c>
      <c r="G460" s="2">
        <v>125</v>
      </c>
      <c r="H460" s="2">
        <v>52</v>
      </c>
      <c r="I460" s="2">
        <v>105</v>
      </c>
      <c r="J460" s="2">
        <v>52</v>
      </c>
      <c r="K460" s="2">
        <v>71</v>
      </c>
      <c r="L460" s="2">
        <v>505</v>
      </c>
      <c r="M460" s="2" t="s">
        <v>1176</v>
      </c>
      <c r="N460" s="2" t="s">
        <v>1061</v>
      </c>
      <c r="O460" t="s">
        <v>264</v>
      </c>
      <c r="P460" t="s">
        <v>272</v>
      </c>
      <c r="Q460" t="s">
        <v>773</v>
      </c>
      <c r="R460" t="s">
        <v>1130</v>
      </c>
      <c r="S460" t="s">
        <v>756</v>
      </c>
      <c r="T460" t="s">
        <v>991</v>
      </c>
      <c r="U460" t="s">
        <v>1167</v>
      </c>
      <c r="V460" t="s">
        <v>993</v>
      </c>
      <c r="W460" t="s">
        <v>1034</v>
      </c>
      <c r="X460" t="s">
        <v>1157</v>
      </c>
      <c r="Y460" t="s">
        <v>1062</v>
      </c>
      <c r="Z460" t="s">
        <v>138</v>
      </c>
      <c r="AA460" t="s">
        <v>1063</v>
      </c>
      <c r="AB460" t="s">
        <v>912</v>
      </c>
      <c r="AC460" t="s">
        <v>148</v>
      </c>
      <c r="AD460" t="s">
        <v>172</v>
      </c>
      <c r="AE460" t="s">
        <v>752</v>
      </c>
      <c r="AF460" t="s">
        <v>1126</v>
      </c>
      <c r="AG460" t="s">
        <v>247</v>
      </c>
      <c r="AH460" t="s">
        <v>1078</v>
      </c>
      <c r="AI460" t="s">
        <v>766</v>
      </c>
      <c r="AJ460" t="s">
        <v>1119</v>
      </c>
      <c r="AK460" t="s">
        <v>1079</v>
      </c>
      <c r="AL460" t="s">
        <v>1080</v>
      </c>
      <c r="AM460" t="s">
        <v>9</v>
      </c>
      <c r="AN460" t="s">
        <v>174</v>
      </c>
      <c r="AO460" t="s">
        <v>230</v>
      </c>
      <c r="AP460" t="s">
        <v>1096</v>
      </c>
      <c r="AQ460" t="s">
        <v>951</v>
      </c>
      <c r="AR460" t="s">
        <v>917</v>
      </c>
      <c r="AS460" t="s">
        <v>231</v>
      </c>
      <c r="AT460" t="s">
        <v>1082</v>
      </c>
      <c r="AU460" t="s">
        <v>1117</v>
      </c>
      <c r="AV460" t="s">
        <v>1037</v>
      </c>
      <c r="AW460" t="s">
        <v>1125</v>
      </c>
      <c r="AX460" t="s">
        <v>1031</v>
      </c>
      <c r="AY460" t="s">
        <v>1034</v>
      </c>
      <c r="AZ460" t="s">
        <v>969</v>
      </c>
      <c r="BA460" t="s">
        <v>995</v>
      </c>
      <c r="BB460" t="s">
        <v>1036</v>
      </c>
      <c r="BC460" t="s">
        <v>976</v>
      </c>
      <c r="BD460" t="s">
        <v>322</v>
      </c>
      <c r="BE460" t="s">
        <v>785</v>
      </c>
      <c r="BF460" t="s">
        <v>293</v>
      </c>
      <c r="BG460" t="s">
        <v>756</v>
      </c>
      <c r="BH460" t="s">
        <v>757</v>
      </c>
      <c r="BI460" t="s">
        <v>233</v>
      </c>
      <c r="BJ460" t="s">
        <v>1040</v>
      </c>
      <c r="BK460" t="s">
        <v>1157</v>
      </c>
      <c r="BL460" t="s">
        <v>2339</v>
      </c>
      <c r="BM460" t="s">
        <v>234</v>
      </c>
      <c r="BN460" t="s">
        <v>264</v>
      </c>
      <c r="BO460" t="s">
        <v>291</v>
      </c>
      <c r="BP460" t="s">
        <v>331</v>
      </c>
      <c r="BQ460" t="s">
        <v>324</v>
      </c>
      <c r="BR460" t="s">
        <v>387</v>
      </c>
      <c r="BS460" t="s">
        <v>311</v>
      </c>
      <c r="BT460" t="s">
        <v>316</v>
      </c>
      <c r="BU460" t="s">
        <v>774</v>
      </c>
      <c r="BV460" t="s">
        <v>786</v>
      </c>
      <c r="BW460" t="s">
        <v>919</v>
      </c>
      <c r="BX460" t="s">
        <v>1121</v>
      </c>
      <c r="BY460" t="s">
        <v>1119</v>
      </c>
      <c r="BZ460" t="s">
        <v>960</v>
      </c>
      <c r="CA460" t="s">
        <v>1262</v>
      </c>
      <c r="CB460" t="s">
        <v>1123</v>
      </c>
      <c r="CC460" t="s">
        <v>239</v>
      </c>
      <c r="CD460" t="s">
        <v>241</v>
      </c>
      <c r="CE460" t="s">
        <v>329</v>
      </c>
      <c r="CF460" t="s">
        <v>528</v>
      </c>
      <c r="CG460" t="s">
        <v>960</v>
      </c>
      <c r="CH460" t="s">
        <v>1126</v>
      </c>
      <c r="CI460" t="s">
        <v>774</v>
      </c>
      <c r="CJ460" t="s">
        <v>787</v>
      </c>
      <c r="CK460" t="s">
        <v>1009</v>
      </c>
      <c r="CL460" t="s">
        <v>1008</v>
      </c>
      <c r="CM460" t="s">
        <v>951</v>
      </c>
      <c r="CN460" t="s">
        <v>805</v>
      </c>
      <c r="CO460" t="s">
        <v>806</v>
      </c>
    </row>
    <row r="461" spans="1:93">
      <c r="A461" s="40">
        <v>431</v>
      </c>
      <c r="B461" s="40" t="s">
        <v>1839</v>
      </c>
      <c r="C461" s="2" t="s">
        <v>1840</v>
      </c>
      <c r="D461" s="2" t="s">
        <v>24</v>
      </c>
      <c r="E461" s="2"/>
      <c r="F461" s="2">
        <v>49</v>
      </c>
      <c r="G461" s="2">
        <v>55</v>
      </c>
      <c r="H461" s="2">
        <v>42</v>
      </c>
      <c r="I461" s="2">
        <v>42</v>
      </c>
      <c r="J461" s="2">
        <v>37</v>
      </c>
      <c r="K461" s="2">
        <v>85</v>
      </c>
      <c r="L461" s="2">
        <v>310</v>
      </c>
      <c r="M461" s="2" t="s">
        <v>1075</v>
      </c>
      <c r="N461" s="2" t="s">
        <v>1061</v>
      </c>
      <c r="O461" t="s">
        <v>176</v>
      </c>
      <c r="P461" t="s">
        <v>249</v>
      </c>
      <c r="Q461" t="s">
        <v>220</v>
      </c>
      <c r="R461" t="s">
        <v>388</v>
      </c>
      <c r="S461" t="s">
        <v>774</v>
      </c>
      <c r="T461" t="s">
        <v>323</v>
      </c>
      <c r="U461" t="s">
        <v>781</v>
      </c>
      <c r="V461" t="s">
        <v>1166</v>
      </c>
      <c r="W461" t="s">
        <v>962</v>
      </c>
      <c r="X461" t="s">
        <v>253</v>
      </c>
      <c r="Y461" t="s">
        <v>1008</v>
      </c>
      <c r="Z461" t="s">
        <v>1082</v>
      </c>
      <c r="AA461" t="s">
        <v>1030</v>
      </c>
      <c r="AB461" t="s">
        <v>1062</v>
      </c>
      <c r="AC461" t="s">
        <v>226</v>
      </c>
      <c r="AD461" t="s">
        <v>1063</v>
      </c>
      <c r="AE461" t="s">
        <v>1030</v>
      </c>
      <c r="AF461" t="s">
        <v>148</v>
      </c>
      <c r="AG461" t="s">
        <v>172</v>
      </c>
      <c r="AH461" t="s">
        <v>752</v>
      </c>
      <c r="AI461" t="s">
        <v>1126</v>
      </c>
      <c r="AJ461" t="s">
        <v>1078</v>
      </c>
      <c r="AK461" t="s">
        <v>766</v>
      </c>
      <c r="AL461" t="s">
        <v>1079</v>
      </c>
      <c r="AM461" t="s">
        <v>146</v>
      </c>
      <c r="AN461" t="s">
        <v>321</v>
      </c>
      <c r="AO461" t="s">
        <v>1080</v>
      </c>
      <c r="AP461" t="s">
        <v>256</v>
      </c>
      <c r="AQ461" t="s">
        <v>174</v>
      </c>
      <c r="AR461" t="s">
        <v>230</v>
      </c>
      <c r="AS461" t="s">
        <v>1096</v>
      </c>
      <c r="AT461" t="s">
        <v>951</v>
      </c>
      <c r="AU461" t="s">
        <v>917</v>
      </c>
      <c r="AV461" t="s">
        <v>231</v>
      </c>
      <c r="AW461" t="s">
        <v>1082</v>
      </c>
      <c r="AX461" t="s">
        <v>1117</v>
      </c>
      <c r="AY461" t="s">
        <v>1037</v>
      </c>
      <c r="AZ461" t="s">
        <v>1083</v>
      </c>
      <c r="BA461" t="s">
        <v>1005</v>
      </c>
      <c r="BB461" t="s">
        <v>995</v>
      </c>
      <c r="BC461" t="s">
        <v>1036</v>
      </c>
      <c r="BD461" t="s">
        <v>232</v>
      </c>
      <c r="BE461" t="s">
        <v>785</v>
      </c>
      <c r="BF461" t="s">
        <v>293</v>
      </c>
      <c r="BG461" t="s">
        <v>756</v>
      </c>
      <c r="BH461" t="s">
        <v>1014</v>
      </c>
      <c r="BI461" t="s">
        <v>233</v>
      </c>
      <c r="BJ461" t="s">
        <v>234</v>
      </c>
      <c r="BK461" t="s">
        <v>309</v>
      </c>
      <c r="BL461" t="s">
        <v>266</v>
      </c>
      <c r="BM461" t="s">
        <v>258</v>
      </c>
      <c r="BN461" t="s">
        <v>310</v>
      </c>
      <c r="BO461" t="s">
        <v>770</v>
      </c>
      <c r="BP461" t="s">
        <v>945</v>
      </c>
      <c r="BQ461" t="s">
        <v>918</v>
      </c>
      <c r="BR461" t="s">
        <v>1016</v>
      </c>
      <c r="BS461" t="s">
        <v>960</v>
      </c>
      <c r="BT461" t="s">
        <v>986</v>
      </c>
      <c r="BU461" t="s">
        <v>239</v>
      </c>
      <c r="BV461" t="s">
        <v>241</v>
      </c>
      <c r="BW461" t="s">
        <v>805</v>
      </c>
      <c r="BX461" t="s">
        <v>806</v>
      </c>
    </row>
    <row r="462" spans="1:93">
      <c r="A462" s="40">
        <v>432</v>
      </c>
      <c r="B462" s="40" t="s">
        <v>1841</v>
      </c>
      <c r="C462" s="2" t="s">
        <v>1842</v>
      </c>
      <c r="D462" s="2" t="s">
        <v>24</v>
      </c>
      <c r="E462" s="2"/>
      <c r="F462" s="2">
        <v>71</v>
      </c>
      <c r="G462" s="2">
        <v>82</v>
      </c>
      <c r="H462" s="2">
        <v>64</v>
      </c>
      <c r="I462" s="2">
        <v>64</v>
      </c>
      <c r="J462" s="2">
        <v>59</v>
      </c>
      <c r="K462" s="2">
        <v>112</v>
      </c>
      <c r="L462" s="2">
        <v>452</v>
      </c>
      <c r="M462" s="2" t="s">
        <v>1141</v>
      </c>
      <c r="N462" s="2" t="s">
        <v>1061</v>
      </c>
      <c r="O462" t="s">
        <v>249</v>
      </c>
      <c r="P462" t="s">
        <v>220</v>
      </c>
      <c r="Q462" t="s">
        <v>176</v>
      </c>
      <c r="R462" t="s">
        <v>249</v>
      </c>
      <c r="S462" t="s">
        <v>220</v>
      </c>
      <c r="T462" t="s">
        <v>388</v>
      </c>
      <c r="U462" t="s">
        <v>774</v>
      </c>
      <c r="V462" t="s">
        <v>323</v>
      </c>
      <c r="W462" t="s">
        <v>781</v>
      </c>
      <c r="X462" t="s">
        <v>1166</v>
      </c>
      <c r="Y462" t="s">
        <v>962</v>
      </c>
      <c r="Z462" t="s">
        <v>253</v>
      </c>
      <c r="AA462" t="s">
        <v>756</v>
      </c>
      <c r="AB462" t="s">
        <v>364</v>
      </c>
      <c r="AC462" t="s">
        <v>1082</v>
      </c>
      <c r="AD462" t="s">
        <v>1030</v>
      </c>
      <c r="AE462" t="s">
        <v>1062</v>
      </c>
      <c r="AF462" t="s">
        <v>226</v>
      </c>
      <c r="AG462" t="s">
        <v>1063</v>
      </c>
      <c r="AH462" t="s">
        <v>1030</v>
      </c>
      <c r="AI462" t="s">
        <v>246</v>
      </c>
      <c r="AJ462" t="s">
        <v>148</v>
      </c>
      <c r="AK462" t="s">
        <v>172</v>
      </c>
      <c r="AL462" t="s">
        <v>752</v>
      </c>
      <c r="AM462" t="s">
        <v>1126</v>
      </c>
      <c r="AN462" t="s">
        <v>247</v>
      </c>
      <c r="AO462" t="s">
        <v>1078</v>
      </c>
      <c r="AP462" t="s">
        <v>766</v>
      </c>
      <c r="AQ462" t="s">
        <v>1079</v>
      </c>
      <c r="AR462" t="s">
        <v>146</v>
      </c>
      <c r="AS462" t="s">
        <v>321</v>
      </c>
      <c r="AT462" t="s">
        <v>1080</v>
      </c>
      <c r="AU462" t="s">
        <v>256</v>
      </c>
      <c r="AV462" t="s">
        <v>174</v>
      </c>
      <c r="AW462" t="s">
        <v>230</v>
      </c>
      <c r="AX462" t="s">
        <v>1096</v>
      </c>
      <c r="AY462" t="s">
        <v>951</v>
      </c>
      <c r="AZ462" t="s">
        <v>917</v>
      </c>
      <c r="BA462" t="s">
        <v>231</v>
      </c>
      <c r="BB462" t="s">
        <v>1082</v>
      </c>
      <c r="BC462" t="s">
        <v>1117</v>
      </c>
      <c r="BD462" t="s">
        <v>1037</v>
      </c>
      <c r="BE462" t="s">
        <v>1083</v>
      </c>
      <c r="BF462" t="s">
        <v>1005</v>
      </c>
      <c r="BG462" t="s">
        <v>995</v>
      </c>
      <c r="BH462" t="s">
        <v>1036</v>
      </c>
      <c r="BI462" t="s">
        <v>976</v>
      </c>
      <c r="BJ462" t="s">
        <v>232</v>
      </c>
      <c r="BK462" t="s">
        <v>785</v>
      </c>
      <c r="BL462" t="s">
        <v>1021</v>
      </c>
      <c r="BM462" t="s">
        <v>293</v>
      </c>
      <c r="BN462" t="s">
        <v>756</v>
      </c>
      <c r="BO462" t="s">
        <v>1014</v>
      </c>
      <c r="BP462" t="s">
        <v>233</v>
      </c>
      <c r="BQ462" t="s">
        <v>234</v>
      </c>
      <c r="BR462" t="s">
        <v>309</v>
      </c>
      <c r="BS462" t="s">
        <v>266</v>
      </c>
      <c r="BT462" t="s">
        <v>258</v>
      </c>
      <c r="BU462" t="s">
        <v>310</v>
      </c>
      <c r="BV462" t="s">
        <v>770</v>
      </c>
      <c r="BW462" t="s">
        <v>945</v>
      </c>
      <c r="BX462" t="s">
        <v>918</v>
      </c>
      <c r="BY462" t="s">
        <v>1016</v>
      </c>
      <c r="BZ462" t="s">
        <v>960</v>
      </c>
      <c r="CA462" t="s">
        <v>986</v>
      </c>
      <c r="CB462" t="s">
        <v>239</v>
      </c>
      <c r="CC462" t="s">
        <v>241</v>
      </c>
      <c r="CD462" t="s">
        <v>1008</v>
      </c>
      <c r="CE462" t="s">
        <v>805</v>
      </c>
      <c r="CF462" t="s">
        <v>806</v>
      </c>
    </row>
    <row r="463" spans="1:93">
      <c r="A463" s="40">
        <v>433</v>
      </c>
      <c r="B463" s="40" t="s">
        <v>1843</v>
      </c>
      <c r="C463" s="2" t="s">
        <v>1844</v>
      </c>
      <c r="D463" s="2" t="s">
        <v>9</v>
      </c>
      <c r="E463" s="2"/>
      <c r="F463" s="2">
        <v>45</v>
      </c>
      <c r="G463" s="2">
        <v>30</v>
      </c>
      <c r="H463" s="2">
        <v>50</v>
      </c>
      <c r="I463" s="2">
        <v>65</v>
      </c>
      <c r="J463" s="2">
        <v>50</v>
      </c>
      <c r="K463" s="2">
        <v>45</v>
      </c>
      <c r="L463" s="2">
        <v>285</v>
      </c>
      <c r="M463" s="2" t="s">
        <v>1199</v>
      </c>
      <c r="N463" s="2" t="s">
        <v>1061</v>
      </c>
      <c r="O463" t="s">
        <v>338</v>
      </c>
      <c r="P463" t="s">
        <v>220</v>
      </c>
      <c r="Q463" t="s">
        <v>1130</v>
      </c>
      <c r="R463" t="s">
        <v>287</v>
      </c>
      <c r="S463" t="s">
        <v>953</v>
      </c>
      <c r="T463" t="s">
        <v>986</v>
      </c>
      <c r="U463" t="s">
        <v>1577</v>
      </c>
      <c r="V463" t="s">
        <v>1062</v>
      </c>
      <c r="W463" t="s">
        <v>1063</v>
      </c>
      <c r="X463" t="s">
        <v>1151</v>
      </c>
      <c r="Y463" t="s">
        <v>912</v>
      </c>
      <c r="Z463" t="s">
        <v>148</v>
      </c>
      <c r="AA463" t="s">
        <v>172</v>
      </c>
      <c r="AB463" t="s">
        <v>752</v>
      </c>
      <c r="AC463" t="s">
        <v>1126</v>
      </c>
      <c r="AD463" t="s">
        <v>228</v>
      </c>
      <c r="AE463" t="s">
        <v>1078</v>
      </c>
      <c r="AF463" t="s">
        <v>766</v>
      </c>
      <c r="AG463" t="s">
        <v>759</v>
      </c>
      <c r="AH463" t="s">
        <v>1079</v>
      </c>
      <c r="AI463" t="s">
        <v>1080</v>
      </c>
      <c r="AJ463" t="s">
        <v>9</v>
      </c>
      <c r="AK463" t="s">
        <v>174</v>
      </c>
      <c r="AL463" t="s">
        <v>230</v>
      </c>
      <c r="AM463" t="s">
        <v>380</v>
      </c>
      <c r="AN463" t="s">
        <v>951</v>
      </c>
      <c r="AO463" t="s">
        <v>917</v>
      </c>
      <c r="AP463" t="s">
        <v>231</v>
      </c>
      <c r="AQ463" t="s">
        <v>1082</v>
      </c>
      <c r="AR463" t="s">
        <v>1037</v>
      </c>
      <c r="AS463" t="s">
        <v>1083</v>
      </c>
      <c r="AT463" t="s">
        <v>963</v>
      </c>
      <c r="AU463" t="s">
        <v>232</v>
      </c>
      <c r="AV463" t="s">
        <v>322</v>
      </c>
      <c r="AW463" t="s">
        <v>785</v>
      </c>
      <c r="AX463" t="s">
        <v>293</v>
      </c>
      <c r="AY463" t="s">
        <v>977</v>
      </c>
      <c r="AZ463" t="s">
        <v>756</v>
      </c>
      <c r="BA463" t="s">
        <v>757</v>
      </c>
      <c r="BB463" t="s">
        <v>233</v>
      </c>
      <c r="BC463" t="s">
        <v>1012</v>
      </c>
      <c r="BD463" t="s">
        <v>2342</v>
      </c>
      <c r="BE463" t="s">
        <v>2339</v>
      </c>
      <c r="BF463" t="s">
        <v>234</v>
      </c>
      <c r="BG463" t="s">
        <v>340</v>
      </c>
      <c r="BH463" t="s">
        <v>388</v>
      </c>
      <c r="BI463" t="s">
        <v>459</v>
      </c>
      <c r="BJ463" t="s">
        <v>751</v>
      </c>
      <c r="BK463" t="s">
        <v>790</v>
      </c>
      <c r="BL463" t="s">
        <v>957</v>
      </c>
      <c r="BM463" t="s">
        <v>941</v>
      </c>
      <c r="BN463" t="s">
        <v>1041</v>
      </c>
      <c r="BO463" t="s">
        <v>239</v>
      </c>
      <c r="BP463" t="s">
        <v>241</v>
      </c>
      <c r="BQ463" t="s">
        <v>805</v>
      </c>
      <c r="BR463" t="s">
        <v>806</v>
      </c>
    </row>
    <row r="464" spans="1:93">
      <c r="A464" s="40">
        <v>434</v>
      </c>
      <c r="B464" s="40" t="s">
        <v>1845</v>
      </c>
      <c r="C464" s="2" t="s">
        <v>1846</v>
      </c>
      <c r="D464" s="2" t="s">
        <v>11</v>
      </c>
      <c r="E464" s="2" t="s">
        <v>15</v>
      </c>
      <c r="F464" s="2">
        <v>63</v>
      </c>
      <c r="G464" s="2">
        <v>63</v>
      </c>
      <c r="H464" s="2">
        <v>47</v>
      </c>
      <c r="I464" s="2">
        <v>41</v>
      </c>
      <c r="J464" s="2">
        <v>41</v>
      </c>
      <c r="K464" s="2">
        <v>74</v>
      </c>
      <c r="L464" s="2">
        <v>329</v>
      </c>
      <c r="M464" s="2" t="s">
        <v>1158</v>
      </c>
      <c r="N464" s="2" t="s">
        <v>1061</v>
      </c>
      <c r="O464" t="s">
        <v>249</v>
      </c>
      <c r="P464" t="s">
        <v>302</v>
      </c>
      <c r="Q464" t="s">
        <v>516</v>
      </c>
      <c r="R464" t="s">
        <v>324</v>
      </c>
      <c r="S464" t="s">
        <v>323</v>
      </c>
      <c r="T464" t="s">
        <v>251</v>
      </c>
      <c r="U464" t="s">
        <v>971</v>
      </c>
      <c r="V464" t="s">
        <v>253</v>
      </c>
      <c r="W464" t="s">
        <v>148</v>
      </c>
      <c r="X464" t="s">
        <v>1134</v>
      </c>
      <c r="Y464" t="s">
        <v>993</v>
      </c>
      <c r="Z464" t="s">
        <v>931</v>
      </c>
      <c r="AA464" t="s">
        <v>2335</v>
      </c>
      <c r="AB464" t="s">
        <v>485</v>
      </c>
      <c r="AC464" t="s">
        <v>1062</v>
      </c>
      <c r="AD464" t="s">
        <v>226</v>
      </c>
      <c r="AE464" t="s">
        <v>1063</v>
      </c>
      <c r="AF464" t="s">
        <v>1030</v>
      </c>
      <c r="AG464" t="s">
        <v>246</v>
      </c>
      <c r="AH464" t="s">
        <v>148</v>
      </c>
      <c r="AI464" t="s">
        <v>1077</v>
      </c>
      <c r="AJ464" t="s">
        <v>172</v>
      </c>
      <c r="AK464" t="s">
        <v>752</v>
      </c>
      <c r="AL464" t="s">
        <v>1126</v>
      </c>
      <c r="AM464" t="s">
        <v>1078</v>
      </c>
      <c r="AN464" t="s">
        <v>766</v>
      </c>
      <c r="AO464" t="s">
        <v>1079</v>
      </c>
      <c r="AP464" t="s">
        <v>1080</v>
      </c>
      <c r="AQ464" t="s">
        <v>256</v>
      </c>
      <c r="AR464" t="s">
        <v>174</v>
      </c>
      <c r="AS464" t="s">
        <v>230</v>
      </c>
      <c r="AT464" t="s">
        <v>254</v>
      </c>
      <c r="AU464" t="s">
        <v>1081</v>
      </c>
      <c r="AV464" t="s">
        <v>257</v>
      </c>
      <c r="AW464" t="s">
        <v>951</v>
      </c>
      <c r="AX464" t="s">
        <v>917</v>
      </c>
      <c r="AY464" t="s">
        <v>231</v>
      </c>
      <c r="AZ464" t="s">
        <v>1082</v>
      </c>
      <c r="BA464" t="s">
        <v>1117</v>
      </c>
      <c r="BB464" t="s">
        <v>1037</v>
      </c>
      <c r="BC464" t="s">
        <v>1031</v>
      </c>
      <c r="BD464" t="s">
        <v>485</v>
      </c>
      <c r="BE464" t="s">
        <v>1005</v>
      </c>
      <c r="BF464" t="s">
        <v>995</v>
      </c>
      <c r="BG464" t="s">
        <v>756</v>
      </c>
      <c r="BH464" t="s">
        <v>757</v>
      </c>
      <c r="BI464" t="s">
        <v>233</v>
      </c>
      <c r="BJ464" t="s">
        <v>760</v>
      </c>
      <c r="BK464" t="s">
        <v>1040</v>
      </c>
      <c r="BL464" t="s">
        <v>1157</v>
      </c>
      <c r="BM464" t="s">
        <v>2339</v>
      </c>
      <c r="BN464" t="s">
        <v>234</v>
      </c>
      <c r="BO464" t="s">
        <v>225</v>
      </c>
      <c r="BP464" t="s">
        <v>330</v>
      </c>
      <c r="BQ464" t="s">
        <v>272</v>
      </c>
      <c r="BR464" t="s">
        <v>530</v>
      </c>
      <c r="BS464" t="s">
        <v>1092</v>
      </c>
      <c r="BT464" t="s">
        <v>773</v>
      </c>
      <c r="BU464" t="s">
        <v>761</v>
      </c>
      <c r="BV464" t="s">
        <v>777</v>
      </c>
      <c r="BW464" t="s">
        <v>1130</v>
      </c>
      <c r="BX464" t="s">
        <v>1001</v>
      </c>
      <c r="BY464" t="s">
        <v>1026</v>
      </c>
      <c r="BZ464" t="s">
        <v>1167</v>
      </c>
      <c r="CA464" t="s">
        <v>2395</v>
      </c>
      <c r="CB464" t="s">
        <v>239</v>
      </c>
      <c r="CC464" t="s">
        <v>241</v>
      </c>
      <c r="CD464" t="s">
        <v>805</v>
      </c>
      <c r="CE464" t="s">
        <v>806</v>
      </c>
    </row>
    <row r="465" spans="1:106">
      <c r="A465" s="40">
        <v>435</v>
      </c>
      <c r="B465" s="40" t="s">
        <v>1847</v>
      </c>
      <c r="C465" s="2" t="s">
        <v>1848</v>
      </c>
      <c r="D465" s="2" t="s">
        <v>11</v>
      </c>
      <c r="E465" s="2" t="s">
        <v>15</v>
      </c>
      <c r="F465" s="2">
        <v>103</v>
      </c>
      <c r="G465" s="2">
        <v>93</v>
      </c>
      <c r="H465" s="2">
        <v>67</v>
      </c>
      <c r="I465" s="2">
        <v>71</v>
      </c>
      <c r="J465" s="2">
        <v>61</v>
      </c>
      <c r="K465" s="2">
        <v>84</v>
      </c>
      <c r="L465" s="2">
        <v>479</v>
      </c>
      <c r="M465" s="2" t="s">
        <v>1173</v>
      </c>
      <c r="N465" s="2" t="s">
        <v>1061</v>
      </c>
      <c r="O465" t="s">
        <v>249</v>
      </c>
      <c r="P465" t="s">
        <v>302</v>
      </c>
      <c r="Q465" t="s">
        <v>516</v>
      </c>
      <c r="R465" t="s">
        <v>516</v>
      </c>
      <c r="S465" t="s">
        <v>324</v>
      </c>
      <c r="T465" t="s">
        <v>323</v>
      </c>
      <c r="U465" t="s">
        <v>251</v>
      </c>
      <c r="V465" t="s">
        <v>971</v>
      </c>
      <c r="W465" t="s">
        <v>253</v>
      </c>
      <c r="X465" t="s">
        <v>148</v>
      </c>
      <c r="Y465" t="s">
        <v>1134</v>
      </c>
      <c r="Z465" t="s">
        <v>254</v>
      </c>
      <c r="AA465" t="s">
        <v>993</v>
      </c>
      <c r="AB465" t="s">
        <v>931</v>
      </c>
      <c r="AC465" t="s">
        <v>2335</v>
      </c>
      <c r="AD465" t="s">
        <v>485</v>
      </c>
      <c r="AE465" t="s">
        <v>1062</v>
      </c>
      <c r="AF465" t="s">
        <v>226</v>
      </c>
      <c r="AG465" t="s">
        <v>227</v>
      </c>
      <c r="AH465" t="s">
        <v>1063</v>
      </c>
      <c r="AI465" t="s">
        <v>1030</v>
      </c>
      <c r="AJ465" t="s">
        <v>246</v>
      </c>
      <c r="AK465" t="s">
        <v>148</v>
      </c>
      <c r="AL465" t="s">
        <v>1077</v>
      </c>
      <c r="AM465" t="s">
        <v>172</v>
      </c>
      <c r="AN465" t="s">
        <v>752</v>
      </c>
      <c r="AO465" t="s">
        <v>1126</v>
      </c>
      <c r="AP465" t="s">
        <v>247</v>
      </c>
      <c r="AQ465" t="s">
        <v>1078</v>
      </c>
      <c r="AR465" t="s">
        <v>766</v>
      </c>
      <c r="AS465" t="s">
        <v>1079</v>
      </c>
      <c r="AT465" t="s">
        <v>1080</v>
      </c>
      <c r="AU465" t="s">
        <v>256</v>
      </c>
      <c r="AV465" t="s">
        <v>174</v>
      </c>
      <c r="AW465" t="s">
        <v>230</v>
      </c>
      <c r="AX465" t="s">
        <v>254</v>
      </c>
      <c r="AY465" t="s">
        <v>1081</v>
      </c>
      <c r="AZ465" t="s">
        <v>257</v>
      </c>
      <c r="BA465" t="s">
        <v>951</v>
      </c>
      <c r="BB465" t="s">
        <v>917</v>
      </c>
      <c r="BC465" t="s">
        <v>231</v>
      </c>
      <c r="BD465" t="s">
        <v>1082</v>
      </c>
      <c r="BE465" t="s">
        <v>1117</v>
      </c>
      <c r="BF465" t="s">
        <v>1037</v>
      </c>
      <c r="BG465" t="s">
        <v>1031</v>
      </c>
      <c r="BH465" t="s">
        <v>485</v>
      </c>
      <c r="BI465" t="s">
        <v>1005</v>
      </c>
      <c r="BJ465" t="s">
        <v>995</v>
      </c>
      <c r="BK465" t="s">
        <v>976</v>
      </c>
      <c r="BL465" t="s">
        <v>997</v>
      </c>
      <c r="BM465" t="s">
        <v>756</v>
      </c>
      <c r="BN465" t="s">
        <v>757</v>
      </c>
      <c r="BO465" t="s">
        <v>233</v>
      </c>
      <c r="BP465" t="s">
        <v>760</v>
      </c>
      <c r="BQ465" t="s">
        <v>1040</v>
      </c>
      <c r="BR465" t="s">
        <v>1157</v>
      </c>
      <c r="BS465" t="s">
        <v>2339</v>
      </c>
      <c r="BT465" t="s">
        <v>234</v>
      </c>
      <c r="BU465" t="s">
        <v>225</v>
      </c>
      <c r="BV465" t="s">
        <v>330</v>
      </c>
      <c r="BW465" t="s">
        <v>272</v>
      </c>
      <c r="BX465" t="s">
        <v>530</v>
      </c>
      <c r="BY465" t="s">
        <v>1092</v>
      </c>
      <c r="BZ465" t="s">
        <v>773</v>
      </c>
      <c r="CA465" t="s">
        <v>761</v>
      </c>
      <c r="CB465" t="s">
        <v>777</v>
      </c>
      <c r="CC465" t="s">
        <v>1130</v>
      </c>
      <c r="CD465" t="s">
        <v>1001</v>
      </c>
      <c r="CE465" t="s">
        <v>1026</v>
      </c>
      <c r="CF465" t="s">
        <v>1167</v>
      </c>
      <c r="CG465" t="s">
        <v>2395</v>
      </c>
      <c r="CH465" t="s">
        <v>239</v>
      </c>
      <c r="CI465" t="s">
        <v>241</v>
      </c>
      <c r="CJ465" t="s">
        <v>805</v>
      </c>
      <c r="CK465" t="s">
        <v>806</v>
      </c>
    </row>
    <row r="466" spans="1:106">
      <c r="A466" s="40">
        <v>436</v>
      </c>
      <c r="B466" s="40" t="s">
        <v>1849</v>
      </c>
      <c r="C466" s="2" t="s">
        <v>1850</v>
      </c>
      <c r="D466" s="2" t="s">
        <v>26</v>
      </c>
      <c r="E466" s="2" t="s">
        <v>9</v>
      </c>
      <c r="F466" s="2">
        <v>57</v>
      </c>
      <c r="G466" s="2">
        <v>24</v>
      </c>
      <c r="H466" s="2">
        <v>86</v>
      </c>
      <c r="I466" s="2">
        <v>24</v>
      </c>
      <c r="J466" s="2">
        <v>86</v>
      </c>
      <c r="K466" s="2">
        <v>23</v>
      </c>
      <c r="L466" s="2">
        <v>300</v>
      </c>
      <c r="M466" s="2" t="s">
        <v>1165</v>
      </c>
      <c r="N466" s="2" t="s">
        <v>1061</v>
      </c>
      <c r="O466" t="s">
        <v>219</v>
      </c>
      <c r="P466" t="s">
        <v>287</v>
      </c>
      <c r="Q466" t="s">
        <v>388</v>
      </c>
      <c r="R466" t="s">
        <v>927</v>
      </c>
      <c r="S466" t="s">
        <v>387</v>
      </c>
      <c r="T466" t="s">
        <v>529</v>
      </c>
      <c r="U466" t="s">
        <v>177</v>
      </c>
      <c r="V466" t="s">
        <v>774</v>
      </c>
      <c r="W466" t="s">
        <v>759</v>
      </c>
      <c r="X466" t="s">
        <v>790</v>
      </c>
      <c r="Y466" t="s">
        <v>1202</v>
      </c>
      <c r="Z466" t="s">
        <v>980</v>
      </c>
      <c r="AA466" t="s">
        <v>1154</v>
      </c>
      <c r="AB466" t="s">
        <v>995</v>
      </c>
      <c r="AC466" t="s">
        <v>1451</v>
      </c>
      <c r="AD466" t="s">
        <v>184</v>
      </c>
      <c r="AE466" t="s">
        <v>1062</v>
      </c>
      <c r="AF466" t="s">
        <v>1063</v>
      </c>
      <c r="AG466" t="s">
        <v>1151</v>
      </c>
      <c r="AH466" t="s">
        <v>912</v>
      </c>
      <c r="AI466" t="s">
        <v>148</v>
      </c>
      <c r="AJ466" t="s">
        <v>172</v>
      </c>
      <c r="AK466" t="s">
        <v>752</v>
      </c>
      <c r="AL466" t="s">
        <v>228</v>
      </c>
      <c r="AM466" t="s">
        <v>1078</v>
      </c>
      <c r="AN466" t="s">
        <v>766</v>
      </c>
      <c r="AO466" t="s">
        <v>759</v>
      </c>
      <c r="AP466" t="s">
        <v>1079</v>
      </c>
      <c r="AQ466" t="s">
        <v>229</v>
      </c>
      <c r="AR466" t="s">
        <v>136</v>
      </c>
      <c r="AS466" t="s">
        <v>1080</v>
      </c>
      <c r="AT466" t="s">
        <v>9</v>
      </c>
      <c r="AU466" t="s">
        <v>174</v>
      </c>
      <c r="AV466" t="s">
        <v>230</v>
      </c>
      <c r="AW466" t="s">
        <v>380</v>
      </c>
      <c r="AX466" t="s">
        <v>765</v>
      </c>
      <c r="AY466" t="s">
        <v>1095</v>
      </c>
      <c r="AZ466" t="s">
        <v>917</v>
      </c>
      <c r="BA466" t="s">
        <v>231</v>
      </c>
      <c r="BB466" t="s">
        <v>1037</v>
      </c>
      <c r="BC466" t="s">
        <v>963</v>
      </c>
      <c r="BD466" t="s">
        <v>995</v>
      </c>
      <c r="BE466" t="s">
        <v>1003</v>
      </c>
      <c r="BF466" t="s">
        <v>232</v>
      </c>
      <c r="BG466" t="s">
        <v>980</v>
      </c>
      <c r="BH466" t="s">
        <v>785</v>
      </c>
      <c r="BI466" t="s">
        <v>1021</v>
      </c>
      <c r="BJ466" t="s">
        <v>143</v>
      </c>
      <c r="BK466" t="s">
        <v>293</v>
      </c>
      <c r="BL466" t="s">
        <v>977</v>
      </c>
      <c r="BM466" t="s">
        <v>756</v>
      </c>
      <c r="BN466" t="s">
        <v>757</v>
      </c>
      <c r="BO466" t="s">
        <v>233</v>
      </c>
      <c r="BP466" t="s">
        <v>973</v>
      </c>
      <c r="BQ466" t="s">
        <v>1012</v>
      </c>
      <c r="BR466" t="s">
        <v>2339</v>
      </c>
      <c r="BS466" t="s">
        <v>234</v>
      </c>
      <c r="BT466" t="s">
        <v>239</v>
      </c>
      <c r="BU466" t="s">
        <v>241</v>
      </c>
      <c r="BV466" t="s">
        <v>805</v>
      </c>
      <c r="BW466" t="s">
        <v>806</v>
      </c>
    </row>
    <row r="467" spans="1:106">
      <c r="A467" s="40">
        <v>437</v>
      </c>
      <c r="B467" s="40" t="s">
        <v>1851</v>
      </c>
      <c r="C467" s="2" t="s">
        <v>1852</v>
      </c>
      <c r="D467" s="2" t="s">
        <v>26</v>
      </c>
      <c r="E467" s="2" t="s">
        <v>9</v>
      </c>
      <c r="F467" s="2">
        <v>67</v>
      </c>
      <c r="G467" s="2">
        <v>89</v>
      </c>
      <c r="H467" s="2">
        <v>116</v>
      </c>
      <c r="I467" s="2">
        <v>79</v>
      </c>
      <c r="J467" s="2">
        <v>116</v>
      </c>
      <c r="K467" s="2">
        <v>33</v>
      </c>
      <c r="L467" s="2">
        <v>500</v>
      </c>
      <c r="M467" s="2" t="s">
        <v>1137</v>
      </c>
      <c r="N467" s="2" t="s">
        <v>1061</v>
      </c>
      <c r="O467" t="s">
        <v>219</v>
      </c>
      <c r="P467" t="s">
        <v>287</v>
      </c>
      <c r="Q467" t="s">
        <v>388</v>
      </c>
      <c r="R467" t="s">
        <v>766</v>
      </c>
      <c r="S467" t="s">
        <v>752</v>
      </c>
      <c r="T467" t="s">
        <v>927</v>
      </c>
      <c r="U467" t="s">
        <v>388</v>
      </c>
      <c r="V467" t="s">
        <v>927</v>
      </c>
      <c r="W467" t="s">
        <v>387</v>
      </c>
      <c r="X467" t="s">
        <v>529</v>
      </c>
      <c r="Y467" t="s">
        <v>177</v>
      </c>
      <c r="Z467" t="s">
        <v>774</v>
      </c>
      <c r="AA467" t="s">
        <v>759</v>
      </c>
      <c r="AB467" t="s">
        <v>790</v>
      </c>
      <c r="AC467" t="s">
        <v>1202</v>
      </c>
      <c r="AD467" t="s">
        <v>911</v>
      </c>
      <c r="AE467" t="s">
        <v>980</v>
      </c>
      <c r="AF467" t="s">
        <v>1154</v>
      </c>
      <c r="AG467" t="s">
        <v>995</v>
      </c>
      <c r="AH467" t="s">
        <v>1451</v>
      </c>
      <c r="AI467" t="s">
        <v>184</v>
      </c>
      <c r="AJ467" t="s">
        <v>1062</v>
      </c>
      <c r="AK467" t="s">
        <v>227</v>
      </c>
      <c r="AL467" t="s">
        <v>1063</v>
      </c>
      <c r="AM467" t="s">
        <v>1151</v>
      </c>
      <c r="AN467" t="s">
        <v>912</v>
      </c>
      <c r="AO467" t="s">
        <v>148</v>
      </c>
      <c r="AP467" t="s">
        <v>172</v>
      </c>
      <c r="AQ467" t="s">
        <v>752</v>
      </c>
      <c r="AR467" t="s">
        <v>247</v>
      </c>
      <c r="AS467" t="s">
        <v>228</v>
      </c>
      <c r="AT467" t="s">
        <v>1078</v>
      </c>
      <c r="AU467" t="s">
        <v>766</v>
      </c>
      <c r="AV467" t="s">
        <v>759</v>
      </c>
      <c r="AW467" t="s">
        <v>1079</v>
      </c>
      <c r="AX467" t="s">
        <v>229</v>
      </c>
      <c r="AY467" t="s">
        <v>136</v>
      </c>
      <c r="AZ467" t="s">
        <v>1080</v>
      </c>
      <c r="BA467" t="s">
        <v>9</v>
      </c>
      <c r="BB467" t="s">
        <v>174</v>
      </c>
      <c r="BC467" t="s">
        <v>230</v>
      </c>
      <c r="BD467" t="s">
        <v>380</v>
      </c>
      <c r="BE467" t="s">
        <v>765</v>
      </c>
      <c r="BF467" t="s">
        <v>1095</v>
      </c>
      <c r="BG467" t="s">
        <v>917</v>
      </c>
      <c r="BH467" t="s">
        <v>231</v>
      </c>
      <c r="BI467" t="s">
        <v>1037</v>
      </c>
      <c r="BJ467" t="s">
        <v>963</v>
      </c>
      <c r="BK467" t="s">
        <v>485</v>
      </c>
      <c r="BL467" t="s">
        <v>995</v>
      </c>
      <c r="BM467" t="s">
        <v>976</v>
      </c>
      <c r="BN467" t="s">
        <v>1003</v>
      </c>
      <c r="BO467" t="s">
        <v>232</v>
      </c>
      <c r="BP467" t="s">
        <v>980</v>
      </c>
      <c r="BQ467" t="s">
        <v>785</v>
      </c>
      <c r="BR467" t="s">
        <v>1021</v>
      </c>
      <c r="BS467" t="s">
        <v>143</v>
      </c>
      <c r="BT467" t="s">
        <v>293</v>
      </c>
      <c r="BU467" t="s">
        <v>977</v>
      </c>
      <c r="BV467" t="s">
        <v>756</v>
      </c>
      <c r="BW467" t="s">
        <v>757</v>
      </c>
      <c r="BX467" t="s">
        <v>233</v>
      </c>
      <c r="BY467" t="s">
        <v>973</v>
      </c>
      <c r="BZ467" t="s">
        <v>1012</v>
      </c>
      <c r="CA467" t="s">
        <v>760</v>
      </c>
      <c r="CB467" t="s">
        <v>2339</v>
      </c>
      <c r="CC467" t="s">
        <v>234</v>
      </c>
      <c r="CD467" t="s">
        <v>239</v>
      </c>
      <c r="CE467" t="s">
        <v>241</v>
      </c>
      <c r="CF467" t="s">
        <v>805</v>
      </c>
      <c r="CG467" t="s">
        <v>806</v>
      </c>
    </row>
    <row r="468" spans="1:106">
      <c r="A468" s="40">
        <v>438</v>
      </c>
      <c r="B468" s="40" t="s">
        <v>1853</v>
      </c>
      <c r="C468" s="2" t="s">
        <v>1854</v>
      </c>
      <c r="D468" s="2" t="s">
        <v>25</v>
      </c>
      <c r="E468" s="2"/>
      <c r="F468" s="2">
        <v>50</v>
      </c>
      <c r="G468" s="2">
        <v>80</v>
      </c>
      <c r="H468" s="2">
        <v>95</v>
      </c>
      <c r="I468" s="2">
        <v>10</v>
      </c>
      <c r="J468" s="2">
        <v>45</v>
      </c>
      <c r="K468" s="2">
        <v>10</v>
      </c>
      <c r="L468" s="2">
        <v>290</v>
      </c>
      <c r="M468" s="2" t="s">
        <v>1199</v>
      </c>
      <c r="N468" s="2" t="s">
        <v>1061</v>
      </c>
      <c r="O468" t="s">
        <v>918</v>
      </c>
      <c r="P468" t="s">
        <v>964</v>
      </c>
      <c r="Q468" t="s">
        <v>770</v>
      </c>
      <c r="R468" t="s">
        <v>432</v>
      </c>
      <c r="S468" t="s">
        <v>483</v>
      </c>
      <c r="T468" t="s">
        <v>341</v>
      </c>
      <c r="U468" t="s">
        <v>774</v>
      </c>
      <c r="V468" t="s">
        <v>1095</v>
      </c>
      <c r="W468" t="s">
        <v>911</v>
      </c>
      <c r="X468" t="s">
        <v>143</v>
      </c>
      <c r="Y468" t="s">
        <v>381</v>
      </c>
      <c r="Z468" t="s">
        <v>1008</v>
      </c>
      <c r="AA468" t="s">
        <v>225</v>
      </c>
      <c r="AB468" t="s">
        <v>1062</v>
      </c>
      <c r="AC468" t="s">
        <v>1063</v>
      </c>
      <c r="AD468" t="s">
        <v>912</v>
      </c>
      <c r="AE468" t="s">
        <v>148</v>
      </c>
      <c r="AF468" t="s">
        <v>172</v>
      </c>
      <c r="AG468" t="s">
        <v>752</v>
      </c>
      <c r="AH468" t="s">
        <v>1078</v>
      </c>
      <c r="AI468" t="s">
        <v>1079</v>
      </c>
      <c r="AJ468" t="s">
        <v>1109</v>
      </c>
      <c r="AK468" t="s">
        <v>1080</v>
      </c>
      <c r="AL468" t="s">
        <v>256</v>
      </c>
      <c r="AM468" t="s">
        <v>1094</v>
      </c>
      <c r="AN468" t="s">
        <v>230</v>
      </c>
      <c r="AO468" t="s">
        <v>765</v>
      </c>
      <c r="AP468" t="s">
        <v>1095</v>
      </c>
      <c r="AQ468" t="s">
        <v>917</v>
      </c>
      <c r="AR468" t="s">
        <v>231</v>
      </c>
      <c r="AS468" t="s">
        <v>1082</v>
      </c>
      <c r="AT468" t="s">
        <v>1117</v>
      </c>
      <c r="AU468" t="s">
        <v>1037</v>
      </c>
      <c r="AV468" t="s">
        <v>485</v>
      </c>
      <c r="AW468" t="s">
        <v>1003</v>
      </c>
      <c r="AX468" t="s">
        <v>785</v>
      </c>
      <c r="AY468" t="s">
        <v>143</v>
      </c>
      <c r="AZ468" t="s">
        <v>756</v>
      </c>
      <c r="BA468" t="s">
        <v>757</v>
      </c>
      <c r="BB468" t="s">
        <v>233</v>
      </c>
      <c r="BC468" t="s">
        <v>1087</v>
      </c>
      <c r="BD468" t="s">
        <v>2339</v>
      </c>
      <c r="BE468" t="s">
        <v>234</v>
      </c>
      <c r="BF468" t="s">
        <v>420</v>
      </c>
      <c r="BG468" t="s">
        <v>284</v>
      </c>
      <c r="BH468" t="s">
        <v>353</v>
      </c>
      <c r="BI468" t="s">
        <v>484</v>
      </c>
      <c r="BJ468" t="s">
        <v>751</v>
      </c>
      <c r="BK468" t="s">
        <v>754</v>
      </c>
      <c r="BL468" t="s">
        <v>768</v>
      </c>
      <c r="BM468" t="s">
        <v>939</v>
      </c>
      <c r="BN468" t="s">
        <v>1007</v>
      </c>
      <c r="BO468" t="s">
        <v>239</v>
      </c>
      <c r="BP468" t="s">
        <v>241</v>
      </c>
      <c r="BQ468" t="s">
        <v>805</v>
      </c>
      <c r="BR468" t="s">
        <v>806</v>
      </c>
    </row>
    <row r="469" spans="1:106">
      <c r="A469" s="40">
        <v>439</v>
      </c>
      <c r="B469" s="40" t="s">
        <v>1855</v>
      </c>
      <c r="C469" s="2" t="s">
        <v>1856</v>
      </c>
      <c r="D469" s="2" t="s">
        <v>9</v>
      </c>
      <c r="E469" s="2" t="s">
        <v>894</v>
      </c>
      <c r="F469" s="2">
        <v>20</v>
      </c>
      <c r="G469" s="2">
        <v>25</v>
      </c>
      <c r="H469" s="2">
        <v>45</v>
      </c>
      <c r="I469" s="2">
        <v>70</v>
      </c>
      <c r="J469" s="2">
        <v>90</v>
      </c>
      <c r="K469" s="2">
        <v>60</v>
      </c>
      <c r="L469" s="2">
        <v>310</v>
      </c>
      <c r="M469" s="2" t="s">
        <v>1108</v>
      </c>
      <c r="N469" s="2" t="s">
        <v>1061</v>
      </c>
      <c r="O469" t="s">
        <v>287</v>
      </c>
      <c r="P469" t="s">
        <v>455</v>
      </c>
      <c r="Q469" t="s">
        <v>950</v>
      </c>
      <c r="R469" t="s">
        <v>964</v>
      </c>
      <c r="S469" t="s">
        <v>437</v>
      </c>
      <c r="T469" t="s">
        <v>348</v>
      </c>
      <c r="U469" t="s">
        <v>381</v>
      </c>
      <c r="V469" t="s">
        <v>779</v>
      </c>
      <c r="W469" t="s">
        <v>228</v>
      </c>
      <c r="X469" t="s">
        <v>380</v>
      </c>
      <c r="Y469" t="s">
        <v>292</v>
      </c>
      <c r="Z469" t="s">
        <v>233</v>
      </c>
      <c r="AA469" t="s">
        <v>937</v>
      </c>
      <c r="AB469" t="s">
        <v>952</v>
      </c>
      <c r="AC469" t="s">
        <v>9</v>
      </c>
      <c r="AD469" t="s">
        <v>938</v>
      </c>
      <c r="AE469" t="s">
        <v>788</v>
      </c>
      <c r="AF469" t="s">
        <v>759</v>
      </c>
      <c r="AG469" t="s">
        <v>1062</v>
      </c>
      <c r="AH469" t="s">
        <v>1063</v>
      </c>
      <c r="AI469" t="s">
        <v>1151</v>
      </c>
      <c r="AJ469" t="s">
        <v>912</v>
      </c>
      <c r="AK469" t="s">
        <v>148</v>
      </c>
      <c r="AL469" t="s">
        <v>172</v>
      </c>
      <c r="AM469" t="s">
        <v>752</v>
      </c>
      <c r="AN469" t="s">
        <v>1126</v>
      </c>
      <c r="AO469" t="s">
        <v>228</v>
      </c>
      <c r="AP469" t="s">
        <v>1078</v>
      </c>
      <c r="AQ469" t="s">
        <v>766</v>
      </c>
      <c r="AR469" t="s">
        <v>759</v>
      </c>
      <c r="AS469" t="s">
        <v>1079</v>
      </c>
      <c r="AT469" t="s">
        <v>229</v>
      </c>
      <c r="AU469" t="s">
        <v>146</v>
      </c>
      <c r="AV469" t="s">
        <v>321</v>
      </c>
      <c r="AW469" t="s">
        <v>1080</v>
      </c>
      <c r="AX469" t="s">
        <v>9</v>
      </c>
      <c r="AY469" t="s">
        <v>174</v>
      </c>
      <c r="AZ469" t="s">
        <v>1094</v>
      </c>
      <c r="BA469" t="s">
        <v>230</v>
      </c>
      <c r="BB469" t="s">
        <v>380</v>
      </c>
      <c r="BC469" t="s">
        <v>951</v>
      </c>
      <c r="BD469" t="s">
        <v>917</v>
      </c>
      <c r="BE469" t="s">
        <v>231</v>
      </c>
      <c r="BF469" t="s">
        <v>1082</v>
      </c>
      <c r="BG469" t="s">
        <v>1117</v>
      </c>
      <c r="BH469" t="s">
        <v>1037</v>
      </c>
      <c r="BI469" t="s">
        <v>974</v>
      </c>
      <c r="BJ469" t="s">
        <v>963</v>
      </c>
      <c r="BK469" t="s">
        <v>232</v>
      </c>
      <c r="BL469" t="s">
        <v>322</v>
      </c>
      <c r="BM469" t="s">
        <v>785</v>
      </c>
      <c r="BN469" t="s">
        <v>2369</v>
      </c>
      <c r="BO469" t="s">
        <v>293</v>
      </c>
      <c r="BP469" t="s">
        <v>977</v>
      </c>
      <c r="BQ469" t="s">
        <v>756</v>
      </c>
      <c r="BR469" t="s">
        <v>757</v>
      </c>
      <c r="BS469" t="s">
        <v>233</v>
      </c>
      <c r="BT469" t="s">
        <v>1012</v>
      </c>
      <c r="BU469" t="s">
        <v>2339</v>
      </c>
      <c r="BV469" t="s">
        <v>234</v>
      </c>
      <c r="BW469" t="s">
        <v>388</v>
      </c>
      <c r="BX469" t="s">
        <v>381</v>
      </c>
      <c r="BY469" t="s">
        <v>387</v>
      </c>
      <c r="BZ469" t="s">
        <v>769</v>
      </c>
      <c r="CA469" t="s">
        <v>781</v>
      </c>
      <c r="CB469" t="s">
        <v>790</v>
      </c>
      <c r="CC469" t="s">
        <v>176</v>
      </c>
      <c r="CD469" t="s">
        <v>952</v>
      </c>
      <c r="CE469" t="s">
        <v>949</v>
      </c>
      <c r="CF469" t="s">
        <v>1016</v>
      </c>
      <c r="CG469" t="s">
        <v>982</v>
      </c>
      <c r="CH469" t="s">
        <v>991</v>
      </c>
      <c r="CI469" t="s">
        <v>1033</v>
      </c>
      <c r="CJ469" t="s">
        <v>1032</v>
      </c>
      <c r="CK469" t="s">
        <v>239</v>
      </c>
      <c r="CL469" t="s">
        <v>241</v>
      </c>
      <c r="CM469" t="s">
        <v>805</v>
      </c>
      <c r="CN469" t="s">
        <v>806</v>
      </c>
    </row>
    <row r="470" spans="1:106">
      <c r="A470" s="40">
        <v>440</v>
      </c>
      <c r="B470" s="40" t="s">
        <v>1857</v>
      </c>
      <c r="C470" s="2" t="s">
        <v>1858</v>
      </c>
      <c r="D470" s="2" t="s">
        <v>24</v>
      </c>
      <c r="E470" s="2"/>
      <c r="F470" s="2">
        <v>100</v>
      </c>
      <c r="G470" s="2">
        <v>5</v>
      </c>
      <c r="H470" s="2">
        <v>5</v>
      </c>
      <c r="I470" s="2">
        <v>15</v>
      </c>
      <c r="J470" s="2">
        <v>65</v>
      </c>
      <c r="K470" s="2">
        <v>30</v>
      </c>
      <c r="L470" s="2">
        <v>220</v>
      </c>
      <c r="M470" s="2" t="s">
        <v>1199</v>
      </c>
      <c r="N470" s="2" t="s">
        <v>1061</v>
      </c>
      <c r="O470" t="s">
        <v>376</v>
      </c>
      <c r="P470" t="s">
        <v>781</v>
      </c>
      <c r="Q470" t="s">
        <v>964</v>
      </c>
      <c r="R470" t="s">
        <v>1106</v>
      </c>
      <c r="S470" t="s">
        <v>782</v>
      </c>
      <c r="T470" t="s">
        <v>1062</v>
      </c>
      <c r="U470" t="s">
        <v>1063</v>
      </c>
      <c r="V470" t="s">
        <v>148</v>
      </c>
      <c r="W470" t="s">
        <v>1104</v>
      </c>
      <c r="X470" t="s">
        <v>172</v>
      </c>
      <c r="Y470" t="s">
        <v>752</v>
      </c>
      <c r="Z470" t="s">
        <v>228</v>
      </c>
      <c r="AA470" t="s">
        <v>1078</v>
      </c>
      <c r="AB470" t="s">
        <v>766</v>
      </c>
      <c r="AC470" t="s">
        <v>759</v>
      </c>
      <c r="AD470" t="s">
        <v>1079</v>
      </c>
      <c r="AE470" t="s">
        <v>229</v>
      </c>
      <c r="AF470" t="s">
        <v>1080</v>
      </c>
      <c r="AG470" t="s">
        <v>9</v>
      </c>
      <c r="AH470" t="s">
        <v>174</v>
      </c>
      <c r="AI470" t="s">
        <v>230</v>
      </c>
      <c r="AJ470" t="s">
        <v>254</v>
      </c>
      <c r="AK470" t="s">
        <v>257</v>
      </c>
      <c r="AL470" t="s">
        <v>917</v>
      </c>
      <c r="AM470" t="s">
        <v>231</v>
      </c>
      <c r="AN470" t="s">
        <v>1082</v>
      </c>
      <c r="AO470" t="s">
        <v>1037</v>
      </c>
      <c r="AP470" t="s">
        <v>1083</v>
      </c>
      <c r="AQ470" t="s">
        <v>974</v>
      </c>
      <c r="AR470" t="s">
        <v>1031</v>
      </c>
      <c r="AS470" t="s">
        <v>232</v>
      </c>
      <c r="AT470" t="s">
        <v>322</v>
      </c>
      <c r="AU470" t="s">
        <v>785</v>
      </c>
      <c r="AV470" t="s">
        <v>293</v>
      </c>
      <c r="AW470" t="s">
        <v>977</v>
      </c>
      <c r="AX470" t="s">
        <v>756</v>
      </c>
      <c r="AY470" t="s">
        <v>757</v>
      </c>
      <c r="AZ470" t="s">
        <v>233</v>
      </c>
      <c r="BA470" t="s">
        <v>2339</v>
      </c>
      <c r="BB470" t="s">
        <v>234</v>
      </c>
      <c r="BC470" t="s">
        <v>259</v>
      </c>
      <c r="BD470" t="s">
        <v>436</v>
      </c>
      <c r="BE470" t="s">
        <v>379</v>
      </c>
      <c r="BF470" t="s">
        <v>754</v>
      </c>
      <c r="BG470" t="s">
        <v>795</v>
      </c>
      <c r="BH470" t="s">
        <v>780</v>
      </c>
      <c r="BI470" t="s">
        <v>925</v>
      </c>
      <c r="BJ470" t="s">
        <v>1153</v>
      </c>
      <c r="BK470" t="s">
        <v>978</v>
      </c>
      <c r="BL470" t="s">
        <v>992</v>
      </c>
      <c r="BM470" t="s">
        <v>986</v>
      </c>
      <c r="BN470" t="s">
        <v>990</v>
      </c>
      <c r="BO470" t="s">
        <v>239</v>
      </c>
      <c r="BP470" t="s">
        <v>241</v>
      </c>
      <c r="BQ470" t="s">
        <v>805</v>
      </c>
      <c r="BR470" t="s">
        <v>806</v>
      </c>
    </row>
    <row r="471" spans="1:106">
      <c r="A471" s="40">
        <v>441</v>
      </c>
      <c r="B471" s="40" t="s">
        <v>1859</v>
      </c>
      <c r="C471" s="2" t="s">
        <v>1860</v>
      </c>
      <c r="D471" s="2" t="s">
        <v>24</v>
      </c>
      <c r="E471" s="2" t="s">
        <v>20</v>
      </c>
      <c r="F471" s="2">
        <v>76</v>
      </c>
      <c r="G471" s="2">
        <v>65</v>
      </c>
      <c r="H471" s="2">
        <v>45</v>
      </c>
      <c r="I471" s="2">
        <v>92</v>
      </c>
      <c r="J471" s="2">
        <v>42</v>
      </c>
      <c r="K471" s="2">
        <v>91</v>
      </c>
      <c r="L471" s="2">
        <v>411</v>
      </c>
      <c r="M471" s="2" t="s">
        <v>1188</v>
      </c>
      <c r="N471" s="2" t="s">
        <v>1061</v>
      </c>
      <c r="O471" t="s">
        <v>329</v>
      </c>
      <c r="P471" t="s">
        <v>2339</v>
      </c>
      <c r="Q471" t="s">
        <v>220</v>
      </c>
      <c r="R471" t="s">
        <v>311</v>
      </c>
      <c r="S471" t="s">
        <v>377</v>
      </c>
      <c r="T471" t="s">
        <v>301</v>
      </c>
      <c r="U471" t="s">
        <v>1861</v>
      </c>
      <c r="V471" t="s">
        <v>1126</v>
      </c>
      <c r="W471" t="s">
        <v>1037</v>
      </c>
      <c r="X471" t="s">
        <v>381</v>
      </c>
      <c r="Y471" t="s">
        <v>1083</v>
      </c>
      <c r="Z471" t="s">
        <v>1119</v>
      </c>
      <c r="AA471" t="s">
        <v>953</v>
      </c>
      <c r="AB471" t="s">
        <v>1043</v>
      </c>
      <c r="AC471" t="s">
        <v>1121</v>
      </c>
      <c r="AD471" t="s">
        <v>1160</v>
      </c>
      <c r="AE471" t="s">
        <v>1062</v>
      </c>
      <c r="AF471" t="s">
        <v>138</v>
      </c>
      <c r="AG471" t="s">
        <v>1063</v>
      </c>
      <c r="AH471" t="s">
        <v>148</v>
      </c>
      <c r="AI471" t="s">
        <v>172</v>
      </c>
      <c r="AJ471" t="s">
        <v>752</v>
      </c>
      <c r="AK471" t="s">
        <v>1126</v>
      </c>
      <c r="AL471" t="s">
        <v>1078</v>
      </c>
      <c r="AM471" t="s">
        <v>766</v>
      </c>
      <c r="AN471" t="s">
        <v>1119</v>
      </c>
      <c r="AO471" t="s">
        <v>1079</v>
      </c>
      <c r="AP471" t="s">
        <v>1080</v>
      </c>
      <c r="AQ471" t="s">
        <v>230</v>
      </c>
      <c r="AR471" t="s">
        <v>1096</v>
      </c>
      <c r="AS471" t="s">
        <v>951</v>
      </c>
      <c r="AT471" t="s">
        <v>917</v>
      </c>
      <c r="AU471" t="s">
        <v>231</v>
      </c>
      <c r="AV471" t="s">
        <v>1082</v>
      </c>
      <c r="AW471" t="s">
        <v>1117</v>
      </c>
      <c r="AX471" t="s">
        <v>1037</v>
      </c>
      <c r="AY471" t="s">
        <v>1083</v>
      </c>
      <c r="AZ471" t="s">
        <v>1125</v>
      </c>
      <c r="BA471" t="s">
        <v>756</v>
      </c>
      <c r="BB471" t="s">
        <v>757</v>
      </c>
      <c r="BC471" t="s">
        <v>1014</v>
      </c>
      <c r="BD471" t="s">
        <v>233</v>
      </c>
      <c r="BE471" t="s">
        <v>2339</v>
      </c>
      <c r="BF471" t="s">
        <v>234</v>
      </c>
      <c r="BG471" t="s">
        <v>290</v>
      </c>
      <c r="BH471" t="s">
        <v>306</v>
      </c>
      <c r="BI471" t="s">
        <v>528</v>
      </c>
      <c r="BJ471" t="s">
        <v>1125</v>
      </c>
      <c r="BK471" t="s">
        <v>757</v>
      </c>
      <c r="BL471" t="s">
        <v>779</v>
      </c>
      <c r="BM471" t="s">
        <v>1118</v>
      </c>
      <c r="BN471" t="s">
        <v>991</v>
      </c>
      <c r="BO471" t="s">
        <v>1124</v>
      </c>
      <c r="BP471" t="s">
        <v>2337</v>
      </c>
      <c r="BQ471" t="s">
        <v>239</v>
      </c>
      <c r="BR471" t="s">
        <v>241</v>
      </c>
      <c r="BS471" t="s">
        <v>805</v>
      </c>
      <c r="BT471" t="s">
        <v>806</v>
      </c>
    </row>
    <row r="472" spans="1:106">
      <c r="A472" s="40">
        <v>442</v>
      </c>
      <c r="B472" s="40" t="s">
        <v>1862</v>
      </c>
      <c r="C472" s="2" t="s">
        <v>1863</v>
      </c>
      <c r="D472" s="2" t="s">
        <v>10</v>
      </c>
      <c r="E472" s="2" t="s">
        <v>15</v>
      </c>
      <c r="F472" s="2">
        <v>50</v>
      </c>
      <c r="G472" s="2">
        <v>92</v>
      </c>
      <c r="H472" s="2">
        <v>108</v>
      </c>
      <c r="I472" s="2">
        <v>92</v>
      </c>
      <c r="J472" s="2">
        <v>108</v>
      </c>
      <c r="K472" s="2">
        <v>35</v>
      </c>
      <c r="L472" s="2">
        <v>485</v>
      </c>
      <c r="M472" s="2" t="s">
        <v>1103</v>
      </c>
      <c r="N472" s="2" t="s">
        <v>1061</v>
      </c>
      <c r="O472" t="s">
        <v>387</v>
      </c>
      <c r="P472" t="s">
        <v>751</v>
      </c>
      <c r="Q472" t="s">
        <v>778</v>
      </c>
      <c r="R472" t="s">
        <v>773</v>
      </c>
      <c r="S472" t="s">
        <v>1006</v>
      </c>
      <c r="T472" t="s">
        <v>774</v>
      </c>
      <c r="U472" t="s">
        <v>388</v>
      </c>
      <c r="V472" t="s">
        <v>293</v>
      </c>
      <c r="W472" t="s">
        <v>994</v>
      </c>
      <c r="X472" t="s">
        <v>1008</v>
      </c>
      <c r="Y472" t="s">
        <v>991</v>
      </c>
      <c r="Z472" t="s">
        <v>931</v>
      </c>
      <c r="AA472" t="s">
        <v>1157</v>
      </c>
      <c r="AB472" t="s">
        <v>1062</v>
      </c>
      <c r="AC472" t="s">
        <v>1063</v>
      </c>
      <c r="AD472" t="s">
        <v>912</v>
      </c>
      <c r="AE472" t="s">
        <v>148</v>
      </c>
      <c r="AF472" t="s">
        <v>172</v>
      </c>
      <c r="AG472" t="s">
        <v>752</v>
      </c>
      <c r="AH472" t="s">
        <v>1126</v>
      </c>
      <c r="AI472" t="s">
        <v>247</v>
      </c>
      <c r="AJ472" t="s">
        <v>1078</v>
      </c>
      <c r="AK472" t="s">
        <v>766</v>
      </c>
      <c r="AL472" t="s">
        <v>1079</v>
      </c>
      <c r="AM472" t="s">
        <v>1080</v>
      </c>
      <c r="AN472" t="s">
        <v>9</v>
      </c>
      <c r="AO472" t="s">
        <v>174</v>
      </c>
      <c r="AP472" t="s">
        <v>230</v>
      </c>
      <c r="AQ472" t="s">
        <v>1095</v>
      </c>
      <c r="AR472" t="s">
        <v>951</v>
      </c>
      <c r="AS472" t="s">
        <v>917</v>
      </c>
      <c r="AT472" t="s">
        <v>231</v>
      </c>
      <c r="AU472" t="s">
        <v>1082</v>
      </c>
      <c r="AV472" t="s">
        <v>1117</v>
      </c>
      <c r="AW472" t="s">
        <v>1037</v>
      </c>
      <c r="AX472" t="s">
        <v>1034</v>
      </c>
      <c r="AY472" t="s">
        <v>956</v>
      </c>
      <c r="AZ472" t="s">
        <v>969</v>
      </c>
      <c r="BA472" t="s">
        <v>1036</v>
      </c>
      <c r="BB472" t="s">
        <v>976</v>
      </c>
      <c r="BC472" t="s">
        <v>232</v>
      </c>
      <c r="BD472" t="s">
        <v>785</v>
      </c>
      <c r="BE472" t="s">
        <v>2369</v>
      </c>
      <c r="BF472" t="s">
        <v>293</v>
      </c>
      <c r="BG472" t="s">
        <v>756</v>
      </c>
      <c r="BH472" t="s">
        <v>757</v>
      </c>
      <c r="BI472" t="s">
        <v>233</v>
      </c>
      <c r="BJ472" t="s">
        <v>1040</v>
      </c>
      <c r="BK472" t="s">
        <v>1157</v>
      </c>
      <c r="BL472" t="s">
        <v>2339</v>
      </c>
      <c r="BM472" t="s">
        <v>234</v>
      </c>
      <c r="BN472" t="s">
        <v>251</v>
      </c>
      <c r="BO472" t="s">
        <v>1217</v>
      </c>
      <c r="BP472" t="s">
        <v>793</v>
      </c>
      <c r="BQ472" t="s">
        <v>794</v>
      </c>
      <c r="BR472" t="s">
        <v>927</v>
      </c>
      <c r="BS472" t="s">
        <v>923</v>
      </c>
      <c r="BT472" t="s">
        <v>1006</v>
      </c>
      <c r="BU472" t="s">
        <v>962</v>
      </c>
      <c r="BV472" t="s">
        <v>239</v>
      </c>
      <c r="BW472" t="s">
        <v>241</v>
      </c>
      <c r="BX472" t="s">
        <v>805</v>
      </c>
      <c r="BY472" t="s">
        <v>806</v>
      </c>
    </row>
    <row r="473" spans="1:106">
      <c r="A473" s="40">
        <v>443</v>
      </c>
      <c r="B473" s="40" t="s">
        <v>1864</v>
      </c>
      <c r="C473" s="2" t="s">
        <v>1865</v>
      </c>
      <c r="D473" s="2" t="s">
        <v>16</v>
      </c>
      <c r="E473" s="2" t="s">
        <v>22</v>
      </c>
      <c r="F473" s="2">
        <v>58</v>
      </c>
      <c r="G473" s="2">
        <v>70</v>
      </c>
      <c r="H473" s="2">
        <v>45</v>
      </c>
      <c r="I473" s="2">
        <v>40</v>
      </c>
      <c r="J473" s="2">
        <v>45</v>
      </c>
      <c r="K473" s="2">
        <v>42</v>
      </c>
      <c r="L473" s="2">
        <v>300</v>
      </c>
      <c r="M473" s="2" t="s">
        <v>1145</v>
      </c>
      <c r="N473" s="2" t="s">
        <v>1061</v>
      </c>
      <c r="O473" t="s">
        <v>219</v>
      </c>
      <c r="P473" t="s">
        <v>309</v>
      </c>
      <c r="Q473" t="s">
        <v>252</v>
      </c>
      <c r="R473" t="s">
        <v>765</v>
      </c>
      <c r="S473" t="s">
        <v>223</v>
      </c>
      <c r="T473" t="s">
        <v>939</v>
      </c>
      <c r="U473" t="s">
        <v>253</v>
      </c>
      <c r="V473" t="s">
        <v>1093</v>
      </c>
      <c r="W473" t="s">
        <v>256</v>
      </c>
      <c r="X473" t="s">
        <v>180</v>
      </c>
      <c r="Y473" t="s">
        <v>1062</v>
      </c>
      <c r="Z473" t="s">
        <v>226</v>
      </c>
      <c r="AA473" t="s">
        <v>227</v>
      </c>
      <c r="AB473" t="s">
        <v>1063</v>
      </c>
      <c r="AC473" t="s">
        <v>1030</v>
      </c>
      <c r="AD473" t="s">
        <v>1093</v>
      </c>
      <c r="AE473" t="s">
        <v>246</v>
      </c>
      <c r="AF473" t="s">
        <v>148</v>
      </c>
      <c r="AG473" t="s">
        <v>172</v>
      </c>
      <c r="AH473" t="s">
        <v>752</v>
      </c>
      <c r="AI473" t="s">
        <v>1078</v>
      </c>
      <c r="AJ473" t="s">
        <v>766</v>
      </c>
      <c r="AK473" t="s">
        <v>1079</v>
      </c>
      <c r="AL473" t="s">
        <v>136</v>
      </c>
      <c r="AM473" t="s">
        <v>1080</v>
      </c>
      <c r="AN473" t="s">
        <v>256</v>
      </c>
      <c r="AO473" t="s">
        <v>230</v>
      </c>
      <c r="AP473" t="s">
        <v>254</v>
      </c>
      <c r="AQ473" t="s">
        <v>765</v>
      </c>
      <c r="AR473" t="s">
        <v>257</v>
      </c>
      <c r="AS473" t="s">
        <v>1095</v>
      </c>
      <c r="AT473" t="s">
        <v>1096</v>
      </c>
      <c r="AU473" t="s">
        <v>917</v>
      </c>
      <c r="AV473" t="s">
        <v>231</v>
      </c>
      <c r="AW473" t="s">
        <v>1082</v>
      </c>
      <c r="AX473" t="s">
        <v>1037</v>
      </c>
      <c r="AY473" t="s">
        <v>1031</v>
      </c>
      <c r="AZ473" t="s">
        <v>1005</v>
      </c>
      <c r="BA473" t="s">
        <v>183</v>
      </c>
      <c r="BB473" t="s">
        <v>1021</v>
      </c>
      <c r="BC473" t="s">
        <v>143</v>
      </c>
      <c r="BD473" t="s">
        <v>756</v>
      </c>
      <c r="BE473" t="s">
        <v>757</v>
      </c>
      <c r="BF473" t="s">
        <v>233</v>
      </c>
      <c r="BG473" t="s">
        <v>760</v>
      </c>
      <c r="BH473" t="s">
        <v>2339</v>
      </c>
      <c r="BI473" t="s">
        <v>234</v>
      </c>
      <c r="BJ473" t="s">
        <v>364</v>
      </c>
      <c r="BK473" t="s">
        <v>373</v>
      </c>
      <c r="BL473" t="s">
        <v>225</v>
      </c>
      <c r="BM473" t="s">
        <v>1092</v>
      </c>
      <c r="BN473" t="s">
        <v>764</v>
      </c>
      <c r="BO473" t="s">
        <v>762</v>
      </c>
      <c r="BP473" t="s">
        <v>761</v>
      </c>
      <c r="BQ473" t="s">
        <v>783</v>
      </c>
      <c r="BR473" t="s">
        <v>796</v>
      </c>
      <c r="BS473" t="s">
        <v>939</v>
      </c>
      <c r="BT473" t="s">
        <v>1144</v>
      </c>
      <c r="BU473" t="s">
        <v>1002</v>
      </c>
      <c r="BV473" t="s">
        <v>985</v>
      </c>
      <c r="BW473" t="s">
        <v>239</v>
      </c>
      <c r="BX473" t="s">
        <v>241</v>
      </c>
      <c r="BY473" t="s">
        <v>805</v>
      </c>
      <c r="BZ473" t="s">
        <v>806</v>
      </c>
    </row>
    <row r="474" spans="1:106">
      <c r="A474" s="40">
        <v>444</v>
      </c>
      <c r="B474" s="40" t="s">
        <v>1866</v>
      </c>
      <c r="C474" s="2" t="s">
        <v>1867</v>
      </c>
      <c r="D474" s="2" t="s">
        <v>16</v>
      </c>
      <c r="E474" s="2" t="s">
        <v>22</v>
      </c>
      <c r="F474" s="2">
        <v>68</v>
      </c>
      <c r="G474" s="2">
        <v>90</v>
      </c>
      <c r="H474" s="2">
        <v>65</v>
      </c>
      <c r="I474" s="2">
        <v>50</v>
      </c>
      <c r="J474" s="2">
        <v>55</v>
      </c>
      <c r="K474" s="2">
        <v>82</v>
      </c>
      <c r="L474" s="2">
        <v>410</v>
      </c>
      <c r="M474" s="2" t="s">
        <v>1091</v>
      </c>
      <c r="N474" s="2" t="s">
        <v>1061</v>
      </c>
      <c r="O474" t="s">
        <v>309</v>
      </c>
      <c r="P474" t="s">
        <v>219</v>
      </c>
      <c r="Q474" t="s">
        <v>309</v>
      </c>
      <c r="R474" t="s">
        <v>252</v>
      </c>
      <c r="S474" t="s">
        <v>765</v>
      </c>
      <c r="T474" t="s">
        <v>223</v>
      </c>
      <c r="U474" t="s">
        <v>939</v>
      </c>
      <c r="V474" t="s">
        <v>1868</v>
      </c>
      <c r="W474" t="s">
        <v>253</v>
      </c>
      <c r="X474" t="s">
        <v>1093</v>
      </c>
      <c r="Y474" t="s">
        <v>256</v>
      </c>
      <c r="Z474" t="s">
        <v>180</v>
      </c>
      <c r="AA474" t="s">
        <v>1062</v>
      </c>
      <c r="AB474" t="s">
        <v>226</v>
      </c>
      <c r="AC474" t="s">
        <v>227</v>
      </c>
      <c r="AD474" t="s">
        <v>1063</v>
      </c>
      <c r="AE474" t="s">
        <v>1030</v>
      </c>
      <c r="AF474" t="s">
        <v>1093</v>
      </c>
      <c r="AG474" t="s">
        <v>246</v>
      </c>
      <c r="AH474" t="s">
        <v>148</v>
      </c>
      <c r="AI474" t="s">
        <v>172</v>
      </c>
      <c r="AJ474" t="s">
        <v>752</v>
      </c>
      <c r="AK474" t="s">
        <v>1078</v>
      </c>
      <c r="AL474" t="s">
        <v>766</v>
      </c>
      <c r="AM474" t="s">
        <v>1079</v>
      </c>
      <c r="AN474" t="s">
        <v>136</v>
      </c>
      <c r="AO474" t="s">
        <v>1080</v>
      </c>
      <c r="AP474" t="s">
        <v>256</v>
      </c>
      <c r="AQ474" t="s">
        <v>230</v>
      </c>
      <c r="AR474" t="s">
        <v>254</v>
      </c>
      <c r="AS474" t="s">
        <v>765</v>
      </c>
      <c r="AT474" t="s">
        <v>257</v>
      </c>
      <c r="AU474" t="s">
        <v>1095</v>
      </c>
      <c r="AV474" t="s">
        <v>1096</v>
      </c>
      <c r="AW474" t="s">
        <v>917</v>
      </c>
      <c r="AX474" t="s">
        <v>231</v>
      </c>
      <c r="AY474" t="s">
        <v>1082</v>
      </c>
      <c r="AZ474" t="s">
        <v>1037</v>
      </c>
      <c r="BA474" t="s">
        <v>1031</v>
      </c>
      <c r="BB474" t="s">
        <v>1005</v>
      </c>
      <c r="BC474" t="s">
        <v>183</v>
      </c>
      <c r="BD474" t="s">
        <v>1021</v>
      </c>
      <c r="BE474" t="s">
        <v>143</v>
      </c>
      <c r="BF474" t="s">
        <v>756</v>
      </c>
      <c r="BG474" t="s">
        <v>757</v>
      </c>
      <c r="BH474" t="s">
        <v>233</v>
      </c>
      <c r="BI474" t="s">
        <v>760</v>
      </c>
      <c r="BJ474" t="s">
        <v>2339</v>
      </c>
      <c r="BK474" t="s">
        <v>234</v>
      </c>
      <c r="BL474" t="s">
        <v>364</v>
      </c>
      <c r="BM474" t="s">
        <v>373</v>
      </c>
      <c r="BN474" t="s">
        <v>225</v>
      </c>
      <c r="BO474" t="s">
        <v>1092</v>
      </c>
      <c r="BP474" t="s">
        <v>764</v>
      </c>
      <c r="BQ474" t="s">
        <v>762</v>
      </c>
      <c r="BR474" t="s">
        <v>761</v>
      </c>
      <c r="BS474" t="s">
        <v>783</v>
      </c>
      <c r="BT474" t="s">
        <v>796</v>
      </c>
      <c r="BU474" t="s">
        <v>939</v>
      </c>
      <c r="BV474" t="s">
        <v>1144</v>
      </c>
      <c r="BW474" t="s">
        <v>1002</v>
      </c>
      <c r="BX474" t="s">
        <v>985</v>
      </c>
      <c r="BY474" t="s">
        <v>239</v>
      </c>
      <c r="BZ474" t="s">
        <v>241</v>
      </c>
      <c r="CA474" t="s">
        <v>805</v>
      </c>
      <c r="CB474" t="s">
        <v>806</v>
      </c>
    </row>
    <row r="475" spans="1:106">
      <c r="A475" s="40">
        <v>445</v>
      </c>
      <c r="B475" s="40" t="s">
        <v>1869</v>
      </c>
      <c r="C475" s="2" t="s">
        <v>1870</v>
      </c>
      <c r="D475" s="2" t="s">
        <v>16</v>
      </c>
      <c r="E475" s="2" t="s">
        <v>22</v>
      </c>
      <c r="F475" s="2">
        <v>108</v>
      </c>
      <c r="G475" s="2">
        <v>130</v>
      </c>
      <c r="H475" s="2">
        <v>95</v>
      </c>
      <c r="I475" s="2">
        <v>80</v>
      </c>
      <c r="J475" s="2">
        <v>85</v>
      </c>
      <c r="K475" s="2">
        <v>102</v>
      </c>
      <c r="L475" s="2">
        <v>600</v>
      </c>
      <c r="M475" s="2" t="s">
        <v>1176</v>
      </c>
      <c r="N475" s="2" t="s">
        <v>1061</v>
      </c>
      <c r="O475" t="s">
        <v>309</v>
      </c>
      <c r="P475" t="s">
        <v>219</v>
      </c>
      <c r="Q475" t="s">
        <v>252</v>
      </c>
      <c r="R475" t="s">
        <v>765</v>
      </c>
      <c r="S475" t="s">
        <v>182</v>
      </c>
      <c r="T475" t="s">
        <v>309</v>
      </c>
      <c r="U475" t="s">
        <v>252</v>
      </c>
      <c r="V475" t="s">
        <v>765</v>
      </c>
      <c r="W475" t="s">
        <v>223</v>
      </c>
      <c r="X475" t="s">
        <v>939</v>
      </c>
      <c r="Y475" t="s">
        <v>1868</v>
      </c>
      <c r="Z475" t="s">
        <v>253</v>
      </c>
      <c r="AA475" t="s">
        <v>1093</v>
      </c>
      <c r="AB475" t="s">
        <v>256</v>
      </c>
      <c r="AC475" t="s">
        <v>777</v>
      </c>
      <c r="AD475" t="s">
        <v>180</v>
      </c>
      <c r="AE475" t="s">
        <v>1062</v>
      </c>
      <c r="AF475" t="s">
        <v>226</v>
      </c>
      <c r="AG475" t="s">
        <v>144</v>
      </c>
      <c r="AH475" t="s">
        <v>227</v>
      </c>
      <c r="AI475" t="s">
        <v>1063</v>
      </c>
      <c r="AJ475" t="s">
        <v>1030</v>
      </c>
      <c r="AK475" t="s">
        <v>1093</v>
      </c>
      <c r="AL475" t="s">
        <v>246</v>
      </c>
      <c r="AM475" t="s">
        <v>148</v>
      </c>
      <c r="AN475" t="s">
        <v>172</v>
      </c>
      <c r="AO475" t="s">
        <v>752</v>
      </c>
      <c r="AP475" t="s">
        <v>247</v>
      </c>
      <c r="AQ475" t="s">
        <v>1078</v>
      </c>
      <c r="AR475" t="s">
        <v>766</v>
      </c>
      <c r="AS475" t="s">
        <v>1079</v>
      </c>
      <c r="AT475" t="s">
        <v>136</v>
      </c>
      <c r="AU475" t="s">
        <v>1080</v>
      </c>
      <c r="AV475" t="s">
        <v>256</v>
      </c>
      <c r="AW475" t="s">
        <v>1094</v>
      </c>
      <c r="AX475" t="s">
        <v>230</v>
      </c>
      <c r="AY475" t="s">
        <v>254</v>
      </c>
      <c r="AZ475" t="s">
        <v>765</v>
      </c>
      <c r="BA475" t="s">
        <v>257</v>
      </c>
      <c r="BB475" t="s">
        <v>1095</v>
      </c>
      <c r="BC475" t="s">
        <v>1096</v>
      </c>
      <c r="BD475" t="s">
        <v>917</v>
      </c>
      <c r="BE475" t="s">
        <v>231</v>
      </c>
      <c r="BF475" t="s">
        <v>1082</v>
      </c>
      <c r="BG475" t="s">
        <v>1037</v>
      </c>
      <c r="BH475" t="s">
        <v>776</v>
      </c>
      <c r="BI475" t="s">
        <v>974</v>
      </c>
      <c r="BJ475" t="s">
        <v>1031</v>
      </c>
      <c r="BK475" t="s">
        <v>1005</v>
      </c>
      <c r="BL475" t="s">
        <v>976</v>
      </c>
      <c r="BM475" t="s">
        <v>183</v>
      </c>
      <c r="BN475" t="s">
        <v>145</v>
      </c>
      <c r="BO475" t="s">
        <v>1021</v>
      </c>
      <c r="BP475" t="s">
        <v>143</v>
      </c>
      <c r="BQ475" t="s">
        <v>1022</v>
      </c>
      <c r="BR475" t="s">
        <v>997</v>
      </c>
      <c r="BS475" t="s">
        <v>756</v>
      </c>
      <c r="BT475" t="s">
        <v>757</v>
      </c>
      <c r="BU475" t="s">
        <v>233</v>
      </c>
      <c r="BV475" t="s">
        <v>760</v>
      </c>
      <c r="BW475" t="s">
        <v>2339</v>
      </c>
      <c r="BX475" t="s">
        <v>234</v>
      </c>
      <c r="BY475" t="s">
        <v>364</v>
      </c>
      <c r="BZ475" t="s">
        <v>373</v>
      </c>
      <c r="CA475" t="s">
        <v>225</v>
      </c>
      <c r="CB475" t="s">
        <v>1092</v>
      </c>
      <c r="CC475" t="s">
        <v>764</v>
      </c>
      <c r="CD475" t="s">
        <v>762</v>
      </c>
      <c r="CE475" t="s">
        <v>761</v>
      </c>
      <c r="CF475" t="s">
        <v>783</v>
      </c>
      <c r="CG475" t="s">
        <v>796</v>
      </c>
      <c r="CH475" t="s">
        <v>939</v>
      </c>
      <c r="CI475" t="s">
        <v>1144</v>
      </c>
      <c r="CJ475" t="s">
        <v>1002</v>
      </c>
      <c r="CK475" t="s">
        <v>985</v>
      </c>
      <c r="CL475" t="s">
        <v>239</v>
      </c>
      <c r="CM475" t="s">
        <v>241</v>
      </c>
      <c r="CN475" t="s">
        <v>805</v>
      </c>
      <c r="CO475" t="s">
        <v>806</v>
      </c>
    </row>
    <row r="476" spans="1:106">
      <c r="A476" s="40">
        <v>445.1</v>
      </c>
      <c r="B476" s="40" t="s">
        <v>2325</v>
      </c>
      <c r="C476" s="2" t="s">
        <v>2326</v>
      </c>
      <c r="D476" s="2" t="s">
        <v>16</v>
      </c>
      <c r="E476" s="2" t="s">
        <v>22</v>
      </c>
      <c r="F476" s="2">
        <v>108</v>
      </c>
      <c r="G476" s="2">
        <v>170</v>
      </c>
      <c r="H476" s="2">
        <v>115</v>
      </c>
      <c r="I476" s="2">
        <v>120</v>
      </c>
      <c r="J476" s="2">
        <v>95</v>
      </c>
      <c r="K476" s="2">
        <v>92</v>
      </c>
      <c r="L476" s="2">
        <v>700</v>
      </c>
      <c r="M476" s="2" t="s">
        <v>2423</v>
      </c>
      <c r="N476" s="2" t="s">
        <v>1061</v>
      </c>
      <c r="O476" t="s">
        <v>1062</v>
      </c>
      <c r="P476" t="s">
        <v>1063</v>
      </c>
      <c r="Q476" t="s">
        <v>757</v>
      </c>
      <c r="R476" t="s">
        <v>2339</v>
      </c>
      <c r="S476" t="s">
        <v>234</v>
      </c>
      <c r="T476" t="s">
        <v>239</v>
      </c>
      <c r="U476" t="s">
        <v>241</v>
      </c>
      <c r="V476" t="s">
        <v>805</v>
      </c>
      <c r="W476" t="s">
        <v>806</v>
      </c>
    </row>
    <row r="477" spans="1:106">
      <c r="A477" s="40">
        <v>446</v>
      </c>
      <c r="B477" s="40" t="s">
        <v>1871</v>
      </c>
      <c r="C477" s="2" t="s">
        <v>1872</v>
      </c>
      <c r="D477" s="2" t="s">
        <v>24</v>
      </c>
      <c r="E477" s="2"/>
      <c r="F477" s="2">
        <v>135</v>
      </c>
      <c r="G477" s="2">
        <v>85</v>
      </c>
      <c r="H477" s="2">
        <v>40</v>
      </c>
      <c r="I477" s="2">
        <v>40</v>
      </c>
      <c r="J477" s="2">
        <v>85</v>
      </c>
      <c r="K477" s="2">
        <v>5</v>
      </c>
      <c r="L477" s="2">
        <v>390</v>
      </c>
      <c r="M477" s="2" t="s">
        <v>1221</v>
      </c>
      <c r="N477" s="2" t="s">
        <v>1061</v>
      </c>
      <c r="O477" t="s">
        <v>219</v>
      </c>
      <c r="P477" t="s">
        <v>379</v>
      </c>
      <c r="Q477" t="s">
        <v>934</v>
      </c>
      <c r="R477" t="s">
        <v>353</v>
      </c>
      <c r="S477" t="s">
        <v>235</v>
      </c>
      <c r="T477" t="s">
        <v>511</v>
      </c>
      <c r="U477" t="s">
        <v>937</v>
      </c>
      <c r="V477" t="s">
        <v>324</v>
      </c>
      <c r="W477" t="s">
        <v>1142</v>
      </c>
      <c r="X477" t="s">
        <v>946</v>
      </c>
      <c r="Y477" t="s">
        <v>948</v>
      </c>
      <c r="Z477" t="s">
        <v>364</v>
      </c>
      <c r="AA477" t="s">
        <v>974</v>
      </c>
      <c r="AB477" t="s">
        <v>768</v>
      </c>
      <c r="AC477" t="s">
        <v>992</v>
      </c>
      <c r="AD477" t="s">
        <v>945</v>
      </c>
      <c r="AE477" t="s">
        <v>986</v>
      </c>
      <c r="AF477" t="s">
        <v>1062</v>
      </c>
      <c r="AG477" t="s">
        <v>144</v>
      </c>
      <c r="AH477" t="s">
        <v>227</v>
      </c>
      <c r="AI477" t="s">
        <v>1063</v>
      </c>
      <c r="AJ477" t="s">
        <v>148</v>
      </c>
      <c r="AK477" t="s">
        <v>172</v>
      </c>
      <c r="AL477" t="s">
        <v>752</v>
      </c>
      <c r="AM477" t="s">
        <v>141</v>
      </c>
      <c r="AN477" t="s">
        <v>271</v>
      </c>
      <c r="AO477" t="s">
        <v>1078</v>
      </c>
      <c r="AP477" t="s">
        <v>766</v>
      </c>
      <c r="AQ477" t="s">
        <v>1079</v>
      </c>
      <c r="AR477" t="s">
        <v>229</v>
      </c>
      <c r="AS477" t="s">
        <v>146</v>
      </c>
      <c r="AT477" t="s">
        <v>321</v>
      </c>
      <c r="AU477" t="s">
        <v>136</v>
      </c>
      <c r="AV477" t="s">
        <v>1080</v>
      </c>
      <c r="AW477" t="s">
        <v>9</v>
      </c>
      <c r="AX477" t="s">
        <v>174</v>
      </c>
      <c r="AY477" t="s">
        <v>1094</v>
      </c>
      <c r="AZ477" t="s">
        <v>230</v>
      </c>
      <c r="BA477" t="s">
        <v>254</v>
      </c>
      <c r="BB477" t="s">
        <v>765</v>
      </c>
      <c r="BC477" t="s">
        <v>257</v>
      </c>
      <c r="BD477" t="s">
        <v>1095</v>
      </c>
      <c r="BE477" t="s">
        <v>917</v>
      </c>
      <c r="BF477" t="s">
        <v>231</v>
      </c>
      <c r="BG477" t="s">
        <v>1082</v>
      </c>
      <c r="BH477" t="s">
        <v>1037</v>
      </c>
      <c r="BI477" t="s">
        <v>974</v>
      </c>
      <c r="BJ477" t="s">
        <v>1031</v>
      </c>
      <c r="BK477" t="s">
        <v>1036</v>
      </c>
      <c r="BL477" t="s">
        <v>1021</v>
      </c>
      <c r="BM477" t="s">
        <v>143</v>
      </c>
      <c r="BN477" t="s">
        <v>756</v>
      </c>
      <c r="BO477" t="s">
        <v>757</v>
      </c>
      <c r="BP477" t="s">
        <v>233</v>
      </c>
      <c r="BQ477" t="s">
        <v>760</v>
      </c>
      <c r="BR477" t="s">
        <v>2398</v>
      </c>
      <c r="BS477" t="s">
        <v>2339</v>
      </c>
      <c r="BT477" t="s">
        <v>234</v>
      </c>
      <c r="BU477" t="s">
        <v>291</v>
      </c>
      <c r="BV477" t="s">
        <v>225</v>
      </c>
      <c r="BW477" t="s">
        <v>259</v>
      </c>
      <c r="BX477" t="s">
        <v>484</v>
      </c>
      <c r="BY477" t="s">
        <v>511</v>
      </c>
      <c r="BZ477" t="s">
        <v>751</v>
      </c>
      <c r="CA477" t="s">
        <v>781</v>
      </c>
      <c r="CB477" t="s">
        <v>773</v>
      </c>
      <c r="CC477" t="s">
        <v>992</v>
      </c>
      <c r="CD477" t="s">
        <v>1019</v>
      </c>
      <c r="CE477" t="s">
        <v>1150</v>
      </c>
      <c r="CF477" t="s">
        <v>2335</v>
      </c>
      <c r="CG477" t="s">
        <v>239</v>
      </c>
      <c r="CH477" t="s">
        <v>241</v>
      </c>
      <c r="CI477" t="s">
        <v>805</v>
      </c>
      <c r="CJ477" t="s">
        <v>806</v>
      </c>
    </row>
    <row r="478" spans="1:106">
      <c r="A478" s="40">
        <v>447</v>
      </c>
      <c r="B478" s="40" t="s">
        <v>1873</v>
      </c>
      <c r="C478" s="2" t="s">
        <v>1874</v>
      </c>
      <c r="D478" s="2" t="s">
        <v>18</v>
      </c>
      <c r="E478" s="2"/>
      <c r="F478" s="2">
        <v>40</v>
      </c>
      <c r="G478" s="2">
        <v>70</v>
      </c>
      <c r="H478" s="2">
        <v>40</v>
      </c>
      <c r="I478" s="2">
        <v>35</v>
      </c>
      <c r="J478" s="2">
        <v>40</v>
      </c>
      <c r="K478" s="2">
        <v>60</v>
      </c>
      <c r="L478" s="2">
        <v>285</v>
      </c>
      <c r="M478" s="2" t="s">
        <v>1177</v>
      </c>
      <c r="N478" s="2" t="s">
        <v>1061</v>
      </c>
      <c r="O478" t="s">
        <v>310</v>
      </c>
      <c r="P478" t="s">
        <v>771</v>
      </c>
      <c r="Q478" t="s">
        <v>754</v>
      </c>
      <c r="R478" t="s">
        <v>259</v>
      </c>
      <c r="S478" t="s">
        <v>971</v>
      </c>
      <c r="T478" t="s">
        <v>1525</v>
      </c>
      <c r="U478" t="s">
        <v>964</v>
      </c>
      <c r="V478" t="s">
        <v>324</v>
      </c>
      <c r="W478" t="s">
        <v>775</v>
      </c>
      <c r="X478" t="s">
        <v>991</v>
      </c>
      <c r="Y478" t="s">
        <v>1024</v>
      </c>
      <c r="Z478" t="s">
        <v>1062</v>
      </c>
      <c r="AA478" t="s">
        <v>227</v>
      </c>
      <c r="AB478" t="s">
        <v>1063</v>
      </c>
      <c r="AC478" t="s">
        <v>246</v>
      </c>
      <c r="AD478" t="s">
        <v>148</v>
      </c>
      <c r="AE478" t="s">
        <v>1175</v>
      </c>
      <c r="AF478" t="s">
        <v>172</v>
      </c>
      <c r="AG478" t="s">
        <v>752</v>
      </c>
      <c r="AH478" t="s">
        <v>1078</v>
      </c>
      <c r="AI478" t="s">
        <v>766</v>
      </c>
      <c r="AJ478" t="s">
        <v>1079</v>
      </c>
      <c r="AK478" t="s">
        <v>136</v>
      </c>
      <c r="AL478" t="s">
        <v>1080</v>
      </c>
      <c r="AM478" t="s">
        <v>256</v>
      </c>
      <c r="AN478" t="s">
        <v>1094</v>
      </c>
      <c r="AO478" t="s">
        <v>230</v>
      </c>
      <c r="AP478" t="s">
        <v>1095</v>
      </c>
      <c r="AQ478" t="s">
        <v>917</v>
      </c>
      <c r="AR478" t="s">
        <v>231</v>
      </c>
      <c r="AS478" t="s">
        <v>1082</v>
      </c>
      <c r="AT478" t="s">
        <v>1172</v>
      </c>
      <c r="AU478" t="s">
        <v>1037</v>
      </c>
      <c r="AV478" t="s">
        <v>1102</v>
      </c>
      <c r="AW478" t="s">
        <v>974</v>
      </c>
      <c r="AX478" t="s">
        <v>1005</v>
      </c>
      <c r="AY478" t="s">
        <v>995</v>
      </c>
      <c r="AZ478" t="s">
        <v>1036</v>
      </c>
      <c r="BA478" t="s">
        <v>145</v>
      </c>
      <c r="BB478" t="s">
        <v>1021</v>
      </c>
      <c r="BC478" t="s">
        <v>143</v>
      </c>
      <c r="BD478" t="s">
        <v>997</v>
      </c>
      <c r="BE478" t="s">
        <v>756</v>
      </c>
      <c r="BF478" t="s">
        <v>757</v>
      </c>
      <c r="BG478" t="s">
        <v>233</v>
      </c>
      <c r="BH478" t="s">
        <v>760</v>
      </c>
      <c r="BI478" t="s">
        <v>2398</v>
      </c>
      <c r="BJ478" t="s">
        <v>2339</v>
      </c>
      <c r="BK478" t="s">
        <v>234</v>
      </c>
      <c r="BL478" t="s">
        <v>258</v>
      </c>
      <c r="BM478" t="s">
        <v>432</v>
      </c>
      <c r="BN478" t="s">
        <v>306</v>
      </c>
      <c r="BO478" t="s">
        <v>566</v>
      </c>
      <c r="BP478" t="s">
        <v>792</v>
      </c>
      <c r="BQ478" t="s">
        <v>1220</v>
      </c>
      <c r="BR478" t="s">
        <v>1171</v>
      </c>
      <c r="BS478" t="s">
        <v>777</v>
      </c>
      <c r="BT478" t="s">
        <v>921</v>
      </c>
      <c r="BU478" t="s">
        <v>1222</v>
      </c>
      <c r="BV478" t="s">
        <v>942</v>
      </c>
      <c r="BW478" t="s">
        <v>177</v>
      </c>
      <c r="BX478" t="s">
        <v>1015</v>
      </c>
      <c r="BY478" t="s">
        <v>1186</v>
      </c>
      <c r="BZ478" t="s">
        <v>1180</v>
      </c>
      <c r="CA478" t="s">
        <v>239</v>
      </c>
      <c r="CB478" t="s">
        <v>241</v>
      </c>
      <c r="CC478" t="s">
        <v>805</v>
      </c>
      <c r="CD478" t="s">
        <v>806</v>
      </c>
    </row>
    <row r="479" spans="1:106">
      <c r="A479" s="40">
        <v>448</v>
      </c>
      <c r="B479" s="40" t="s">
        <v>1875</v>
      </c>
      <c r="C479" s="2" t="s">
        <v>1876</v>
      </c>
      <c r="D479" s="2" t="s">
        <v>18</v>
      </c>
      <c r="E479" s="2" t="s">
        <v>26</v>
      </c>
      <c r="F479" s="2">
        <v>70</v>
      </c>
      <c r="G479" s="2">
        <v>110</v>
      </c>
      <c r="H479" s="2">
        <v>70</v>
      </c>
      <c r="I479" s="2">
        <v>115</v>
      </c>
      <c r="J479" s="2">
        <v>70</v>
      </c>
      <c r="K479" s="2">
        <v>90</v>
      </c>
      <c r="L479" s="2">
        <v>525</v>
      </c>
      <c r="M479" s="2" t="s">
        <v>1677</v>
      </c>
      <c r="N479" s="2" t="s">
        <v>1061</v>
      </c>
      <c r="O479" t="s">
        <v>310</v>
      </c>
      <c r="P479" t="s">
        <v>771</v>
      </c>
      <c r="Q479" t="s">
        <v>1220</v>
      </c>
      <c r="R479" t="s">
        <v>783</v>
      </c>
      <c r="S479" t="s">
        <v>1157</v>
      </c>
      <c r="T479" t="s">
        <v>259</v>
      </c>
      <c r="U479" t="s">
        <v>971</v>
      </c>
      <c r="V479" t="s">
        <v>1525</v>
      </c>
      <c r="W479" t="s">
        <v>2398</v>
      </c>
      <c r="X479" t="s">
        <v>989</v>
      </c>
      <c r="Y479" t="s">
        <v>1202</v>
      </c>
      <c r="Z479" t="s">
        <v>1219</v>
      </c>
      <c r="AA479" t="s">
        <v>1035</v>
      </c>
      <c r="AB479" t="s">
        <v>145</v>
      </c>
      <c r="AC479" t="s">
        <v>1200</v>
      </c>
      <c r="AD479" t="s">
        <v>912</v>
      </c>
      <c r="AE479" t="s">
        <v>1234</v>
      </c>
      <c r="AF479" t="s">
        <v>1174</v>
      </c>
      <c r="AG479" t="s">
        <v>967</v>
      </c>
      <c r="AH479" t="s">
        <v>791</v>
      </c>
      <c r="AI479" t="s">
        <v>1062</v>
      </c>
      <c r="AJ479" t="s">
        <v>227</v>
      </c>
      <c r="AK479" t="s">
        <v>1063</v>
      </c>
      <c r="AL479" t="s">
        <v>1030</v>
      </c>
      <c r="AM479" t="s">
        <v>912</v>
      </c>
      <c r="AN479" t="s">
        <v>246</v>
      </c>
      <c r="AO479" t="s">
        <v>148</v>
      </c>
      <c r="AP479" t="s">
        <v>1175</v>
      </c>
      <c r="AQ479" t="s">
        <v>172</v>
      </c>
      <c r="AR479" t="s">
        <v>752</v>
      </c>
      <c r="AS479" t="s">
        <v>247</v>
      </c>
      <c r="AT479" t="s">
        <v>1078</v>
      </c>
      <c r="AU479" t="s">
        <v>766</v>
      </c>
      <c r="AV479" t="s">
        <v>1079</v>
      </c>
      <c r="AW479" t="s">
        <v>136</v>
      </c>
      <c r="AX479" t="s">
        <v>1080</v>
      </c>
      <c r="AY479" t="s">
        <v>256</v>
      </c>
      <c r="AZ479" t="s">
        <v>9</v>
      </c>
      <c r="BA479" t="s">
        <v>174</v>
      </c>
      <c r="BB479" t="s">
        <v>1094</v>
      </c>
      <c r="BC479" t="s">
        <v>230</v>
      </c>
      <c r="BD479" t="s">
        <v>1095</v>
      </c>
      <c r="BE479" t="s">
        <v>917</v>
      </c>
      <c r="BF479" t="s">
        <v>231</v>
      </c>
      <c r="BG479" t="s">
        <v>1082</v>
      </c>
      <c r="BH479" t="s">
        <v>1172</v>
      </c>
      <c r="BI479" t="s">
        <v>1037</v>
      </c>
      <c r="BJ479" t="s">
        <v>1102</v>
      </c>
      <c r="BK479" t="s">
        <v>974</v>
      </c>
      <c r="BL479" t="s">
        <v>1005</v>
      </c>
      <c r="BM479" t="s">
        <v>995</v>
      </c>
      <c r="BN479" t="s">
        <v>1036</v>
      </c>
      <c r="BO479" t="s">
        <v>976</v>
      </c>
      <c r="BP479" t="s">
        <v>183</v>
      </c>
      <c r="BQ479" t="s">
        <v>145</v>
      </c>
      <c r="BR479" t="s">
        <v>1021</v>
      </c>
      <c r="BS479" t="s">
        <v>143</v>
      </c>
      <c r="BT479" t="s">
        <v>997</v>
      </c>
      <c r="BU479" t="s">
        <v>756</v>
      </c>
      <c r="BV479" t="s">
        <v>757</v>
      </c>
      <c r="BW479" t="s">
        <v>233</v>
      </c>
      <c r="BX479" t="s">
        <v>973</v>
      </c>
      <c r="BY479" t="s">
        <v>760</v>
      </c>
      <c r="BZ479" t="s">
        <v>1157</v>
      </c>
      <c r="CA479" t="s">
        <v>2398</v>
      </c>
      <c r="CB479" t="s">
        <v>2339</v>
      </c>
      <c r="CC479" t="s">
        <v>234</v>
      </c>
      <c r="CD479" t="s">
        <v>258</v>
      </c>
      <c r="CE479" t="s">
        <v>432</v>
      </c>
      <c r="CF479" t="s">
        <v>306</v>
      </c>
      <c r="CG479" t="s">
        <v>566</v>
      </c>
      <c r="CH479" t="s">
        <v>792</v>
      </c>
      <c r="CI479" t="s">
        <v>1220</v>
      </c>
      <c r="CJ479" t="s">
        <v>1171</v>
      </c>
      <c r="CK479" t="s">
        <v>777</v>
      </c>
      <c r="CL479" t="s">
        <v>921</v>
      </c>
      <c r="CM479" t="s">
        <v>1222</v>
      </c>
      <c r="CN479" t="s">
        <v>942</v>
      </c>
      <c r="CO479" t="s">
        <v>177</v>
      </c>
      <c r="CP479" t="s">
        <v>1015</v>
      </c>
      <c r="CQ479" t="s">
        <v>1186</v>
      </c>
      <c r="CR479" t="s">
        <v>1180</v>
      </c>
      <c r="CS479" t="s">
        <v>239</v>
      </c>
      <c r="CT479" t="s">
        <v>241</v>
      </c>
      <c r="CU479" t="s">
        <v>754</v>
      </c>
      <c r="CV479" t="s">
        <v>964</v>
      </c>
      <c r="CW479" t="s">
        <v>324</v>
      </c>
      <c r="CX479" t="s">
        <v>775</v>
      </c>
      <c r="CY479" t="s">
        <v>991</v>
      </c>
      <c r="CZ479" t="s">
        <v>1024</v>
      </c>
      <c r="DA479" t="s">
        <v>805</v>
      </c>
      <c r="DB479" t="s">
        <v>806</v>
      </c>
    </row>
    <row r="480" spans="1:106">
      <c r="A480" s="40">
        <v>448.1</v>
      </c>
      <c r="B480" s="40" t="s">
        <v>2327</v>
      </c>
      <c r="C480" s="2" t="s">
        <v>2328</v>
      </c>
      <c r="D480" s="2" t="s">
        <v>18</v>
      </c>
      <c r="E480" s="2" t="s">
        <v>26</v>
      </c>
      <c r="F480" s="2">
        <v>70</v>
      </c>
      <c r="G480" s="2">
        <v>145</v>
      </c>
      <c r="H480" s="2">
        <v>88</v>
      </c>
      <c r="I480" s="2">
        <v>140</v>
      </c>
      <c r="J480" s="2">
        <v>70</v>
      </c>
      <c r="K480" s="2">
        <v>112</v>
      </c>
      <c r="L480" s="2">
        <v>625</v>
      </c>
      <c r="M480" s="2" t="s">
        <v>1232</v>
      </c>
      <c r="N480" s="2" t="s">
        <v>1061</v>
      </c>
      <c r="O480" t="s">
        <v>1062</v>
      </c>
      <c r="P480" t="s">
        <v>1063</v>
      </c>
      <c r="Q480" t="s">
        <v>757</v>
      </c>
      <c r="R480" t="s">
        <v>1157</v>
      </c>
      <c r="S480" t="s">
        <v>2398</v>
      </c>
      <c r="T480" t="s">
        <v>2339</v>
      </c>
      <c r="U480" t="s">
        <v>234</v>
      </c>
      <c r="V480" t="s">
        <v>239</v>
      </c>
      <c r="W480" t="s">
        <v>241</v>
      </c>
      <c r="X480" t="s">
        <v>805</v>
      </c>
      <c r="Y480" t="s">
        <v>806</v>
      </c>
    </row>
    <row r="481" spans="1:111">
      <c r="A481" s="40">
        <v>449</v>
      </c>
      <c r="B481" s="40" t="s">
        <v>1877</v>
      </c>
      <c r="C481" s="2" t="s">
        <v>1878</v>
      </c>
      <c r="D481" s="2" t="s">
        <v>22</v>
      </c>
      <c r="E481" s="2"/>
      <c r="F481" s="2">
        <v>68</v>
      </c>
      <c r="G481" s="2">
        <v>72</v>
      </c>
      <c r="H481" s="2">
        <v>78</v>
      </c>
      <c r="I481" s="2">
        <v>38</v>
      </c>
      <c r="J481" s="2">
        <v>42</v>
      </c>
      <c r="K481" s="2">
        <v>32</v>
      </c>
      <c r="L481" s="2">
        <v>330</v>
      </c>
      <c r="M481" s="2" t="s">
        <v>1073</v>
      </c>
      <c r="N481" s="2" t="s">
        <v>1061</v>
      </c>
      <c r="O481" t="s">
        <v>309</v>
      </c>
      <c r="P481" t="s">
        <v>219</v>
      </c>
      <c r="Q481" t="s">
        <v>258</v>
      </c>
      <c r="R481" t="s">
        <v>958</v>
      </c>
      <c r="S481" t="s">
        <v>223</v>
      </c>
      <c r="T481" t="s">
        <v>256</v>
      </c>
      <c r="U481" t="s">
        <v>939</v>
      </c>
      <c r="V481" t="s">
        <v>777</v>
      </c>
      <c r="W481" t="s">
        <v>136</v>
      </c>
      <c r="X481" t="s">
        <v>225</v>
      </c>
      <c r="Y481" t="s">
        <v>419</v>
      </c>
      <c r="Z481" t="s">
        <v>1062</v>
      </c>
      <c r="AA481" t="s">
        <v>227</v>
      </c>
      <c r="AB481" t="s">
        <v>1063</v>
      </c>
      <c r="AC481" t="s">
        <v>246</v>
      </c>
      <c r="AD481" t="s">
        <v>148</v>
      </c>
      <c r="AE481" t="s">
        <v>172</v>
      </c>
      <c r="AF481" t="s">
        <v>752</v>
      </c>
      <c r="AG481" t="s">
        <v>1078</v>
      </c>
      <c r="AH481" t="s">
        <v>1079</v>
      </c>
      <c r="AI481" t="s">
        <v>136</v>
      </c>
      <c r="AJ481" t="s">
        <v>1080</v>
      </c>
      <c r="AK481" t="s">
        <v>256</v>
      </c>
      <c r="AL481" t="s">
        <v>230</v>
      </c>
      <c r="AM481" t="s">
        <v>765</v>
      </c>
      <c r="AN481" t="s">
        <v>1095</v>
      </c>
      <c r="AO481" t="s">
        <v>917</v>
      </c>
      <c r="AP481" t="s">
        <v>231</v>
      </c>
      <c r="AQ481" t="s">
        <v>1082</v>
      </c>
      <c r="AR481" t="s">
        <v>1037</v>
      </c>
      <c r="AS481" t="s">
        <v>1021</v>
      </c>
      <c r="AT481" t="s">
        <v>143</v>
      </c>
      <c r="AU481" t="s">
        <v>756</v>
      </c>
      <c r="AV481" t="s">
        <v>757</v>
      </c>
      <c r="AW481" t="s">
        <v>233</v>
      </c>
      <c r="AX481" t="s">
        <v>760</v>
      </c>
      <c r="AY481" t="s">
        <v>2339</v>
      </c>
      <c r="AZ481" t="s">
        <v>234</v>
      </c>
      <c r="BA481" t="s">
        <v>291</v>
      </c>
      <c r="BB481" t="s">
        <v>364</v>
      </c>
      <c r="BC481" t="s">
        <v>751</v>
      </c>
      <c r="BD481" t="s">
        <v>757</v>
      </c>
      <c r="BE481" t="s">
        <v>946</v>
      </c>
      <c r="BF481" t="s">
        <v>1133</v>
      </c>
      <c r="BG481" t="s">
        <v>948</v>
      </c>
      <c r="BH481" t="s">
        <v>1128</v>
      </c>
      <c r="BI481" t="s">
        <v>943</v>
      </c>
      <c r="BJ481" t="s">
        <v>939</v>
      </c>
      <c r="BK481" t="s">
        <v>239</v>
      </c>
      <c r="BL481" t="s">
        <v>241</v>
      </c>
      <c r="BM481" t="s">
        <v>805</v>
      </c>
      <c r="BN481" t="s">
        <v>806</v>
      </c>
    </row>
    <row r="482" spans="1:111">
      <c r="A482" s="40">
        <v>450</v>
      </c>
      <c r="B482" s="40" t="s">
        <v>1879</v>
      </c>
      <c r="C482" s="2" t="s">
        <v>1880</v>
      </c>
      <c r="D482" s="2" t="s">
        <v>22</v>
      </c>
      <c r="E482" s="2"/>
      <c r="F482" s="2">
        <v>108</v>
      </c>
      <c r="G482" s="2">
        <v>112</v>
      </c>
      <c r="H482" s="2">
        <v>118</v>
      </c>
      <c r="I482" s="2">
        <v>68</v>
      </c>
      <c r="J482" s="2">
        <v>72</v>
      </c>
      <c r="K482" s="2">
        <v>47</v>
      </c>
      <c r="L482" s="2">
        <v>525</v>
      </c>
      <c r="M482" s="2" t="s">
        <v>1162</v>
      </c>
      <c r="N482" s="2" t="s">
        <v>1061</v>
      </c>
      <c r="O482" t="s">
        <v>309</v>
      </c>
      <c r="P482" t="s">
        <v>219</v>
      </c>
      <c r="Q482" t="s">
        <v>258</v>
      </c>
      <c r="R482" t="s">
        <v>958</v>
      </c>
      <c r="S482" t="s">
        <v>1010</v>
      </c>
      <c r="T482" t="s">
        <v>983</v>
      </c>
      <c r="U482" t="s">
        <v>182</v>
      </c>
      <c r="V482" t="s">
        <v>258</v>
      </c>
      <c r="W482" t="s">
        <v>958</v>
      </c>
      <c r="X482" t="s">
        <v>223</v>
      </c>
      <c r="Y482" t="s">
        <v>256</v>
      </c>
      <c r="Z482" t="s">
        <v>939</v>
      </c>
      <c r="AA482" t="s">
        <v>777</v>
      </c>
      <c r="AB482" t="s">
        <v>136</v>
      </c>
      <c r="AC482" t="s">
        <v>225</v>
      </c>
      <c r="AD482" t="s">
        <v>419</v>
      </c>
      <c r="AE482" t="s">
        <v>1062</v>
      </c>
      <c r="AF482" t="s">
        <v>227</v>
      </c>
      <c r="AG482" t="s">
        <v>1063</v>
      </c>
      <c r="AH482" t="s">
        <v>246</v>
      </c>
      <c r="AI482" t="s">
        <v>148</v>
      </c>
      <c r="AJ482" t="s">
        <v>172</v>
      </c>
      <c r="AK482" t="s">
        <v>752</v>
      </c>
      <c r="AL482" t="s">
        <v>247</v>
      </c>
      <c r="AM482" t="s">
        <v>1078</v>
      </c>
      <c r="AN482" t="s">
        <v>1079</v>
      </c>
      <c r="AO482" t="s">
        <v>136</v>
      </c>
      <c r="AP482" t="s">
        <v>1080</v>
      </c>
      <c r="AQ482" t="s">
        <v>256</v>
      </c>
      <c r="AR482" t="s">
        <v>230</v>
      </c>
      <c r="AS482" t="s">
        <v>765</v>
      </c>
      <c r="AT482" t="s">
        <v>1095</v>
      </c>
      <c r="AU482" t="s">
        <v>917</v>
      </c>
      <c r="AV482" t="s">
        <v>231</v>
      </c>
      <c r="AW482" t="s">
        <v>1082</v>
      </c>
      <c r="AX482" t="s">
        <v>1037</v>
      </c>
      <c r="AY482" t="s">
        <v>976</v>
      </c>
      <c r="AZ482" t="s">
        <v>183</v>
      </c>
      <c r="BA482" t="s">
        <v>1021</v>
      </c>
      <c r="BB482" t="s">
        <v>143</v>
      </c>
      <c r="BC482" t="s">
        <v>756</v>
      </c>
      <c r="BD482" t="s">
        <v>757</v>
      </c>
      <c r="BE482" t="s">
        <v>233</v>
      </c>
      <c r="BF482" t="s">
        <v>760</v>
      </c>
      <c r="BG482" t="s">
        <v>2339</v>
      </c>
      <c r="BH482" t="s">
        <v>234</v>
      </c>
      <c r="BI482" t="s">
        <v>291</v>
      </c>
      <c r="BJ482" t="s">
        <v>364</v>
      </c>
      <c r="BK482" t="s">
        <v>751</v>
      </c>
      <c r="BL482" t="s">
        <v>757</v>
      </c>
      <c r="BM482" t="s">
        <v>946</v>
      </c>
      <c r="BN482" t="s">
        <v>1133</v>
      </c>
      <c r="BO482" t="s">
        <v>948</v>
      </c>
      <c r="BP482" t="s">
        <v>1128</v>
      </c>
      <c r="BQ482" t="s">
        <v>943</v>
      </c>
      <c r="BR482" t="s">
        <v>939</v>
      </c>
      <c r="BS482" t="s">
        <v>239</v>
      </c>
      <c r="BT482" t="s">
        <v>241</v>
      </c>
      <c r="BU482" t="s">
        <v>805</v>
      </c>
      <c r="BV482" t="s">
        <v>806</v>
      </c>
    </row>
    <row r="483" spans="1:111">
      <c r="A483" s="40">
        <v>451</v>
      </c>
      <c r="B483" s="40" t="s">
        <v>1881</v>
      </c>
      <c r="C483" s="2" t="s">
        <v>1882</v>
      </c>
      <c r="D483" s="2" t="s">
        <v>11</v>
      </c>
      <c r="E483" s="2" t="s">
        <v>14</v>
      </c>
      <c r="F483" s="2">
        <v>40</v>
      </c>
      <c r="G483" s="2">
        <v>50</v>
      </c>
      <c r="H483" s="2">
        <v>90</v>
      </c>
      <c r="I483" s="2">
        <v>30</v>
      </c>
      <c r="J483" s="2">
        <v>55</v>
      </c>
      <c r="K483" s="2">
        <v>65</v>
      </c>
      <c r="L483" s="2">
        <v>330</v>
      </c>
      <c r="M483" s="2" t="s">
        <v>1168</v>
      </c>
      <c r="N483" s="2" t="s">
        <v>1061</v>
      </c>
      <c r="O483" t="s">
        <v>296</v>
      </c>
      <c r="P483" t="s">
        <v>330</v>
      </c>
      <c r="Q483" t="s">
        <v>258</v>
      </c>
      <c r="R483" t="s">
        <v>928</v>
      </c>
      <c r="S483" t="s">
        <v>305</v>
      </c>
      <c r="T483" t="s">
        <v>1195</v>
      </c>
      <c r="U483" t="s">
        <v>773</v>
      </c>
      <c r="V483" t="s">
        <v>1110</v>
      </c>
      <c r="W483" t="s">
        <v>935</v>
      </c>
      <c r="X483" t="s">
        <v>1077</v>
      </c>
      <c r="Y483" t="s">
        <v>1030</v>
      </c>
      <c r="Z483" t="s">
        <v>1011</v>
      </c>
      <c r="AA483" t="s">
        <v>993</v>
      </c>
      <c r="AB483" t="s">
        <v>1092</v>
      </c>
      <c r="AC483" t="s">
        <v>777</v>
      </c>
      <c r="AD483" t="s">
        <v>2355</v>
      </c>
      <c r="AE483" t="s">
        <v>1163</v>
      </c>
      <c r="AF483" t="s">
        <v>1062</v>
      </c>
      <c r="AG483" t="s">
        <v>226</v>
      </c>
      <c r="AH483" t="s">
        <v>227</v>
      </c>
      <c r="AI483" t="s">
        <v>1063</v>
      </c>
      <c r="AJ483" t="s">
        <v>1030</v>
      </c>
      <c r="AK483" t="s">
        <v>148</v>
      </c>
      <c r="AL483" t="s">
        <v>1077</v>
      </c>
      <c r="AM483" t="s">
        <v>172</v>
      </c>
      <c r="AN483" t="s">
        <v>752</v>
      </c>
      <c r="AO483" t="s">
        <v>1126</v>
      </c>
      <c r="AP483" t="s">
        <v>1078</v>
      </c>
      <c r="AQ483" t="s">
        <v>766</v>
      </c>
      <c r="AR483" t="s">
        <v>1079</v>
      </c>
      <c r="AS483" t="s">
        <v>1080</v>
      </c>
      <c r="AT483" t="s">
        <v>256</v>
      </c>
      <c r="AU483" t="s">
        <v>174</v>
      </c>
      <c r="AV483" t="s">
        <v>1094</v>
      </c>
      <c r="AW483" t="s">
        <v>230</v>
      </c>
      <c r="AX483" t="s">
        <v>1081</v>
      </c>
      <c r="AY483" t="s">
        <v>1095</v>
      </c>
      <c r="AZ483" t="s">
        <v>1096</v>
      </c>
      <c r="BA483" t="s">
        <v>951</v>
      </c>
      <c r="BB483" t="s">
        <v>917</v>
      </c>
      <c r="BC483" t="s">
        <v>231</v>
      </c>
      <c r="BD483" t="s">
        <v>1082</v>
      </c>
      <c r="BE483" t="s">
        <v>1117</v>
      </c>
      <c r="BF483" t="s">
        <v>1037</v>
      </c>
      <c r="BG483" t="s">
        <v>776</v>
      </c>
      <c r="BH483" t="s">
        <v>974</v>
      </c>
      <c r="BI483" t="s">
        <v>995</v>
      </c>
      <c r="BJ483" t="s">
        <v>232</v>
      </c>
      <c r="BK483" t="s">
        <v>145</v>
      </c>
      <c r="BL483" t="s">
        <v>1042</v>
      </c>
      <c r="BM483" t="s">
        <v>1018</v>
      </c>
      <c r="BN483" t="s">
        <v>2369</v>
      </c>
      <c r="BO483" t="s">
        <v>997</v>
      </c>
      <c r="BP483" t="s">
        <v>756</v>
      </c>
      <c r="BQ483" t="s">
        <v>757</v>
      </c>
      <c r="BR483" t="s">
        <v>233</v>
      </c>
      <c r="BS483" t="s">
        <v>760</v>
      </c>
      <c r="BT483" t="s">
        <v>1157</v>
      </c>
      <c r="BU483" t="s">
        <v>2339</v>
      </c>
      <c r="BV483" t="s">
        <v>234</v>
      </c>
      <c r="BW483" t="s">
        <v>291</v>
      </c>
      <c r="BX483" t="s">
        <v>309</v>
      </c>
      <c r="BY483" t="s">
        <v>303</v>
      </c>
      <c r="BZ483" t="s">
        <v>306</v>
      </c>
      <c r="CA483" t="s">
        <v>324</v>
      </c>
      <c r="CB483" t="s">
        <v>387</v>
      </c>
      <c r="CC483" t="s">
        <v>253</v>
      </c>
      <c r="CD483" t="s">
        <v>774</v>
      </c>
      <c r="CE483" t="s">
        <v>773</v>
      </c>
      <c r="CF483" t="s">
        <v>761</v>
      </c>
      <c r="CG483" t="s">
        <v>936</v>
      </c>
      <c r="CH483" t="s">
        <v>993</v>
      </c>
      <c r="CI483" t="s">
        <v>239</v>
      </c>
      <c r="CJ483" t="s">
        <v>241</v>
      </c>
      <c r="CK483" t="s">
        <v>805</v>
      </c>
      <c r="CL483" t="s">
        <v>806</v>
      </c>
    </row>
    <row r="484" spans="1:111">
      <c r="A484" s="40">
        <v>452</v>
      </c>
      <c r="B484" s="40" t="s">
        <v>1883</v>
      </c>
      <c r="C484" s="2" t="s">
        <v>1884</v>
      </c>
      <c r="D484" s="2" t="s">
        <v>11</v>
      </c>
      <c r="E484" s="2" t="s">
        <v>15</v>
      </c>
      <c r="F484" s="2">
        <v>70</v>
      </c>
      <c r="G484" s="2">
        <v>90</v>
      </c>
      <c r="H484" s="2">
        <v>110</v>
      </c>
      <c r="I484" s="2">
        <v>60</v>
      </c>
      <c r="J484" s="2">
        <v>75</v>
      </c>
      <c r="K484" s="2">
        <v>95</v>
      </c>
      <c r="L484" s="2">
        <v>500</v>
      </c>
      <c r="M484" s="2" t="s">
        <v>1430</v>
      </c>
      <c r="N484" s="2" t="s">
        <v>1061</v>
      </c>
      <c r="O484" t="s">
        <v>296</v>
      </c>
      <c r="P484" t="s">
        <v>330</v>
      </c>
      <c r="Q484" t="s">
        <v>258</v>
      </c>
      <c r="R484" t="s">
        <v>928</v>
      </c>
      <c r="S484" t="s">
        <v>1010</v>
      </c>
      <c r="T484" t="s">
        <v>983</v>
      </c>
      <c r="U484" t="s">
        <v>182</v>
      </c>
      <c r="V484" t="s">
        <v>928</v>
      </c>
      <c r="W484" t="s">
        <v>305</v>
      </c>
      <c r="X484" t="s">
        <v>1195</v>
      </c>
      <c r="Y484" t="s">
        <v>773</v>
      </c>
      <c r="Z484" t="s">
        <v>1110</v>
      </c>
      <c r="AA484" t="s">
        <v>935</v>
      </c>
      <c r="AB484" t="s">
        <v>1077</v>
      </c>
      <c r="AC484" t="s">
        <v>1030</v>
      </c>
      <c r="AD484" t="s">
        <v>1011</v>
      </c>
      <c r="AE484" t="s">
        <v>993</v>
      </c>
      <c r="AF484" t="s">
        <v>1092</v>
      </c>
      <c r="AG484" t="s">
        <v>777</v>
      </c>
      <c r="AH484" t="s">
        <v>2355</v>
      </c>
      <c r="AI484" t="s">
        <v>1163</v>
      </c>
      <c r="AJ484" t="s">
        <v>1062</v>
      </c>
      <c r="AK484" t="s">
        <v>226</v>
      </c>
      <c r="AL484" t="s">
        <v>227</v>
      </c>
      <c r="AM484" t="s">
        <v>1063</v>
      </c>
      <c r="AN484" t="s">
        <v>1030</v>
      </c>
      <c r="AO484" t="s">
        <v>246</v>
      </c>
      <c r="AP484" t="s">
        <v>148</v>
      </c>
      <c r="AQ484" t="s">
        <v>1077</v>
      </c>
      <c r="AR484" t="s">
        <v>172</v>
      </c>
      <c r="AS484" t="s">
        <v>752</v>
      </c>
      <c r="AT484" t="s">
        <v>1126</v>
      </c>
      <c r="AU484" t="s">
        <v>247</v>
      </c>
      <c r="AV484" t="s">
        <v>1078</v>
      </c>
      <c r="AW484" t="s">
        <v>766</v>
      </c>
      <c r="AX484" t="s">
        <v>1079</v>
      </c>
      <c r="AY484" t="s">
        <v>136</v>
      </c>
      <c r="AZ484" t="s">
        <v>1080</v>
      </c>
      <c r="BA484" t="s">
        <v>256</v>
      </c>
      <c r="BB484" t="s">
        <v>174</v>
      </c>
      <c r="BC484" t="s">
        <v>1094</v>
      </c>
      <c r="BD484" t="s">
        <v>230</v>
      </c>
      <c r="BE484" t="s">
        <v>1081</v>
      </c>
      <c r="BF484" t="s">
        <v>1095</v>
      </c>
      <c r="BG484" t="s">
        <v>1096</v>
      </c>
      <c r="BH484" t="s">
        <v>951</v>
      </c>
      <c r="BI484" t="s">
        <v>917</v>
      </c>
      <c r="BJ484" t="s">
        <v>231</v>
      </c>
      <c r="BK484" t="s">
        <v>1082</v>
      </c>
      <c r="BL484" t="s">
        <v>1117</v>
      </c>
      <c r="BM484" t="s">
        <v>1037</v>
      </c>
      <c r="BN484" t="s">
        <v>776</v>
      </c>
      <c r="BO484" t="s">
        <v>974</v>
      </c>
      <c r="BP484" t="s">
        <v>995</v>
      </c>
      <c r="BQ484" t="s">
        <v>1036</v>
      </c>
      <c r="BR484" t="s">
        <v>976</v>
      </c>
      <c r="BS484" t="s">
        <v>232</v>
      </c>
      <c r="BT484" t="s">
        <v>145</v>
      </c>
      <c r="BU484" t="s">
        <v>1042</v>
      </c>
      <c r="BV484" t="s">
        <v>1021</v>
      </c>
      <c r="BW484" t="s">
        <v>143</v>
      </c>
      <c r="BX484" t="s">
        <v>1018</v>
      </c>
      <c r="BY484" t="s">
        <v>2369</v>
      </c>
      <c r="BZ484" t="s">
        <v>997</v>
      </c>
      <c r="CA484" t="s">
        <v>756</v>
      </c>
      <c r="CB484" t="s">
        <v>757</v>
      </c>
      <c r="CC484" t="s">
        <v>233</v>
      </c>
      <c r="CD484" t="s">
        <v>760</v>
      </c>
      <c r="CE484" t="s">
        <v>1040</v>
      </c>
      <c r="CF484" t="s">
        <v>1157</v>
      </c>
      <c r="CG484" t="s">
        <v>2339</v>
      </c>
      <c r="CH484" t="s">
        <v>234</v>
      </c>
      <c r="CI484" t="s">
        <v>291</v>
      </c>
      <c r="CJ484" t="s">
        <v>309</v>
      </c>
      <c r="CK484" t="s">
        <v>303</v>
      </c>
      <c r="CL484" t="s">
        <v>306</v>
      </c>
      <c r="CM484" t="s">
        <v>324</v>
      </c>
      <c r="CN484" t="s">
        <v>387</v>
      </c>
      <c r="CO484" t="s">
        <v>253</v>
      </c>
      <c r="CP484" t="s">
        <v>774</v>
      </c>
      <c r="CQ484" t="s">
        <v>773</v>
      </c>
      <c r="CR484" t="s">
        <v>761</v>
      </c>
      <c r="CS484" t="s">
        <v>936</v>
      </c>
      <c r="CT484" t="s">
        <v>993</v>
      </c>
      <c r="CU484" t="s">
        <v>239</v>
      </c>
      <c r="CV484" t="s">
        <v>241</v>
      </c>
      <c r="CW484" t="s">
        <v>805</v>
      </c>
      <c r="CX484" t="s">
        <v>806</v>
      </c>
    </row>
    <row r="485" spans="1:111">
      <c r="A485" s="40">
        <v>453</v>
      </c>
      <c r="B485" s="40" t="s">
        <v>1885</v>
      </c>
      <c r="C485" s="2" t="s">
        <v>1886</v>
      </c>
      <c r="D485" s="2" t="s">
        <v>11</v>
      </c>
      <c r="E485" s="2" t="s">
        <v>18</v>
      </c>
      <c r="F485" s="2">
        <v>48</v>
      </c>
      <c r="G485" s="2">
        <v>61</v>
      </c>
      <c r="H485" s="2">
        <v>40</v>
      </c>
      <c r="I485" s="2">
        <v>61</v>
      </c>
      <c r="J485" s="2">
        <v>40</v>
      </c>
      <c r="K485" s="2">
        <v>50</v>
      </c>
      <c r="L485" s="2">
        <v>300</v>
      </c>
      <c r="M485" s="2" t="s">
        <v>1161</v>
      </c>
      <c r="N485" s="2" t="s">
        <v>1061</v>
      </c>
      <c r="O485" t="s">
        <v>1130</v>
      </c>
      <c r="P485" t="s">
        <v>755</v>
      </c>
      <c r="Q485" t="s">
        <v>296</v>
      </c>
      <c r="R485" t="s">
        <v>1126</v>
      </c>
      <c r="S485" t="s">
        <v>773</v>
      </c>
      <c r="T485" t="s">
        <v>774</v>
      </c>
      <c r="U485" t="s">
        <v>1128</v>
      </c>
      <c r="V485" t="s">
        <v>756</v>
      </c>
      <c r="W485" t="s">
        <v>990</v>
      </c>
      <c r="X485" t="s">
        <v>1008</v>
      </c>
      <c r="Y485" t="s">
        <v>1077</v>
      </c>
      <c r="Z485" t="s">
        <v>991</v>
      </c>
      <c r="AA485" t="s">
        <v>997</v>
      </c>
      <c r="AB485" t="s">
        <v>1081</v>
      </c>
      <c r="AC485" t="s">
        <v>2335</v>
      </c>
      <c r="AD485" t="s">
        <v>919</v>
      </c>
      <c r="AE485" t="s">
        <v>1062</v>
      </c>
      <c r="AF485" t="s">
        <v>227</v>
      </c>
      <c r="AG485" t="s">
        <v>1063</v>
      </c>
      <c r="AH485" t="s">
        <v>148</v>
      </c>
      <c r="AI485" t="s">
        <v>1175</v>
      </c>
      <c r="AJ485" t="s">
        <v>1077</v>
      </c>
      <c r="AK485" t="s">
        <v>172</v>
      </c>
      <c r="AL485" t="s">
        <v>752</v>
      </c>
      <c r="AM485" t="s">
        <v>1126</v>
      </c>
      <c r="AN485" t="s">
        <v>1078</v>
      </c>
      <c r="AO485" t="s">
        <v>766</v>
      </c>
      <c r="AP485" t="s">
        <v>1079</v>
      </c>
      <c r="AQ485" t="s">
        <v>136</v>
      </c>
      <c r="AR485" t="s">
        <v>1080</v>
      </c>
      <c r="AS485" t="s">
        <v>256</v>
      </c>
      <c r="AT485" t="s">
        <v>174</v>
      </c>
      <c r="AU485" t="s">
        <v>1094</v>
      </c>
      <c r="AV485" t="s">
        <v>230</v>
      </c>
      <c r="AW485" t="s">
        <v>186</v>
      </c>
      <c r="AX485" t="s">
        <v>1081</v>
      </c>
      <c r="AY485" t="s">
        <v>1095</v>
      </c>
      <c r="AZ485" t="s">
        <v>951</v>
      </c>
      <c r="BA485" t="s">
        <v>917</v>
      </c>
      <c r="BB485" t="s">
        <v>231</v>
      </c>
      <c r="BC485" t="s">
        <v>1082</v>
      </c>
      <c r="BD485" t="s">
        <v>1117</v>
      </c>
      <c r="BE485" t="s">
        <v>1172</v>
      </c>
      <c r="BF485" t="s">
        <v>1037</v>
      </c>
      <c r="BG485" t="s">
        <v>1102</v>
      </c>
      <c r="BH485" t="s">
        <v>974</v>
      </c>
      <c r="BI485" t="s">
        <v>969</v>
      </c>
      <c r="BJ485" t="s">
        <v>995</v>
      </c>
      <c r="BK485" t="s">
        <v>1036</v>
      </c>
      <c r="BL485" t="s">
        <v>1021</v>
      </c>
      <c r="BM485" t="s">
        <v>143</v>
      </c>
      <c r="BN485" t="s">
        <v>1018</v>
      </c>
      <c r="BO485" t="s">
        <v>997</v>
      </c>
      <c r="BP485" t="s">
        <v>756</v>
      </c>
      <c r="BQ485" t="s">
        <v>757</v>
      </c>
      <c r="BR485" t="s">
        <v>233</v>
      </c>
      <c r="BS485" t="s">
        <v>760</v>
      </c>
      <c r="BT485" t="s">
        <v>1157</v>
      </c>
      <c r="BU485" t="s">
        <v>2398</v>
      </c>
      <c r="BV485" t="s">
        <v>2339</v>
      </c>
      <c r="BW485" t="s">
        <v>234</v>
      </c>
      <c r="BX485" t="s">
        <v>420</v>
      </c>
      <c r="BY485" t="s">
        <v>259</v>
      </c>
      <c r="BZ485" t="s">
        <v>437</v>
      </c>
      <c r="CA485" t="s">
        <v>1179</v>
      </c>
      <c r="CB485" t="s">
        <v>1171</v>
      </c>
      <c r="CC485" t="s">
        <v>176</v>
      </c>
      <c r="CD485" t="s">
        <v>944</v>
      </c>
      <c r="CE485" t="s">
        <v>1016</v>
      </c>
      <c r="CF485" t="s">
        <v>971</v>
      </c>
      <c r="CG485" t="s">
        <v>1195</v>
      </c>
      <c r="CH485" t="s">
        <v>989</v>
      </c>
      <c r="CI485" t="s">
        <v>181</v>
      </c>
      <c r="CJ485" t="s">
        <v>1015</v>
      </c>
      <c r="CK485" t="s">
        <v>1186</v>
      </c>
      <c r="CL485" t="s">
        <v>1035</v>
      </c>
      <c r="CM485" t="s">
        <v>239</v>
      </c>
      <c r="CN485" t="s">
        <v>241</v>
      </c>
      <c r="CO485" t="s">
        <v>805</v>
      </c>
      <c r="CP485" t="s">
        <v>806</v>
      </c>
    </row>
    <row r="486" spans="1:111">
      <c r="A486" s="40">
        <v>454</v>
      </c>
      <c r="B486" s="40" t="s">
        <v>1887</v>
      </c>
      <c r="C486" s="2" t="s">
        <v>1888</v>
      </c>
      <c r="D486" s="2" t="s">
        <v>11</v>
      </c>
      <c r="E486" s="2" t="s">
        <v>18</v>
      </c>
      <c r="F486" s="2">
        <v>83</v>
      </c>
      <c r="G486" s="2">
        <v>106</v>
      </c>
      <c r="H486" s="2">
        <v>65</v>
      </c>
      <c r="I486" s="2">
        <v>86</v>
      </c>
      <c r="J486" s="2">
        <v>65</v>
      </c>
      <c r="K486" s="2">
        <v>85</v>
      </c>
      <c r="L486" s="2">
        <v>490</v>
      </c>
      <c r="M486" s="2" t="s">
        <v>1148</v>
      </c>
      <c r="N486" s="2" t="s">
        <v>1061</v>
      </c>
      <c r="O486" t="s">
        <v>296</v>
      </c>
      <c r="P486" t="s">
        <v>755</v>
      </c>
      <c r="Q486" t="s">
        <v>1130</v>
      </c>
      <c r="R486" t="s">
        <v>755</v>
      </c>
      <c r="S486" t="s">
        <v>296</v>
      </c>
      <c r="T486" t="s">
        <v>1126</v>
      </c>
      <c r="U486" t="s">
        <v>773</v>
      </c>
      <c r="V486" t="s">
        <v>774</v>
      </c>
      <c r="W486" t="s">
        <v>1128</v>
      </c>
      <c r="X486" t="s">
        <v>756</v>
      </c>
      <c r="Y486" t="s">
        <v>990</v>
      </c>
      <c r="Z486" t="s">
        <v>1008</v>
      </c>
      <c r="AA486" t="s">
        <v>1077</v>
      </c>
      <c r="AB486" t="s">
        <v>991</v>
      </c>
      <c r="AC486" t="s">
        <v>997</v>
      </c>
      <c r="AD486" t="s">
        <v>1081</v>
      </c>
      <c r="AE486" t="s">
        <v>2335</v>
      </c>
      <c r="AF486" t="s">
        <v>919</v>
      </c>
      <c r="AG486" t="s">
        <v>1062</v>
      </c>
      <c r="AH486" t="s">
        <v>226</v>
      </c>
      <c r="AI486" t="s">
        <v>227</v>
      </c>
      <c r="AJ486" t="s">
        <v>1063</v>
      </c>
      <c r="AK486" t="s">
        <v>148</v>
      </c>
      <c r="AL486" t="s">
        <v>1175</v>
      </c>
      <c r="AM486" t="s">
        <v>1077</v>
      </c>
      <c r="AN486" t="s">
        <v>172</v>
      </c>
      <c r="AO486" t="s">
        <v>752</v>
      </c>
      <c r="AP486" t="s">
        <v>1126</v>
      </c>
      <c r="AQ486" t="s">
        <v>247</v>
      </c>
      <c r="AR486" t="s">
        <v>1078</v>
      </c>
      <c r="AS486" t="s">
        <v>766</v>
      </c>
      <c r="AT486" t="s">
        <v>1079</v>
      </c>
      <c r="AU486" t="s">
        <v>136</v>
      </c>
      <c r="AV486" t="s">
        <v>1080</v>
      </c>
      <c r="AW486" t="s">
        <v>256</v>
      </c>
      <c r="AX486" t="s">
        <v>174</v>
      </c>
      <c r="AY486" t="s">
        <v>1094</v>
      </c>
      <c r="AZ486" t="s">
        <v>230</v>
      </c>
      <c r="BA486" t="s">
        <v>186</v>
      </c>
      <c r="BB486" t="s">
        <v>1081</v>
      </c>
      <c r="BC486" t="s">
        <v>1095</v>
      </c>
      <c r="BD486" t="s">
        <v>951</v>
      </c>
      <c r="BE486" t="s">
        <v>917</v>
      </c>
      <c r="BF486" t="s">
        <v>231</v>
      </c>
      <c r="BG486" t="s">
        <v>1082</v>
      </c>
      <c r="BH486" t="s">
        <v>1117</v>
      </c>
      <c r="BI486" t="s">
        <v>1172</v>
      </c>
      <c r="BJ486" t="s">
        <v>1037</v>
      </c>
      <c r="BK486" t="s">
        <v>1102</v>
      </c>
      <c r="BL486" t="s">
        <v>974</v>
      </c>
      <c r="BM486" t="s">
        <v>969</v>
      </c>
      <c r="BN486" t="s">
        <v>995</v>
      </c>
      <c r="BO486" t="s">
        <v>1036</v>
      </c>
      <c r="BP486" t="s">
        <v>976</v>
      </c>
      <c r="BQ486" t="s">
        <v>183</v>
      </c>
      <c r="BR486" t="s">
        <v>145</v>
      </c>
      <c r="BS486" t="s">
        <v>1021</v>
      </c>
      <c r="BT486" t="s">
        <v>143</v>
      </c>
      <c r="BU486" t="s">
        <v>1018</v>
      </c>
      <c r="BV486" t="s">
        <v>997</v>
      </c>
      <c r="BW486" t="s">
        <v>756</v>
      </c>
      <c r="BX486" t="s">
        <v>757</v>
      </c>
      <c r="BY486" t="s">
        <v>233</v>
      </c>
      <c r="BZ486" t="s">
        <v>760</v>
      </c>
      <c r="CA486" t="s">
        <v>1157</v>
      </c>
      <c r="CB486" t="s">
        <v>2398</v>
      </c>
      <c r="CC486" t="s">
        <v>2339</v>
      </c>
      <c r="CD486" t="s">
        <v>234</v>
      </c>
      <c r="CE486" t="s">
        <v>420</v>
      </c>
      <c r="CF486" t="s">
        <v>259</v>
      </c>
      <c r="CG486" t="s">
        <v>437</v>
      </c>
      <c r="CH486" t="s">
        <v>1179</v>
      </c>
      <c r="CI486" t="s">
        <v>1171</v>
      </c>
      <c r="CJ486" t="s">
        <v>176</v>
      </c>
      <c r="CK486" t="s">
        <v>944</v>
      </c>
      <c r="CL486" t="s">
        <v>1016</v>
      </c>
      <c r="CM486" t="s">
        <v>971</v>
      </c>
      <c r="CN486" t="s">
        <v>1195</v>
      </c>
      <c r="CO486" t="s">
        <v>989</v>
      </c>
      <c r="CP486" t="s">
        <v>181</v>
      </c>
      <c r="CQ486" t="s">
        <v>1015</v>
      </c>
      <c r="CR486" t="s">
        <v>1186</v>
      </c>
      <c r="CS486" t="s">
        <v>1035</v>
      </c>
      <c r="CT486" t="s">
        <v>239</v>
      </c>
      <c r="CU486" t="s">
        <v>241</v>
      </c>
      <c r="CV486" t="s">
        <v>805</v>
      </c>
      <c r="CW486" t="s">
        <v>806</v>
      </c>
    </row>
    <row r="487" spans="1:111">
      <c r="A487" s="40">
        <v>455</v>
      </c>
      <c r="B487" s="40" t="s">
        <v>1889</v>
      </c>
      <c r="C487" s="2" t="s">
        <v>1890</v>
      </c>
      <c r="D487" s="2" t="s">
        <v>21</v>
      </c>
      <c r="E487" s="2"/>
      <c r="F487" s="2">
        <v>74</v>
      </c>
      <c r="G487" s="2">
        <v>100</v>
      </c>
      <c r="H487" s="2">
        <v>72</v>
      </c>
      <c r="I487" s="2">
        <v>90</v>
      </c>
      <c r="J487" s="2">
        <v>72</v>
      </c>
      <c r="K487" s="2">
        <v>46</v>
      </c>
      <c r="L487" s="2">
        <v>454</v>
      </c>
      <c r="M487" s="2" t="s">
        <v>1165</v>
      </c>
      <c r="N487" s="2" t="s">
        <v>1061</v>
      </c>
      <c r="O487" t="s">
        <v>240</v>
      </c>
      <c r="P487" t="s">
        <v>215</v>
      </c>
      <c r="Q487" t="s">
        <v>258</v>
      </c>
      <c r="R487" t="s">
        <v>149</v>
      </c>
      <c r="S487" t="s">
        <v>1076</v>
      </c>
      <c r="T487" t="s">
        <v>1085</v>
      </c>
      <c r="U487" t="s">
        <v>774</v>
      </c>
      <c r="V487" t="s">
        <v>1193</v>
      </c>
      <c r="W487" t="s">
        <v>946</v>
      </c>
      <c r="X487" t="s">
        <v>1133</v>
      </c>
      <c r="Y487" t="s">
        <v>948</v>
      </c>
      <c r="Z487" t="s">
        <v>777</v>
      </c>
      <c r="AA487" t="s">
        <v>1189</v>
      </c>
      <c r="AB487" t="s">
        <v>1088</v>
      </c>
      <c r="AC487" t="s">
        <v>1062</v>
      </c>
      <c r="AD487" t="s">
        <v>226</v>
      </c>
      <c r="AE487" t="s">
        <v>1063</v>
      </c>
      <c r="AF487" t="s">
        <v>148</v>
      </c>
      <c r="AG487" t="s">
        <v>172</v>
      </c>
      <c r="AH487" t="s">
        <v>752</v>
      </c>
      <c r="AI487" t="s">
        <v>247</v>
      </c>
      <c r="AJ487" t="s">
        <v>1078</v>
      </c>
      <c r="AK487" t="s">
        <v>1079</v>
      </c>
      <c r="AL487" t="s">
        <v>229</v>
      </c>
      <c r="AM487" t="s">
        <v>1080</v>
      </c>
      <c r="AN487" t="s">
        <v>230</v>
      </c>
      <c r="AO487" t="s">
        <v>1081</v>
      </c>
      <c r="AP487" t="s">
        <v>917</v>
      </c>
      <c r="AQ487" t="s">
        <v>231</v>
      </c>
      <c r="AR487" t="s">
        <v>1082</v>
      </c>
      <c r="AS487" t="s">
        <v>1117</v>
      </c>
      <c r="AT487" t="s">
        <v>1037</v>
      </c>
      <c r="AU487" t="s">
        <v>970</v>
      </c>
      <c r="AV487" t="s">
        <v>974</v>
      </c>
      <c r="AW487" t="s">
        <v>995</v>
      </c>
      <c r="AX487" t="s">
        <v>976</v>
      </c>
      <c r="AY487" t="s">
        <v>232</v>
      </c>
      <c r="AZ487" t="s">
        <v>145</v>
      </c>
      <c r="BA487" t="s">
        <v>2369</v>
      </c>
      <c r="BB487" t="s">
        <v>977</v>
      </c>
      <c r="BC487" t="s">
        <v>756</v>
      </c>
      <c r="BD487" t="s">
        <v>757</v>
      </c>
      <c r="BE487" t="s">
        <v>233</v>
      </c>
      <c r="BF487" t="s">
        <v>1087</v>
      </c>
      <c r="BG487" t="s">
        <v>2339</v>
      </c>
      <c r="BH487" t="s">
        <v>234</v>
      </c>
      <c r="BI487" t="s">
        <v>341</v>
      </c>
      <c r="BJ487" t="s">
        <v>142</v>
      </c>
      <c r="BK487" t="s">
        <v>224</v>
      </c>
      <c r="BL487" t="s">
        <v>288</v>
      </c>
      <c r="BM487" t="s">
        <v>222</v>
      </c>
      <c r="BN487" t="s">
        <v>171</v>
      </c>
      <c r="BO487" t="s">
        <v>750</v>
      </c>
      <c r="BP487" t="s">
        <v>1084</v>
      </c>
      <c r="BQ487" t="s">
        <v>930</v>
      </c>
      <c r="BR487" t="s">
        <v>1017</v>
      </c>
      <c r="BS487" t="s">
        <v>1114</v>
      </c>
      <c r="BT487" t="s">
        <v>239</v>
      </c>
      <c r="BU487" t="s">
        <v>241</v>
      </c>
      <c r="BV487" t="s">
        <v>805</v>
      </c>
      <c r="BW487" t="s">
        <v>806</v>
      </c>
    </row>
    <row r="488" spans="1:111">
      <c r="A488" s="40">
        <v>456</v>
      </c>
      <c r="B488" s="40" t="s">
        <v>1891</v>
      </c>
      <c r="C488" s="2" t="s">
        <v>1892</v>
      </c>
      <c r="D488" s="2" t="s">
        <v>27</v>
      </c>
      <c r="E488" s="2"/>
      <c r="F488" s="2">
        <v>49</v>
      </c>
      <c r="G488" s="2">
        <v>49</v>
      </c>
      <c r="H488" s="2">
        <v>56</v>
      </c>
      <c r="I488" s="2">
        <v>49</v>
      </c>
      <c r="J488" s="2">
        <v>61</v>
      </c>
      <c r="K488" s="2">
        <v>66</v>
      </c>
      <c r="L488" s="2">
        <v>330</v>
      </c>
      <c r="M488" s="2" t="s">
        <v>1131</v>
      </c>
      <c r="N488" s="2" t="s">
        <v>1061</v>
      </c>
      <c r="O488" t="s">
        <v>376</v>
      </c>
      <c r="P488" t="s">
        <v>269</v>
      </c>
      <c r="Q488" t="s">
        <v>1082</v>
      </c>
      <c r="R488" t="s">
        <v>766</v>
      </c>
      <c r="S488" t="s">
        <v>289</v>
      </c>
      <c r="T488" t="s">
        <v>954</v>
      </c>
      <c r="U488" t="s">
        <v>962</v>
      </c>
      <c r="V488" t="s">
        <v>759</v>
      </c>
      <c r="W488" t="s">
        <v>178</v>
      </c>
      <c r="X488" t="s">
        <v>767</v>
      </c>
      <c r="Y488" t="s">
        <v>1014</v>
      </c>
      <c r="Z488" t="s">
        <v>175</v>
      </c>
      <c r="AA488" t="s">
        <v>1113</v>
      </c>
      <c r="AB488" t="s">
        <v>1170</v>
      </c>
      <c r="AC488" t="s">
        <v>1062</v>
      </c>
      <c r="AD488" t="s">
        <v>144</v>
      </c>
      <c r="AE488" t="s">
        <v>270</v>
      </c>
      <c r="AF488" t="s">
        <v>914</v>
      </c>
      <c r="AG488" t="s">
        <v>1063</v>
      </c>
      <c r="AH488" t="s">
        <v>148</v>
      </c>
      <c r="AI488" t="s">
        <v>1104</v>
      </c>
      <c r="AJ488" t="s">
        <v>172</v>
      </c>
      <c r="AK488" t="s">
        <v>141</v>
      </c>
      <c r="AL488" t="s">
        <v>271</v>
      </c>
      <c r="AM488" t="s">
        <v>1078</v>
      </c>
      <c r="AN488" t="s">
        <v>766</v>
      </c>
      <c r="AO488" t="s">
        <v>759</v>
      </c>
      <c r="AP488" t="s">
        <v>1079</v>
      </c>
      <c r="AQ488" t="s">
        <v>1080</v>
      </c>
      <c r="AR488" t="s">
        <v>230</v>
      </c>
      <c r="AS488" t="s">
        <v>917</v>
      </c>
      <c r="AT488" t="s">
        <v>231</v>
      </c>
      <c r="AU488" t="s">
        <v>1082</v>
      </c>
      <c r="AV488" t="s">
        <v>1037</v>
      </c>
      <c r="AW488" t="s">
        <v>1038</v>
      </c>
      <c r="AX488" t="s">
        <v>995</v>
      </c>
      <c r="AY488" t="s">
        <v>232</v>
      </c>
      <c r="AZ488" t="s">
        <v>785</v>
      </c>
      <c r="BA488" t="s">
        <v>756</v>
      </c>
      <c r="BB488" t="s">
        <v>1014</v>
      </c>
      <c r="BC488" t="s">
        <v>233</v>
      </c>
      <c r="BD488" t="s">
        <v>234</v>
      </c>
      <c r="BE488" t="s">
        <v>292</v>
      </c>
      <c r="BF488" t="s">
        <v>478</v>
      </c>
      <c r="BG488" t="s">
        <v>306</v>
      </c>
      <c r="BH488" t="s">
        <v>382</v>
      </c>
      <c r="BI488" t="s">
        <v>770</v>
      </c>
      <c r="BJ488" t="s">
        <v>782</v>
      </c>
      <c r="BK488" t="s">
        <v>781</v>
      </c>
      <c r="BL488" t="s">
        <v>950</v>
      </c>
      <c r="BM488" t="s">
        <v>216</v>
      </c>
      <c r="BN488" t="s">
        <v>961</v>
      </c>
      <c r="BO488" t="s">
        <v>179</v>
      </c>
      <c r="BP488" t="s">
        <v>239</v>
      </c>
      <c r="BQ488" t="s">
        <v>241</v>
      </c>
      <c r="BR488" t="s">
        <v>805</v>
      </c>
      <c r="BS488" t="s">
        <v>806</v>
      </c>
    </row>
    <row r="489" spans="1:111">
      <c r="A489" s="40">
        <v>457</v>
      </c>
      <c r="B489" s="40" t="s">
        <v>1893</v>
      </c>
      <c r="C489" s="2" t="s">
        <v>1894</v>
      </c>
      <c r="D489" s="2" t="s">
        <v>27</v>
      </c>
      <c r="E489" s="2"/>
      <c r="F489" s="2">
        <v>69</v>
      </c>
      <c r="G489" s="2">
        <v>69</v>
      </c>
      <c r="H489" s="2">
        <v>76</v>
      </c>
      <c r="I489" s="2">
        <v>69</v>
      </c>
      <c r="J489" s="2">
        <v>86</v>
      </c>
      <c r="K489" s="2">
        <v>91</v>
      </c>
      <c r="L489" s="2">
        <v>460</v>
      </c>
      <c r="M489" s="2" t="s">
        <v>1165</v>
      </c>
      <c r="N489" s="2" t="s">
        <v>1061</v>
      </c>
      <c r="O489" t="s">
        <v>376</v>
      </c>
      <c r="P489" t="s">
        <v>269</v>
      </c>
      <c r="Q489" t="s">
        <v>1082</v>
      </c>
      <c r="R489" t="s">
        <v>269</v>
      </c>
      <c r="S489" t="s">
        <v>1082</v>
      </c>
      <c r="T489" t="s">
        <v>766</v>
      </c>
      <c r="U489" t="s">
        <v>289</v>
      </c>
      <c r="V489" t="s">
        <v>954</v>
      </c>
      <c r="W489" t="s">
        <v>962</v>
      </c>
      <c r="X489" t="s">
        <v>759</v>
      </c>
      <c r="Y489" t="s">
        <v>178</v>
      </c>
      <c r="Z489" t="s">
        <v>767</v>
      </c>
      <c r="AA489" t="s">
        <v>1014</v>
      </c>
      <c r="AB489" t="s">
        <v>175</v>
      </c>
      <c r="AC489" t="s">
        <v>1113</v>
      </c>
      <c r="AD489" t="s">
        <v>1170</v>
      </c>
      <c r="AE489" t="s">
        <v>1062</v>
      </c>
      <c r="AF489" t="s">
        <v>144</v>
      </c>
      <c r="AG489" t="s">
        <v>270</v>
      </c>
      <c r="AH489" t="s">
        <v>914</v>
      </c>
      <c r="AI489" t="s">
        <v>1063</v>
      </c>
      <c r="AJ489" t="s">
        <v>148</v>
      </c>
      <c r="AK489" t="s">
        <v>1104</v>
      </c>
      <c r="AL489" t="s">
        <v>172</v>
      </c>
      <c r="AM489" t="s">
        <v>141</v>
      </c>
      <c r="AN489" t="s">
        <v>271</v>
      </c>
      <c r="AO489" t="s">
        <v>247</v>
      </c>
      <c r="AP489" t="s">
        <v>1078</v>
      </c>
      <c r="AQ489" t="s">
        <v>766</v>
      </c>
      <c r="AR489" t="s">
        <v>759</v>
      </c>
      <c r="AS489" t="s">
        <v>1079</v>
      </c>
      <c r="AT489" t="s">
        <v>1080</v>
      </c>
      <c r="AU489" t="s">
        <v>230</v>
      </c>
      <c r="AV489" t="s">
        <v>917</v>
      </c>
      <c r="AW489" t="s">
        <v>231</v>
      </c>
      <c r="AX489" t="s">
        <v>1082</v>
      </c>
      <c r="AY489" t="s">
        <v>1037</v>
      </c>
      <c r="AZ489" t="s">
        <v>1038</v>
      </c>
      <c r="BA489" t="s">
        <v>995</v>
      </c>
      <c r="BB489" t="s">
        <v>976</v>
      </c>
      <c r="BC489" t="s">
        <v>232</v>
      </c>
      <c r="BD489" t="s">
        <v>785</v>
      </c>
      <c r="BE489" t="s">
        <v>756</v>
      </c>
      <c r="BF489" t="s">
        <v>1014</v>
      </c>
      <c r="BG489" t="s">
        <v>233</v>
      </c>
      <c r="BH489" t="s">
        <v>234</v>
      </c>
      <c r="BI489" t="s">
        <v>292</v>
      </c>
      <c r="BJ489" t="s">
        <v>478</v>
      </c>
      <c r="BK489" t="s">
        <v>306</v>
      </c>
      <c r="BL489" t="s">
        <v>382</v>
      </c>
      <c r="BM489" t="s">
        <v>770</v>
      </c>
      <c r="BN489" t="s">
        <v>782</v>
      </c>
      <c r="BO489" t="s">
        <v>781</v>
      </c>
      <c r="BP489" t="s">
        <v>950</v>
      </c>
      <c r="BQ489" t="s">
        <v>216</v>
      </c>
      <c r="BR489" t="s">
        <v>961</v>
      </c>
      <c r="BS489" t="s">
        <v>179</v>
      </c>
      <c r="BT489" t="s">
        <v>239</v>
      </c>
      <c r="BU489" t="s">
        <v>241</v>
      </c>
      <c r="BV489" t="s">
        <v>805</v>
      </c>
      <c r="BW489" t="s">
        <v>806</v>
      </c>
    </row>
    <row r="490" spans="1:111">
      <c r="A490" s="40">
        <v>458</v>
      </c>
      <c r="B490" s="40" t="s">
        <v>1895</v>
      </c>
      <c r="C490" s="2" t="s">
        <v>1896</v>
      </c>
      <c r="D490" s="2" t="s">
        <v>27</v>
      </c>
      <c r="E490" s="2" t="s">
        <v>20</v>
      </c>
      <c r="F490" s="2">
        <v>45</v>
      </c>
      <c r="G490" s="2">
        <v>20</v>
      </c>
      <c r="H490" s="2">
        <v>50</v>
      </c>
      <c r="I490" s="2">
        <v>60</v>
      </c>
      <c r="J490" s="2">
        <v>120</v>
      </c>
      <c r="K490" s="2">
        <v>50</v>
      </c>
      <c r="L490" s="2">
        <v>345</v>
      </c>
      <c r="M490" s="2" t="s">
        <v>1165</v>
      </c>
      <c r="N490" s="2" t="s">
        <v>1061</v>
      </c>
      <c r="O490" t="s">
        <v>219</v>
      </c>
      <c r="P490" t="s">
        <v>267</v>
      </c>
      <c r="Q490" t="s">
        <v>290</v>
      </c>
      <c r="R490" t="s">
        <v>446</v>
      </c>
      <c r="S490" t="s">
        <v>387</v>
      </c>
      <c r="T490" t="s">
        <v>264</v>
      </c>
      <c r="U490" t="s">
        <v>420</v>
      </c>
      <c r="V490" t="s">
        <v>954</v>
      </c>
      <c r="W490" t="s">
        <v>1187</v>
      </c>
      <c r="X490" t="s">
        <v>223</v>
      </c>
      <c r="Y490" t="s">
        <v>306</v>
      </c>
      <c r="Z490" t="s">
        <v>1101</v>
      </c>
      <c r="AA490" t="s">
        <v>178</v>
      </c>
      <c r="AB490" t="s">
        <v>175</v>
      </c>
      <c r="AC490" t="s">
        <v>140</v>
      </c>
      <c r="AD490" t="s">
        <v>1062</v>
      </c>
      <c r="AE490" t="s">
        <v>144</v>
      </c>
      <c r="AF490" t="s">
        <v>270</v>
      </c>
      <c r="AG490" t="s">
        <v>914</v>
      </c>
      <c r="AH490" t="s">
        <v>1063</v>
      </c>
      <c r="AI490" t="s">
        <v>148</v>
      </c>
      <c r="AJ490" t="s">
        <v>1104</v>
      </c>
      <c r="AK490" t="s">
        <v>172</v>
      </c>
      <c r="AL490" t="s">
        <v>141</v>
      </c>
      <c r="AM490" t="s">
        <v>271</v>
      </c>
      <c r="AN490" t="s">
        <v>1078</v>
      </c>
      <c r="AO490" t="s">
        <v>766</v>
      </c>
      <c r="AP490" t="s">
        <v>1079</v>
      </c>
      <c r="AQ490" t="s">
        <v>136</v>
      </c>
      <c r="AR490" t="s">
        <v>1080</v>
      </c>
      <c r="AS490" t="s">
        <v>230</v>
      </c>
      <c r="AT490" t="s">
        <v>1096</v>
      </c>
      <c r="AU490" t="s">
        <v>917</v>
      </c>
      <c r="AV490" t="s">
        <v>231</v>
      </c>
      <c r="AW490" t="s">
        <v>1082</v>
      </c>
      <c r="AX490" t="s">
        <v>1037</v>
      </c>
      <c r="AY490" t="s">
        <v>1038</v>
      </c>
      <c r="AZ490" t="s">
        <v>1020</v>
      </c>
      <c r="BA490" t="s">
        <v>1021</v>
      </c>
      <c r="BB490" t="s">
        <v>143</v>
      </c>
      <c r="BC490" t="s">
        <v>756</v>
      </c>
      <c r="BD490" t="s">
        <v>757</v>
      </c>
      <c r="BE490" t="s">
        <v>233</v>
      </c>
      <c r="BF490" t="s">
        <v>2339</v>
      </c>
      <c r="BG490" t="s">
        <v>234</v>
      </c>
      <c r="BH490" t="s">
        <v>341</v>
      </c>
      <c r="BI490" t="s">
        <v>140</v>
      </c>
      <c r="BJ490" t="s">
        <v>272</v>
      </c>
      <c r="BK490" t="s">
        <v>235</v>
      </c>
      <c r="BL490" t="s">
        <v>382</v>
      </c>
      <c r="BM490" t="s">
        <v>796</v>
      </c>
      <c r="BN490" t="s">
        <v>772</v>
      </c>
      <c r="BO490" t="s">
        <v>933</v>
      </c>
      <c r="BP490" t="s">
        <v>216</v>
      </c>
      <c r="BQ490" t="s">
        <v>955</v>
      </c>
      <c r="BR490" t="s">
        <v>1009</v>
      </c>
      <c r="BS490" t="s">
        <v>1187</v>
      </c>
      <c r="BT490" t="s">
        <v>239</v>
      </c>
      <c r="BU490" t="s">
        <v>241</v>
      </c>
      <c r="BV490" t="s">
        <v>805</v>
      </c>
      <c r="BW490" t="s">
        <v>806</v>
      </c>
    </row>
    <row r="491" spans="1:111">
      <c r="A491" s="40">
        <v>459</v>
      </c>
      <c r="B491" s="40" t="s">
        <v>1897</v>
      </c>
      <c r="C491" s="2" t="s">
        <v>1898</v>
      </c>
      <c r="D491" s="2" t="s">
        <v>21</v>
      </c>
      <c r="E491" s="2" t="s">
        <v>23</v>
      </c>
      <c r="F491" s="2">
        <v>60</v>
      </c>
      <c r="G491" s="2">
        <v>62</v>
      </c>
      <c r="H491" s="2">
        <v>50</v>
      </c>
      <c r="I491" s="2">
        <v>62</v>
      </c>
      <c r="J491" s="2">
        <v>60</v>
      </c>
      <c r="K491" s="2">
        <v>40</v>
      </c>
      <c r="L491" s="2">
        <v>334</v>
      </c>
      <c r="M491" s="2" t="s">
        <v>1131</v>
      </c>
      <c r="N491" s="2" t="s">
        <v>1061</v>
      </c>
      <c r="O491" t="s">
        <v>330</v>
      </c>
      <c r="P491" t="s">
        <v>1228</v>
      </c>
      <c r="Q491" t="s">
        <v>224</v>
      </c>
      <c r="R491" t="s">
        <v>769</v>
      </c>
      <c r="S491" t="s">
        <v>1084</v>
      </c>
      <c r="T491" t="s">
        <v>756</v>
      </c>
      <c r="U491" t="s">
        <v>273</v>
      </c>
      <c r="V491" t="s">
        <v>984</v>
      </c>
      <c r="W491" t="s">
        <v>1085</v>
      </c>
      <c r="X491" t="s">
        <v>1218</v>
      </c>
      <c r="Y491" t="s">
        <v>271</v>
      </c>
      <c r="Z491" t="s">
        <v>1210</v>
      </c>
      <c r="AA491" t="s">
        <v>1062</v>
      </c>
      <c r="AB491" t="s">
        <v>1063</v>
      </c>
      <c r="AC491" t="s">
        <v>148</v>
      </c>
      <c r="AD491" t="s">
        <v>1104</v>
      </c>
      <c r="AE491" t="s">
        <v>172</v>
      </c>
      <c r="AF491" t="s">
        <v>141</v>
      </c>
      <c r="AG491" t="s">
        <v>271</v>
      </c>
      <c r="AH491" t="s">
        <v>228</v>
      </c>
      <c r="AI491" t="s">
        <v>1078</v>
      </c>
      <c r="AJ491" t="s">
        <v>766</v>
      </c>
      <c r="AK491" t="s">
        <v>759</v>
      </c>
      <c r="AL491" t="s">
        <v>1079</v>
      </c>
      <c r="AM491" t="s">
        <v>229</v>
      </c>
      <c r="AN491" t="s">
        <v>1080</v>
      </c>
      <c r="AO491" t="s">
        <v>174</v>
      </c>
      <c r="AP491" t="s">
        <v>230</v>
      </c>
      <c r="AQ491" t="s">
        <v>917</v>
      </c>
      <c r="AR491" t="s">
        <v>231</v>
      </c>
      <c r="AS491" t="s">
        <v>1082</v>
      </c>
      <c r="AT491" t="s">
        <v>1037</v>
      </c>
      <c r="AU491" t="s">
        <v>970</v>
      </c>
      <c r="AV491" t="s">
        <v>232</v>
      </c>
      <c r="AW491" t="s">
        <v>145</v>
      </c>
      <c r="AX491" t="s">
        <v>1027</v>
      </c>
      <c r="AY491" t="s">
        <v>977</v>
      </c>
      <c r="AZ491" t="s">
        <v>756</v>
      </c>
      <c r="BA491" t="s">
        <v>757</v>
      </c>
      <c r="BB491" t="s">
        <v>233</v>
      </c>
      <c r="BC491" t="s">
        <v>2339</v>
      </c>
      <c r="BD491" t="s">
        <v>234</v>
      </c>
      <c r="BE491" t="s">
        <v>493</v>
      </c>
      <c r="BF491" t="s">
        <v>225</v>
      </c>
      <c r="BG491" t="s">
        <v>273</v>
      </c>
      <c r="BH491" t="s">
        <v>142</v>
      </c>
      <c r="BI491" t="s">
        <v>215</v>
      </c>
      <c r="BJ491" t="s">
        <v>237</v>
      </c>
      <c r="BK491" t="s">
        <v>1190</v>
      </c>
      <c r="BL491" t="s">
        <v>930</v>
      </c>
      <c r="BM491" t="s">
        <v>992</v>
      </c>
      <c r="BN491" t="s">
        <v>1004</v>
      </c>
      <c r="BO491" t="s">
        <v>1214</v>
      </c>
      <c r="BP491" t="s">
        <v>239</v>
      </c>
      <c r="BQ491" t="s">
        <v>241</v>
      </c>
      <c r="BR491" t="s">
        <v>805</v>
      </c>
      <c r="BS491" t="s">
        <v>806</v>
      </c>
    </row>
    <row r="492" spans="1:111">
      <c r="A492" s="40">
        <v>460</v>
      </c>
      <c r="B492" s="40" t="s">
        <v>1899</v>
      </c>
      <c r="C492" s="2" t="s">
        <v>1900</v>
      </c>
      <c r="D492" s="2" t="s">
        <v>21</v>
      </c>
      <c r="E492" s="2" t="s">
        <v>23</v>
      </c>
      <c r="F492" s="2">
        <v>90</v>
      </c>
      <c r="G492" s="2">
        <v>92</v>
      </c>
      <c r="H492" s="2">
        <v>75</v>
      </c>
      <c r="I492" s="2">
        <v>92</v>
      </c>
      <c r="J492" s="2">
        <v>85</v>
      </c>
      <c r="K492" s="2">
        <v>60</v>
      </c>
      <c r="L492" s="2">
        <v>494</v>
      </c>
      <c r="M492" s="2" t="s">
        <v>1137</v>
      </c>
      <c r="N492" s="2" t="s">
        <v>1061</v>
      </c>
      <c r="O492" t="s">
        <v>274</v>
      </c>
      <c r="P492" t="s">
        <v>330</v>
      </c>
      <c r="Q492" t="s">
        <v>224</v>
      </c>
      <c r="R492" t="s">
        <v>1228</v>
      </c>
      <c r="S492" t="s">
        <v>769</v>
      </c>
      <c r="T492" t="s">
        <v>224</v>
      </c>
      <c r="U492" t="s">
        <v>769</v>
      </c>
      <c r="V492" t="s">
        <v>1084</v>
      </c>
      <c r="W492" t="s">
        <v>756</v>
      </c>
      <c r="X492" t="s">
        <v>273</v>
      </c>
      <c r="Y492" t="s">
        <v>984</v>
      </c>
      <c r="Z492" t="s">
        <v>1085</v>
      </c>
      <c r="AA492" t="s">
        <v>1218</v>
      </c>
      <c r="AB492" t="s">
        <v>271</v>
      </c>
      <c r="AC492" t="s">
        <v>1210</v>
      </c>
      <c r="AD492" t="s">
        <v>1062</v>
      </c>
      <c r="AE492" t="s">
        <v>227</v>
      </c>
      <c r="AF492" t="s">
        <v>1063</v>
      </c>
      <c r="AG492" t="s">
        <v>148</v>
      </c>
      <c r="AH492" t="s">
        <v>1104</v>
      </c>
      <c r="AI492" t="s">
        <v>172</v>
      </c>
      <c r="AJ492" t="s">
        <v>141</v>
      </c>
      <c r="AK492" t="s">
        <v>271</v>
      </c>
      <c r="AL492" t="s">
        <v>247</v>
      </c>
      <c r="AM492" t="s">
        <v>228</v>
      </c>
      <c r="AN492" t="s">
        <v>1078</v>
      </c>
      <c r="AO492" t="s">
        <v>766</v>
      </c>
      <c r="AP492" t="s">
        <v>759</v>
      </c>
      <c r="AQ492" t="s">
        <v>1079</v>
      </c>
      <c r="AR492" t="s">
        <v>229</v>
      </c>
      <c r="AS492" t="s">
        <v>136</v>
      </c>
      <c r="AT492" t="s">
        <v>1080</v>
      </c>
      <c r="AU492" t="s">
        <v>174</v>
      </c>
      <c r="AV492" t="s">
        <v>1094</v>
      </c>
      <c r="AW492" t="s">
        <v>230</v>
      </c>
      <c r="AX492" t="s">
        <v>1095</v>
      </c>
      <c r="AY492" t="s">
        <v>917</v>
      </c>
      <c r="AZ492" t="s">
        <v>231</v>
      </c>
      <c r="BA492" t="s">
        <v>1082</v>
      </c>
      <c r="BB492" t="s">
        <v>1037</v>
      </c>
      <c r="BC492" t="s">
        <v>1102</v>
      </c>
      <c r="BD492" t="s">
        <v>970</v>
      </c>
      <c r="BE492" t="s">
        <v>974</v>
      </c>
      <c r="BF492" t="s">
        <v>976</v>
      </c>
      <c r="BG492" t="s">
        <v>232</v>
      </c>
      <c r="BH492" t="s">
        <v>145</v>
      </c>
      <c r="BI492" t="s">
        <v>1021</v>
      </c>
      <c r="BJ492" t="s">
        <v>1027</v>
      </c>
      <c r="BK492" t="s">
        <v>143</v>
      </c>
      <c r="BL492" t="s">
        <v>977</v>
      </c>
      <c r="BM492" t="s">
        <v>756</v>
      </c>
      <c r="BN492" t="s">
        <v>757</v>
      </c>
      <c r="BO492" t="s">
        <v>233</v>
      </c>
      <c r="BP492" t="s">
        <v>760</v>
      </c>
      <c r="BQ492" t="s">
        <v>2339</v>
      </c>
      <c r="BR492" t="s">
        <v>234</v>
      </c>
      <c r="BS492" t="s">
        <v>493</v>
      </c>
      <c r="BT492" t="s">
        <v>225</v>
      </c>
      <c r="BU492" t="s">
        <v>273</v>
      </c>
      <c r="BV492" t="s">
        <v>142</v>
      </c>
      <c r="BW492" t="s">
        <v>215</v>
      </c>
      <c r="BX492" t="s">
        <v>237</v>
      </c>
      <c r="BY492" t="s">
        <v>1190</v>
      </c>
      <c r="BZ492" t="s">
        <v>930</v>
      </c>
      <c r="CA492" t="s">
        <v>992</v>
      </c>
      <c r="CB492" t="s">
        <v>1004</v>
      </c>
      <c r="CC492" t="s">
        <v>1214</v>
      </c>
      <c r="CD492" t="s">
        <v>239</v>
      </c>
      <c r="CE492" t="s">
        <v>241</v>
      </c>
      <c r="CF492" t="s">
        <v>805</v>
      </c>
      <c r="CG492" t="s">
        <v>806</v>
      </c>
    </row>
    <row r="493" spans="1:111">
      <c r="A493" s="40">
        <v>460.1</v>
      </c>
      <c r="B493" s="40" t="s">
        <v>2329</v>
      </c>
      <c r="C493" s="2" t="s">
        <v>2330</v>
      </c>
      <c r="D493" s="2" t="s">
        <v>21</v>
      </c>
      <c r="E493" s="2" t="s">
        <v>23</v>
      </c>
      <c r="F493" s="2">
        <v>90</v>
      </c>
      <c r="G493" s="2">
        <v>132</v>
      </c>
      <c r="H493" s="2">
        <v>105</v>
      </c>
      <c r="I493" s="2">
        <v>132</v>
      </c>
      <c r="J493" s="2">
        <v>105</v>
      </c>
      <c r="K493" s="2">
        <v>30</v>
      </c>
      <c r="L493" s="2">
        <v>594</v>
      </c>
      <c r="M493" s="2" t="s">
        <v>2423</v>
      </c>
      <c r="N493" s="2" t="s">
        <v>1061</v>
      </c>
      <c r="O493" t="s">
        <v>1062</v>
      </c>
      <c r="P493" t="s">
        <v>1063</v>
      </c>
      <c r="Q493" t="s">
        <v>757</v>
      </c>
      <c r="R493" t="s">
        <v>2339</v>
      </c>
      <c r="S493" t="s">
        <v>234</v>
      </c>
      <c r="T493" t="s">
        <v>239</v>
      </c>
      <c r="U493" t="s">
        <v>241</v>
      </c>
      <c r="V493" t="s">
        <v>805</v>
      </c>
      <c r="W493" t="s">
        <v>806</v>
      </c>
    </row>
    <row r="494" spans="1:111">
      <c r="A494" s="40">
        <v>461</v>
      </c>
      <c r="B494" s="40" t="s">
        <v>1901</v>
      </c>
      <c r="C494" s="2" t="s">
        <v>1902</v>
      </c>
      <c r="D494" s="2" t="s">
        <v>15</v>
      </c>
      <c r="E494" s="2" t="s">
        <v>23</v>
      </c>
      <c r="F494" s="2">
        <v>70</v>
      </c>
      <c r="G494" s="2">
        <v>120</v>
      </c>
      <c r="H494" s="2">
        <v>65</v>
      </c>
      <c r="I494" s="2">
        <v>45</v>
      </c>
      <c r="J494" s="2">
        <v>85</v>
      </c>
      <c r="K494" s="2">
        <v>125</v>
      </c>
      <c r="L494" s="2">
        <v>510</v>
      </c>
      <c r="M494" s="2" t="s">
        <v>2415</v>
      </c>
      <c r="N494" s="2" t="s">
        <v>1061</v>
      </c>
      <c r="O494" t="s">
        <v>249</v>
      </c>
      <c r="P494" t="s">
        <v>330</v>
      </c>
      <c r="Q494" t="s">
        <v>310</v>
      </c>
      <c r="R494" t="s">
        <v>1126</v>
      </c>
      <c r="S494" t="s">
        <v>1128</v>
      </c>
      <c r="T494" t="s">
        <v>960</v>
      </c>
      <c r="U494" t="s">
        <v>969</v>
      </c>
      <c r="V494" t="s">
        <v>310</v>
      </c>
      <c r="W494" t="s">
        <v>774</v>
      </c>
      <c r="X494" t="s">
        <v>769</v>
      </c>
      <c r="Y494" t="s">
        <v>323</v>
      </c>
      <c r="Z494" t="s">
        <v>991</v>
      </c>
      <c r="AA494" t="s">
        <v>783</v>
      </c>
      <c r="AB494" t="s">
        <v>1030</v>
      </c>
      <c r="AC494" t="s">
        <v>974</v>
      </c>
      <c r="AD494" t="s">
        <v>324</v>
      </c>
      <c r="AE494" t="s">
        <v>993</v>
      </c>
      <c r="AF494" t="s">
        <v>945</v>
      </c>
      <c r="AG494" t="s">
        <v>1001</v>
      </c>
      <c r="AH494" t="s">
        <v>1157</v>
      </c>
      <c r="AI494" t="s">
        <v>1062</v>
      </c>
      <c r="AJ494" t="s">
        <v>226</v>
      </c>
      <c r="AK494" t="s">
        <v>144</v>
      </c>
      <c r="AL494" t="s">
        <v>227</v>
      </c>
      <c r="AM494" t="s">
        <v>1063</v>
      </c>
      <c r="AN494" t="s">
        <v>1030</v>
      </c>
      <c r="AO494" t="s">
        <v>912</v>
      </c>
      <c r="AP494" t="s">
        <v>148</v>
      </c>
      <c r="AQ494" t="s">
        <v>1104</v>
      </c>
      <c r="AR494" t="s">
        <v>172</v>
      </c>
      <c r="AS494" t="s">
        <v>752</v>
      </c>
      <c r="AT494" t="s">
        <v>1126</v>
      </c>
      <c r="AU494" t="s">
        <v>141</v>
      </c>
      <c r="AV494" t="s">
        <v>271</v>
      </c>
      <c r="AW494" t="s">
        <v>247</v>
      </c>
      <c r="AX494" t="s">
        <v>1078</v>
      </c>
      <c r="AY494" t="s">
        <v>766</v>
      </c>
      <c r="AZ494" t="s">
        <v>1079</v>
      </c>
      <c r="BA494" t="s">
        <v>1080</v>
      </c>
      <c r="BB494" t="s">
        <v>256</v>
      </c>
      <c r="BC494" t="s">
        <v>174</v>
      </c>
      <c r="BD494" t="s">
        <v>1094</v>
      </c>
      <c r="BE494" t="s">
        <v>230</v>
      </c>
      <c r="BF494" t="s">
        <v>380</v>
      </c>
      <c r="BG494" t="s">
        <v>1096</v>
      </c>
      <c r="BH494" t="s">
        <v>951</v>
      </c>
      <c r="BI494" t="s">
        <v>917</v>
      </c>
      <c r="BJ494" t="s">
        <v>231</v>
      </c>
      <c r="BK494" t="s">
        <v>1082</v>
      </c>
      <c r="BL494" t="s">
        <v>1117</v>
      </c>
      <c r="BM494" t="s">
        <v>1172</v>
      </c>
      <c r="BN494" t="s">
        <v>1037</v>
      </c>
      <c r="BO494" t="s">
        <v>1102</v>
      </c>
      <c r="BP494" t="s">
        <v>776</v>
      </c>
      <c r="BQ494" t="s">
        <v>974</v>
      </c>
      <c r="BR494" t="s">
        <v>969</v>
      </c>
      <c r="BS494" t="s">
        <v>1005</v>
      </c>
      <c r="BT494" t="s">
        <v>995</v>
      </c>
      <c r="BU494" t="s">
        <v>1036</v>
      </c>
      <c r="BV494" t="s">
        <v>976</v>
      </c>
      <c r="BW494" t="s">
        <v>145</v>
      </c>
      <c r="BX494" t="s">
        <v>785</v>
      </c>
      <c r="BY494" t="s">
        <v>1018</v>
      </c>
      <c r="BZ494" t="s">
        <v>997</v>
      </c>
      <c r="CA494" t="s">
        <v>293</v>
      </c>
      <c r="CB494" t="s">
        <v>756</v>
      </c>
      <c r="CC494" t="s">
        <v>757</v>
      </c>
      <c r="CD494" t="s">
        <v>233</v>
      </c>
      <c r="CE494" t="s">
        <v>760</v>
      </c>
      <c r="CF494" t="s">
        <v>1040</v>
      </c>
      <c r="CG494" t="s">
        <v>1157</v>
      </c>
      <c r="CH494" t="s">
        <v>2398</v>
      </c>
      <c r="CI494" t="s">
        <v>2339</v>
      </c>
      <c r="CJ494" t="s">
        <v>234</v>
      </c>
      <c r="CK494" t="s">
        <v>274</v>
      </c>
      <c r="CL494" t="s">
        <v>258</v>
      </c>
      <c r="CM494" t="s">
        <v>259</v>
      </c>
      <c r="CN494" t="s">
        <v>778</v>
      </c>
      <c r="CO494" t="s">
        <v>771</v>
      </c>
      <c r="CP494" t="s">
        <v>773</v>
      </c>
      <c r="CQ494" t="s">
        <v>176</v>
      </c>
      <c r="CR494" t="s">
        <v>1166</v>
      </c>
      <c r="CS494" t="s">
        <v>1143</v>
      </c>
      <c r="CT494" t="s">
        <v>971</v>
      </c>
      <c r="CU494" t="s">
        <v>1001</v>
      </c>
      <c r="CV494" t="s">
        <v>1214</v>
      </c>
      <c r="CW494" t="s">
        <v>984</v>
      </c>
      <c r="CX494" t="s">
        <v>965</v>
      </c>
      <c r="CY494" t="s">
        <v>1216</v>
      </c>
      <c r="CZ494" t="s">
        <v>239</v>
      </c>
      <c r="DA494" t="s">
        <v>241</v>
      </c>
      <c r="DB494" t="s">
        <v>306</v>
      </c>
      <c r="DC494" t="s">
        <v>763</v>
      </c>
      <c r="DD494" t="s">
        <v>253</v>
      </c>
      <c r="DE494" t="s">
        <v>984</v>
      </c>
      <c r="DF494" t="s">
        <v>805</v>
      </c>
      <c r="DG494" t="s">
        <v>806</v>
      </c>
    </row>
    <row r="495" spans="1:111">
      <c r="A495" s="40">
        <v>462</v>
      </c>
      <c r="B495" s="40" t="s">
        <v>1903</v>
      </c>
      <c r="C495" s="2" t="s">
        <v>1904</v>
      </c>
      <c r="D495" s="2" t="s">
        <v>17</v>
      </c>
      <c r="E495" s="2" t="s">
        <v>26</v>
      </c>
      <c r="F495" s="2">
        <v>70</v>
      </c>
      <c r="G495" s="2">
        <v>70</v>
      </c>
      <c r="H495" s="2">
        <v>115</v>
      </c>
      <c r="I495" s="2">
        <v>130</v>
      </c>
      <c r="J495" s="2">
        <v>90</v>
      </c>
      <c r="K495" s="2">
        <v>60</v>
      </c>
      <c r="L495" s="2">
        <v>535</v>
      </c>
      <c r="M495" s="2" t="s">
        <v>1075</v>
      </c>
      <c r="N495" s="2" t="s">
        <v>1061</v>
      </c>
      <c r="O495" t="s">
        <v>219</v>
      </c>
      <c r="P495" t="s">
        <v>290</v>
      </c>
      <c r="Q495" t="s">
        <v>502</v>
      </c>
      <c r="R495" t="s">
        <v>346</v>
      </c>
      <c r="S495" t="s">
        <v>455</v>
      </c>
      <c r="T495" t="s">
        <v>772</v>
      </c>
      <c r="U495" t="s">
        <v>2375</v>
      </c>
      <c r="V495" t="s">
        <v>290</v>
      </c>
      <c r="W495" t="s">
        <v>346</v>
      </c>
      <c r="X495" t="s">
        <v>502</v>
      </c>
      <c r="Y495" t="s">
        <v>2348</v>
      </c>
      <c r="Z495" t="s">
        <v>322</v>
      </c>
      <c r="AA495" t="s">
        <v>1205</v>
      </c>
      <c r="AB495" t="s">
        <v>1203</v>
      </c>
      <c r="AC495" t="s">
        <v>1206</v>
      </c>
      <c r="AD495" t="s">
        <v>1202</v>
      </c>
      <c r="AE495" t="s">
        <v>1023</v>
      </c>
      <c r="AF495" t="s">
        <v>973</v>
      </c>
      <c r="AG495" t="s">
        <v>324</v>
      </c>
      <c r="AH495" t="s">
        <v>1138</v>
      </c>
      <c r="AI495" t="s">
        <v>1204</v>
      </c>
      <c r="AJ495" t="s">
        <v>988</v>
      </c>
      <c r="AK495" t="s">
        <v>980</v>
      </c>
      <c r="AL495" t="s">
        <v>1207</v>
      </c>
      <c r="AM495" t="s">
        <v>1062</v>
      </c>
      <c r="AN495" t="s">
        <v>1063</v>
      </c>
      <c r="AO495" t="s">
        <v>148</v>
      </c>
      <c r="AP495" t="s">
        <v>172</v>
      </c>
      <c r="AQ495" t="s">
        <v>752</v>
      </c>
      <c r="AR495" t="s">
        <v>247</v>
      </c>
      <c r="AS495" t="s">
        <v>228</v>
      </c>
      <c r="AT495" t="s">
        <v>1078</v>
      </c>
      <c r="AU495" t="s">
        <v>766</v>
      </c>
      <c r="AV495" t="s">
        <v>1079</v>
      </c>
      <c r="AW495" t="s">
        <v>146</v>
      </c>
      <c r="AX495" t="s">
        <v>321</v>
      </c>
      <c r="AY495" t="s">
        <v>1080</v>
      </c>
      <c r="AZ495" t="s">
        <v>230</v>
      </c>
      <c r="BA495" t="s">
        <v>380</v>
      </c>
      <c r="BB495" t="s">
        <v>917</v>
      </c>
      <c r="BC495" t="s">
        <v>231</v>
      </c>
      <c r="BD495" t="s">
        <v>1037</v>
      </c>
      <c r="BE495" t="s">
        <v>963</v>
      </c>
      <c r="BF495" t="s">
        <v>485</v>
      </c>
      <c r="BG495" t="s">
        <v>976</v>
      </c>
      <c r="BH495" t="s">
        <v>232</v>
      </c>
      <c r="BI495" t="s">
        <v>1045</v>
      </c>
      <c r="BJ495" t="s">
        <v>322</v>
      </c>
      <c r="BK495" t="s">
        <v>980</v>
      </c>
      <c r="BL495" t="s">
        <v>785</v>
      </c>
      <c r="BM495" t="s">
        <v>756</v>
      </c>
      <c r="BN495" t="s">
        <v>757</v>
      </c>
      <c r="BO495" t="s">
        <v>233</v>
      </c>
      <c r="BP495" t="s">
        <v>973</v>
      </c>
      <c r="BQ495" t="s">
        <v>1047</v>
      </c>
      <c r="BR495" t="s">
        <v>2339</v>
      </c>
      <c r="BS495" t="s">
        <v>234</v>
      </c>
      <c r="BT495" t="s">
        <v>239</v>
      </c>
      <c r="BU495" t="s">
        <v>241</v>
      </c>
      <c r="BV495" t="s">
        <v>333</v>
      </c>
      <c r="BW495" t="s">
        <v>805</v>
      </c>
      <c r="BX495" t="s">
        <v>806</v>
      </c>
    </row>
    <row r="496" spans="1:111">
      <c r="A496" s="40">
        <v>463</v>
      </c>
      <c r="B496" s="40" t="s">
        <v>1905</v>
      </c>
      <c r="C496" s="2" t="s">
        <v>1906</v>
      </c>
      <c r="D496" s="2" t="s">
        <v>24</v>
      </c>
      <c r="E496" s="2"/>
      <c r="F496" s="2">
        <v>110</v>
      </c>
      <c r="G496" s="2">
        <v>85</v>
      </c>
      <c r="H496" s="2">
        <v>95</v>
      </c>
      <c r="I496" s="2">
        <v>80</v>
      </c>
      <c r="J496" s="2">
        <v>95</v>
      </c>
      <c r="K496" s="2">
        <v>50</v>
      </c>
      <c r="L496" s="2">
        <v>515</v>
      </c>
      <c r="M496" s="2" t="s">
        <v>1458</v>
      </c>
      <c r="N496" s="2" t="s">
        <v>1061</v>
      </c>
      <c r="O496" t="s">
        <v>511</v>
      </c>
      <c r="P496" t="s">
        <v>290</v>
      </c>
      <c r="Q496" t="s">
        <v>353</v>
      </c>
      <c r="R496" t="s">
        <v>928</v>
      </c>
      <c r="S496" t="s">
        <v>338</v>
      </c>
      <c r="T496" t="s">
        <v>493</v>
      </c>
      <c r="U496" t="s">
        <v>340</v>
      </c>
      <c r="V496" t="s">
        <v>341</v>
      </c>
      <c r="W496" t="s">
        <v>768</v>
      </c>
      <c r="X496" t="s">
        <v>1142</v>
      </c>
      <c r="Y496" t="s">
        <v>989</v>
      </c>
      <c r="Z496" t="s">
        <v>1106</v>
      </c>
      <c r="AA496" t="s">
        <v>324</v>
      </c>
      <c r="AB496" t="s">
        <v>1088</v>
      </c>
      <c r="AC496" t="s">
        <v>1189</v>
      </c>
      <c r="AD496" t="s">
        <v>980</v>
      </c>
      <c r="AE496" t="s">
        <v>1062</v>
      </c>
      <c r="AF496" t="s">
        <v>226</v>
      </c>
      <c r="AG496" t="s">
        <v>144</v>
      </c>
      <c r="AH496" t="s">
        <v>227</v>
      </c>
      <c r="AI496" t="s">
        <v>1063</v>
      </c>
      <c r="AJ496" t="s">
        <v>148</v>
      </c>
      <c r="AK496" t="s">
        <v>172</v>
      </c>
      <c r="AL496" t="s">
        <v>752</v>
      </c>
      <c r="AM496" t="s">
        <v>141</v>
      </c>
      <c r="AN496" t="s">
        <v>271</v>
      </c>
      <c r="AO496" t="s">
        <v>247</v>
      </c>
      <c r="AP496" t="s">
        <v>1078</v>
      </c>
      <c r="AQ496" t="s">
        <v>766</v>
      </c>
      <c r="AR496" t="s">
        <v>1079</v>
      </c>
      <c r="AS496" t="s">
        <v>229</v>
      </c>
      <c r="AT496" t="s">
        <v>146</v>
      </c>
      <c r="AU496" t="s">
        <v>321</v>
      </c>
      <c r="AV496" t="s">
        <v>136</v>
      </c>
      <c r="AW496" t="s">
        <v>1080</v>
      </c>
      <c r="AX496" t="s">
        <v>256</v>
      </c>
      <c r="AY496" t="s">
        <v>174</v>
      </c>
      <c r="AZ496" t="s">
        <v>1094</v>
      </c>
      <c r="BA496" t="s">
        <v>230</v>
      </c>
      <c r="BB496" t="s">
        <v>254</v>
      </c>
      <c r="BC496" t="s">
        <v>765</v>
      </c>
      <c r="BD496" t="s">
        <v>257</v>
      </c>
      <c r="BE496" t="s">
        <v>1095</v>
      </c>
      <c r="BF496" t="s">
        <v>917</v>
      </c>
      <c r="BG496" t="s">
        <v>231</v>
      </c>
      <c r="BH496" t="s">
        <v>1082</v>
      </c>
      <c r="BI496" t="s">
        <v>1117</v>
      </c>
      <c r="BJ496" t="s">
        <v>1037</v>
      </c>
      <c r="BK496" t="s">
        <v>1102</v>
      </c>
      <c r="BL496" t="s">
        <v>974</v>
      </c>
      <c r="BM496" t="s">
        <v>1031</v>
      </c>
      <c r="BN496" t="s">
        <v>485</v>
      </c>
      <c r="BO496" t="s">
        <v>1036</v>
      </c>
      <c r="BP496" t="s">
        <v>976</v>
      </c>
      <c r="BQ496" t="s">
        <v>980</v>
      </c>
      <c r="BR496" t="s">
        <v>145</v>
      </c>
      <c r="BS496" t="s">
        <v>785</v>
      </c>
      <c r="BT496" t="s">
        <v>1021</v>
      </c>
      <c r="BU496" t="s">
        <v>143</v>
      </c>
      <c r="BV496" t="s">
        <v>1022</v>
      </c>
      <c r="BW496" t="s">
        <v>293</v>
      </c>
      <c r="BX496" t="s">
        <v>756</v>
      </c>
      <c r="BY496" t="s">
        <v>757</v>
      </c>
      <c r="BZ496" t="s">
        <v>233</v>
      </c>
      <c r="CA496" t="s">
        <v>760</v>
      </c>
      <c r="CB496" t="s">
        <v>2398</v>
      </c>
      <c r="CC496" t="s">
        <v>2339</v>
      </c>
      <c r="CD496" t="s">
        <v>234</v>
      </c>
      <c r="CE496" t="s">
        <v>364</v>
      </c>
      <c r="CF496" t="s">
        <v>235</v>
      </c>
      <c r="CG496" t="s">
        <v>753</v>
      </c>
      <c r="CH496" t="s">
        <v>751</v>
      </c>
      <c r="CI496" t="s">
        <v>1099</v>
      </c>
      <c r="CJ496" t="s">
        <v>757</v>
      </c>
      <c r="CK496" t="s">
        <v>789</v>
      </c>
      <c r="CL496" t="s">
        <v>944</v>
      </c>
      <c r="CM496" t="s">
        <v>1105</v>
      </c>
      <c r="CN496" t="s">
        <v>981</v>
      </c>
      <c r="CO496" t="s">
        <v>1019</v>
      </c>
      <c r="CP496" t="s">
        <v>2335</v>
      </c>
      <c r="CQ496" t="s">
        <v>239</v>
      </c>
      <c r="CR496" t="s">
        <v>241</v>
      </c>
      <c r="CS496" t="s">
        <v>805</v>
      </c>
      <c r="CT496" t="s">
        <v>806</v>
      </c>
    </row>
    <row r="497" spans="1:139">
      <c r="A497" s="40">
        <v>464</v>
      </c>
      <c r="B497" s="40" t="s">
        <v>1907</v>
      </c>
      <c r="C497" s="2" t="s">
        <v>1908</v>
      </c>
      <c r="D497" s="2" t="s">
        <v>22</v>
      </c>
      <c r="E497" s="2" t="s">
        <v>25</v>
      </c>
      <c r="F497" s="2">
        <v>115</v>
      </c>
      <c r="G497" s="2">
        <v>140</v>
      </c>
      <c r="H497" s="2">
        <v>130</v>
      </c>
      <c r="I497" s="2">
        <v>55</v>
      </c>
      <c r="J497" s="2">
        <v>55</v>
      </c>
      <c r="K497" s="2">
        <v>40</v>
      </c>
      <c r="L497" s="2">
        <v>535</v>
      </c>
      <c r="M497" s="2" t="s">
        <v>2416</v>
      </c>
      <c r="N497" s="2" t="s">
        <v>1061</v>
      </c>
      <c r="O497" t="s">
        <v>493</v>
      </c>
      <c r="P497" t="s">
        <v>367</v>
      </c>
      <c r="Q497" t="s">
        <v>301</v>
      </c>
      <c r="R497" t="s">
        <v>266</v>
      </c>
      <c r="S497" t="s">
        <v>997</v>
      </c>
      <c r="T497" t="s">
        <v>493</v>
      </c>
      <c r="U497" t="s">
        <v>301</v>
      </c>
      <c r="V497" t="s">
        <v>1092</v>
      </c>
      <c r="W497" t="s">
        <v>1196</v>
      </c>
      <c r="X497" t="s">
        <v>1142</v>
      </c>
      <c r="Y497" t="s">
        <v>223</v>
      </c>
      <c r="Z497" t="s">
        <v>981</v>
      </c>
      <c r="AA497" t="s">
        <v>1132</v>
      </c>
      <c r="AB497" t="s">
        <v>183</v>
      </c>
      <c r="AC497" t="s">
        <v>136</v>
      </c>
      <c r="AD497" t="s">
        <v>368</v>
      </c>
      <c r="AE497" t="s">
        <v>797</v>
      </c>
      <c r="AF497" t="s">
        <v>1909</v>
      </c>
      <c r="AG497" t="s">
        <v>1062</v>
      </c>
      <c r="AH497" t="s">
        <v>226</v>
      </c>
      <c r="AI497" t="s">
        <v>144</v>
      </c>
      <c r="AJ497" t="s">
        <v>227</v>
      </c>
      <c r="AK497" t="s">
        <v>1063</v>
      </c>
      <c r="AL497" t="s">
        <v>246</v>
      </c>
      <c r="AM497" t="s">
        <v>148</v>
      </c>
      <c r="AN497" t="s">
        <v>172</v>
      </c>
      <c r="AO497" t="s">
        <v>752</v>
      </c>
      <c r="AP497" t="s">
        <v>141</v>
      </c>
      <c r="AQ497" t="s">
        <v>271</v>
      </c>
      <c r="AR497" t="s">
        <v>247</v>
      </c>
      <c r="AS497" t="s">
        <v>1078</v>
      </c>
      <c r="AT497" t="s">
        <v>766</v>
      </c>
      <c r="AU497" t="s">
        <v>1079</v>
      </c>
      <c r="AV497" t="s">
        <v>1109</v>
      </c>
      <c r="AW497" t="s">
        <v>146</v>
      </c>
      <c r="AX497" t="s">
        <v>321</v>
      </c>
      <c r="AY497" t="s">
        <v>136</v>
      </c>
      <c r="AZ497" t="s">
        <v>1080</v>
      </c>
      <c r="BA497" t="s">
        <v>256</v>
      </c>
      <c r="BB497" t="s">
        <v>1094</v>
      </c>
      <c r="BC497" t="s">
        <v>230</v>
      </c>
      <c r="BD497" t="s">
        <v>254</v>
      </c>
      <c r="BE497" t="s">
        <v>765</v>
      </c>
      <c r="BF497" t="s">
        <v>257</v>
      </c>
      <c r="BG497" t="s">
        <v>1095</v>
      </c>
      <c r="BH497" t="s">
        <v>917</v>
      </c>
      <c r="BI497" t="s">
        <v>231</v>
      </c>
      <c r="BJ497" t="s">
        <v>1082</v>
      </c>
      <c r="BK497" t="s">
        <v>1117</v>
      </c>
      <c r="BL497" t="s">
        <v>1037</v>
      </c>
      <c r="BM497" t="s">
        <v>1102</v>
      </c>
      <c r="BN497" t="s">
        <v>974</v>
      </c>
      <c r="BO497" t="s">
        <v>1031</v>
      </c>
      <c r="BP497" t="s">
        <v>1005</v>
      </c>
      <c r="BQ497" t="s">
        <v>995</v>
      </c>
      <c r="BR497" t="s">
        <v>976</v>
      </c>
      <c r="BS497" t="s">
        <v>1003</v>
      </c>
      <c r="BT497" t="s">
        <v>183</v>
      </c>
      <c r="BU497" t="s">
        <v>145</v>
      </c>
      <c r="BV497" t="s">
        <v>1021</v>
      </c>
      <c r="BW497" t="s">
        <v>143</v>
      </c>
      <c r="BX497" t="s">
        <v>1022</v>
      </c>
      <c r="BY497" t="s">
        <v>997</v>
      </c>
      <c r="BZ497" t="s">
        <v>756</v>
      </c>
      <c r="CA497" t="s">
        <v>757</v>
      </c>
      <c r="CB497" t="s">
        <v>233</v>
      </c>
      <c r="CC497" t="s">
        <v>973</v>
      </c>
      <c r="CD497" t="s">
        <v>760</v>
      </c>
      <c r="CE497" t="s">
        <v>2398</v>
      </c>
      <c r="CF497" t="s">
        <v>2339</v>
      </c>
      <c r="CG497" t="s">
        <v>234</v>
      </c>
      <c r="CH497" t="s">
        <v>259</v>
      </c>
      <c r="CI497" t="s">
        <v>237</v>
      </c>
      <c r="CJ497" t="s">
        <v>751</v>
      </c>
      <c r="CK497" t="s">
        <v>775</v>
      </c>
      <c r="CL497" t="s">
        <v>789</v>
      </c>
      <c r="CM497" t="s">
        <v>761</v>
      </c>
      <c r="CN497" t="s">
        <v>777</v>
      </c>
      <c r="CO497" t="s">
        <v>1143</v>
      </c>
      <c r="CP497" t="s">
        <v>1559</v>
      </c>
      <c r="CQ497" t="s">
        <v>180</v>
      </c>
      <c r="CR497" t="s">
        <v>1010</v>
      </c>
      <c r="CS497" t="s">
        <v>983</v>
      </c>
      <c r="CT497" t="s">
        <v>182</v>
      </c>
      <c r="CU497" t="s">
        <v>1002</v>
      </c>
      <c r="CV497" t="s">
        <v>2400</v>
      </c>
      <c r="CW497" t="s">
        <v>239</v>
      </c>
      <c r="CX497" t="s">
        <v>241</v>
      </c>
      <c r="CY497" t="s">
        <v>1021</v>
      </c>
      <c r="CZ497" t="s">
        <v>805</v>
      </c>
      <c r="DA497" t="s">
        <v>806</v>
      </c>
    </row>
    <row r="498" spans="1:139">
      <c r="A498" s="40">
        <v>465</v>
      </c>
      <c r="B498" s="40" t="s">
        <v>1910</v>
      </c>
      <c r="C498" s="2" t="s">
        <v>1911</v>
      </c>
      <c r="D498" s="2" t="s">
        <v>21</v>
      </c>
      <c r="E498" s="2"/>
      <c r="F498" s="2">
        <v>100</v>
      </c>
      <c r="G498" s="2">
        <v>100</v>
      </c>
      <c r="H498" s="2">
        <v>125</v>
      </c>
      <c r="I498" s="2">
        <v>110</v>
      </c>
      <c r="J498" s="2">
        <v>50</v>
      </c>
      <c r="K498" s="2">
        <v>50</v>
      </c>
      <c r="L498" s="2">
        <v>535</v>
      </c>
      <c r="M498" s="2" t="s">
        <v>1161</v>
      </c>
      <c r="N498" s="2" t="s">
        <v>1061</v>
      </c>
      <c r="O498" t="s">
        <v>477</v>
      </c>
      <c r="P498" t="s">
        <v>1085</v>
      </c>
      <c r="Q498" t="s">
        <v>222</v>
      </c>
      <c r="R498" t="s">
        <v>149</v>
      </c>
      <c r="S498" t="s">
        <v>402</v>
      </c>
      <c r="T498" t="s">
        <v>221</v>
      </c>
      <c r="U498" t="s">
        <v>240</v>
      </c>
      <c r="V498" t="s">
        <v>215</v>
      </c>
      <c r="W498" t="s">
        <v>403</v>
      </c>
      <c r="X498" t="s">
        <v>928</v>
      </c>
      <c r="Y498" t="s">
        <v>288</v>
      </c>
      <c r="Z498" t="s">
        <v>992</v>
      </c>
      <c r="AA498" t="s">
        <v>171</v>
      </c>
      <c r="AB498" t="s">
        <v>170</v>
      </c>
      <c r="AC498" t="s">
        <v>341</v>
      </c>
      <c r="AD498" t="s">
        <v>950</v>
      </c>
      <c r="AE498" t="s">
        <v>1189</v>
      </c>
      <c r="AF498" t="s">
        <v>2367</v>
      </c>
      <c r="AG498" t="s">
        <v>1088</v>
      </c>
      <c r="AH498" t="s">
        <v>911</v>
      </c>
      <c r="AI498" t="s">
        <v>1062</v>
      </c>
      <c r="AJ498" t="s">
        <v>226</v>
      </c>
      <c r="AK498" t="s">
        <v>227</v>
      </c>
      <c r="AL498" t="s">
        <v>1063</v>
      </c>
      <c r="AM498" t="s">
        <v>148</v>
      </c>
      <c r="AN498" t="s">
        <v>172</v>
      </c>
      <c r="AO498" t="s">
        <v>752</v>
      </c>
      <c r="AP498" t="s">
        <v>247</v>
      </c>
      <c r="AQ498" t="s">
        <v>1078</v>
      </c>
      <c r="AR498" t="s">
        <v>1079</v>
      </c>
      <c r="AS498" t="s">
        <v>229</v>
      </c>
      <c r="AT498" t="s">
        <v>136</v>
      </c>
      <c r="AU498" t="s">
        <v>1080</v>
      </c>
      <c r="AV498" t="s">
        <v>1094</v>
      </c>
      <c r="AW498" t="s">
        <v>230</v>
      </c>
      <c r="AX498" t="s">
        <v>380</v>
      </c>
      <c r="AY498" t="s">
        <v>1081</v>
      </c>
      <c r="AZ498" t="s">
        <v>1095</v>
      </c>
      <c r="BA498" t="s">
        <v>1096</v>
      </c>
      <c r="BB498" t="s">
        <v>917</v>
      </c>
      <c r="BC498" t="s">
        <v>231</v>
      </c>
      <c r="BD498" t="s">
        <v>1082</v>
      </c>
      <c r="BE498" t="s">
        <v>1117</v>
      </c>
      <c r="BF498" t="s">
        <v>1037</v>
      </c>
      <c r="BG498" t="s">
        <v>1102</v>
      </c>
      <c r="BH498" t="s">
        <v>970</v>
      </c>
      <c r="BI498" t="s">
        <v>974</v>
      </c>
      <c r="BJ498" t="s">
        <v>995</v>
      </c>
      <c r="BK498" t="s">
        <v>976</v>
      </c>
      <c r="BL498" t="s">
        <v>232</v>
      </c>
      <c r="BM498" t="s">
        <v>145</v>
      </c>
      <c r="BN498" t="s">
        <v>785</v>
      </c>
      <c r="BO498" t="s">
        <v>1021</v>
      </c>
      <c r="BP498" t="s">
        <v>143</v>
      </c>
      <c r="BQ498" t="s">
        <v>2369</v>
      </c>
      <c r="BR498" t="s">
        <v>997</v>
      </c>
      <c r="BS498" t="s">
        <v>977</v>
      </c>
      <c r="BT498" t="s">
        <v>756</v>
      </c>
      <c r="BU498" t="s">
        <v>757</v>
      </c>
      <c r="BV498" t="s">
        <v>233</v>
      </c>
      <c r="BW498" t="s">
        <v>760</v>
      </c>
      <c r="BX498" t="s">
        <v>1087</v>
      </c>
      <c r="BY498" t="s">
        <v>2339</v>
      </c>
      <c r="BZ498" t="s">
        <v>234</v>
      </c>
      <c r="CA498" t="s">
        <v>403</v>
      </c>
      <c r="CB498" t="s">
        <v>142</v>
      </c>
      <c r="CC498" t="s">
        <v>287</v>
      </c>
      <c r="CD498" t="s">
        <v>235</v>
      </c>
      <c r="CE498" t="s">
        <v>770</v>
      </c>
      <c r="CF498" t="s">
        <v>171</v>
      </c>
      <c r="CG498" t="s">
        <v>1087</v>
      </c>
      <c r="CH498" t="s">
        <v>916</v>
      </c>
      <c r="CI498" t="s">
        <v>992</v>
      </c>
      <c r="CJ498" t="s">
        <v>998</v>
      </c>
      <c r="CK498" t="s">
        <v>1086</v>
      </c>
      <c r="CL498" t="s">
        <v>1114</v>
      </c>
      <c r="CM498" t="s">
        <v>239</v>
      </c>
      <c r="CN498" t="s">
        <v>241</v>
      </c>
      <c r="CO498" t="s">
        <v>805</v>
      </c>
      <c r="CP498" t="s">
        <v>806</v>
      </c>
    </row>
    <row r="499" spans="1:139">
      <c r="A499" s="40">
        <v>466</v>
      </c>
      <c r="B499" s="40" t="s">
        <v>1912</v>
      </c>
      <c r="C499" s="2" t="s">
        <v>1913</v>
      </c>
      <c r="D499" s="2" t="s">
        <v>17</v>
      </c>
      <c r="E499" s="2"/>
      <c r="F499" s="2">
        <v>75</v>
      </c>
      <c r="G499" s="2">
        <v>123</v>
      </c>
      <c r="H499" s="2">
        <v>67</v>
      </c>
      <c r="I499" s="2">
        <v>95</v>
      </c>
      <c r="J499" s="2">
        <v>85</v>
      </c>
      <c r="K499" s="2">
        <v>95</v>
      </c>
      <c r="L499" s="2">
        <v>540</v>
      </c>
      <c r="M499" s="2" t="s">
        <v>1161</v>
      </c>
      <c r="N499" s="2" t="s">
        <v>1061</v>
      </c>
      <c r="O499" t="s">
        <v>137</v>
      </c>
      <c r="P499" t="s">
        <v>330</v>
      </c>
      <c r="Q499" t="s">
        <v>432</v>
      </c>
      <c r="R499" t="s">
        <v>346</v>
      </c>
      <c r="S499" t="s">
        <v>310</v>
      </c>
      <c r="T499" t="s">
        <v>2370</v>
      </c>
      <c r="U499" t="s">
        <v>346</v>
      </c>
      <c r="V499" t="s">
        <v>432</v>
      </c>
      <c r="W499" t="s">
        <v>354</v>
      </c>
      <c r="X499" t="s">
        <v>1230</v>
      </c>
      <c r="Y499" t="s">
        <v>322</v>
      </c>
      <c r="Z499" t="s">
        <v>1023</v>
      </c>
      <c r="AA499" t="s">
        <v>228</v>
      </c>
      <c r="AB499" t="s">
        <v>147</v>
      </c>
      <c r="AC499" t="s">
        <v>1138</v>
      </c>
      <c r="AD499" t="s">
        <v>324</v>
      </c>
      <c r="AE499" t="s">
        <v>146</v>
      </c>
      <c r="AF499" t="s">
        <v>321</v>
      </c>
      <c r="AG499" t="s">
        <v>976</v>
      </c>
      <c r="AH499" t="s">
        <v>2348</v>
      </c>
      <c r="AI499" t="s">
        <v>1062</v>
      </c>
      <c r="AJ499" t="s">
        <v>227</v>
      </c>
      <c r="AK499" t="s">
        <v>1063</v>
      </c>
      <c r="AL499" t="s">
        <v>148</v>
      </c>
      <c r="AM499" t="s">
        <v>172</v>
      </c>
      <c r="AN499" t="s">
        <v>1126</v>
      </c>
      <c r="AO499" t="s">
        <v>247</v>
      </c>
      <c r="AP499" t="s">
        <v>228</v>
      </c>
      <c r="AQ499" t="s">
        <v>1078</v>
      </c>
      <c r="AR499" t="s">
        <v>766</v>
      </c>
      <c r="AS499" t="s">
        <v>1079</v>
      </c>
      <c r="AT499" t="s">
        <v>146</v>
      </c>
      <c r="AU499" t="s">
        <v>321</v>
      </c>
      <c r="AV499" t="s">
        <v>136</v>
      </c>
      <c r="AW499" t="s">
        <v>1080</v>
      </c>
      <c r="AX499" t="s">
        <v>256</v>
      </c>
      <c r="AY499" t="s">
        <v>9</v>
      </c>
      <c r="AZ499" t="s">
        <v>1094</v>
      </c>
      <c r="BA499" t="s">
        <v>230</v>
      </c>
      <c r="BB499" t="s">
        <v>254</v>
      </c>
      <c r="BC499" t="s">
        <v>1095</v>
      </c>
      <c r="BD499" t="s">
        <v>951</v>
      </c>
      <c r="BE499" t="s">
        <v>917</v>
      </c>
      <c r="BF499" t="s">
        <v>231</v>
      </c>
      <c r="BG499" t="s">
        <v>1082</v>
      </c>
      <c r="BH499" t="s">
        <v>1117</v>
      </c>
      <c r="BI499" t="s">
        <v>1172</v>
      </c>
      <c r="BJ499" t="s">
        <v>1037</v>
      </c>
      <c r="BK499" t="s">
        <v>1102</v>
      </c>
      <c r="BL499" t="s">
        <v>974</v>
      </c>
      <c r="BM499" t="s">
        <v>963</v>
      </c>
      <c r="BN499" t="s">
        <v>976</v>
      </c>
      <c r="BO499" t="s">
        <v>232</v>
      </c>
      <c r="BP499" t="s">
        <v>1045</v>
      </c>
      <c r="BQ499" t="s">
        <v>322</v>
      </c>
      <c r="BR499" t="s">
        <v>1021</v>
      </c>
      <c r="BS499" t="s">
        <v>143</v>
      </c>
      <c r="BT499" t="s">
        <v>756</v>
      </c>
      <c r="BU499" t="s">
        <v>757</v>
      </c>
      <c r="BV499" t="s">
        <v>233</v>
      </c>
      <c r="BW499" t="s">
        <v>1047</v>
      </c>
      <c r="BX499" t="s">
        <v>760</v>
      </c>
      <c r="BY499" t="s">
        <v>2398</v>
      </c>
      <c r="BZ499" t="s">
        <v>2339</v>
      </c>
      <c r="CA499" t="s">
        <v>234</v>
      </c>
      <c r="CB499" t="s">
        <v>435</v>
      </c>
      <c r="CC499" t="s">
        <v>137</v>
      </c>
      <c r="CD499" t="s">
        <v>274</v>
      </c>
      <c r="CE499" t="s">
        <v>464</v>
      </c>
      <c r="CF499" t="s">
        <v>437</v>
      </c>
      <c r="CG499" t="s">
        <v>455</v>
      </c>
      <c r="CH499" t="s">
        <v>1179</v>
      </c>
      <c r="CI499" t="s">
        <v>1171</v>
      </c>
      <c r="CJ499" t="s">
        <v>920</v>
      </c>
      <c r="CK499" t="s">
        <v>981</v>
      </c>
      <c r="CL499" t="s">
        <v>971</v>
      </c>
      <c r="CM499" t="s">
        <v>239</v>
      </c>
      <c r="CN499" t="s">
        <v>241</v>
      </c>
      <c r="CO499" t="s">
        <v>805</v>
      </c>
      <c r="CP499" t="s">
        <v>806</v>
      </c>
    </row>
    <row r="500" spans="1:139">
      <c r="A500" s="40">
        <v>467</v>
      </c>
      <c r="B500" s="40" t="s">
        <v>1914</v>
      </c>
      <c r="C500" s="2" t="s">
        <v>1915</v>
      </c>
      <c r="D500" s="2" t="s">
        <v>19</v>
      </c>
      <c r="E500" s="2"/>
      <c r="F500" s="2">
        <v>75</v>
      </c>
      <c r="G500" s="2">
        <v>95</v>
      </c>
      <c r="H500" s="2">
        <v>67</v>
      </c>
      <c r="I500" s="2">
        <v>125</v>
      </c>
      <c r="J500" s="2">
        <v>95</v>
      </c>
      <c r="K500" s="2">
        <v>83</v>
      </c>
      <c r="L500" s="2">
        <v>540</v>
      </c>
      <c r="M500" s="2" t="s">
        <v>1176</v>
      </c>
      <c r="N500" s="2" t="s">
        <v>1061</v>
      </c>
      <c r="O500" t="s">
        <v>147</v>
      </c>
      <c r="P500" t="s">
        <v>330</v>
      </c>
      <c r="Q500" t="s">
        <v>250</v>
      </c>
      <c r="R500" t="s">
        <v>251</v>
      </c>
      <c r="S500" t="s">
        <v>530</v>
      </c>
      <c r="T500" t="s">
        <v>250</v>
      </c>
      <c r="U500" t="s">
        <v>251</v>
      </c>
      <c r="V500" t="s">
        <v>774</v>
      </c>
      <c r="W500" t="s">
        <v>255</v>
      </c>
      <c r="X500" t="s">
        <v>1191</v>
      </c>
      <c r="Y500" t="s">
        <v>387</v>
      </c>
      <c r="Z500" t="s">
        <v>137</v>
      </c>
      <c r="AA500" t="s">
        <v>1026</v>
      </c>
      <c r="AB500" t="s">
        <v>1231</v>
      </c>
      <c r="AC500" t="s">
        <v>752</v>
      </c>
      <c r="AD500" t="s">
        <v>254</v>
      </c>
      <c r="AE500" t="s">
        <v>257</v>
      </c>
      <c r="AF500" t="s">
        <v>247</v>
      </c>
      <c r="AG500" t="s">
        <v>1062</v>
      </c>
      <c r="AH500" t="s">
        <v>227</v>
      </c>
      <c r="AI500" t="s">
        <v>1063</v>
      </c>
      <c r="AJ500" t="s">
        <v>148</v>
      </c>
      <c r="AK500" t="s">
        <v>172</v>
      </c>
      <c r="AL500" t="s">
        <v>752</v>
      </c>
      <c r="AM500" t="s">
        <v>1126</v>
      </c>
      <c r="AN500" t="s">
        <v>247</v>
      </c>
      <c r="AO500" t="s">
        <v>1078</v>
      </c>
      <c r="AP500" t="s">
        <v>1079</v>
      </c>
      <c r="AQ500" t="s">
        <v>229</v>
      </c>
      <c r="AR500" t="s">
        <v>146</v>
      </c>
      <c r="AS500" t="s">
        <v>136</v>
      </c>
      <c r="AT500" t="s">
        <v>1080</v>
      </c>
      <c r="AU500" t="s">
        <v>9</v>
      </c>
      <c r="AV500" t="s">
        <v>1094</v>
      </c>
      <c r="AW500" t="s">
        <v>230</v>
      </c>
      <c r="AX500" t="s">
        <v>254</v>
      </c>
      <c r="AY500" t="s">
        <v>257</v>
      </c>
      <c r="AZ500" t="s">
        <v>1095</v>
      </c>
      <c r="BA500" t="s">
        <v>951</v>
      </c>
      <c r="BB500" t="s">
        <v>917</v>
      </c>
      <c r="BC500" t="s">
        <v>1097</v>
      </c>
      <c r="BD500" t="s">
        <v>231</v>
      </c>
      <c r="BE500" t="s">
        <v>1082</v>
      </c>
      <c r="BF500" t="s">
        <v>1117</v>
      </c>
      <c r="BG500" t="s">
        <v>1172</v>
      </c>
      <c r="BH500" t="s">
        <v>1037</v>
      </c>
      <c r="BI500" t="s">
        <v>1098</v>
      </c>
      <c r="BJ500" t="s">
        <v>1102</v>
      </c>
      <c r="BK500" t="s">
        <v>974</v>
      </c>
      <c r="BL500" t="s">
        <v>1031</v>
      </c>
      <c r="BM500" t="s">
        <v>956</v>
      </c>
      <c r="BN500" t="s">
        <v>976</v>
      </c>
      <c r="BO500" t="s">
        <v>1021</v>
      </c>
      <c r="BP500" t="s">
        <v>143</v>
      </c>
      <c r="BQ500" t="s">
        <v>756</v>
      </c>
      <c r="BR500" t="s">
        <v>757</v>
      </c>
      <c r="BS500" t="s">
        <v>233</v>
      </c>
      <c r="BT500" t="s">
        <v>760</v>
      </c>
      <c r="BU500" t="s">
        <v>2398</v>
      </c>
      <c r="BV500" t="s">
        <v>2339</v>
      </c>
      <c r="BW500" t="s">
        <v>234</v>
      </c>
      <c r="BX500" t="s">
        <v>435</v>
      </c>
      <c r="BY500" t="s">
        <v>486</v>
      </c>
      <c r="BZ500" t="s">
        <v>147</v>
      </c>
      <c r="CA500" t="s">
        <v>324</v>
      </c>
      <c r="CB500" t="s">
        <v>455</v>
      </c>
      <c r="CC500" t="s">
        <v>302</v>
      </c>
      <c r="CD500" t="s">
        <v>1223</v>
      </c>
      <c r="CE500" t="s">
        <v>1099</v>
      </c>
      <c r="CF500" t="s">
        <v>1179</v>
      </c>
      <c r="CG500" t="s">
        <v>761</v>
      </c>
      <c r="CH500" t="s">
        <v>1171</v>
      </c>
      <c r="CI500" t="s">
        <v>998</v>
      </c>
      <c r="CJ500" t="s">
        <v>972</v>
      </c>
      <c r="CK500" t="s">
        <v>2335</v>
      </c>
      <c r="CL500" t="s">
        <v>239</v>
      </c>
      <c r="CM500" t="s">
        <v>241</v>
      </c>
      <c r="CN500" t="s">
        <v>805</v>
      </c>
      <c r="CO500" t="s">
        <v>806</v>
      </c>
    </row>
    <row r="501" spans="1:139">
      <c r="A501" s="40">
        <v>468</v>
      </c>
      <c r="B501" s="40" t="s">
        <v>1916</v>
      </c>
      <c r="C501" s="2" t="s">
        <v>1917</v>
      </c>
      <c r="D501" s="2" t="s">
        <v>894</v>
      </c>
      <c r="E501" s="2" t="s">
        <v>20</v>
      </c>
      <c r="F501" s="2">
        <v>85</v>
      </c>
      <c r="G501" s="2">
        <v>50</v>
      </c>
      <c r="H501" s="2">
        <v>95</v>
      </c>
      <c r="I501" s="2">
        <v>120</v>
      </c>
      <c r="J501" s="2">
        <v>115</v>
      </c>
      <c r="K501" s="2">
        <v>80</v>
      </c>
      <c r="L501" s="2">
        <v>545</v>
      </c>
      <c r="M501" s="2" t="s">
        <v>1201</v>
      </c>
      <c r="N501" s="2" t="s">
        <v>1061</v>
      </c>
      <c r="O501" t="s">
        <v>316</v>
      </c>
      <c r="P501" t="s">
        <v>791</v>
      </c>
      <c r="Q501" t="s">
        <v>1234</v>
      </c>
      <c r="R501" t="s">
        <v>1101</v>
      </c>
      <c r="S501" t="s">
        <v>1062</v>
      </c>
      <c r="T501" t="s">
        <v>138</v>
      </c>
      <c r="U501" t="s">
        <v>1063</v>
      </c>
      <c r="V501" t="s">
        <v>1151</v>
      </c>
      <c r="W501" t="s">
        <v>148</v>
      </c>
      <c r="X501" t="s">
        <v>172</v>
      </c>
      <c r="Y501" t="s">
        <v>752</v>
      </c>
      <c r="Z501" t="s">
        <v>247</v>
      </c>
      <c r="AA501" t="s">
        <v>228</v>
      </c>
      <c r="AB501" t="s">
        <v>1078</v>
      </c>
      <c r="AC501" t="s">
        <v>766</v>
      </c>
      <c r="AD501" t="s">
        <v>1119</v>
      </c>
      <c r="AE501" t="s">
        <v>759</v>
      </c>
      <c r="AF501" t="s">
        <v>1079</v>
      </c>
      <c r="AG501" t="s">
        <v>229</v>
      </c>
      <c r="AH501" t="s">
        <v>1080</v>
      </c>
      <c r="AI501" t="s">
        <v>9</v>
      </c>
      <c r="AJ501" t="s">
        <v>174</v>
      </c>
      <c r="AK501" t="s">
        <v>1094</v>
      </c>
      <c r="AL501" t="s">
        <v>230</v>
      </c>
      <c r="AM501" t="s">
        <v>380</v>
      </c>
      <c r="AN501" t="s">
        <v>254</v>
      </c>
      <c r="AO501" t="s">
        <v>257</v>
      </c>
      <c r="AP501" t="s">
        <v>1096</v>
      </c>
      <c r="AQ501" t="s">
        <v>917</v>
      </c>
      <c r="AR501" t="s">
        <v>231</v>
      </c>
      <c r="AS501" t="s">
        <v>1082</v>
      </c>
      <c r="AT501" t="s">
        <v>1037</v>
      </c>
      <c r="AU501" t="s">
        <v>1083</v>
      </c>
      <c r="AV501" t="s">
        <v>1125</v>
      </c>
      <c r="AW501" t="s">
        <v>974</v>
      </c>
      <c r="AX501" t="s">
        <v>1031</v>
      </c>
      <c r="AY501" t="s">
        <v>1036</v>
      </c>
      <c r="AZ501" t="s">
        <v>976</v>
      </c>
      <c r="BA501" t="s">
        <v>232</v>
      </c>
      <c r="BB501" t="s">
        <v>322</v>
      </c>
      <c r="BC501" t="s">
        <v>785</v>
      </c>
      <c r="BD501" t="s">
        <v>293</v>
      </c>
      <c r="BE501" t="s">
        <v>977</v>
      </c>
      <c r="BF501" t="s">
        <v>756</v>
      </c>
      <c r="BG501" t="s">
        <v>757</v>
      </c>
      <c r="BH501" t="s">
        <v>233</v>
      </c>
      <c r="BI501" t="s">
        <v>760</v>
      </c>
      <c r="BJ501" t="s">
        <v>2342</v>
      </c>
      <c r="BK501" t="s">
        <v>2339</v>
      </c>
      <c r="BL501" t="s">
        <v>234</v>
      </c>
      <c r="BM501" t="s">
        <v>329</v>
      </c>
      <c r="BN501" t="s">
        <v>311</v>
      </c>
      <c r="BO501" t="s">
        <v>771</v>
      </c>
      <c r="BP501" t="s">
        <v>780</v>
      </c>
      <c r="BQ501" t="s">
        <v>1164</v>
      </c>
      <c r="BR501" t="s">
        <v>790</v>
      </c>
      <c r="BS501" t="s">
        <v>940</v>
      </c>
      <c r="BT501" t="s">
        <v>1154</v>
      </c>
      <c r="BU501" t="s">
        <v>1262</v>
      </c>
      <c r="BV501" t="s">
        <v>987</v>
      </c>
      <c r="BW501" t="s">
        <v>991</v>
      </c>
      <c r="BX501" t="s">
        <v>1041</v>
      </c>
      <c r="BY501" t="s">
        <v>239</v>
      </c>
      <c r="BZ501" t="s">
        <v>241</v>
      </c>
      <c r="CA501" t="s">
        <v>220</v>
      </c>
      <c r="CB501" t="s">
        <v>379</v>
      </c>
      <c r="CC501" t="s">
        <v>782</v>
      </c>
      <c r="CD501" t="s">
        <v>781</v>
      </c>
      <c r="CE501" t="s">
        <v>930</v>
      </c>
      <c r="CF501" t="s">
        <v>958</v>
      </c>
      <c r="CG501" t="s">
        <v>2354</v>
      </c>
      <c r="CH501" t="s">
        <v>779</v>
      </c>
      <c r="CI501" t="s">
        <v>921</v>
      </c>
      <c r="CJ501" t="s">
        <v>1139</v>
      </c>
      <c r="CK501" t="s">
        <v>957</v>
      </c>
      <c r="CL501" t="s">
        <v>170</v>
      </c>
      <c r="CM501" t="s">
        <v>759</v>
      </c>
      <c r="CN501" t="s">
        <v>788</v>
      </c>
      <c r="CO501" t="s">
        <v>225</v>
      </c>
      <c r="CP501" t="s">
        <v>986</v>
      </c>
      <c r="CQ501" t="s">
        <v>1150</v>
      </c>
      <c r="CR501" t="s">
        <v>805</v>
      </c>
      <c r="CS501" t="s">
        <v>806</v>
      </c>
    </row>
    <row r="502" spans="1:139">
      <c r="A502" s="40">
        <v>469</v>
      </c>
      <c r="B502" s="40" t="s">
        <v>1918</v>
      </c>
      <c r="C502" s="2" t="s">
        <v>1919</v>
      </c>
      <c r="D502" s="2" t="s">
        <v>14</v>
      </c>
      <c r="E502" s="2" t="s">
        <v>20</v>
      </c>
      <c r="F502" s="2">
        <v>86</v>
      </c>
      <c r="G502" s="2">
        <v>76</v>
      </c>
      <c r="H502" s="2">
        <v>86</v>
      </c>
      <c r="I502" s="2">
        <v>116</v>
      </c>
      <c r="J502" s="2">
        <v>56</v>
      </c>
      <c r="K502" s="2">
        <v>95</v>
      </c>
      <c r="L502" s="2">
        <v>515</v>
      </c>
      <c r="M502" s="2" t="s">
        <v>1177</v>
      </c>
      <c r="N502" s="2" t="s">
        <v>1061</v>
      </c>
      <c r="O502" t="s">
        <v>219</v>
      </c>
      <c r="P502" t="s">
        <v>310</v>
      </c>
      <c r="Q502" t="s">
        <v>230</v>
      </c>
      <c r="R502" t="s">
        <v>771</v>
      </c>
      <c r="S502" t="s">
        <v>993</v>
      </c>
      <c r="T502" t="s">
        <v>1110</v>
      </c>
      <c r="U502" t="s">
        <v>310</v>
      </c>
      <c r="V502" t="s">
        <v>230</v>
      </c>
      <c r="W502" t="s">
        <v>502</v>
      </c>
      <c r="X502" t="s">
        <v>1220</v>
      </c>
      <c r="Y502" t="s">
        <v>290</v>
      </c>
      <c r="Z502" t="s">
        <v>953</v>
      </c>
      <c r="AA502" t="s">
        <v>773</v>
      </c>
      <c r="AB502" t="s">
        <v>170</v>
      </c>
      <c r="AC502" t="s">
        <v>971</v>
      </c>
      <c r="AD502" t="s">
        <v>253</v>
      </c>
      <c r="AE502" t="s">
        <v>324</v>
      </c>
      <c r="AF502" t="s">
        <v>1014</v>
      </c>
      <c r="AG502" t="s">
        <v>1101</v>
      </c>
      <c r="AH502" t="s">
        <v>1115</v>
      </c>
      <c r="AI502" t="s">
        <v>1062</v>
      </c>
      <c r="AJ502" t="s">
        <v>1063</v>
      </c>
      <c r="AK502" t="s">
        <v>148</v>
      </c>
      <c r="AL502" t="s">
        <v>172</v>
      </c>
      <c r="AM502" t="s">
        <v>752</v>
      </c>
      <c r="AN502" t="s">
        <v>247</v>
      </c>
      <c r="AO502" t="s">
        <v>1078</v>
      </c>
      <c r="AP502" t="s">
        <v>1119</v>
      </c>
      <c r="AQ502" t="s">
        <v>1079</v>
      </c>
      <c r="AR502" t="s">
        <v>229</v>
      </c>
      <c r="AS502" t="s">
        <v>1080</v>
      </c>
      <c r="AT502" t="s">
        <v>9</v>
      </c>
      <c r="AU502" t="s">
        <v>174</v>
      </c>
      <c r="AV502" t="s">
        <v>230</v>
      </c>
      <c r="AW502" t="s">
        <v>1096</v>
      </c>
      <c r="AX502" t="s">
        <v>917</v>
      </c>
      <c r="AY502" t="s">
        <v>231</v>
      </c>
      <c r="AZ502" t="s">
        <v>1082</v>
      </c>
      <c r="BA502" t="s">
        <v>1117</v>
      </c>
      <c r="BB502" t="s">
        <v>1037</v>
      </c>
      <c r="BC502" t="s">
        <v>1125</v>
      </c>
      <c r="BD502" t="s">
        <v>976</v>
      </c>
      <c r="BE502" t="s">
        <v>232</v>
      </c>
      <c r="BF502" t="s">
        <v>1042</v>
      </c>
      <c r="BG502" t="s">
        <v>785</v>
      </c>
      <c r="BH502" t="s">
        <v>293</v>
      </c>
      <c r="BI502" t="s">
        <v>756</v>
      </c>
      <c r="BJ502" t="s">
        <v>757</v>
      </c>
      <c r="BK502" t="s">
        <v>1014</v>
      </c>
      <c r="BL502" t="s">
        <v>233</v>
      </c>
      <c r="BM502" t="s">
        <v>2339</v>
      </c>
      <c r="BN502" t="s">
        <v>234</v>
      </c>
      <c r="BO502" t="s">
        <v>291</v>
      </c>
      <c r="BP502" t="s">
        <v>225</v>
      </c>
      <c r="BQ502" t="s">
        <v>397</v>
      </c>
      <c r="BR502" t="s">
        <v>775</v>
      </c>
      <c r="BS502" t="s">
        <v>774</v>
      </c>
      <c r="BT502" t="s">
        <v>773</v>
      </c>
      <c r="BU502" t="s">
        <v>940</v>
      </c>
      <c r="BV502" t="s">
        <v>1113</v>
      </c>
      <c r="BW502" t="s">
        <v>216</v>
      </c>
      <c r="BX502" t="s">
        <v>971</v>
      </c>
      <c r="BY502" t="s">
        <v>239</v>
      </c>
      <c r="BZ502" t="s">
        <v>241</v>
      </c>
      <c r="CA502" t="s">
        <v>388</v>
      </c>
      <c r="CB502" t="s">
        <v>264</v>
      </c>
      <c r="CC502" t="s">
        <v>805</v>
      </c>
      <c r="CD502" t="s">
        <v>806</v>
      </c>
    </row>
    <row r="503" spans="1:139">
      <c r="A503" s="40">
        <v>470</v>
      </c>
      <c r="B503" s="40" t="s">
        <v>1920</v>
      </c>
      <c r="C503" s="2" t="s">
        <v>1921</v>
      </c>
      <c r="D503" s="2" t="s">
        <v>21</v>
      </c>
      <c r="E503" s="2"/>
      <c r="F503" s="2">
        <v>65</v>
      </c>
      <c r="G503" s="2">
        <v>110</v>
      </c>
      <c r="H503" s="2">
        <v>130</v>
      </c>
      <c r="I503" s="2">
        <v>60</v>
      </c>
      <c r="J503" s="2">
        <v>65</v>
      </c>
      <c r="K503" s="2">
        <v>95</v>
      </c>
      <c r="L503" s="2">
        <v>525</v>
      </c>
      <c r="M503" s="2" t="s">
        <v>1168</v>
      </c>
      <c r="N503" s="2" t="s">
        <v>1061</v>
      </c>
      <c r="O503" t="s">
        <v>219</v>
      </c>
      <c r="P503" t="s">
        <v>266</v>
      </c>
      <c r="Q503" t="s">
        <v>925</v>
      </c>
      <c r="R503" t="s">
        <v>309</v>
      </c>
      <c r="S503" t="s">
        <v>224</v>
      </c>
      <c r="T503" t="s">
        <v>310</v>
      </c>
      <c r="U503" t="s">
        <v>1084</v>
      </c>
      <c r="V503" t="s">
        <v>930</v>
      </c>
      <c r="W503" t="s">
        <v>171</v>
      </c>
      <c r="X503" t="s">
        <v>145</v>
      </c>
      <c r="Y503" t="s">
        <v>750</v>
      </c>
      <c r="Z503" t="s">
        <v>752</v>
      </c>
      <c r="AA503" t="s">
        <v>986</v>
      </c>
      <c r="AB503" t="s">
        <v>1194</v>
      </c>
      <c r="AC503" t="s">
        <v>1062</v>
      </c>
      <c r="AD503" t="s">
        <v>227</v>
      </c>
      <c r="AE503" t="s">
        <v>1063</v>
      </c>
      <c r="AF503" t="s">
        <v>246</v>
      </c>
      <c r="AG503" t="s">
        <v>148</v>
      </c>
      <c r="AH503" t="s">
        <v>172</v>
      </c>
      <c r="AI503" t="s">
        <v>752</v>
      </c>
      <c r="AJ503" t="s">
        <v>247</v>
      </c>
      <c r="AK503" t="s">
        <v>1078</v>
      </c>
      <c r="AL503" t="s">
        <v>766</v>
      </c>
      <c r="AM503" t="s">
        <v>1079</v>
      </c>
      <c r="AN503" t="s">
        <v>229</v>
      </c>
      <c r="AO503" t="s">
        <v>1080</v>
      </c>
      <c r="AP503" t="s">
        <v>256</v>
      </c>
      <c r="AQ503" t="s">
        <v>174</v>
      </c>
      <c r="AR503" t="s">
        <v>230</v>
      </c>
      <c r="AS503" t="s">
        <v>1096</v>
      </c>
      <c r="AT503" t="s">
        <v>917</v>
      </c>
      <c r="AU503" t="s">
        <v>231</v>
      </c>
      <c r="AV503" t="s">
        <v>1082</v>
      </c>
      <c r="AW503" t="s">
        <v>1037</v>
      </c>
      <c r="AX503" t="s">
        <v>1083</v>
      </c>
      <c r="AY503" t="s">
        <v>970</v>
      </c>
      <c r="AZ503" t="s">
        <v>1036</v>
      </c>
      <c r="BA503" t="s">
        <v>976</v>
      </c>
      <c r="BB503" t="s">
        <v>232</v>
      </c>
      <c r="BC503" t="s">
        <v>145</v>
      </c>
      <c r="BD503" t="s">
        <v>1018</v>
      </c>
      <c r="BE503" t="s">
        <v>977</v>
      </c>
      <c r="BF503" t="s">
        <v>756</v>
      </c>
      <c r="BG503" t="s">
        <v>757</v>
      </c>
      <c r="BH503" t="s">
        <v>233</v>
      </c>
      <c r="BI503" t="s">
        <v>760</v>
      </c>
      <c r="BJ503" t="s">
        <v>1087</v>
      </c>
      <c r="BK503" t="s">
        <v>2339</v>
      </c>
      <c r="BL503" t="s">
        <v>234</v>
      </c>
      <c r="BM503" t="s">
        <v>751</v>
      </c>
      <c r="BN503" t="s">
        <v>770</v>
      </c>
      <c r="BO503" t="s">
        <v>1220</v>
      </c>
      <c r="BP503" t="s">
        <v>754</v>
      </c>
      <c r="BQ503" t="s">
        <v>781</v>
      </c>
      <c r="BR503" t="s">
        <v>957</v>
      </c>
      <c r="BS503" t="s">
        <v>958</v>
      </c>
      <c r="BT503" t="s">
        <v>918</v>
      </c>
      <c r="BU503" t="s">
        <v>950</v>
      </c>
      <c r="BV503" t="s">
        <v>913</v>
      </c>
      <c r="BW503" t="s">
        <v>992</v>
      </c>
      <c r="BX503" t="s">
        <v>1043</v>
      </c>
      <c r="BY503" t="s">
        <v>1041</v>
      </c>
      <c r="BZ503" t="s">
        <v>239</v>
      </c>
      <c r="CA503" t="s">
        <v>241</v>
      </c>
      <c r="CB503" t="s">
        <v>220</v>
      </c>
      <c r="CC503" t="s">
        <v>2333</v>
      </c>
      <c r="CD503" t="s">
        <v>258</v>
      </c>
      <c r="CE503" t="s">
        <v>913</v>
      </c>
      <c r="CF503" t="s">
        <v>223</v>
      </c>
      <c r="CG503" t="s">
        <v>781</v>
      </c>
      <c r="CH503" t="s">
        <v>788</v>
      </c>
      <c r="CI503" t="s">
        <v>225</v>
      </c>
      <c r="CJ503" t="s">
        <v>1013</v>
      </c>
      <c r="CK503" t="s">
        <v>805</v>
      </c>
      <c r="CL503" t="s">
        <v>806</v>
      </c>
    </row>
    <row r="504" spans="1:139">
      <c r="A504" s="40">
        <v>471</v>
      </c>
      <c r="B504" s="40" t="s">
        <v>1922</v>
      </c>
      <c r="C504" s="2" t="s">
        <v>1923</v>
      </c>
      <c r="D504" s="2" t="s">
        <v>23</v>
      </c>
      <c r="E504" s="2"/>
      <c r="F504" s="2">
        <v>65</v>
      </c>
      <c r="G504" s="2">
        <v>60</v>
      </c>
      <c r="H504" s="2">
        <v>110</v>
      </c>
      <c r="I504" s="2">
        <v>130</v>
      </c>
      <c r="J504" s="2">
        <v>95</v>
      </c>
      <c r="K504" s="2">
        <v>65</v>
      </c>
      <c r="L504" s="2">
        <v>525</v>
      </c>
      <c r="M504" s="2" t="s">
        <v>1137</v>
      </c>
      <c r="N504" s="2" t="s">
        <v>1061</v>
      </c>
      <c r="O504" t="s">
        <v>219</v>
      </c>
      <c r="P504" t="s">
        <v>266</v>
      </c>
      <c r="Q504" t="s">
        <v>925</v>
      </c>
      <c r="R504" t="s">
        <v>309</v>
      </c>
      <c r="S504" t="s">
        <v>769</v>
      </c>
      <c r="T504" t="s">
        <v>310</v>
      </c>
      <c r="U504" t="s">
        <v>258</v>
      </c>
      <c r="V504" t="s">
        <v>983</v>
      </c>
      <c r="W504" t="s">
        <v>984</v>
      </c>
      <c r="X504" t="s">
        <v>455</v>
      </c>
      <c r="Y504" t="s">
        <v>772</v>
      </c>
      <c r="Z504" t="s">
        <v>1104</v>
      </c>
      <c r="AA504" t="s">
        <v>986</v>
      </c>
      <c r="AB504" t="s">
        <v>271</v>
      </c>
      <c r="AC504" t="s">
        <v>1062</v>
      </c>
      <c r="AD504" t="s">
        <v>227</v>
      </c>
      <c r="AE504" t="s">
        <v>1063</v>
      </c>
      <c r="AF504" t="s">
        <v>246</v>
      </c>
      <c r="AG504" t="s">
        <v>148</v>
      </c>
      <c r="AH504" t="s">
        <v>1104</v>
      </c>
      <c r="AI504" t="s">
        <v>172</v>
      </c>
      <c r="AJ504" t="s">
        <v>752</v>
      </c>
      <c r="AK504" t="s">
        <v>141</v>
      </c>
      <c r="AL504" t="s">
        <v>271</v>
      </c>
      <c r="AM504" t="s">
        <v>247</v>
      </c>
      <c r="AN504" t="s">
        <v>1078</v>
      </c>
      <c r="AO504" t="s">
        <v>766</v>
      </c>
      <c r="AP504" t="s">
        <v>1079</v>
      </c>
      <c r="AQ504" t="s">
        <v>1080</v>
      </c>
      <c r="AR504" t="s">
        <v>256</v>
      </c>
      <c r="AS504" t="s">
        <v>174</v>
      </c>
      <c r="AT504" t="s">
        <v>230</v>
      </c>
      <c r="AU504" t="s">
        <v>917</v>
      </c>
      <c r="AV504" t="s">
        <v>231</v>
      </c>
      <c r="AW504" t="s">
        <v>1082</v>
      </c>
      <c r="AX504" t="s">
        <v>1037</v>
      </c>
      <c r="AY504" t="s">
        <v>1083</v>
      </c>
      <c r="AZ504" t="s">
        <v>1036</v>
      </c>
      <c r="BA504" t="s">
        <v>976</v>
      </c>
      <c r="BB504" t="s">
        <v>1027</v>
      </c>
      <c r="BC504" t="s">
        <v>756</v>
      </c>
      <c r="BD504" t="s">
        <v>757</v>
      </c>
      <c r="BE504" t="s">
        <v>233</v>
      </c>
      <c r="BF504" t="s">
        <v>760</v>
      </c>
      <c r="BG504" t="s">
        <v>2339</v>
      </c>
      <c r="BH504" t="s">
        <v>234</v>
      </c>
      <c r="BI504" t="s">
        <v>751</v>
      </c>
      <c r="BJ504" t="s">
        <v>770</v>
      </c>
      <c r="BK504" t="s">
        <v>1220</v>
      </c>
      <c r="BL504" t="s">
        <v>754</v>
      </c>
      <c r="BM504" t="s">
        <v>781</v>
      </c>
      <c r="BN504" t="s">
        <v>957</v>
      </c>
      <c r="BO504" t="s">
        <v>958</v>
      </c>
      <c r="BP504" t="s">
        <v>918</v>
      </c>
      <c r="BQ504" t="s">
        <v>950</v>
      </c>
      <c r="BR504" t="s">
        <v>913</v>
      </c>
      <c r="BS504" t="s">
        <v>992</v>
      </c>
      <c r="BT504" t="s">
        <v>1043</v>
      </c>
      <c r="BU504" t="s">
        <v>1041</v>
      </c>
      <c r="BV504" t="s">
        <v>239</v>
      </c>
      <c r="BW504" t="s">
        <v>241</v>
      </c>
      <c r="BX504" t="s">
        <v>220</v>
      </c>
      <c r="BY504" t="s">
        <v>2333</v>
      </c>
      <c r="BZ504" t="s">
        <v>913</v>
      </c>
      <c r="CA504" t="s">
        <v>223</v>
      </c>
      <c r="CB504" t="s">
        <v>781</v>
      </c>
      <c r="CC504" t="s">
        <v>788</v>
      </c>
      <c r="CD504" t="s">
        <v>225</v>
      </c>
      <c r="CE504" t="s">
        <v>1013</v>
      </c>
      <c r="CF504" t="s">
        <v>805</v>
      </c>
      <c r="CG504" t="s">
        <v>806</v>
      </c>
    </row>
    <row r="505" spans="1:139">
      <c r="A505" s="40">
        <v>472</v>
      </c>
      <c r="B505" s="40" t="s">
        <v>1924</v>
      </c>
      <c r="C505" s="2" t="s">
        <v>1925</v>
      </c>
      <c r="D505" s="2" t="s">
        <v>22</v>
      </c>
      <c r="E505" s="2" t="s">
        <v>20</v>
      </c>
      <c r="F505" s="2">
        <v>75</v>
      </c>
      <c r="G505" s="2">
        <v>95</v>
      </c>
      <c r="H505" s="2">
        <v>125</v>
      </c>
      <c r="I505" s="2">
        <v>45</v>
      </c>
      <c r="J505" s="2">
        <v>75</v>
      </c>
      <c r="K505" s="2">
        <v>95</v>
      </c>
      <c r="L505" s="2">
        <v>510</v>
      </c>
      <c r="M505" s="2" t="s">
        <v>2414</v>
      </c>
      <c r="N505" s="2" t="s">
        <v>1061</v>
      </c>
      <c r="O505" t="s">
        <v>309</v>
      </c>
      <c r="P505" t="s">
        <v>284</v>
      </c>
      <c r="Q505" t="s">
        <v>928</v>
      </c>
      <c r="R505" t="s">
        <v>997</v>
      </c>
      <c r="S505" t="s">
        <v>1010</v>
      </c>
      <c r="T505" t="s">
        <v>983</v>
      </c>
      <c r="U505" t="s">
        <v>182</v>
      </c>
      <c r="V505" t="s">
        <v>309</v>
      </c>
      <c r="W505" t="s">
        <v>284</v>
      </c>
      <c r="X505" t="s">
        <v>928</v>
      </c>
      <c r="Y505" t="s">
        <v>310</v>
      </c>
      <c r="Z505" t="s">
        <v>758</v>
      </c>
      <c r="AA505" t="s">
        <v>774</v>
      </c>
      <c r="AB505" t="s">
        <v>1020</v>
      </c>
      <c r="AC505" t="s">
        <v>993</v>
      </c>
      <c r="AD505" t="s">
        <v>1014</v>
      </c>
      <c r="AE505" t="s">
        <v>324</v>
      </c>
      <c r="AF505" t="s">
        <v>1018</v>
      </c>
      <c r="AG505" t="s">
        <v>942</v>
      </c>
      <c r="AH505" t="s">
        <v>145</v>
      </c>
      <c r="AI505" t="s">
        <v>543</v>
      </c>
      <c r="AJ505" t="s">
        <v>1062</v>
      </c>
      <c r="AK505" t="s">
        <v>226</v>
      </c>
      <c r="AL505" t="s">
        <v>227</v>
      </c>
      <c r="AM505" t="s">
        <v>1063</v>
      </c>
      <c r="AN505" t="s">
        <v>1030</v>
      </c>
      <c r="AO505" t="s">
        <v>148</v>
      </c>
      <c r="AP505" t="s">
        <v>1077</v>
      </c>
      <c r="AQ505" t="s">
        <v>172</v>
      </c>
      <c r="AR505" t="s">
        <v>752</v>
      </c>
      <c r="AS505" t="s">
        <v>1126</v>
      </c>
      <c r="AT505" t="s">
        <v>247</v>
      </c>
      <c r="AU505" t="s">
        <v>1078</v>
      </c>
      <c r="AV505" t="s">
        <v>766</v>
      </c>
      <c r="AW505" t="s">
        <v>1119</v>
      </c>
      <c r="AX505" t="s">
        <v>1079</v>
      </c>
      <c r="AY505" t="s">
        <v>136</v>
      </c>
      <c r="AZ505" t="s">
        <v>1080</v>
      </c>
      <c r="BA505" t="s">
        <v>256</v>
      </c>
      <c r="BB505" t="s">
        <v>1094</v>
      </c>
      <c r="BC505" t="s">
        <v>230</v>
      </c>
      <c r="BD505" t="s">
        <v>1081</v>
      </c>
      <c r="BE505" t="s">
        <v>765</v>
      </c>
      <c r="BF505" t="s">
        <v>1095</v>
      </c>
      <c r="BG505" t="s">
        <v>1096</v>
      </c>
      <c r="BH505" t="s">
        <v>951</v>
      </c>
      <c r="BI505" t="s">
        <v>917</v>
      </c>
      <c r="BJ505" t="s">
        <v>231</v>
      </c>
      <c r="BK505" t="s">
        <v>1082</v>
      </c>
      <c r="BL505" t="s">
        <v>1117</v>
      </c>
      <c r="BM505" t="s">
        <v>1037</v>
      </c>
      <c r="BN505" t="s">
        <v>1125</v>
      </c>
      <c r="BO505" t="s">
        <v>776</v>
      </c>
      <c r="BP505" t="s">
        <v>974</v>
      </c>
      <c r="BQ505" t="s">
        <v>1020</v>
      </c>
      <c r="BR505" t="s">
        <v>995</v>
      </c>
      <c r="BS505" t="s">
        <v>976</v>
      </c>
      <c r="BT505" t="s">
        <v>1003</v>
      </c>
      <c r="BU505" t="s">
        <v>183</v>
      </c>
      <c r="BV505" t="s">
        <v>145</v>
      </c>
      <c r="BW505" t="s">
        <v>1042</v>
      </c>
      <c r="BX505" t="s">
        <v>1021</v>
      </c>
      <c r="BY505" t="s">
        <v>143</v>
      </c>
      <c r="BZ505" t="s">
        <v>1018</v>
      </c>
      <c r="CA505" t="s">
        <v>997</v>
      </c>
      <c r="CB505" t="s">
        <v>756</v>
      </c>
      <c r="CC505" t="s">
        <v>757</v>
      </c>
      <c r="CD505" t="s">
        <v>1014</v>
      </c>
      <c r="CE505" t="s">
        <v>233</v>
      </c>
      <c r="CF505" t="s">
        <v>760</v>
      </c>
      <c r="CG505" t="s">
        <v>1157</v>
      </c>
      <c r="CH505" t="s">
        <v>2339</v>
      </c>
      <c r="CI505" t="s">
        <v>234</v>
      </c>
      <c r="CJ505" t="s">
        <v>332</v>
      </c>
      <c r="CK505" t="s">
        <v>264</v>
      </c>
      <c r="CL505" t="s">
        <v>225</v>
      </c>
      <c r="CM505" t="s">
        <v>259</v>
      </c>
      <c r="CN505" t="s">
        <v>306</v>
      </c>
      <c r="CO505" t="s">
        <v>788</v>
      </c>
      <c r="CP505" t="s">
        <v>783</v>
      </c>
      <c r="CQ505" t="s">
        <v>939</v>
      </c>
      <c r="CR505" t="s">
        <v>936</v>
      </c>
      <c r="CS505" t="s">
        <v>971</v>
      </c>
      <c r="CT505" t="s">
        <v>999</v>
      </c>
      <c r="CU505" t="s">
        <v>993</v>
      </c>
      <c r="CV505" t="s">
        <v>1002</v>
      </c>
      <c r="CW505" t="s">
        <v>1163</v>
      </c>
      <c r="CX505" t="s">
        <v>239</v>
      </c>
      <c r="CY505" t="s">
        <v>241</v>
      </c>
      <c r="CZ505" t="s">
        <v>296</v>
      </c>
      <c r="DA505" t="s">
        <v>253</v>
      </c>
      <c r="DB505" t="s">
        <v>805</v>
      </c>
      <c r="DC505" t="s">
        <v>806</v>
      </c>
    </row>
    <row r="506" spans="1:139">
      <c r="A506" s="40">
        <v>473</v>
      </c>
      <c r="B506" s="40" t="s">
        <v>1926</v>
      </c>
      <c r="C506" s="2" t="s">
        <v>1927</v>
      </c>
      <c r="D506" s="2" t="s">
        <v>23</v>
      </c>
      <c r="E506" s="2" t="s">
        <v>22</v>
      </c>
      <c r="F506" s="2">
        <v>110</v>
      </c>
      <c r="G506" s="2">
        <v>130</v>
      </c>
      <c r="H506" s="2">
        <v>80</v>
      </c>
      <c r="I506" s="2">
        <v>70</v>
      </c>
      <c r="J506" s="2">
        <v>60</v>
      </c>
      <c r="K506" s="2">
        <v>80</v>
      </c>
      <c r="L506" s="2">
        <v>530</v>
      </c>
      <c r="M506" s="2" t="s">
        <v>1159</v>
      </c>
      <c r="N506" s="2" t="s">
        <v>1061</v>
      </c>
      <c r="O506" t="s">
        <v>329</v>
      </c>
      <c r="P506" t="s">
        <v>1228</v>
      </c>
      <c r="Q506" t="s">
        <v>170</v>
      </c>
      <c r="R506" t="s">
        <v>933</v>
      </c>
      <c r="S506" t="s">
        <v>934</v>
      </c>
      <c r="T506" t="s">
        <v>933</v>
      </c>
      <c r="U506" t="s">
        <v>1228</v>
      </c>
      <c r="V506" t="s">
        <v>755</v>
      </c>
      <c r="W506" t="s">
        <v>754</v>
      </c>
      <c r="X506" t="s">
        <v>990</v>
      </c>
      <c r="Y506" t="s">
        <v>1104</v>
      </c>
      <c r="Z506" t="s">
        <v>983</v>
      </c>
      <c r="AA506" t="s">
        <v>223</v>
      </c>
      <c r="AB506" t="s">
        <v>965</v>
      </c>
      <c r="AC506" t="s">
        <v>273</v>
      </c>
      <c r="AD506" t="s">
        <v>373</v>
      </c>
      <c r="AE506" t="s">
        <v>136</v>
      </c>
      <c r="AF506" t="s">
        <v>271</v>
      </c>
      <c r="AG506" t="s">
        <v>1092</v>
      </c>
      <c r="AH506" t="s">
        <v>1062</v>
      </c>
      <c r="AI506" t="s">
        <v>227</v>
      </c>
      <c r="AJ506" t="s">
        <v>1063</v>
      </c>
      <c r="AK506" t="s">
        <v>246</v>
      </c>
      <c r="AL506" t="s">
        <v>148</v>
      </c>
      <c r="AM506" t="s">
        <v>1104</v>
      </c>
      <c r="AN506" t="s">
        <v>172</v>
      </c>
      <c r="AO506" t="s">
        <v>141</v>
      </c>
      <c r="AP506" t="s">
        <v>271</v>
      </c>
      <c r="AQ506" t="s">
        <v>247</v>
      </c>
      <c r="AR506" t="s">
        <v>228</v>
      </c>
      <c r="AS506" t="s">
        <v>1078</v>
      </c>
      <c r="AT506" t="s">
        <v>766</v>
      </c>
      <c r="AU506" t="s">
        <v>1079</v>
      </c>
      <c r="AV506" t="s">
        <v>136</v>
      </c>
      <c r="AW506" t="s">
        <v>1080</v>
      </c>
      <c r="AX506" t="s">
        <v>256</v>
      </c>
      <c r="AY506" t="s">
        <v>230</v>
      </c>
      <c r="AZ506" t="s">
        <v>380</v>
      </c>
      <c r="BA506" t="s">
        <v>765</v>
      </c>
      <c r="BB506" t="s">
        <v>1095</v>
      </c>
      <c r="BC506" t="s">
        <v>917</v>
      </c>
      <c r="BD506" t="s">
        <v>231</v>
      </c>
      <c r="BE506" t="s">
        <v>1082</v>
      </c>
      <c r="BF506" t="s">
        <v>1037</v>
      </c>
      <c r="BG506" t="s">
        <v>976</v>
      </c>
      <c r="BH506" t="s">
        <v>183</v>
      </c>
      <c r="BI506" t="s">
        <v>1021</v>
      </c>
      <c r="BJ506" t="s">
        <v>143</v>
      </c>
      <c r="BK506" t="s">
        <v>756</v>
      </c>
      <c r="BL506" t="s">
        <v>757</v>
      </c>
      <c r="BM506" t="s">
        <v>233</v>
      </c>
      <c r="BN506" t="s">
        <v>760</v>
      </c>
      <c r="BO506" t="s">
        <v>2339</v>
      </c>
      <c r="BP506" t="s">
        <v>234</v>
      </c>
      <c r="BQ506" t="s">
        <v>364</v>
      </c>
      <c r="BR506" t="s">
        <v>223</v>
      </c>
      <c r="BS506" t="s">
        <v>225</v>
      </c>
      <c r="BT506" t="s">
        <v>258</v>
      </c>
      <c r="BU506" t="s">
        <v>419</v>
      </c>
      <c r="BV506" t="s">
        <v>751</v>
      </c>
      <c r="BW506" t="s">
        <v>170</v>
      </c>
      <c r="BX506" t="s">
        <v>1209</v>
      </c>
      <c r="BY506" t="s">
        <v>1144</v>
      </c>
      <c r="BZ506" t="s">
        <v>1214</v>
      </c>
      <c r="CA506" t="s">
        <v>1007</v>
      </c>
      <c r="CB506" t="s">
        <v>1216</v>
      </c>
      <c r="CC506" t="s">
        <v>2363</v>
      </c>
      <c r="CD506" t="s">
        <v>239</v>
      </c>
      <c r="CE506" t="s">
        <v>241</v>
      </c>
      <c r="CF506" t="s">
        <v>219</v>
      </c>
      <c r="CG506" t="s">
        <v>769</v>
      </c>
      <c r="CH506" t="s">
        <v>984</v>
      </c>
      <c r="CI506" t="s">
        <v>301</v>
      </c>
      <c r="CJ506" t="s">
        <v>770</v>
      </c>
      <c r="CK506" t="s">
        <v>235</v>
      </c>
      <c r="CL506" t="s">
        <v>805</v>
      </c>
      <c r="CM506" t="s">
        <v>806</v>
      </c>
      <c r="EG506" t="s">
        <v>241</v>
      </c>
      <c r="EH506" t="s">
        <v>805</v>
      </c>
      <c r="EI506" t="s">
        <v>806</v>
      </c>
    </row>
    <row r="507" spans="1:139">
      <c r="A507" s="40">
        <v>474</v>
      </c>
      <c r="B507" s="40" t="s">
        <v>1928</v>
      </c>
      <c r="C507" s="2" t="s">
        <v>1929</v>
      </c>
      <c r="D507" s="2" t="s">
        <v>24</v>
      </c>
      <c r="E507" s="2"/>
      <c r="F507" s="2">
        <v>85</v>
      </c>
      <c r="G507" s="2">
        <v>80</v>
      </c>
      <c r="H507" s="2">
        <v>70</v>
      </c>
      <c r="I507" s="2">
        <v>135</v>
      </c>
      <c r="J507" s="2">
        <v>75</v>
      </c>
      <c r="K507" s="2">
        <v>90</v>
      </c>
      <c r="L507" s="2">
        <v>535</v>
      </c>
      <c r="M507" s="2" t="s">
        <v>1112</v>
      </c>
      <c r="N507" s="2" t="s">
        <v>1061</v>
      </c>
      <c r="O507" t="s">
        <v>219</v>
      </c>
      <c r="P507" t="s">
        <v>633</v>
      </c>
      <c r="Q507" t="s">
        <v>1233</v>
      </c>
      <c r="R507" t="s">
        <v>991</v>
      </c>
      <c r="S507" t="s">
        <v>1012</v>
      </c>
      <c r="T507" t="s">
        <v>292</v>
      </c>
      <c r="U507" t="s">
        <v>306</v>
      </c>
      <c r="V507" t="s">
        <v>459</v>
      </c>
      <c r="W507" t="s">
        <v>988</v>
      </c>
      <c r="X507" t="s">
        <v>216</v>
      </c>
      <c r="Y507" t="s">
        <v>969</v>
      </c>
      <c r="Z507" t="s">
        <v>1138</v>
      </c>
      <c r="AA507" t="s">
        <v>1204</v>
      </c>
      <c r="AB507" t="s">
        <v>333</v>
      </c>
      <c r="AC507" t="s">
        <v>929</v>
      </c>
      <c r="AD507" t="s">
        <v>1207</v>
      </c>
      <c r="AE507" t="s">
        <v>247</v>
      </c>
      <c r="AF507" t="s">
        <v>1062</v>
      </c>
      <c r="AG507" t="s">
        <v>1063</v>
      </c>
      <c r="AH507" t="s">
        <v>1151</v>
      </c>
      <c r="AI507" t="s">
        <v>148</v>
      </c>
      <c r="AJ507" t="s">
        <v>172</v>
      </c>
      <c r="AK507" t="s">
        <v>752</v>
      </c>
      <c r="AL507" t="s">
        <v>141</v>
      </c>
      <c r="AM507" t="s">
        <v>271</v>
      </c>
      <c r="AN507" t="s">
        <v>247</v>
      </c>
      <c r="AO507" t="s">
        <v>1078</v>
      </c>
      <c r="AP507" t="s">
        <v>766</v>
      </c>
      <c r="AQ507" t="s">
        <v>1079</v>
      </c>
      <c r="AR507" t="s">
        <v>229</v>
      </c>
      <c r="AS507" t="s">
        <v>146</v>
      </c>
      <c r="AT507" t="s">
        <v>321</v>
      </c>
      <c r="AU507" t="s">
        <v>1080</v>
      </c>
      <c r="AV507" t="s">
        <v>9</v>
      </c>
      <c r="AW507" t="s">
        <v>174</v>
      </c>
      <c r="AX507" t="s">
        <v>230</v>
      </c>
      <c r="AY507" t="s">
        <v>1096</v>
      </c>
      <c r="AZ507" t="s">
        <v>917</v>
      </c>
      <c r="BA507" t="s">
        <v>231</v>
      </c>
      <c r="BB507" t="s">
        <v>1117</v>
      </c>
      <c r="BC507" t="s">
        <v>1037</v>
      </c>
      <c r="BD507" t="s">
        <v>963</v>
      </c>
      <c r="BE507" t="s">
        <v>969</v>
      </c>
      <c r="BF507" t="s">
        <v>976</v>
      </c>
      <c r="BG507" t="s">
        <v>232</v>
      </c>
      <c r="BH507" t="s">
        <v>322</v>
      </c>
      <c r="BI507" t="s">
        <v>785</v>
      </c>
      <c r="BJ507" t="s">
        <v>293</v>
      </c>
      <c r="BK507" t="s">
        <v>756</v>
      </c>
      <c r="BL507" t="s">
        <v>233</v>
      </c>
      <c r="BM507" t="s">
        <v>1012</v>
      </c>
      <c r="BN507" t="s">
        <v>234</v>
      </c>
      <c r="BO507" t="s">
        <v>239</v>
      </c>
      <c r="BP507" t="s">
        <v>241</v>
      </c>
      <c r="BQ507" t="s">
        <v>353</v>
      </c>
      <c r="BR507" t="s">
        <v>632</v>
      </c>
      <c r="BS507" t="s">
        <v>937</v>
      </c>
      <c r="BT507" t="s">
        <v>805</v>
      </c>
      <c r="BU507" t="s">
        <v>806</v>
      </c>
    </row>
    <row r="508" spans="1:139">
      <c r="A508" s="40">
        <v>475</v>
      </c>
      <c r="B508" s="40" t="s">
        <v>1930</v>
      </c>
      <c r="C508" s="2" t="s">
        <v>1931</v>
      </c>
      <c r="D508" s="2" t="s">
        <v>9</v>
      </c>
      <c r="E508" s="2" t="s">
        <v>18</v>
      </c>
      <c r="F508" s="2">
        <v>68</v>
      </c>
      <c r="G508" s="2">
        <v>125</v>
      </c>
      <c r="H508" s="2">
        <v>65</v>
      </c>
      <c r="I508" s="2">
        <v>65</v>
      </c>
      <c r="J508" s="2">
        <v>115</v>
      </c>
      <c r="K508" s="2">
        <v>80</v>
      </c>
      <c r="L508" s="2">
        <v>518</v>
      </c>
      <c r="M508" s="2" t="s">
        <v>2426</v>
      </c>
      <c r="N508" s="2" t="s">
        <v>1061</v>
      </c>
      <c r="O508" t="s">
        <v>330</v>
      </c>
      <c r="P508" t="s">
        <v>287</v>
      </c>
      <c r="Q508" t="s">
        <v>454</v>
      </c>
      <c r="R508" t="s">
        <v>230</v>
      </c>
      <c r="S508" t="s">
        <v>1194</v>
      </c>
      <c r="T508" t="s">
        <v>993</v>
      </c>
      <c r="U508" t="s">
        <v>287</v>
      </c>
      <c r="V508" t="s">
        <v>230</v>
      </c>
      <c r="W508" t="s">
        <v>454</v>
      </c>
      <c r="X508" t="s">
        <v>758</v>
      </c>
      <c r="Y508" t="s">
        <v>253</v>
      </c>
      <c r="Z508" t="s">
        <v>1200</v>
      </c>
      <c r="AA508" t="s">
        <v>145</v>
      </c>
      <c r="AB508" t="s">
        <v>1000</v>
      </c>
      <c r="AC508" t="s">
        <v>925</v>
      </c>
      <c r="AD508" t="s">
        <v>971</v>
      </c>
      <c r="AE508" t="s">
        <v>776</v>
      </c>
      <c r="AF508" t="s">
        <v>1078</v>
      </c>
      <c r="AG508" t="s">
        <v>1174</v>
      </c>
      <c r="AH508" t="s">
        <v>1041</v>
      </c>
      <c r="AI508" t="s">
        <v>1062</v>
      </c>
      <c r="AJ508" t="s">
        <v>226</v>
      </c>
      <c r="AK508" t="s">
        <v>227</v>
      </c>
      <c r="AL508" t="s">
        <v>1063</v>
      </c>
      <c r="AM508" t="s">
        <v>1151</v>
      </c>
      <c r="AN508" t="s">
        <v>912</v>
      </c>
      <c r="AO508" t="s">
        <v>148</v>
      </c>
      <c r="AP508" t="s">
        <v>1175</v>
      </c>
      <c r="AQ508" t="s">
        <v>172</v>
      </c>
      <c r="AR508" t="s">
        <v>752</v>
      </c>
      <c r="AS508" t="s">
        <v>1126</v>
      </c>
      <c r="AT508" t="s">
        <v>247</v>
      </c>
      <c r="AU508" t="s">
        <v>228</v>
      </c>
      <c r="AV508" t="s">
        <v>1078</v>
      </c>
      <c r="AW508" t="s">
        <v>766</v>
      </c>
      <c r="AX508" t="s">
        <v>759</v>
      </c>
      <c r="AY508" t="s">
        <v>1079</v>
      </c>
      <c r="AZ508" t="s">
        <v>146</v>
      </c>
      <c r="BA508" t="s">
        <v>136</v>
      </c>
      <c r="BB508" t="s">
        <v>1080</v>
      </c>
      <c r="BC508" t="s">
        <v>9</v>
      </c>
      <c r="BD508" t="s">
        <v>174</v>
      </c>
      <c r="BE508" t="s">
        <v>1094</v>
      </c>
      <c r="BF508" t="s">
        <v>230</v>
      </c>
      <c r="BG508" t="s">
        <v>380</v>
      </c>
      <c r="BH508" t="s">
        <v>1095</v>
      </c>
      <c r="BI508" t="s">
        <v>1096</v>
      </c>
      <c r="BJ508" t="s">
        <v>951</v>
      </c>
      <c r="BK508" t="s">
        <v>917</v>
      </c>
      <c r="BL508" t="s">
        <v>231</v>
      </c>
      <c r="BM508" t="s">
        <v>1082</v>
      </c>
      <c r="BN508" t="s">
        <v>1117</v>
      </c>
      <c r="BO508" t="s">
        <v>1172</v>
      </c>
      <c r="BP508" t="s">
        <v>1037</v>
      </c>
      <c r="BQ508" t="s">
        <v>1083</v>
      </c>
      <c r="BR508" t="s">
        <v>1102</v>
      </c>
      <c r="BS508" t="s">
        <v>776</v>
      </c>
      <c r="BT508" t="s">
        <v>974</v>
      </c>
      <c r="BU508" t="s">
        <v>963</v>
      </c>
      <c r="BV508" t="s">
        <v>956</v>
      </c>
      <c r="BW508" t="s">
        <v>1036</v>
      </c>
      <c r="BX508" t="s">
        <v>976</v>
      </c>
      <c r="BY508" t="s">
        <v>232</v>
      </c>
      <c r="BZ508" t="s">
        <v>183</v>
      </c>
      <c r="CA508" t="s">
        <v>322</v>
      </c>
      <c r="CB508" t="s">
        <v>145</v>
      </c>
      <c r="CC508" t="s">
        <v>785</v>
      </c>
      <c r="CD508" t="s">
        <v>1021</v>
      </c>
      <c r="CE508" t="s">
        <v>143</v>
      </c>
      <c r="CF508" t="s">
        <v>1018</v>
      </c>
      <c r="CG508" t="s">
        <v>997</v>
      </c>
      <c r="CH508" t="s">
        <v>293</v>
      </c>
      <c r="CI508" t="s">
        <v>977</v>
      </c>
      <c r="CJ508" t="s">
        <v>756</v>
      </c>
      <c r="CK508" t="s">
        <v>757</v>
      </c>
      <c r="CL508" t="s">
        <v>233</v>
      </c>
      <c r="CM508" t="s">
        <v>1012</v>
      </c>
      <c r="CN508" t="s">
        <v>760</v>
      </c>
      <c r="CO508" t="s">
        <v>2398</v>
      </c>
      <c r="CP508" t="s">
        <v>2342</v>
      </c>
      <c r="CQ508" t="s">
        <v>2339</v>
      </c>
      <c r="CR508" t="s">
        <v>234</v>
      </c>
      <c r="CS508" t="s">
        <v>340</v>
      </c>
      <c r="CT508" t="s">
        <v>387</v>
      </c>
      <c r="CU508" t="s">
        <v>793</v>
      </c>
      <c r="CV508" t="s">
        <v>787</v>
      </c>
      <c r="CW508" t="s">
        <v>779</v>
      </c>
      <c r="CX508" t="s">
        <v>931</v>
      </c>
      <c r="CY508" t="s">
        <v>941</v>
      </c>
      <c r="CZ508" t="s">
        <v>923</v>
      </c>
      <c r="DA508" t="s">
        <v>1006</v>
      </c>
      <c r="DB508" t="s">
        <v>1043</v>
      </c>
      <c r="DC508" t="s">
        <v>2379</v>
      </c>
      <c r="DD508" t="s">
        <v>239</v>
      </c>
      <c r="DE508" t="s">
        <v>241</v>
      </c>
      <c r="DF508" t="s">
        <v>220</v>
      </c>
      <c r="DG508" t="s">
        <v>987</v>
      </c>
      <c r="DH508" t="s">
        <v>930</v>
      </c>
      <c r="DI508" t="s">
        <v>912</v>
      </c>
      <c r="DJ508" t="s">
        <v>9</v>
      </c>
      <c r="DK508" t="s">
        <v>927</v>
      </c>
      <c r="DL508" t="s">
        <v>790</v>
      </c>
      <c r="DM508" t="s">
        <v>781</v>
      </c>
      <c r="DN508" t="s">
        <v>388</v>
      </c>
      <c r="DO508" t="s">
        <v>293</v>
      </c>
      <c r="DP508" t="s">
        <v>805</v>
      </c>
      <c r="DQ508" t="s">
        <v>806</v>
      </c>
    </row>
    <row r="509" spans="1:139">
      <c r="A509" s="40">
        <v>476</v>
      </c>
      <c r="B509" s="40" t="s">
        <v>1932</v>
      </c>
      <c r="C509" s="2" t="s">
        <v>1933</v>
      </c>
      <c r="D509" s="2" t="s">
        <v>25</v>
      </c>
      <c r="E509" s="2" t="s">
        <v>26</v>
      </c>
      <c r="F509" s="2">
        <v>60</v>
      </c>
      <c r="G509" s="2">
        <v>55</v>
      </c>
      <c r="H509" s="2">
        <v>145</v>
      </c>
      <c r="I509" s="2">
        <v>75</v>
      </c>
      <c r="J509" s="2">
        <v>150</v>
      </c>
      <c r="K509" s="2">
        <v>40</v>
      </c>
      <c r="L509" s="2">
        <v>525</v>
      </c>
      <c r="M509" s="2" t="s">
        <v>1129</v>
      </c>
      <c r="N509" s="2" t="s">
        <v>1061</v>
      </c>
      <c r="O509" t="s">
        <v>219</v>
      </c>
      <c r="P509" t="s">
        <v>177</v>
      </c>
      <c r="Q509" t="s">
        <v>911</v>
      </c>
      <c r="R509" t="s">
        <v>978</v>
      </c>
      <c r="S509" t="s">
        <v>988</v>
      </c>
      <c r="T509" t="s">
        <v>1205</v>
      </c>
      <c r="U509" t="s">
        <v>177</v>
      </c>
      <c r="V509" t="s">
        <v>911</v>
      </c>
      <c r="W509" t="s">
        <v>1205</v>
      </c>
      <c r="X509" t="s">
        <v>322</v>
      </c>
      <c r="Y509" t="s">
        <v>1196</v>
      </c>
      <c r="Z509" t="s">
        <v>231</v>
      </c>
      <c r="AA509" t="s">
        <v>1203</v>
      </c>
      <c r="AB509" t="s">
        <v>143</v>
      </c>
      <c r="AC509" t="s">
        <v>1169</v>
      </c>
      <c r="AD509" t="s">
        <v>765</v>
      </c>
      <c r="AE509" t="s">
        <v>1138</v>
      </c>
      <c r="AF509" t="s">
        <v>968</v>
      </c>
      <c r="AG509" t="s">
        <v>183</v>
      </c>
      <c r="AH509" t="s">
        <v>1207</v>
      </c>
      <c r="AI509" t="s">
        <v>1204</v>
      </c>
      <c r="AJ509" t="s">
        <v>1062</v>
      </c>
      <c r="AK509" t="s">
        <v>227</v>
      </c>
      <c r="AL509" t="s">
        <v>1063</v>
      </c>
      <c r="AM509" t="s">
        <v>148</v>
      </c>
      <c r="AN509" t="s">
        <v>172</v>
      </c>
      <c r="AO509" t="s">
        <v>752</v>
      </c>
      <c r="AP509" t="s">
        <v>1126</v>
      </c>
      <c r="AQ509" t="s">
        <v>247</v>
      </c>
      <c r="AR509" t="s">
        <v>1078</v>
      </c>
      <c r="AS509" t="s">
        <v>1079</v>
      </c>
      <c r="AT509" t="s">
        <v>1109</v>
      </c>
      <c r="AU509" t="s">
        <v>146</v>
      </c>
      <c r="AV509" t="s">
        <v>321</v>
      </c>
      <c r="AW509" t="s">
        <v>136</v>
      </c>
      <c r="AX509" t="s">
        <v>1080</v>
      </c>
      <c r="AY509" t="s">
        <v>230</v>
      </c>
      <c r="AZ509" t="s">
        <v>765</v>
      </c>
      <c r="BA509" t="s">
        <v>1095</v>
      </c>
      <c r="BB509" t="s">
        <v>951</v>
      </c>
      <c r="BC509" t="s">
        <v>917</v>
      </c>
      <c r="BD509" t="s">
        <v>231</v>
      </c>
      <c r="BE509" t="s">
        <v>1082</v>
      </c>
      <c r="BF509" t="s">
        <v>1037</v>
      </c>
      <c r="BG509" t="s">
        <v>485</v>
      </c>
      <c r="BH509" t="s">
        <v>976</v>
      </c>
      <c r="BI509" t="s">
        <v>1003</v>
      </c>
      <c r="BJ509" t="s">
        <v>183</v>
      </c>
      <c r="BK509" t="s">
        <v>1045</v>
      </c>
      <c r="BL509" t="s">
        <v>322</v>
      </c>
      <c r="BM509" t="s">
        <v>1021</v>
      </c>
      <c r="BN509" t="s">
        <v>143</v>
      </c>
      <c r="BO509" t="s">
        <v>756</v>
      </c>
      <c r="BP509" t="s">
        <v>757</v>
      </c>
      <c r="BQ509" t="s">
        <v>233</v>
      </c>
      <c r="BR509" t="s">
        <v>973</v>
      </c>
      <c r="BS509" t="s">
        <v>760</v>
      </c>
      <c r="BT509" t="s">
        <v>2342</v>
      </c>
      <c r="BU509" t="s">
        <v>2339</v>
      </c>
      <c r="BV509" t="s">
        <v>234</v>
      </c>
      <c r="BW509" t="s">
        <v>225</v>
      </c>
      <c r="BX509" t="s">
        <v>754</v>
      </c>
      <c r="BY509" t="s">
        <v>768</v>
      </c>
      <c r="BZ509" t="s">
        <v>789</v>
      </c>
      <c r="CA509" t="s">
        <v>911</v>
      </c>
      <c r="CB509" t="s">
        <v>1007</v>
      </c>
      <c r="CC509" t="s">
        <v>239</v>
      </c>
      <c r="CD509" t="s">
        <v>241</v>
      </c>
      <c r="CE509" t="s">
        <v>284</v>
      </c>
      <c r="CF509" t="s">
        <v>483</v>
      </c>
      <c r="CG509" t="s">
        <v>805</v>
      </c>
      <c r="CH509" t="s">
        <v>806</v>
      </c>
    </row>
    <row r="510" spans="1:139">
      <c r="A510" s="40">
        <v>477</v>
      </c>
      <c r="B510" s="40" t="s">
        <v>1934</v>
      </c>
      <c r="C510" s="2" t="s">
        <v>1935</v>
      </c>
      <c r="D510" s="2" t="s">
        <v>10</v>
      </c>
      <c r="E510" s="2"/>
      <c r="F510" s="2">
        <v>45</v>
      </c>
      <c r="G510" s="2">
        <v>100</v>
      </c>
      <c r="H510" s="2">
        <v>135</v>
      </c>
      <c r="I510" s="2">
        <v>65</v>
      </c>
      <c r="J510" s="2">
        <v>135</v>
      </c>
      <c r="K510" s="2">
        <v>45</v>
      </c>
      <c r="L510" s="2">
        <v>525</v>
      </c>
      <c r="M510" s="2" t="s">
        <v>1201</v>
      </c>
      <c r="N510" s="2" t="s">
        <v>1061</v>
      </c>
      <c r="O510" t="s">
        <v>137</v>
      </c>
      <c r="P510" t="s">
        <v>274</v>
      </c>
      <c r="Q510" t="s">
        <v>147</v>
      </c>
      <c r="R510" t="s">
        <v>240</v>
      </c>
      <c r="S510" t="s">
        <v>330</v>
      </c>
      <c r="T510" t="s">
        <v>340</v>
      </c>
      <c r="U510" t="s">
        <v>528</v>
      </c>
      <c r="V510" t="s">
        <v>978</v>
      </c>
      <c r="W510" t="s">
        <v>340</v>
      </c>
      <c r="X510" t="s">
        <v>771</v>
      </c>
      <c r="Y510" t="s">
        <v>1130</v>
      </c>
      <c r="Z510" t="s">
        <v>387</v>
      </c>
      <c r="AA510" t="s">
        <v>1006</v>
      </c>
      <c r="AB510" t="s">
        <v>773</v>
      </c>
      <c r="AC510" t="s">
        <v>751</v>
      </c>
      <c r="AD510" t="s">
        <v>956</v>
      </c>
      <c r="AE510" t="s">
        <v>1211</v>
      </c>
      <c r="AF510" t="s">
        <v>1029</v>
      </c>
      <c r="AG510" t="s">
        <v>787</v>
      </c>
      <c r="AH510" t="s">
        <v>995</v>
      </c>
      <c r="AI510" t="s">
        <v>790</v>
      </c>
      <c r="AJ510" t="s">
        <v>1062</v>
      </c>
      <c r="AK510" t="s">
        <v>227</v>
      </c>
      <c r="AL510" t="s">
        <v>1063</v>
      </c>
      <c r="AM510" t="s">
        <v>912</v>
      </c>
      <c r="AN510" t="s">
        <v>148</v>
      </c>
      <c r="AO510" t="s">
        <v>172</v>
      </c>
      <c r="AP510" t="s">
        <v>752</v>
      </c>
      <c r="AQ510" t="s">
        <v>1126</v>
      </c>
      <c r="AR510" t="s">
        <v>141</v>
      </c>
      <c r="AS510" t="s">
        <v>271</v>
      </c>
      <c r="AT510" t="s">
        <v>247</v>
      </c>
      <c r="AU510" t="s">
        <v>1078</v>
      </c>
      <c r="AV510" t="s">
        <v>766</v>
      </c>
      <c r="AW510" t="s">
        <v>1079</v>
      </c>
      <c r="AX510" t="s">
        <v>136</v>
      </c>
      <c r="AY510" t="s">
        <v>1080</v>
      </c>
      <c r="AZ510" t="s">
        <v>9</v>
      </c>
      <c r="BA510" t="s">
        <v>174</v>
      </c>
      <c r="BB510" t="s">
        <v>1094</v>
      </c>
      <c r="BC510" t="s">
        <v>230</v>
      </c>
      <c r="BD510" t="s">
        <v>1095</v>
      </c>
      <c r="BE510" t="s">
        <v>951</v>
      </c>
      <c r="BF510" t="s">
        <v>917</v>
      </c>
      <c r="BG510" t="s">
        <v>231</v>
      </c>
      <c r="BH510" t="s">
        <v>1082</v>
      </c>
      <c r="BI510" t="s">
        <v>1117</v>
      </c>
      <c r="BJ510" t="s">
        <v>1037</v>
      </c>
      <c r="BK510" t="s">
        <v>1102</v>
      </c>
      <c r="BL510" t="s">
        <v>974</v>
      </c>
      <c r="BM510" t="s">
        <v>963</v>
      </c>
      <c r="BN510" t="s">
        <v>956</v>
      </c>
      <c r="BO510" t="s">
        <v>969</v>
      </c>
      <c r="BP510" t="s">
        <v>995</v>
      </c>
      <c r="BQ510" t="s">
        <v>976</v>
      </c>
      <c r="BR510" t="s">
        <v>232</v>
      </c>
      <c r="BS510" t="s">
        <v>785</v>
      </c>
      <c r="BT510" t="s">
        <v>1021</v>
      </c>
      <c r="BU510" t="s">
        <v>143</v>
      </c>
      <c r="BV510" t="s">
        <v>2369</v>
      </c>
      <c r="BW510" t="s">
        <v>293</v>
      </c>
      <c r="BX510" t="s">
        <v>756</v>
      </c>
      <c r="BY510" t="s">
        <v>757</v>
      </c>
      <c r="BZ510" t="s">
        <v>233</v>
      </c>
      <c r="CA510" t="s">
        <v>1012</v>
      </c>
      <c r="CB510" t="s">
        <v>760</v>
      </c>
      <c r="CC510" t="s">
        <v>1157</v>
      </c>
      <c r="CD510" t="s">
        <v>2398</v>
      </c>
      <c r="CE510" t="s">
        <v>2339</v>
      </c>
      <c r="CF510" t="s">
        <v>234</v>
      </c>
      <c r="CG510" t="s">
        <v>774</v>
      </c>
      <c r="CH510" t="s">
        <v>793</v>
      </c>
      <c r="CI510" t="s">
        <v>794</v>
      </c>
      <c r="CJ510" t="s">
        <v>931</v>
      </c>
      <c r="CK510" t="s">
        <v>941</v>
      </c>
      <c r="CL510" t="s">
        <v>927</v>
      </c>
      <c r="CM510" t="s">
        <v>923</v>
      </c>
      <c r="CN510" t="s">
        <v>1157</v>
      </c>
      <c r="CO510" t="s">
        <v>994</v>
      </c>
      <c r="CP510" t="s">
        <v>239</v>
      </c>
      <c r="CQ510" t="s">
        <v>241</v>
      </c>
      <c r="CR510" t="s">
        <v>805</v>
      </c>
      <c r="CS510" t="s">
        <v>806</v>
      </c>
    </row>
    <row r="511" spans="1:139">
      <c r="A511" s="40">
        <v>478</v>
      </c>
      <c r="B511" s="40" t="s">
        <v>1936</v>
      </c>
      <c r="C511" s="2" t="s">
        <v>1937</v>
      </c>
      <c r="D511" s="2" t="s">
        <v>23</v>
      </c>
      <c r="E511" s="2" t="s">
        <v>10</v>
      </c>
      <c r="F511" s="2">
        <v>70</v>
      </c>
      <c r="G511" s="2">
        <v>80</v>
      </c>
      <c r="H511" s="2">
        <v>70</v>
      </c>
      <c r="I511" s="2">
        <v>80</v>
      </c>
      <c r="J511" s="2">
        <v>70</v>
      </c>
      <c r="K511" s="2">
        <v>110</v>
      </c>
      <c r="L511" s="2">
        <v>480</v>
      </c>
      <c r="M511" s="2" t="s">
        <v>1129</v>
      </c>
      <c r="N511" s="2" t="s">
        <v>1061</v>
      </c>
      <c r="O511" t="s">
        <v>330</v>
      </c>
      <c r="P511" t="s">
        <v>230</v>
      </c>
      <c r="Q511" t="s">
        <v>1228</v>
      </c>
      <c r="R511" t="s">
        <v>1130</v>
      </c>
      <c r="S511" t="s">
        <v>230</v>
      </c>
      <c r="T511" t="s">
        <v>1130</v>
      </c>
      <c r="U511" t="s">
        <v>769</v>
      </c>
      <c r="V511" t="s">
        <v>387</v>
      </c>
      <c r="W511" t="s">
        <v>994</v>
      </c>
      <c r="X511" t="s">
        <v>1016</v>
      </c>
      <c r="Y511" t="s">
        <v>962</v>
      </c>
      <c r="Z511" t="s">
        <v>984</v>
      </c>
      <c r="AA511" t="s">
        <v>1104</v>
      </c>
      <c r="AB511" t="s">
        <v>271</v>
      </c>
      <c r="AC511" t="s">
        <v>793</v>
      </c>
      <c r="AD511" t="s">
        <v>1062</v>
      </c>
      <c r="AE511" t="s">
        <v>1063</v>
      </c>
      <c r="AF511" t="s">
        <v>148</v>
      </c>
      <c r="AG511" t="s">
        <v>1104</v>
      </c>
      <c r="AH511" t="s">
        <v>172</v>
      </c>
      <c r="AI511" t="s">
        <v>1126</v>
      </c>
      <c r="AJ511" t="s">
        <v>141</v>
      </c>
      <c r="AK511" t="s">
        <v>271</v>
      </c>
      <c r="AL511" t="s">
        <v>247</v>
      </c>
      <c r="AM511" t="s">
        <v>228</v>
      </c>
      <c r="AN511" t="s">
        <v>1078</v>
      </c>
      <c r="AO511" t="s">
        <v>766</v>
      </c>
      <c r="AP511" t="s">
        <v>759</v>
      </c>
      <c r="AQ511" t="s">
        <v>1079</v>
      </c>
      <c r="AR511" t="s">
        <v>146</v>
      </c>
      <c r="AS511" t="s">
        <v>321</v>
      </c>
      <c r="AT511" t="s">
        <v>1080</v>
      </c>
      <c r="AU511" t="s">
        <v>9</v>
      </c>
      <c r="AV511" t="s">
        <v>174</v>
      </c>
      <c r="AW511" t="s">
        <v>230</v>
      </c>
      <c r="AX511" t="s">
        <v>951</v>
      </c>
      <c r="AY511" t="s">
        <v>917</v>
      </c>
      <c r="AZ511" t="s">
        <v>231</v>
      </c>
      <c r="BA511" t="s">
        <v>1082</v>
      </c>
      <c r="BB511" t="s">
        <v>1037</v>
      </c>
      <c r="BC511" t="s">
        <v>974</v>
      </c>
      <c r="BD511" t="s">
        <v>969</v>
      </c>
      <c r="BE511" t="s">
        <v>995</v>
      </c>
      <c r="BF511" t="s">
        <v>976</v>
      </c>
      <c r="BG511" t="s">
        <v>232</v>
      </c>
      <c r="BH511" t="s">
        <v>322</v>
      </c>
      <c r="BI511" t="s">
        <v>785</v>
      </c>
      <c r="BJ511" t="s">
        <v>1027</v>
      </c>
      <c r="BK511" t="s">
        <v>293</v>
      </c>
      <c r="BL511" t="s">
        <v>756</v>
      </c>
      <c r="BM511" t="s">
        <v>757</v>
      </c>
      <c r="BN511" t="s">
        <v>233</v>
      </c>
      <c r="BO511" t="s">
        <v>2339</v>
      </c>
      <c r="BP511" t="s">
        <v>234</v>
      </c>
      <c r="BQ511" t="s">
        <v>340</v>
      </c>
      <c r="BR511" t="s">
        <v>347</v>
      </c>
      <c r="BS511" t="s">
        <v>1215</v>
      </c>
      <c r="BT511" t="s">
        <v>768</v>
      </c>
      <c r="BU511" t="s">
        <v>1192</v>
      </c>
      <c r="BV511" t="s">
        <v>918</v>
      </c>
      <c r="BW511" t="s">
        <v>911</v>
      </c>
      <c r="BX511" t="s">
        <v>1214</v>
      </c>
      <c r="BY511" t="s">
        <v>1029</v>
      </c>
      <c r="BZ511" t="s">
        <v>239</v>
      </c>
      <c r="CA511" t="s">
        <v>241</v>
      </c>
      <c r="CB511" t="s">
        <v>258</v>
      </c>
      <c r="CC511" t="s">
        <v>420</v>
      </c>
      <c r="CD511" t="s">
        <v>1078</v>
      </c>
      <c r="CE511" t="s">
        <v>983</v>
      </c>
      <c r="CF511" t="s">
        <v>777</v>
      </c>
      <c r="CG511" t="s">
        <v>805</v>
      </c>
      <c r="CH511" t="s">
        <v>806</v>
      </c>
    </row>
    <row r="512" spans="1:139">
      <c r="A512" s="40">
        <v>479</v>
      </c>
      <c r="B512" s="40" t="s">
        <v>1938</v>
      </c>
      <c r="C512" s="2" t="s">
        <v>1939</v>
      </c>
      <c r="D512" s="2" t="s">
        <v>17</v>
      </c>
      <c r="E512" s="2" t="s">
        <v>10</v>
      </c>
      <c r="F512" s="2">
        <v>50</v>
      </c>
      <c r="G512" s="2">
        <v>50</v>
      </c>
      <c r="H512" s="2">
        <v>77</v>
      </c>
      <c r="I512" s="2">
        <v>95</v>
      </c>
      <c r="J512" s="2">
        <v>77</v>
      </c>
      <c r="K512" s="2">
        <v>91</v>
      </c>
      <c r="L512" s="2">
        <v>440</v>
      </c>
      <c r="M512" s="2" t="s">
        <v>1065</v>
      </c>
      <c r="N512" s="2" t="s">
        <v>1061</v>
      </c>
      <c r="O512" t="s">
        <v>346</v>
      </c>
      <c r="P512" t="s">
        <v>322</v>
      </c>
      <c r="Q512" t="s">
        <v>387</v>
      </c>
      <c r="R512" t="s">
        <v>952</v>
      </c>
      <c r="S512" t="s">
        <v>1130</v>
      </c>
      <c r="T512" t="s">
        <v>953</v>
      </c>
      <c r="U512" t="s">
        <v>230</v>
      </c>
      <c r="V512" t="s">
        <v>1230</v>
      </c>
      <c r="W512" t="s">
        <v>994</v>
      </c>
      <c r="X512" t="s">
        <v>233</v>
      </c>
      <c r="Y512" t="s">
        <v>1023</v>
      </c>
      <c r="Z512" t="s">
        <v>1029</v>
      </c>
      <c r="AA512" t="s">
        <v>1140</v>
      </c>
      <c r="AB512" t="s">
        <v>1138</v>
      </c>
      <c r="AC512" t="s">
        <v>1062</v>
      </c>
      <c r="AD512" t="s">
        <v>1063</v>
      </c>
      <c r="AE512" t="s">
        <v>148</v>
      </c>
      <c r="AF512" t="s">
        <v>172</v>
      </c>
      <c r="AG512" t="s">
        <v>752</v>
      </c>
      <c r="AH512" t="s">
        <v>228</v>
      </c>
      <c r="AI512" t="s">
        <v>1078</v>
      </c>
      <c r="AJ512" t="s">
        <v>766</v>
      </c>
      <c r="AK512" t="s">
        <v>1079</v>
      </c>
      <c r="AL512" t="s">
        <v>146</v>
      </c>
      <c r="AM512" t="s">
        <v>321</v>
      </c>
      <c r="AN512" t="s">
        <v>1080</v>
      </c>
      <c r="AO512" t="s">
        <v>174</v>
      </c>
      <c r="AP512" t="s">
        <v>230</v>
      </c>
      <c r="AQ512" t="s">
        <v>380</v>
      </c>
      <c r="AR512" t="s">
        <v>917</v>
      </c>
      <c r="AS512" t="s">
        <v>231</v>
      </c>
      <c r="AT512" t="s">
        <v>1117</v>
      </c>
      <c r="AU512" t="s">
        <v>1037</v>
      </c>
      <c r="AV512" t="s">
        <v>963</v>
      </c>
      <c r="AW512" t="s">
        <v>956</v>
      </c>
      <c r="AX512" t="s">
        <v>232</v>
      </c>
      <c r="AY512" t="s">
        <v>1045</v>
      </c>
      <c r="AZ512" t="s">
        <v>322</v>
      </c>
      <c r="BA512" t="s">
        <v>785</v>
      </c>
      <c r="BB512" t="s">
        <v>293</v>
      </c>
      <c r="BC512" t="s">
        <v>756</v>
      </c>
      <c r="BD512" t="s">
        <v>757</v>
      </c>
      <c r="BE512" t="s">
        <v>233</v>
      </c>
      <c r="BF512" t="s">
        <v>1157</v>
      </c>
      <c r="BG512" t="s">
        <v>2339</v>
      </c>
      <c r="BH512" t="s">
        <v>234</v>
      </c>
      <c r="BI512" t="s">
        <v>239</v>
      </c>
      <c r="BJ512" t="s">
        <v>241</v>
      </c>
      <c r="BK512" t="s">
        <v>805</v>
      </c>
      <c r="BL512" t="s">
        <v>806</v>
      </c>
    </row>
    <row r="513" spans="1:83">
      <c r="A513" s="40">
        <v>479.1</v>
      </c>
      <c r="B513" s="40" t="s">
        <v>1940</v>
      </c>
      <c r="C513" s="2" t="s">
        <v>1941</v>
      </c>
      <c r="D513" s="2" t="s">
        <v>17</v>
      </c>
      <c r="E513" s="2" t="s">
        <v>19</v>
      </c>
      <c r="F513" s="2">
        <v>50</v>
      </c>
      <c r="G513" s="2">
        <v>65</v>
      </c>
      <c r="H513" s="2">
        <v>107</v>
      </c>
      <c r="I513" s="2">
        <v>105</v>
      </c>
      <c r="J513" s="2">
        <v>107</v>
      </c>
      <c r="K513" s="2">
        <v>86</v>
      </c>
      <c r="L513" s="2">
        <v>520</v>
      </c>
      <c r="M513" s="2" t="s">
        <v>1065</v>
      </c>
      <c r="N513" s="2" t="s">
        <v>1061</v>
      </c>
      <c r="O513" t="s">
        <v>346</v>
      </c>
      <c r="P513" t="s">
        <v>322</v>
      </c>
      <c r="Q513" t="s">
        <v>387</v>
      </c>
      <c r="R513" t="s">
        <v>952</v>
      </c>
      <c r="S513" t="s">
        <v>1130</v>
      </c>
      <c r="T513" t="s">
        <v>953</v>
      </c>
      <c r="U513" t="s">
        <v>230</v>
      </c>
      <c r="V513" t="s">
        <v>1230</v>
      </c>
      <c r="W513" t="s">
        <v>994</v>
      </c>
      <c r="X513" t="s">
        <v>233</v>
      </c>
      <c r="Y513" t="s">
        <v>1023</v>
      </c>
      <c r="Z513" t="s">
        <v>1029</v>
      </c>
      <c r="AA513" t="s">
        <v>1140</v>
      </c>
      <c r="AB513" t="s">
        <v>1138</v>
      </c>
      <c r="AC513" t="s">
        <v>1062</v>
      </c>
      <c r="AD513" t="s">
        <v>1063</v>
      </c>
      <c r="AE513" t="s">
        <v>148</v>
      </c>
      <c r="AF513" t="s">
        <v>172</v>
      </c>
      <c r="AG513" t="s">
        <v>752</v>
      </c>
      <c r="AH513" t="s">
        <v>228</v>
      </c>
      <c r="AI513" t="s">
        <v>1078</v>
      </c>
      <c r="AJ513" t="s">
        <v>766</v>
      </c>
      <c r="AK513" t="s">
        <v>1079</v>
      </c>
      <c r="AL513" t="s">
        <v>146</v>
      </c>
      <c r="AM513" t="s">
        <v>321</v>
      </c>
      <c r="AN513" t="s">
        <v>1080</v>
      </c>
      <c r="AO513" t="s">
        <v>174</v>
      </c>
      <c r="AP513" t="s">
        <v>230</v>
      </c>
      <c r="AQ513" t="s">
        <v>380</v>
      </c>
      <c r="AR513" t="s">
        <v>917</v>
      </c>
      <c r="AS513" t="s">
        <v>231</v>
      </c>
      <c r="AT513" t="s">
        <v>1117</v>
      </c>
      <c r="AU513" t="s">
        <v>1037</v>
      </c>
      <c r="AV513" t="s">
        <v>963</v>
      </c>
      <c r="AW513" t="s">
        <v>956</v>
      </c>
      <c r="AX513" t="s">
        <v>232</v>
      </c>
      <c r="AY513" t="s">
        <v>1045</v>
      </c>
      <c r="AZ513" t="s">
        <v>322</v>
      </c>
      <c r="BA513" t="s">
        <v>785</v>
      </c>
      <c r="BB513" t="s">
        <v>293</v>
      </c>
      <c r="BC513" t="s">
        <v>756</v>
      </c>
      <c r="BD513" t="s">
        <v>757</v>
      </c>
      <c r="BE513" t="s">
        <v>233</v>
      </c>
      <c r="BF513" t="s">
        <v>1157</v>
      </c>
      <c r="BG513" t="s">
        <v>2339</v>
      </c>
      <c r="BH513" t="s">
        <v>234</v>
      </c>
      <c r="BI513" t="s">
        <v>239</v>
      </c>
      <c r="BJ513" t="s">
        <v>241</v>
      </c>
      <c r="BK513" t="s">
        <v>805</v>
      </c>
      <c r="BL513" t="s">
        <v>806</v>
      </c>
    </row>
    <row r="514" spans="1:83">
      <c r="A514" s="40">
        <v>479.2</v>
      </c>
      <c r="B514" s="40" t="s">
        <v>1942</v>
      </c>
      <c r="C514" s="2" t="s">
        <v>1943</v>
      </c>
      <c r="D514" s="2" t="s">
        <v>17</v>
      </c>
      <c r="E514" s="2" t="s">
        <v>27</v>
      </c>
      <c r="F514" s="2">
        <v>50</v>
      </c>
      <c r="G514" s="2">
        <v>65</v>
      </c>
      <c r="H514" s="2">
        <v>107</v>
      </c>
      <c r="I514" s="2">
        <v>105</v>
      </c>
      <c r="J514" s="2">
        <v>107</v>
      </c>
      <c r="K514" s="2">
        <v>86</v>
      </c>
      <c r="L514" s="2">
        <v>520</v>
      </c>
      <c r="M514" s="2" t="s">
        <v>1065</v>
      </c>
      <c r="N514" s="2" t="s">
        <v>1061</v>
      </c>
      <c r="O514" t="s">
        <v>346</v>
      </c>
      <c r="P514" t="s">
        <v>322</v>
      </c>
      <c r="Q514" t="s">
        <v>387</v>
      </c>
      <c r="R514" t="s">
        <v>952</v>
      </c>
      <c r="S514" t="s">
        <v>1130</v>
      </c>
      <c r="T514" t="s">
        <v>953</v>
      </c>
      <c r="U514" t="s">
        <v>230</v>
      </c>
      <c r="V514" t="s">
        <v>1230</v>
      </c>
      <c r="W514" t="s">
        <v>994</v>
      </c>
      <c r="X514" t="s">
        <v>233</v>
      </c>
      <c r="Y514" t="s">
        <v>1023</v>
      </c>
      <c r="Z514" t="s">
        <v>1029</v>
      </c>
      <c r="AA514" t="s">
        <v>1140</v>
      </c>
      <c r="AB514" t="s">
        <v>1138</v>
      </c>
      <c r="AC514" t="s">
        <v>1062</v>
      </c>
      <c r="AD514" t="s">
        <v>1063</v>
      </c>
      <c r="AE514" t="s">
        <v>148</v>
      </c>
      <c r="AF514" t="s">
        <v>172</v>
      </c>
      <c r="AG514" t="s">
        <v>752</v>
      </c>
      <c r="AH514" t="s">
        <v>228</v>
      </c>
      <c r="AI514" t="s">
        <v>1078</v>
      </c>
      <c r="AJ514" t="s">
        <v>766</v>
      </c>
      <c r="AK514" t="s">
        <v>1079</v>
      </c>
      <c r="AL514" t="s">
        <v>146</v>
      </c>
      <c r="AM514" t="s">
        <v>321</v>
      </c>
      <c r="AN514" t="s">
        <v>1080</v>
      </c>
      <c r="AO514" t="s">
        <v>174</v>
      </c>
      <c r="AP514" t="s">
        <v>230</v>
      </c>
      <c r="AQ514" t="s">
        <v>380</v>
      </c>
      <c r="AR514" t="s">
        <v>917</v>
      </c>
      <c r="AS514" t="s">
        <v>231</v>
      </c>
      <c r="AT514" t="s">
        <v>1117</v>
      </c>
      <c r="AU514" t="s">
        <v>1037</v>
      </c>
      <c r="AV514" t="s">
        <v>963</v>
      </c>
      <c r="AW514" t="s">
        <v>956</v>
      </c>
      <c r="AX514" t="s">
        <v>232</v>
      </c>
      <c r="AY514" t="s">
        <v>1045</v>
      </c>
      <c r="AZ514" t="s">
        <v>322</v>
      </c>
      <c r="BA514" t="s">
        <v>785</v>
      </c>
      <c r="BB514" t="s">
        <v>293</v>
      </c>
      <c r="BC514" t="s">
        <v>756</v>
      </c>
      <c r="BD514" t="s">
        <v>757</v>
      </c>
      <c r="BE514" t="s">
        <v>233</v>
      </c>
      <c r="BF514" t="s">
        <v>1157</v>
      </c>
      <c r="BG514" t="s">
        <v>2339</v>
      </c>
      <c r="BH514" t="s">
        <v>234</v>
      </c>
      <c r="BI514" t="s">
        <v>239</v>
      </c>
      <c r="BJ514" t="s">
        <v>241</v>
      </c>
      <c r="BK514" t="s">
        <v>805</v>
      </c>
      <c r="BL514" t="s">
        <v>806</v>
      </c>
    </row>
    <row r="515" spans="1:83">
      <c r="A515" s="40">
        <v>479.3</v>
      </c>
      <c r="B515" s="40" t="s">
        <v>1944</v>
      </c>
      <c r="C515" s="2" t="s">
        <v>1945</v>
      </c>
      <c r="D515" s="2" t="s">
        <v>17</v>
      </c>
      <c r="E515" s="2" t="s">
        <v>23</v>
      </c>
      <c r="F515" s="2">
        <v>50</v>
      </c>
      <c r="G515" s="2">
        <v>65</v>
      </c>
      <c r="H515" s="2">
        <v>107</v>
      </c>
      <c r="I515" s="2">
        <v>105</v>
      </c>
      <c r="J515" s="2">
        <v>107</v>
      </c>
      <c r="K515" s="2">
        <v>86</v>
      </c>
      <c r="L515" s="2">
        <v>520</v>
      </c>
      <c r="M515" s="2" t="s">
        <v>1065</v>
      </c>
      <c r="N515" s="2" t="s">
        <v>1061</v>
      </c>
      <c r="O515" t="s">
        <v>346</v>
      </c>
      <c r="P515" t="s">
        <v>322</v>
      </c>
      <c r="Q515" t="s">
        <v>387</v>
      </c>
      <c r="R515" t="s">
        <v>952</v>
      </c>
      <c r="S515" t="s">
        <v>1130</v>
      </c>
      <c r="T515" t="s">
        <v>953</v>
      </c>
      <c r="U515" t="s">
        <v>230</v>
      </c>
      <c r="V515" t="s">
        <v>1230</v>
      </c>
      <c r="W515" t="s">
        <v>994</v>
      </c>
      <c r="X515" t="s">
        <v>233</v>
      </c>
      <c r="Y515" t="s">
        <v>1023</v>
      </c>
      <c r="Z515" t="s">
        <v>1029</v>
      </c>
      <c r="AA515" t="s">
        <v>1140</v>
      </c>
      <c r="AB515" t="s">
        <v>1138</v>
      </c>
      <c r="AC515" t="s">
        <v>1062</v>
      </c>
      <c r="AD515" t="s">
        <v>1063</v>
      </c>
      <c r="AE515" t="s">
        <v>148</v>
      </c>
      <c r="AF515" t="s">
        <v>172</v>
      </c>
      <c r="AG515" t="s">
        <v>752</v>
      </c>
      <c r="AH515" t="s">
        <v>228</v>
      </c>
      <c r="AI515" t="s">
        <v>1078</v>
      </c>
      <c r="AJ515" t="s">
        <v>766</v>
      </c>
      <c r="AK515" t="s">
        <v>1079</v>
      </c>
      <c r="AL515" t="s">
        <v>146</v>
      </c>
      <c r="AM515" t="s">
        <v>321</v>
      </c>
      <c r="AN515" t="s">
        <v>1080</v>
      </c>
      <c r="AO515" t="s">
        <v>174</v>
      </c>
      <c r="AP515" t="s">
        <v>230</v>
      </c>
      <c r="AQ515" t="s">
        <v>380</v>
      </c>
      <c r="AR515" t="s">
        <v>917</v>
      </c>
      <c r="AS515" t="s">
        <v>231</v>
      </c>
      <c r="AT515" t="s">
        <v>1117</v>
      </c>
      <c r="AU515" t="s">
        <v>1037</v>
      </c>
      <c r="AV515" t="s">
        <v>963</v>
      </c>
      <c r="AW515" t="s">
        <v>956</v>
      </c>
      <c r="AX515" t="s">
        <v>232</v>
      </c>
      <c r="AY515" t="s">
        <v>1045</v>
      </c>
      <c r="AZ515" t="s">
        <v>322</v>
      </c>
      <c r="BA515" t="s">
        <v>785</v>
      </c>
      <c r="BB515" t="s">
        <v>293</v>
      </c>
      <c r="BC515" t="s">
        <v>756</v>
      </c>
      <c r="BD515" t="s">
        <v>757</v>
      </c>
      <c r="BE515" t="s">
        <v>233</v>
      </c>
      <c r="BF515" t="s">
        <v>1157</v>
      </c>
      <c r="BG515" t="s">
        <v>2339</v>
      </c>
      <c r="BH515" t="s">
        <v>234</v>
      </c>
      <c r="BI515" t="s">
        <v>239</v>
      </c>
      <c r="BJ515" t="s">
        <v>241</v>
      </c>
      <c r="BK515" t="s">
        <v>805</v>
      </c>
      <c r="BL515" t="s">
        <v>806</v>
      </c>
    </row>
    <row r="516" spans="1:83">
      <c r="A516" s="40">
        <v>479.4</v>
      </c>
      <c r="B516" s="40" t="s">
        <v>1946</v>
      </c>
      <c r="C516" s="2" t="s">
        <v>1947</v>
      </c>
      <c r="D516" s="2" t="s">
        <v>17</v>
      </c>
      <c r="E516" s="2" t="s">
        <v>20</v>
      </c>
      <c r="F516" s="2">
        <v>50</v>
      </c>
      <c r="G516" s="2">
        <v>65</v>
      </c>
      <c r="H516" s="2">
        <v>107</v>
      </c>
      <c r="I516" s="2">
        <v>105</v>
      </c>
      <c r="J516" s="2">
        <v>107</v>
      </c>
      <c r="K516" s="2">
        <v>86</v>
      </c>
      <c r="L516" s="2">
        <v>520</v>
      </c>
      <c r="M516" s="2" t="s">
        <v>1065</v>
      </c>
      <c r="N516" s="2" t="s">
        <v>1061</v>
      </c>
      <c r="O516" t="s">
        <v>346</v>
      </c>
      <c r="P516" t="s">
        <v>322</v>
      </c>
      <c r="Q516" t="s">
        <v>387</v>
      </c>
      <c r="R516" t="s">
        <v>952</v>
      </c>
      <c r="S516" t="s">
        <v>1130</v>
      </c>
      <c r="T516" t="s">
        <v>953</v>
      </c>
      <c r="U516" t="s">
        <v>230</v>
      </c>
      <c r="V516" t="s">
        <v>1230</v>
      </c>
      <c r="W516" t="s">
        <v>994</v>
      </c>
      <c r="X516" t="s">
        <v>233</v>
      </c>
      <c r="Y516" t="s">
        <v>1023</v>
      </c>
      <c r="Z516" t="s">
        <v>1029</v>
      </c>
      <c r="AA516" t="s">
        <v>1140</v>
      </c>
      <c r="AB516" t="s">
        <v>1138</v>
      </c>
      <c r="AC516" t="s">
        <v>1062</v>
      </c>
      <c r="AD516" t="s">
        <v>1063</v>
      </c>
      <c r="AE516" t="s">
        <v>148</v>
      </c>
      <c r="AF516" t="s">
        <v>172</v>
      </c>
      <c r="AG516" t="s">
        <v>752</v>
      </c>
      <c r="AH516" t="s">
        <v>228</v>
      </c>
      <c r="AI516" t="s">
        <v>1078</v>
      </c>
      <c r="AJ516" t="s">
        <v>766</v>
      </c>
      <c r="AK516" t="s">
        <v>1079</v>
      </c>
      <c r="AL516" t="s">
        <v>146</v>
      </c>
      <c r="AM516" t="s">
        <v>321</v>
      </c>
      <c r="AN516" t="s">
        <v>1080</v>
      </c>
      <c r="AO516" t="s">
        <v>174</v>
      </c>
      <c r="AP516" t="s">
        <v>230</v>
      </c>
      <c r="AQ516" t="s">
        <v>380</v>
      </c>
      <c r="AR516" t="s">
        <v>917</v>
      </c>
      <c r="AS516" t="s">
        <v>231</v>
      </c>
      <c r="AT516" t="s">
        <v>1117</v>
      </c>
      <c r="AU516" t="s">
        <v>1037</v>
      </c>
      <c r="AV516" t="s">
        <v>963</v>
      </c>
      <c r="AW516" t="s">
        <v>956</v>
      </c>
      <c r="AX516" t="s">
        <v>232</v>
      </c>
      <c r="AY516" t="s">
        <v>1045</v>
      </c>
      <c r="AZ516" t="s">
        <v>322</v>
      </c>
      <c r="BA516" t="s">
        <v>785</v>
      </c>
      <c r="BB516" t="s">
        <v>293</v>
      </c>
      <c r="BC516" t="s">
        <v>756</v>
      </c>
      <c r="BD516" t="s">
        <v>757</v>
      </c>
      <c r="BE516" t="s">
        <v>233</v>
      </c>
      <c r="BF516" t="s">
        <v>1157</v>
      </c>
      <c r="BG516" t="s">
        <v>2339</v>
      </c>
      <c r="BH516" t="s">
        <v>234</v>
      </c>
      <c r="BI516" t="s">
        <v>239</v>
      </c>
      <c r="BJ516" t="s">
        <v>241</v>
      </c>
      <c r="BK516" t="s">
        <v>805</v>
      </c>
      <c r="BL516" t="s">
        <v>806</v>
      </c>
    </row>
    <row r="517" spans="1:83">
      <c r="A517" s="40">
        <v>479.5</v>
      </c>
      <c r="B517" s="40" t="s">
        <v>1948</v>
      </c>
      <c r="C517" s="2" t="s">
        <v>1949</v>
      </c>
      <c r="D517" s="2" t="s">
        <v>17</v>
      </c>
      <c r="E517" s="2" t="s">
        <v>21</v>
      </c>
      <c r="F517" s="2">
        <v>50</v>
      </c>
      <c r="G517" s="2">
        <v>65</v>
      </c>
      <c r="H517" s="2">
        <v>107</v>
      </c>
      <c r="I517" s="2">
        <v>105</v>
      </c>
      <c r="J517" s="2">
        <v>107</v>
      </c>
      <c r="K517" s="2">
        <v>86</v>
      </c>
      <c r="L517" s="2">
        <v>520</v>
      </c>
      <c r="M517" s="2" t="s">
        <v>1065</v>
      </c>
      <c r="N517" s="2" t="s">
        <v>1061</v>
      </c>
      <c r="O517" t="s">
        <v>346</v>
      </c>
      <c r="P517" t="s">
        <v>322</v>
      </c>
      <c r="Q517" t="s">
        <v>387</v>
      </c>
      <c r="R517" t="s">
        <v>952</v>
      </c>
      <c r="S517" t="s">
        <v>1130</v>
      </c>
      <c r="T517" t="s">
        <v>953</v>
      </c>
      <c r="U517" t="s">
        <v>230</v>
      </c>
      <c r="V517" t="s">
        <v>1230</v>
      </c>
      <c r="W517" t="s">
        <v>994</v>
      </c>
      <c r="X517" t="s">
        <v>233</v>
      </c>
      <c r="Y517" t="s">
        <v>1023</v>
      </c>
      <c r="Z517" t="s">
        <v>1029</v>
      </c>
      <c r="AA517" t="s">
        <v>1140</v>
      </c>
      <c r="AB517" t="s">
        <v>1138</v>
      </c>
      <c r="AC517" t="s">
        <v>1062</v>
      </c>
      <c r="AD517" t="s">
        <v>1063</v>
      </c>
      <c r="AE517" t="s">
        <v>148</v>
      </c>
      <c r="AF517" t="s">
        <v>172</v>
      </c>
      <c r="AG517" t="s">
        <v>752</v>
      </c>
      <c r="AH517" t="s">
        <v>228</v>
      </c>
      <c r="AI517" t="s">
        <v>1078</v>
      </c>
      <c r="AJ517" t="s">
        <v>766</v>
      </c>
      <c r="AK517" t="s">
        <v>1079</v>
      </c>
      <c r="AL517" t="s">
        <v>146</v>
      </c>
      <c r="AM517" t="s">
        <v>321</v>
      </c>
      <c r="AN517" t="s">
        <v>1080</v>
      </c>
      <c r="AO517" t="s">
        <v>174</v>
      </c>
      <c r="AP517" t="s">
        <v>230</v>
      </c>
      <c r="AQ517" t="s">
        <v>380</v>
      </c>
      <c r="AR517" t="s">
        <v>917</v>
      </c>
      <c r="AS517" t="s">
        <v>231</v>
      </c>
      <c r="AT517" t="s">
        <v>1117</v>
      </c>
      <c r="AU517" t="s">
        <v>1037</v>
      </c>
      <c r="AV517" t="s">
        <v>963</v>
      </c>
      <c r="AW517" t="s">
        <v>956</v>
      </c>
      <c r="AX517" t="s">
        <v>232</v>
      </c>
      <c r="AY517" t="s">
        <v>1045</v>
      </c>
      <c r="AZ517" t="s">
        <v>322</v>
      </c>
      <c r="BA517" t="s">
        <v>785</v>
      </c>
      <c r="BB517" t="s">
        <v>293</v>
      </c>
      <c r="BC517" t="s">
        <v>756</v>
      </c>
      <c r="BD517" t="s">
        <v>757</v>
      </c>
      <c r="BE517" t="s">
        <v>233</v>
      </c>
      <c r="BF517" t="s">
        <v>1157</v>
      </c>
      <c r="BG517" t="s">
        <v>2339</v>
      </c>
      <c r="BH517" t="s">
        <v>234</v>
      </c>
      <c r="BI517" t="s">
        <v>239</v>
      </c>
      <c r="BJ517" t="s">
        <v>241</v>
      </c>
      <c r="BK517" t="s">
        <v>805</v>
      </c>
      <c r="BL517" t="s">
        <v>806</v>
      </c>
    </row>
    <row r="518" spans="1:83">
      <c r="A518" s="40">
        <v>480</v>
      </c>
      <c r="B518" s="40" t="s">
        <v>1950</v>
      </c>
      <c r="C518" s="2" t="s">
        <v>1951</v>
      </c>
      <c r="D518" s="2" t="s">
        <v>9</v>
      </c>
      <c r="E518" s="2"/>
      <c r="F518" s="2">
        <v>75</v>
      </c>
      <c r="G518" s="2">
        <v>75</v>
      </c>
      <c r="H518" s="2">
        <v>130</v>
      </c>
      <c r="I518" s="2">
        <v>75</v>
      </c>
      <c r="J518" s="2">
        <v>130</v>
      </c>
      <c r="K518" s="2">
        <v>95</v>
      </c>
      <c r="L518" s="2">
        <v>580</v>
      </c>
      <c r="M518" s="2" t="s">
        <v>1199</v>
      </c>
      <c r="N518" s="2" t="s">
        <v>1061</v>
      </c>
      <c r="O518" t="s">
        <v>287</v>
      </c>
      <c r="P518" t="s">
        <v>231</v>
      </c>
      <c r="Q518" t="s">
        <v>927</v>
      </c>
      <c r="R518" t="s">
        <v>754</v>
      </c>
      <c r="S518" t="s">
        <v>354</v>
      </c>
      <c r="T518" t="s">
        <v>958</v>
      </c>
      <c r="U518" t="s">
        <v>790</v>
      </c>
      <c r="V518" t="s">
        <v>235</v>
      </c>
      <c r="W518" t="s">
        <v>1154</v>
      </c>
      <c r="X518" t="s">
        <v>770</v>
      </c>
      <c r="Y518" t="s">
        <v>992</v>
      </c>
      <c r="Z518" t="s">
        <v>931</v>
      </c>
      <c r="AA518" t="s">
        <v>1062</v>
      </c>
      <c r="AB518" t="s">
        <v>1063</v>
      </c>
      <c r="AC518" t="s">
        <v>1151</v>
      </c>
      <c r="AD518" t="s">
        <v>912</v>
      </c>
      <c r="AE518" t="s">
        <v>148</v>
      </c>
      <c r="AF518" t="s">
        <v>172</v>
      </c>
      <c r="AG518" t="s">
        <v>752</v>
      </c>
      <c r="AH518" t="s">
        <v>247</v>
      </c>
      <c r="AI518" t="s">
        <v>228</v>
      </c>
      <c r="AJ518" t="s">
        <v>1078</v>
      </c>
      <c r="AK518" t="s">
        <v>766</v>
      </c>
      <c r="AL518" t="s">
        <v>759</v>
      </c>
      <c r="AM518" t="s">
        <v>1079</v>
      </c>
      <c r="AN518" t="s">
        <v>229</v>
      </c>
      <c r="AO518" t="s">
        <v>146</v>
      </c>
      <c r="AP518" t="s">
        <v>321</v>
      </c>
      <c r="AQ518" t="s">
        <v>1080</v>
      </c>
      <c r="AR518" t="s">
        <v>9</v>
      </c>
      <c r="AS518" t="s">
        <v>174</v>
      </c>
      <c r="AT518" t="s">
        <v>230</v>
      </c>
      <c r="AU518" t="s">
        <v>380</v>
      </c>
      <c r="AV518" t="s">
        <v>765</v>
      </c>
      <c r="AW518" t="s">
        <v>917</v>
      </c>
      <c r="AX518" t="s">
        <v>231</v>
      </c>
      <c r="AY518" t="s">
        <v>1037</v>
      </c>
      <c r="AZ518" t="s">
        <v>970</v>
      </c>
      <c r="BA518" t="s">
        <v>974</v>
      </c>
      <c r="BB518" t="s">
        <v>963</v>
      </c>
      <c r="BC518" t="s">
        <v>1020</v>
      </c>
      <c r="BD518" t="s">
        <v>976</v>
      </c>
      <c r="BE518" t="s">
        <v>232</v>
      </c>
      <c r="BF518" t="s">
        <v>322</v>
      </c>
      <c r="BG518" t="s">
        <v>785</v>
      </c>
      <c r="BH518" t="s">
        <v>293</v>
      </c>
      <c r="BI518" t="s">
        <v>977</v>
      </c>
      <c r="BJ518" t="s">
        <v>756</v>
      </c>
      <c r="BK518" t="s">
        <v>1014</v>
      </c>
      <c r="BL518" t="s">
        <v>233</v>
      </c>
      <c r="BM518" t="s">
        <v>1012</v>
      </c>
      <c r="BN518" t="s">
        <v>234</v>
      </c>
      <c r="BO518" t="s">
        <v>239</v>
      </c>
      <c r="BP518" t="s">
        <v>241</v>
      </c>
      <c r="BQ518" t="s">
        <v>805</v>
      </c>
      <c r="BR518" t="s">
        <v>806</v>
      </c>
    </row>
    <row r="519" spans="1:83">
      <c r="A519" s="40">
        <v>481</v>
      </c>
      <c r="B519" s="40" t="s">
        <v>1952</v>
      </c>
      <c r="C519" s="2" t="s">
        <v>1953</v>
      </c>
      <c r="D519" s="2" t="s">
        <v>9</v>
      </c>
      <c r="E519" s="2"/>
      <c r="F519" s="2">
        <v>80</v>
      </c>
      <c r="G519" s="2">
        <v>105</v>
      </c>
      <c r="H519" s="2">
        <v>105</v>
      </c>
      <c r="I519" s="2">
        <v>105</v>
      </c>
      <c r="J519" s="2">
        <v>105</v>
      </c>
      <c r="K519" s="2">
        <v>80</v>
      </c>
      <c r="L519" s="2">
        <v>580</v>
      </c>
      <c r="M519" s="2" t="s">
        <v>1131</v>
      </c>
      <c r="N519" s="2" t="s">
        <v>1061</v>
      </c>
      <c r="O519" t="s">
        <v>287</v>
      </c>
      <c r="P519" t="s">
        <v>231</v>
      </c>
      <c r="Q519" t="s">
        <v>927</v>
      </c>
      <c r="R519" t="s">
        <v>1078</v>
      </c>
      <c r="S519" t="s">
        <v>354</v>
      </c>
      <c r="T519" t="s">
        <v>987</v>
      </c>
      <c r="U519" t="s">
        <v>790</v>
      </c>
      <c r="V519" t="s">
        <v>781</v>
      </c>
      <c r="W519" t="s">
        <v>1154</v>
      </c>
      <c r="X519" t="s">
        <v>964</v>
      </c>
      <c r="Y519" t="s">
        <v>992</v>
      </c>
      <c r="Z519" t="s">
        <v>982</v>
      </c>
      <c r="AA519" t="s">
        <v>1062</v>
      </c>
      <c r="AB519" t="s">
        <v>1063</v>
      </c>
      <c r="AC519" t="s">
        <v>1151</v>
      </c>
      <c r="AD519" t="s">
        <v>912</v>
      </c>
      <c r="AE519" t="s">
        <v>148</v>
      </c>
      <c r="AF519" t="s">
        <v>172</v>
      </c>
      <c r="AG519" t="s">
        <v>752</v>
      </c>
      <c r="AH519" t="s">
        <v>141</v>
      </c>
      <c r="AI519" t="s">
        <v>271</v>
      </c>
      <c r="AJ519" t="s">
        <v>247</v>
      </c>
      <c r="AK519" t="s">
        <v>228</v>
      </c>
      <c r="AL519" t="s">
        <v>1078</v>
      </c>
      <c r="AM519" t="s">
        <v>766</v>
      </c>
      <c r="AN519" t="s">
        <v>759</v>
      </c>
      <c r="AO519" t="s">
        <v>1079</v>
      </c>
      <c r="AP519" t="s">
        <v>146</v>
      </c>
      <c r="AQ519" t="s">
        <v>321</v>
      </c>
      <c r="AR519" t="s">
        <v>1080</v>
      </c>
      <c r="AS519" t="s">
        <v>9</v>
      </c>
      <c r="AT519" t="s">
        <v>174</v>
      </c>
      <c r="AU519" t="s">
        <v>230</v>
      </c>
      <c r="AV519" t="s">
        <v>380</v>
      </c>
      <c r="AW519" t="s">
        <v>765</v>
      </c>
      <c r="AX519" t="s">
        <v>917</v>
      </c>
      <c r="AY519" t="s">
        <v>231</v>
      </c>
      <c r="AZ519" t="s">
        <v>1037</v>
      </c>
      <c r="BA519" t="s">
        <v>970</v>
      </c>
      <c r="BB519" t="s">
        <v>974</v>
      </c>
      <c r="BC519" t="s">
        <v>963</v>
      </c>
      <c r="BD519" t="s">
        <v>1020</v>
      </c>
      <c r="BE519" t="s">
        <v>976</v>
      </c>
      <c r="BF519" t="s">
        <v>232</v>
      </c>
      <c r="BG519" t="s">
        <v>322</v>
      </c>
      <c r="BH519" t="s">
        <v>785</v>
      </c>
      <c r="BI519" t="s">
        <v>293</v>
      </c>
      <c r="BJ519" t="s">
        <v>977</v>
      </c>
      <c r="BK519" t="s">
        <v>756</v>
      </c>
      <c r="BL519" t="s">
        <v>1014</v>
      </c>
      <c r="BM519" t="s">
        <v>233</v>
      </c>
      <c r="BN519" t="s">
        <v>1012</v>
      </c>
      <c r="BO519" t="s">
        <v>234</v>
      </c>
      <c r="BP519" t="s">
        <v>239</v>
      </c>
      <c r="BQ519" t="s">
        <v>241</v>
      </c>
      <c r="BR519" t="s">
        <v>805</v>
      </c>
      <c r="BS519" t="s">
        <v>806</v>
      </c>
    </row>
    <row r="520" spans="1:83">
      <c r="A520" s="40">
        <v>482</v>
      </c>
      <c r="B520" s="40" t="s">
        <v>1954</v>
      </c>
      <c r="C520" s="2" t="s">
        <v>1955</v>
      </c>
      <c r="D520" s="2" t="s">
        <v>9</v>
      </c>
      <c r="E520" s="2"/>
      <c r="F520" s="2">
        <v>75</v>
      </c>
      <c r="G520" s="2">
        <v>125</v>
      </c>
      <c r="H520" s="2">
        <v>70</v>
      </c>
      <c r="I520" s="2">
        <v>125</v>
      </c>
      <c r="J520" s="2">
        <v>70</v>
      </c>
      <c r="K520" s="2">
        <v>115</v>
      </c>
      <c r="L520" s="2">
        <v>580</v>
      </c>
      <c r="M520" s="2" t="s">
        <v>1075</v>
      </c>
      <c r="N520" s="2" t="s">
        <v>1061</v>
      </c>
      <c r="O520" t="s">
        <v>287</v>
      </c>
      <c r="P520" t="s">
        <v>231</v>
      </c>
      <c r="Q520" t="s">
        <v>927</v>
      </c>
      <c r="R520" t="s">
        <v>1220</v>
      </c>
      <c r="S520" t="s">
        <v>354</v>
      </c>
      <c r="T520" t="s">
        <v>953</v>
      </c>
      <c r="U520" t="s">
        <v>790</v>
      </c>
      <c r="V520" t="s">
        <v>991</v>
      </c>
      <c r="W520" t="s">
        <v>1154</v>
      </c>
      <c r="X520" t="s">
        <v>986</v>
      </c>
      <c r="Y520" t="s">
        <v>992</v>
      </c>
      <c r="Z520" t="s">
        <v>485</v>
      </c>
      <c r="AA520" t="s">
        <v>1062</v>
      </c>
      <c r="AB520" t="s">
        <v>1063</v>
      </c>
      <c r="AC520" t="s">
        <v>1151</v>
      </c>
      <c r="AD520" t="s">
        <v>912</v>
      </c>
      <c r="AE520" t="s">
        <v>148</v>
      </c>
      <c r="AF520" t="s">
        <v>172</v>
      </c>
      <c r="AG520" t="s">
        <v>752</v>
      </c>
      <c r="AH520" t="s">
        <v>1126</v>
      </c>
      <c r="AI520" t="s">
        <v>247</v>
      </c>
      <c r="AJ520" t="s">
        <v>228</v>
      </c>
      <c r="AK520" t="s">
        <v>1078</v>
      </c>
      <c r="AL520" t="s">
        <v>766</v>
      </c>
      <c r="AM520" t="s">
        <v>759</v>
      </c>
      <c r="AN520" t="s">
        <v>1079</v>
      </c>
      <c r="AO520" t="s">
        <v>146</v>
      </c>
      <c r="AP520" t="s">
        <v>321</v>
      </c>
      <c r="AQ520" t="s">
        <v>1080</v>
      </c>
      <c r="AR520" t="s">
        <v>9</v>
      </c>
      <c r="AS520" t="s">
        <v>174</v>
      </c>
      <c r="AT520" t="s">
        <v>230</v>
      </c>
      <c r="AU520" t="s">
        <v>380</v>
      </c>
      <c r="AV520" t="s">
        <v>254</v>
      </c>
      <c r="AW520" t="s">
        <v>765</v>
      </c>
      <c r="AX520" t="s">
        <v>257</v>
      </c>
      <c r="AY520" t="s">
        <v>951</v>
      </c>
      <c r="AZ520" t="s">
        <v>917</v>
      </c>
      <c r="BA520" t="s">
        <v>231</v>
      </c>
      <c r="BB520" t="s">
        <v>1037</v>
      </c>
      <c r="BC520" t="s">
        <v>970</v>
      </c>
      <c r="BD520" t="s">
        <v>974</v>
      </c>
      <c r="BE520" t="s">
        <v>963</v>
      </c>
      <c r="BF520" t="s">
        <v>1031</v>
      </c>
      <c r="BG520" t="s">
        <v>1020</v>
      </c>
      <c r="BH520" t="s">
        <v>485</v>
      </c>
      <c r="BI520" t="s">
        <v>995</v>
      </c>
      <c r="BJ520" t="s">
        <v>976</v>
      </c>
      <c r="BK520" t="s">
        <v>232</v>
      </c>
      <c r="BL520" t="s">
        <v>322</v>
      </c>
      <c r="BM520" t="s">
        <v>785</v>
      </c>
      <c r="BN520" t="s">
        <v>293</v>
      </c>
      <c r="BO520" t="s">
        <v>977</v>
      </c>
      <c r="BP520" t="s">
        <v>756</v>
      </c>
      <c r="BQ520" t="s">
        <v>1014</v>
      </c>
      <c r="BR520" t="s">
        <v>233</v>
      </c>
      <c r="BS520" t="s">
        <v>1012</v>
      </c>
      <c r="BT520" t="s">
        <v>234</v>
      </c>
      <c r="BU520" t="s">
        <v>239</v>
      </c>
      <c r="BV520" t="s">
        <v>241</v>
      </c>
      <c r="BW520" t="s">
        <v>805</v>
      </c>
      <c r="BX520" t="s">
        <v>806</v>
      </c>
    </row>
    <row r="521" spans="1:83">
      <c r="A521" s="40">
        <v>483</v>
      </c>
      <c r="B521" s="40" t="s">
        <v>1956</v>
      </c>
      <c r="C521" s="2" t="s">
        <v>1957</v>
      </c>
      <c r="D521" s="2" t="s">
        <v>26</v>
      </c>
      <c r="E521" s="2" t="s">
        <v>16</v>
      </c>
      <c r="F521" s="2">
        <v>100</v>
      </c>
      <c r="G521" s="2">
        <v>120</v>
      </c>
      <c r="H521" s="2">
        <v>120</v>
      </c>
      <c r="I521" s="2">
        <v>150</v>
      </c>
      <c r="J521" s="2">
        <v>100</v>
      </c>
      <c r="K521" s="2">
        <v>90</v>
      </c>
      <c r="L521" s="2">
        <v>680</v>
      </c>
      <c r="M521" s="2" t="s">
        <v>1074</v>
      </c>
      <c r="N521" s="2" t="s">
        <v>1061</v>
      </c>
      <c r="O521" t="s">
        <v>1092</v>
      </c>
      <c r="P521" t="s">
        <v>762</v>
      </c>
      <c r="Q521" t="s">
        <v>783</v>
      </c>
      <c r="R521" t="s">
        <v>170</v>
      </c>
      <c r="S521" t="s">
        <v>253</v>
      </c>
      <c r="T521" t="s">
        <v>1169</v>
      </c>
      <c r="U521" t="s">
        <v>1559</v>
      </c>
      <c r="V521" t="s">
        <v>1093</v>
      </c>
      <c r="W521" t="s">
        <v>968</v>
      </c>
      <c r="X521" t="s">
        <v>1234</v>
      </c>
      <c r="Y521" t="s">
        <v>761</v>
      </c>
      <c r="Z521" t="s">
        <v>1958</v>
      </c>
      <c r="AA521" t="s">
        <v>973</v>
      </c>
      <c r="AB521" t="s">
        <v>1062</v>
      </c>
      <c r="AC521" t="s">
        <v>226</v>
      </c>
      <c r="AD521" t="s">
        <v>227</v>
      </c>
      <c r="AE521" t="s">
        <v>1063</v>
      </c>
      <c r="AF521" t="s">
        <v>1030</v>
      </c>
      <c r="AG521" t="s">
        <v>1093</v>
      </c>
      <c r="AH521" t="s">
        <v>246</v>
      </c>
      <c r="AI521" t="s">
        <v>148</v>
      </c>
      <c r="AJ521" t="s">
        <v>1175</v>
      </c>
      <c r="AK521" t="s">
        <v>172</v>
      </c>
      <c r="AL521" t="s">
        <v>752</v>
      </c>
      <c r="AM521" t="s">
        <v>141</v>
      </c>
      <c r="AN521" t="s">
        <v>271</v>
      </c>
      <c r="AO521" t="s">
        <v>247</v>
      </c>
      <c r="AP521" t="s">
        <v>1078</v>
      </c>
      <c r="AQ521" t="s">
        <v>766</v>
      </c>
      <c r="AR521" t="s">
        <v>759</v>
      </c>
      <c r="AS521" t="s">
        <v>1079</v>
      </c>
      <c r="AT521" t="s">
        <v>146</v>
      </c>
      <c r="AU521" t="s">
        <v>321</v>
      </c>
      <c r="AV521" t="s">
        <v>136</v>
      </c>
      <c r="AW521" t="s">
        <v>1080</v>
      </c>
      <c r="AX521" t="s">
        <v>1094</v>
      </c>
      <c r="AY521" t="s">
        <v>230</v>
      </c>
      <c r="AZ521" t="s">
        <v>254</v>
      </c>
      <c r="BA521" t="s">
        <v>765</v>
      </c>
      <c r="BB521" t="s">
        <v>257</v>
      </c>
      <c r="BC521" t="s">
        <v>1095</v>
      </c>
      <c r="BD521" t="s">
        <v>1096</v>
      </c>
      <c r="BE521" t="s">
        <v>917</v>
      </c>
      <c r="BF521" t="s">
        <v>231</v>
      </c>
      <c r="BG521" t="s">
        <v>1037</v>
      </c>
      <c r="BH521" t="s">
        <v>1083</v>
      </c>
      <c r="BI521" t="s">
        <v>1098</v>
      </c>
      <c r="BJ521" t="s">
        <v>1031</v>
      </c>
      <c r="BK521" t="s">
        <v>1005</v>
      </c>
      <c r="BL521" t="s">
        <v>976</v>
      </c>
      <c r="BM521" t="s">
        <v>232</v>
      </c>
      <c r="BN521" t="s">
        <v>183</v>
      </c>
      <c r="BO521" t="s">
        <v>322</v>
      </c>
      <c r="BP521" t="s">
        <v>785</v>
      </c>
      <c r="BQ521" t="s">
        <v>1021</v>
      </c>
      <c r="BR521" t="s">
        <v>143</v>
      </c>
      <c r="BS521" t="s">
        <v>1022</v>
      </c>
      <c r="BT521" t="s">
        <v>756</v>
      </c>
      <c r="BU521" t="s">
        <v>233</v>
      </c>
      <c r="BV521" t="s">
        <v>973</v>
      </c>
      <c r="BW521" t="s">
        <v>1012</v>
      </c>
      <c r="BX521" t="s">
        <v>760</v>
      </c>
      <c r="BY521" t="s">
        <v>234</v>
      </c>
      <c r="BZ521" t="s">
        <v>239</v>
      </c>
      <c r="CA521" t="s">
        <v>241</v>
      </c>
      <c r="CB521" t="s">
        <v>805</v>
      </c>
      <c r="CC521" t="s">
        <v>806</v>
      </c>
    </row>
    <row r="522" spans="1:83">
      <c r="A522" s="40">
        <v>484</v>
      </c>
      <c r="B522" s="40" t="s">
        <v>1959</v>
      </c>
      <c r="C522" s="2" t="s">
        <v>1960</v>
      </c>
      <c r="D522" s="2" t="s">
        <v>27</v>
      </c>
      <c r="E522" s="2" t="s">
        <v>16</v>
      </c>
      <c r="F522" s="2">
        <v>90</v>
      </c>
      <c r="G522" s="2">
        <v>120</v>
      </c>
      <c r="H522" s="2">
        <v>100</v>
      </c>
      <c r="I522" s="2">
        <v>150</v>
      </c>
      <c r="J522" s="2">
        <v>120</v>
      </c>
      <c r="K522" s="2">
        <v>100</v>
      </c>
      <c r="L522" s="2">
        <v>680</v>
      </c>
      <c r="M522" s="2" t="s">
        <v>1158</v>
      </c>
      <c r="N522" s="2" t="s">
        <v>1061</v>
      </c>
      <c r="O522" t="s">
        <v>1092</v>
      </c>
      <c r="P522" t="s">
        <v>762</v>
      </c>
      <c r="Q522" t="s">
        <v>954</v>
      </c>
      <c r="R522" t="s">
        <v>170</v>
      </c>
      <c r="S522" t="s">
        <v>253</v>
      </c>
      <c r="T522" t="s">
        <v>1169</v>
      </c>
      <c r="U522" t="s">
        <v>179</v>
      </c>
      <c r="V522" t="s">
        <v>1093</v>
      </c>
      <c r="W522" t="s">
        <v>968</v>
      </c>
      <c r="X522" t="s">
        <v>1234</v>
      </c>
      <c r="Y522" t="s">
        <v>179</v>
      </c>
      <c r="Z522" t="s">
        <v>1961</v>
      </c>
      <c r="AA522" t="s">
        <v>140</v>
      </c>
      <c r="AB522" t="s">
        <v>1062</v>
      </c>
      <c r="AC522" t="s">
        <v>226</v>
      </c>
      <c r="AD522" t="s">
        <v>144</v>
      </c>
      <c r="AE522" t="s">
        <v>227</v>
      </c>
      <c r="AF522" t="s">
        <v>914</v>
      </c>
      <c r="AG522" t="s">
        <v>1063</v>
      </c>
      <c r="AH522" t="s">
        <v>1030</v>
      </c>
      <c r="AI522" t="s">
        <v>1093</v>
      </c>
      <c r="AJ522" t="s">
        <v>246</v>
      </c>
      <c r="AK522" t="s">
        <v>148</v>
      </c>
      <c r="AL522" t="s">
        <v>1104</v>
      </c>
      <c r="AM522" t="s">
        <v>1175</v>
      </c>
      <c r="AN522" t="s">
        <v>172</v>
      </c>
      <c r="AO522" t="s">
        <v>752</v>
      </c>
      <c r="AP522" t="s">
        <v>141</v>
      </c>
      <c r="AQ522" t="s">
        <v>271</v>
      </c>
      <c r="AR522" t="s">
        <v>247</v>
      </c>
      <c r="AS522" t="s">
        <v>1078</v>
      </c>
      <c r="AT522" t="s">
        <v>766</v>
      </c>
      <c r="AU522" t="s">
        <v>759</v>
      </c>
      <c r="AV522" t="s">
        <v>1079</v>
      </c>
      <c r="AW522" t="s">
        <v>146</v>
      </c>
      <c r="AX522" t="s">
        <v>321</v>
      </c>
      <c r="AY522" t="s">
        <v>136</v>
      </c>
      <c r="AZ522" t="s">
        <v>1080</v>
      </c>
      <c r="BA522" t="s">
        <v>1094</v>
      </c>
      <c r="BB522" t="s">
        <v>230</v>
      </c>
      <c r="BC522" t="s">
        <v>254</v>
      </c>
      <c r="BD522" t="s">
        <v>765</v>
      </c>
      <c r="BE522" t="s">
        <v>257</v>
      </c>
      <c r="BF522" t="s">
        <v>1095</v>
      </c>
      <c r="BG522" t="s">
        <v>1096</v>
      </c>
      <c r="BH522" t="s">
        <v>917</v>
      </c>
      <c r="BI522" t="s">
        <v>231</v>
      </c>
      <c r="BJ522" t="s">
        <v>1037</v>
      </c>
      <c r="BK522" t="s">
        <v>1083</v>
      </c>
      <c r="BL522" t="s">
        <v>1102</v>
      </c>
      <c r="BM522" t="s">
        <v>974</v>
      </c>
      <c r="BN522" t="s">
        <v>1031</v>
      </c>
      <c r="BO522" t="s">
        <v>1005</v>
      </c>
      <c r="BP522" t="s">
        <v>976</v>
      </c>
      <c r="BQ522" t="s">
        <v>183</v>
      </c>
      <c r="BR522" t="s">
        <v>322</v>
      </c>
      <c r="BS522" t="s">
        <v>785</v>
      </c>
      <c r="BT522" t="s">
        <v>1021</v>
      </c>
      <c r="BU522" t="s">
        <v>143</v>
      </c>
      <c r="BV522" t="s">
        <v>1022</v>
      </c>
      <c r="BW522" t="s">
        <v>756</v>
      </c>
      <c r="BX522" t="s">
        <v>233</v>
      </c>
      <c r="BY522" t="s">
        <v>1012</v>
      </c>
      <c r="BZ522" t="s">
        <v>760</v>
      </c>
      <c r="CA522" t="s">
        <v>234</v>
      </c>
      <c r="CB522" t="s">
        <v>239</v>
      </c>
      <c r="CC522" t="s">
        <v>241</v>
      </c>
      <c r="CD522" t="s">
        <v>805</v>
      </c>
      <c r="CE522" t="s">
        <v>806</v>
      </c>
    </row>
    <row r="523" spans="1:83">
      <c r="A523" s="40">
        <v>485</v>
      </c>
      <c r="B523" s="40" t="s">
        <v>1962</v>
      </c>
      <c r="C523" s="2" t="s">
        <v>1963</v>
      </c>
      <c r="D523" s="2" t="s">
        <v>19</v>
      </c>
      <c r="E523" s="2" t="s">
        <v>26</v>
      </c>
      <c r="F523" s="2">
        <v>91</v>
      </c>
      <c r="G523" s="2">
        <v>90</v>
      </c>
      <c r="H523" s="2">
        <v>106</v>
      </c>
      <c r="I523" s="2">
        <v>130</v>
      </c>
      <c r="J523" s="2">
        <v>106</v>
      </c>
      <c r="K523" s="2">
        <v>77</v>
      </c>
      <c r="L523" s="2">
        <v>600</v>
      </c>
      <c r="M523" s="2" t="s">
        <v>1199</v>
      </c>
      <c r="N523" s="2" t="s">
        <v>1061</v>
      </c>
      <c r="O523" t="s">
        <v>170</v>
      </c>
      <c r="P523" t="s">
        <v>330</v>
      </c>
      <c r="Q523" t="s">
        <v>182</v>
      </c>
      <c r="R523" t="s">
        <v>1202</v>
      </c>
      <c r="S523" t="s">
        <v>777</v>
      </c>
      <c r="T523" t="s">
        <v>1092</v>
      </c>
      <c r="U523" t="s">
        <v>1231</v>
      </c>
      <c r="V523" t="s">
        <v>255</v>
      </c>
      <c r="W523" t="s">
        <v>985</v>
      </c>
      <c r="X523" t="s">
        <v>968</v>
      </c>
      <c r="Y523" t="s">
        <v>924</v>
      </c>
      <c r="Z523" t="s">
        <v>183</v>
      </c>
      <c r="AA523" t="s">
        <v>1964</v>
      </c>
      <c r="AB523" t="s">
        <v>1062</v>
      </c>
      <c r="AC523" t="s">
        <v>227</v>
      </c>
      <c r="AD523" t="s">
        <v>1063</v>
      </c>
      <c r="AE523" t="s">
        <v>246</v>
      </c>
      <c r="AF523" t="s">
        <v>148</v>
      </c>
      <c r="AG523" t="s">
        <v>172</v>
      </c>
      <c r="AH523" t="s">
        <v>752</v>
      </c>
      <c r="AI523" t="s">
        <v>1126</v>
      </c>
      <c r="AJ523" t="s">
        <v>247</v>
      </c>
      <c r="AK523" t="s">
        <v>1078</v>
      </c>
      <c r="AL523" t="s">
        <v>1079</v>
      </c>
      <c r="AM523" t="s">
        <v>229</v>
      </c>
      <c r="AN523" t="s">
        <v>136</v>
      </c>
      <c r="AO523" t="s">
        <v>1080</v>
      </c>
      <c r="AP523" t="s">
        <v>256</v>
      </c>
      <c r="AQ523" t="s">
        <v>230</v>
      </c>
      <c r="AR523" t="s">
        <v>254</v>
      </c>
      <c r="AS523" t="s">
        <v>257</v>
      </c>
      <c r="AT523" t="s">
        <v>1095</v>
      </c>
      <c r="AU523" t="s">
        <v>951</v>
      </c>
      <c r="AV523" t="s">
        <v>917</v>
      </c>
      <c r="AW523" t="s">
        <v>1097</v>
      </c>
      <c r="AX523" t="s">
        <v>231</v>
      </c>
      <c r="AY523" t="s">
        <v>1082</v>
      </c>
      <c r="AZ523" t="s">
        <v>1037</v>
      </c>
      <c r="BA523" t="s">
        <v>1098</v>
      </c>
      <c r="BB523" t="s">
        <v>1031</v>
      </c>
      <c r="BC523" t="s">
        <v>956</v>
      </c>
      <c r="BD523" t="s">
        <v>485</v>
      </c>
      <c r="BE523" t="s">
        <v>995</v>
      </c>
      <c r="BF523" t="s">
        <v>976</v>
      </c>
      <c r="BG523" t="s">
        <v>183</v>
      </c>
      <c r="BH523" t="s">
        <v>1021</v>
      </c>
      <c r="BI523" t="s">
        <v>143</v>
      </c>
      <c r="BJ523" t="s">
        <v>756</v>
      </c>
      <c r="BK523" t="s">
        <v>233</v>
      </c>
      <c r="BL523" t="s">
        <v>973</v>
      </c>
      <c r="BM523" t="s">
        <v>760</v>
      </c>
      <c r="BN523" t="s">
        <v>234</v>
      </c>
      <c r="BO523" t="s">
        <v>239</v>
      </c>
      <c r="BP523" t="s">
        <v>241</v>
      </c>
      <c r="BQ523" t="s">
        <v>805</v>
      </c>
      <c r="BR523" t="s">
        <v>806</v>
      </c>
    </row>
    <row r="524" spans="1:83">
      <c r="A524" s="40">
        <v>486</v>
      </c>
      <c r="B524" s="40" t="s">
        <v>1965</v>
      </c>
      <c r="C524" s="2" t="s">
        <v>1966</v>
      </c>
      <c r="D524" s="2" t="s">
        <v>24</v>
      </c>
      <c r="E524" s="2"/>
      <c r="F524" s="2">
        <v>110</v>
      </c>
      <c r="G524" s="2">
        <v>160</v>
      </c>
      <c r="H524" s="2">
        <v>110</v>
      </c>
      <c r="I524" s="2">
        <v>80</v>
      </c>
      <c r="J524" s="2">
        <v>110</v>
      </c>
      <c r="K524" s="2">
        <v>100</v>
      </c>
      <c r="L524" s="2">
        <v>670</v>
      </c>
      <c r="M524" s="2" t="s">
        <v>1208</v>
      </c>
      <c r="N524" s="2" t="s">
        <v>1061</v>
      </c>
      <c r="O524" t="s">
        <v>137</v>
      </c>
      <c r="P524" t="s">
        <v>274</v>
      </c>
      <c r="Q524" t="s">
        <v>147</v>
      </c>
      <c r="R524" t="s">
        <v>387</v>
      </c>
      <c r="S524" t="s">
        <v>588</v>
      </c>
      <c r="T524" t="s">
        <v>771</v>
      </c>
      <c r="U524" t="s">
        <v>928</v>
      </c>
      <c r="V524" t="s">
        <v>1128</v>
      </c>
      <c r="W524" t="s">
        <v>1187</v>
      </c>
      <c r="X524" t="s">
        <v>1019</v>
      </c>
      <c r="Y524" t="s">
        <v>995</v>
      </c>
      <c r="Z524" t="s">
        <v>1967</v>
      </c>
      <c r="AA524" t="s">
        <v>184</v>
      </c>
      <c r="AB524" t="s">
        <v>976</v>
      </c>
      <c r="AC524" t="s">
        <v>1062</v>
      </c>
      <c r="AD524" t="s">
        <v>227</v>
      </c>
      <c r="AE524" t="s">
        <v>1063</v>
      </c>
      <c r="AF524" t="s">
        <v>148</v>
      </c>
      <c r="AG524" t="s">
        <v>172</v>
      </c>
      <c r="AH524" t="s">
        <v>752</v>
      </c>
      <c r="AI524" t="s">
        <v>247</v>
      </c>
      <c r="AJ524" t="s">
        <v>766</v>
      </c>
      <c r="AK524" t="s">
        <v>759</v>
      </c>
      <c r="AL524" t="s">
        <v>1079</v>
      </c>
      <c r="AM524" t="s">
        <v>1109</v>
      </c>
      <c r="AN524" t="s">
        <v>146</v>
      </c>
      <c r="AO524" t="s">
        <v>321</v>
      </c>
      <c r="AP524" t="s">
        <v>136</v>
      </c>
      <c r="AQ524" t="s">
        <v>1080</v>
      </c>
      <c r="AR524" t="s">
        <v>1094</v>
      </c>
      <c r="AS524" t="s">
        <v>230</v>
      </c>
      <c r="AT524" t="s">
        <v>1095</v>
      </c>
      <c r="AU524" t="s">
        <v>1096</v>
      </c>
      <c r="AV524" t="s">
        <v>917</v>
      </c>
      <c r="AW524" t="s">
        <v>1037</v>
      </c>
      <c r="AX524" t="s">
        <v>1102</v>
      </c>
      <c r="AY524" t="s">
        <v>974</v>
      </c>
      <c r="AZ524" t="s">
        <v>995</v>
      </c>
      <c r="BA524" t="s">
        <v>1036</v>
      </c>
      <c r="BB524" t="s">
        <v>976</v>
      </c>
      <c r="BC524" t="s">
        <v>1003</v>
      </c>
      <c r="BD524" t="s">
        <v>183</v>
      </c>
      <c r="BE524" t="s">
        <v>322</v>
      </c>
      <c r="BF524" t="s">
        <v>785</v>
      </c>
      <c r="BG524" t="s">
        <v>1021</v>
      </c>
      <c r="BH524" t="s">
        <v>143</v>
      </c>
      <c r="BI524" t="s">
        <v>756</v>
      </c>
      <c r="BJ524" t="s">
        <v>233</v>
      </c>
      <c r="BK524" t="s">
        <v>760</v>
      </c>
      <c r="BL524" t="s">
        <v>234</v>
      </c>
      <c r="BM524" t="s">
        <v>239</v>
      </c>
      <c r="BN524" t="s">
        <v>241</v>
      </c>
      <c r="BO524" t="s">
        <v>805</v>
      </c>
      <c r="BP524" t="s">
        <v>806</v>
      </c>
    </row>
    <row r="525" spans="1:83">
      <c r="A525" s="40">
        <v>487.1</v>
      </c>
      <c r="B525" s="40" t="s">
        <v>1968</v>
      </c>
      <c r="C525" s="2" t="s">
        <v>1969</v>
      </c>
      <c r="D525" s="2" t="s">
        <v>10</v>
      </c>
      <c r="E525" s="2" t="s">
        <v>16</v>
      </c>
      <c r="F525" s="2">
        <v>150</v>
      </c>
      <c r="G525" s="2">
        <v>100</v>
      </c>
      <c r="H525" s="2">
        <v>120</v>
      </c>
      <c r="I525" s="2">
        <v>100</v>
      </c>
      <c r="J525" s="2">
        <v>120</v>
      </c>
      <c r="K525" s="2">
        <v>90</v>
      </c>
      <c r="L525" s="2">
        <v>680</v>
      </c>
      <c r="M525" s="2" t="s">
        <v>1075</v>
      </c>
      <c r="N525" s="2" t="s">
        <v>1061</v>
      </c>
      <c r="O525" t="s">
        <v>1092</v>
      </c>
      <c r="P525" t="s">
        <v>762</v>
      </c>
      <c r="Q525" t="s">
        <v>994</v>
      </c>
      <c r="R525" t="s">
        <v>170</v>
      </c>
      <c r="S525" t="s">
        <v>253</v>
      </c>
      <c r="T525" t="s">
        <v>1006</v>
      </c>
      <c r="U525" t="s">
        <v>793</v>
      </c>
      <c r="V525" t="s">
        <v>1093</v>
      </c>
      <c r="W525" t="s">
        <v>968</v>
      </c>
      <c r="X525" t="s">
        <v>1234</v>
      </c>
      <c r="Y525" t="s">
        <v>1005</v>
      </c>
      <c r="Z525" t="s">
        <v>1970</v>
      </c>
      <c r="AA525" t="s">
        <v>1029</v>
      </c>
      <c r="AB525" t="s">
        <v>1062</v>
      </c>
      <c r="AC525" t="s">
        <v>226</v>
      </c>
      <c r="AD525" t="s">
        <v>138</v>
      </c>
      <c r="AE525" t="s">
        <v>227</v>
      </c>
      <c r="AF525" t="s">
        <v>1063</v>
      </c>
      <c r="AG525" t="s">
        <v>1030</v>
      </c>
      <c r="AH525" t="s">
        <v>1093</v>
      </c>
      <c r="AI525" t="s">
        <v>912</v>
      </c>
      <c r="AJ525" t="s">
        <v>246</v>
      </c>
      <c r="AK525" t="s">
        <v>148</v>
      </c>
      <c r="AL525" t="s">
        <v>172</v>
      </c>
      <c r="AM525" t="s">
        <v>752</v>
      </c>
      <c r="AN525" t="s">
        <v>247</v>
      </c>
      <c r="AO525" t="s">
        <v>1078</v>
      </c>
      <c r="AP525" t="s">
        <v>766</v>
      </c>
      <c r="AQ525" t="s">
        <v>759</v>
      </c>
      <c r="AR525" t="s">
        <v>1079</v>
      </c>
      <c r="AS525" t="s">
        <v>146</v>
      </c>
      <c r="AT525" t="s">
        <v>321</v>
      </c>
      <c r="AU525" t="s">
        <v>136</v>
      </c>
      <c r="AV525" t="s">
        <v>1080</v>
      </c>
      <c r="AW525" t="s">
        <v>9</v>
      </c>
      <c r="AX525" t="s">
        <v>174</v>
      </c>
      <c r="AY525" t="s">
        <v>230</v>
      </c>
      <c r="AZ525" t="s">
        <v>1096</v>
      </c>
      <c r="BA525" t="s">
        <v>917</v>
      </c>
      <c r="BB525" t="s">
        <v>231</v>
      </c>
      <c r="BC525" t="s">
        <v>1037</v>
      </c>
      <c r="BD525" t="s">
        <v>1083</v>
      </c>
      <c r="BE525" t="s">
        <v>970</v>
      </c>
      <c r="BF525" t="s">
        <v>963</v>
      </c>
      <c r="BG525" t="s">
        <v>956</v>
      </c>
      <c r="BH525" t="s">
        <v>1005</v>
      </c>
      <c r="BI525" t="s">
        <v>995</v>
      </c>
      <c r="BJ525" t="s">
        <v>976</v>
      </c>
      <c r="BK525" t="s">
        <v>183</v>
      </c>
      <c r="BL525" t="s">
        <v>322</v>
      </c>
      <c r="BM525" t="s">
        <v>785</v>
      </c>
      <c r="BN525" t="s">
        <v>1021</v>
      </c>
      <c r="BO525" t="s">
        <v>1022</v>
      </c>
      <c r="BP525" t="s">
        <v>293</v>
      </c>
      <c r="BQ525" t="s">
        <v>756</v>
      </c>
      <c r="BR525" t="s">
        <v>233</v>
      </c>
      <c r="BS525" t="s">
        <v>760</v>
      </c>
      <c r="BT525" t="s">
        <v>234</v>
      </c>
      <c r="BU525" t="s">
        <v>239</v>
      </c>
      <c r="BV525" t="s">
        <v>241</v>
      </c>
      <c r="BW525" t="s">
        <v>805</v>
      </c>
      <c r="BX525" t="s">
        <v>806</v>
      </c>
    </row>
    <row r="526" spans="1:83">
      <c r="A526" s="40">
        <v>487.2</v>
      </c>
      <c r="B526" s="40" t="s">
        <v>1971</v>
      </c>
      <c r="C526" s="2" t="s">
        <v>1972</v>
      </c>
      <c r="D526" s="2" t="s">
        <v>10</v>
      </c>
      <c r="E526" s="2" t="s">
        <v>16</v>
      </c>
      <c r="F526" s="2">
        <v>150</v>
      </c>
      <c r="G526" s="2">
        <v>120</v>
      </c>
      <c r="H526" s="2">
        <v>100</v>
      </c>
      <c r="I526" s="2">
        <v>120</v>
      </c>
      <c r="J526" s="2">
        <v>100</v>
      </c>
      <c r="K526" s="2">
        <v>90</v>
      </c>
      <c r="L526" s="2">
        <v>680</v>
      </c>
      <c r="M526" s="2" t="s">
        <v>1075</v>
      </c>
      <c r="N526" s="2" t="s">
        <v>1061</v>
      </c>
      <c r="O526" t="s">
        <v>1092</v>
      </c>
      <c r="P526" t="s">
        <v>762</v>
      </c>
      <c r="Q526" t="s">
        <v>994</v>
      </c>
      <c r="R526" t="s">
        <v>170</v>
      </c>
      <c r="S526" t="s">
        <v>253</v>
      </c>
      <c r="T526" t="s">
        <v>1006</v>
      </c>
      <c r="U526" t="s">
        <v>793</v>
      </c>
      <c r="V526" t="s">
        <v>1093</v>
      </c>
      <c r="W526" t="s">
        <v>968</v>
      </c>
      <c r="X526" t="s">
        <v>1234</v>
      </c>
      <c r="Y526" t="s">
        <v>1005</v>
      </c>
      <c r="Z526" t="s">
        <v>1970</v>
      </c>
      <c r="AA526" t="s">
        <v>1029</v>
      </c>
      <c r="AB526" t="s">
        <v>1062</v>
      </c>
      <c r="AC526" t="s">
        <v>226</v>
      </c>
      <c r="AD526" t="s">
        <v>138</v>
      </c>
      <c r="AE526" t="s">
        <v>227</v>
      </c>
      <c r="AF526" t="s">
        <v>1063</v>
      </c>
      <c r="AG526" t="s">
        <v>1030</v>
      </c>
      <c r="AH526" t="s">
        <v>1093</v>
      </c>
      <c r="AI526" t="s">
        <v>912</v>
      </c>
      <c r="AJ526" t="s">
        <v>246</v>
      </c>
      <c r="AK526" t="s">
        <v>148</v>
      </c>
      <c r="AL526" t="s">
        <v>172</v>
      </c>
      <c r="AM526" t="s">
        <v>752</v>
      </c>
      <c r="AN526" t="s">
        <v>247</v>
      </c>
      <c r="AO526" t="s">
        <v>1078</v>
      </c>
      <c r="AP526" t="s">
        <v>766</v>
      </c>
      <c r="AQ526" t="s">
        <v>759</v>
      </c>
      <c r="AR526" t="s">
        <v>1079</v>
      </c>
      <c r="AS526" t="s">
        <v>146</v>
      </c>
      <c r="AT526" t="s">
        <v>321</v>
      </c>
      <c r="AU526" t="s">
        <v>136</v>
      </c>
      <c r="AV526" t="s">
        <v>1080</v>
      </c>
      <c r="AW526" t="s">
        <v>9</v>
      </c>
      <c r="AX526" t="s">
        <v>174</v>
      </c>
      <c r="AY526" t="s">
        <v>230</v>
      </c>
      <c r="AZ526" t="s">
        <v>1096</v>
      </c>
      <c r="BA526" t="s">
        <v>917</v>
      </c>
      <c r="BB526" t="s">
        <v>231</v>
      </c>
      <c r="BC526" t="s">
        <v>1037</v>
      </c>
      <c r="BD526" t="s">
        <v>1083</v>
      </c>
      <c r="BE526" t="s">
        <v>970</v>
      </c>
      <c r="BF526" t="s">
        <v>963</v>
      </c>
      <c r="BG526" t="s">
        <v>956</v>
      </c>
      <c r="BH526" t="s">
        <v>1005</v>
      </c>
      <c r="BI526" t="s">
        <v>995</v>
      </c>
      <c r="BJ526" t="s">
        <v>976</v>
      </c>
      <c r="BK526" t="s">
        <v>183</v>
      </c>
      <c r="BL526" t="s">
        <v>322</v>
      </c>
      <c r="BM526" t="s">
        <v>785</v>
      </c>
      <c r="BN526" t="s">
        <v>1021</v>
      </c>
      <c r="BO526" t="s">
        <v>1022</v>
      </c>
      <c r="BP526" t="s">
        <v>293</v>
      </c>
      <c r="BQ526" t="s">
        <v>756</v>
      </c>
      <c r="BR526" t="s">
        <v>233</v>
      </c>
      <c r="BS526" t="s">
        <v>760</v>
      </c>
      <c r="BT526" t="s">
        <v>234</v>
      </c>
      <c r="BU526" t="s">
        <v>239</v>
      </c>
      <c r="BV526" t="s">
        <v>241</v>
      </c>
      <c r="BW526" t="s">
        <v>805</v>
      </c>
      <c r="BX526" t="s">
        <v>806</v>
      </c>
    </row>
    <row r="527" spans="1:83">
      <c r="A527" s="40">
        <v>488</v>
      </c>
      <c r="B527" s="40" t="s">
        <v>1973</v>
      </c>
      <c r="C527" s="2" t="s">
        <v>1974</v>
      </c>
      <c r="D527" s="2" t="s">
        <v>9</v>
      </c>
      <c r="E527" s="2"/>
      <c r="F527" s="2">
        <v>120</v>
      </c>
      <c r="G527" s="2">
        <v>70</v>
      </c>
      <c r="H527" s="2">
        <v>120</v>
      </c>
      <c r="I527" s="2">
        <v>75</v>
      </c>
      <c r="J527" s="2">
        <v>130</v>
      </c>
      <c r="K527" s="2">
        <v>85</v>
      </c>
      <c r="L527" s="2">
        <v>600</v>
      </c>
      <c r="M527" s="2" t="s">
        <v>1073</v>
      </c>
      <c r="N527" s="2" t="s">
        <v>1061</v>
      </c>
      <c r="O527" t="s">
        <v>287</v>
      </c>
      <c r="P527" t="s">
        <v>230</v>
      </c>
      <c r="Q527" t="s">
        <v>759</v>
      </c>
      <c r="R527" t="s">
        <v>273</v>
      </c>
      <c r="S527" t="s">
        <v>478</v>
      </c>
      <c r="T527" t="s">
        <v>790</v>
      </c>
      <c r="U527" t="s">
        <v>253</v>
      </c>
      <c r="V527" t="s">
        <v>784</v>
      </c>
      <c r="W527" t="s">
        <v>1000</v>
      </c>
      <c r="X527" t="s">
        <v>1262</v>
      </c>
      <c r="Y527" t="s">
        <v>1975</v>
      </c>
      <c r="Z527" t="s">
        <v>9</v>
      </c>
      <c r="AA527" t="s">
        <v>1062</v>
      </c>
      <c r="AB527" t="s">
        <v>1063</v>
      </c>
      <c r="AC527" t="s">
        <v>1151</v>
      </c>
      <c r="AD527" t="s">
        <v>912</v>
      </c>
      <c r="AE527" t="s">
        <v>148</v>
      </c>
      <c r="AF527" t="s">
        <v>172</v>
      </c>
      <c r="AG527" t="s">
        <v>752</v>
      </c>
      <c r="AH527" t="s">
        <v>141</v>
      </c>
      <c r="AI527" t="s">
        <v>247</v>
      </c>
      <c r="AJ527" t="s">
        <v>228</v>
      </c>
      <c r="AK527" t="s">
        <v>1078</v>
      </c>
      <c r="AL527" t="s">
        <v>766</v>
      </c>
      <c r="AM527" t="s">
        <v>759</v>
      </c>
      <c r="AN527" t="s">
        <v>1079</v>
      </c>
      <c r="AO527" t="s">
        <v>229</v>
      </c>
      <c r="AP527" t="s">
        <v>1080</v>
      </c>
      <c r="AQ527" t="s">
        <v>9</v>
      </c>
      <c r="AR527" t="s">
        <v>174</v>
      </c>
      <c r="AS527" t="s">
        <v>230</v>
      </c>
      <c r="AT527" t="s">
        <v>380</v>
      </c>
      <c r="AU527" t="s">
        <v>917</v>
      </c>
      <c r="AV527" t="s">
        <v>231</v>
      </c>
      <c r="AW527" t="s">
        <v>1082</v>
      </c>
      <c r="AX527" t="s">
        <v>1037</v>
      </c>
      <c r="AY527" t="s">
        <v>970</v>
      </c>
      <c r="AZ527" t="s">
        <v>963</v>
      </c>
      <c r="BA527" t="s">
        <v>976</v>
      </c>
      <c r="BB527" t="s">
        <v>232</v>
      </c>
      <c r="BC527" t="s">
        <v>322</v>
      </c>
      <c r="BD527" t="s">
        <v>785</v>
      </c>
      <c r="BE527" t="s">
        <v>293</v>
      </c>
      <c r="BF527" t="s">
        <v>977</v>
      </c>
      <c r="BG527" t="s">
        <v>756</v>
      </c>
      <c r="BH527" t="s">
        <v>233</v>
      </c>
      <c r="BI527" t="s">
        <v>1012</v>
      </c>
      <c r="BJ527" t="s">
        <v>234</v>
      </c>
      <c r="BK527" t="s">
        <v>239</v>
      </c>
      <c r="BL527" t="s">
        <v>241</v>
      </c>
      <c r="BM527" t="s">
        <v>805</v>
      </c>
      <c r="BN527" t="s">
        <v>806</v>
      </c>
    </row>
    <row r="528" spans="1:83">
      <c r="A528" s="40">
        <v>489</v>
      </c>
      <c r="B528" s="40" t="s">
        <v>1976</v>
      </c>
      <c r="C528" s="2" t="s">
        <v>1977</v>
      </c>
      <c r="D528" s="2" t="s">
        <v>27</v>
      </c>
      <c r="E528" s="2"/>
      <c r="F528" s="2">
        <v>80</v>
      </c>
      <c r="G528" s="2">
        <v>80</v>
      </c>
      <c r="H528" s="2">
        <v>80</v>
      </c>
      <c r="I528" s="2">
        <v>80</v>
      </c>
      <c r="J528" s="2">
        <v>80</v>
      </c>
      <c r="K528" s="2">
        <v>80</v>
      </c>
      <c r="L528" s="2">
        <v>480</v>
      </c>
      <c r="M528" s="2" t="s">
        <v>1070</v>
      </c>
      <c r="N528" s="2" t="s">
        <v>1061</v>
      </c>
      <c r="O528" t="s">
        <v>267</v>
      </c>
      <c r="P528" t="s">
        <v>955</v>
      </c>
      <c r="Q528" t="s">
        <v>781</v>
      </c>
      <c r="R528" t="s">
        <v>290</v>
      </c>
      <c r="S528" t="s">
        <v>446</v>
      </c>
      <c r="T528" t="s">
        <v>517</v>
      </c>
      <c r="U528" t="s">
        <v>767</v>
      </c>
      <c r="V528" t="s">
        <v>954</v>
      </c>
      <c r="W528" t="s">
        <v>178</v>
      </c>
      <c r="X528" t="s">
        <v>914</v>
      </c>
      <c r="Y528" t="s">
        <v>766</v>
      </c>
      <c r="Z528" t="s">
        <v>1062</v>
      </c>
      <c r="AA528" t="s">
        <v>144</v>
      </c>
      <c r="AB528" t="s">
        <v>270</v>
      </c>
      <c r="AC528" t="s">
        <v>914</v>
      </c>
      <c r="AD528" t="s">
        <v>1063</v>
      </c>
      <c r="AE528" t="s">
        <v>148</v>
      </c>
      <c r="AF528" t="s">
        <v>1104</v>
      </c>
      <c r="AG528" t="s">
        <v>172</v>
      </c>
      <c r="AH528" t="s">
        <v>141</v>
      </c>
      <c r="AI528" t="s">
        <v>271</v>
      </c>
      <c r="AJ528" t="s">
        <v>1078</v>
      </c>
      <c r="AK528" t="s">
        <v>766</v>
      </c>
      <c r="AL528" t="s">
        <v>759</v>
      </c>
      <c r="AM528" t="s">
        <v>1079</v>
      </c>
      <c r="AN528" t="s">
        <v>1080</v>
      </c>
      <c r="AO528" t="s">
        <v>230</v>
      </c>
      <c r="AP528" t="s">
        <v>917</v>
      </c>
      <c r="AQ528" t="s">
        <v>231</v>
      </c>
      <c r="AR528" t="s">
        <v>1037</v>
      </c>
      <c r="AS528" t="s">
        <v>1038</v>
      </c>
      <c r="AT528" t="s">
        <v>974</v>
      </c>
      <c r="AU528" t="s">
        <v>785</v>
      </c>
      <c r="AV528" t="s">
        <v>977</v>
      </c>
      <c r="AW528" t="s">
        <v>756</v>
      </c>
      <c r="AX528" t="s">
        <v>1014</v>
      </c>
      <c r="AY528" t="s">
        <v>233</v>
      </c>
      <c r="AZ528" t="s">
        <v>234</v>
      </c>
      <c r="BA528" t="s">
        <v>239</v>
      </c>
      <c r="BB528" t="s">
        <v>241</v>
      </c>
      <c r="BC528" t="s">
        <v>805</v>
      </c>
      <c r="BD528" t="s">
        <v>806</v>
      </c>
    </row>
    <row r="529" spans="1:105">
      <c r="A529" s="40">
        <v>490</v>
      </c>
      <c r="B529" s="40" t="s">
        <v>1978</v>
      </c>
      <c r="C529" s="2" t="s">
        <v>1979</v>
      </c>
      <c r="D529" s="2" t="s">
        <v>27</v>
      </c>
      <c r="E529" s="2"/>
      <c r="F529" s="2">
        <v>100</v>
      </c>
      <c r="G529" s="2">
        <v>100</v>
      </c>
      <c r="H529" s="2">
        <v>100</v>
      </c>
      <c r="I529" s="2">
        <v>100</v>
      </c>
      <c r="J529" s="2">
        <v>100</v>
      </c>
      <c r="K529" s="2">
        <v>100</v>
      </c>
      <c r="L529" s="2">
        <v>600</v>
      </c>
      <c r="M529" s="2" t="s">
        <v>1071</v>
      </c>
      <c r="N529" s="2" t="s">
        <v>1061</v>
      </c>
      <c r="O529" t="s">
        <v>267</v>
      </c>
      <c r="P529" t="s">
        <v>1582</v>
      </c>
      <c r="Q529" t="s">
        <v>955</v>
      </c>
      <c r="R529" t="s">
        <v>781</v>
      </c>
      <c r="S529" t="s">
        <v>290</v>
      </c>
      <c r="T529" t="s">
        <v>446</v>
      </c>
      <c r="U529" t="s">
        <v>517</v>
      </c>
      <c r="V529" t="s">
        <v>767</v>
      </c>
      <c r="W529" t="s">
        <v>954</v>
      </c>
      <c r="X529" t="s">
        <v>178</v>
      </c>
      <c r="Y529" t="s">
        <v>914</v>
      </c>
      <c r="Z529" t="s">
        <v>766</v>
      </c>
      <c r="AA529" t="s">
        <v>1980</v>
      </c>
      <c r="AB529" t="s">
        <v>1062</v>
      </c>
      <c r="AC529" t="s">
        <v>144</v>
      </c>
      <c r="AD529" t="s">
        <v>270</v>
      </c>
      <c r="AE529" t="s">
        <v>914</v>
      </c>
      <c r="AF529" t="s">
        <v>1063</v>
      </c>
      <c r="AG529" t="s">
        <v>912</v>
      </c>
      <c r="AH529" t="s">
        <v>148</v>
      </c>
      <c r="AI529" t="s">
        <v>1104</v>
      </c>
      <c r="AJ529" t="s">
        <v>172</v>
      </c>
      <c r="AK529" t="s">
        <v>141</v>
      </c>
      <c r="AL529" t="s">
        <v>271</v>
      </c>
      <c r="AM529" t="s">
        <v>247</v>
      </c>
      <c r="AN529" t="s">
        <v>228</v>
      </c>
      <c r="AO529" t="s">
        <v>1078</v>
      </c>
      <c r="AP529" t="s">
        <v>766</v>
      </c>
      <c r="AQ529" t="s">
        <v>759</v>
      </c>
      <c r="AR529" t="s">
        <v>1079</v>
      </c>
      <c r="AS529" t="s">
        <v>1080</v>
      </c>
      <c r="AT529" t="s">
        <v>9</v>
      </c>
      <c r="AU529" t="s">
        <v>174</v>
      </c>
      <c r="AV529" t="s">
        <v>230</v>
      </c>
      <c r="AW529" t="s">
        <v>380</v>
      </c>
      <c r="AX529" t="s">
        <v>917</v>
      </c>
      <c r="AY529" t="s">
        <v>231</v>
      </c>
      <c r="AZ529" t="s">
        <v>1037</v>
      </c>
      <c r="BA529" t="s">
        <v>970</v>
      </c>
      <c r="BB529" t="s">
        <v>1038</v>
      </c>
      <c r="BC529" t="s">
        <v>974</v>
      </c>
      <c r="BD529" t="s">
        <v>976</v>
      </c>
      <c r="BE529" t="s">
        <v>232</v>
      </c>
      <c r="BF529" t="s">
        <v>785</v>
      </c>
      <c r="BG529" t="s">
        <v>977</v>
      </c>
      <c r="BH529" t="s">
        <v>756</v>
      </c>
      <c r="BI529" t="s">
        <v>1014</v>
      </c>
      <c r="BJ529" t="s">
        <v>233</v>
      </c>
      <c r="BK529" t="s">
        <v>234</v>
      </c>
      <c r="BL529" t="s">
        <v>239</v>
      </c>
      <c r="BM529" t="s">
        <v>241</v>
      </c>
      <c r="BN529" t="s">
        <v>805</v>
      </c>
      <c r="BO529" t="s">
        <v>806</v>
      </c>
    </row>
    <row r="530" spans="1:105">
      <c r="A530" s="40">
        <v>491</v>
      </c>
      <c r="B530" s="40" t="s">
        <v>1981</v>
      </c>
      <c r="C530" s="2" t="s">
        <v>1982</v>
      </c>
      <c r="D530" s="2" t="s">
        <v>15</v>
      </c>
      <c r="E530" s="2"/>
      <c r="F530" s="2">
        <v>70</v>
      </c>
      <c r="G530" s="2">
        <v>90</v>
      </c>
      <c r="H530" s="2">
        <v>90</v>
      </c>
      <c r="I530" s="2">
        <v>135</v>
      </c>
      <c r="J530" s="2">
        <v>90</v>
      </c>
      <c r="K530" s="2">
        <v>125</v>
      </c>
      <c r="L530" s="2">
        <v>600</v>
      </c>
      <c r="M530" s="2" t="s">
        <v>1158</v>
      </c>
      <c r="N530" s="2" t="s">
        <v>1061</v>
      </c>
      <c r="O530" t="s">
        <v>340</v>
      </c>
      <c r="P530" t="s">
        <v>994</v>
      </c>
      <c r="Q530" t="s">
        <v>310</v>
      </c>
      <c r="R530" t="s">
        <v>388</v>
      </c>
      <c r="S530" t="s">
        <v>774</v>
      </c>
      <c r="T530" t="s">
        <v>1217</v>
      </c>
      <c r="U530" t="s">
        <v>230</v>
      </c>
      <c r="V530" t="s">
        <v>272</v>
      </c>
      <c r="W530" t="s">
        <v>1983</v>
      </c>
      <c r="X530" t="s">
        <v>991</v>
      </c>
      <c r="Y530" t="s">
        <v>293</v>
      </c>
      <c r="Z530" t="s">
        <v>1157</v>
      </c>
      <c r="AA530" t="s">
        <v>1062</v>
      </c>
      <c r="AB530" t="s">
        <v>226</v>
      </c>
      <c r="AC530" t="s">
        <v>227</v>
      </c>
      <c r="AD530" t="s">
        <v>1063</v>
      </c>
      <c r="AE530" t="s">
        <v>912</v>
      </c>
      <c r="AF530" t="s">
        <v>148</v>
      </c>
      <c r="AG530" t="s">
        <v>172</v>
      </c>
      <c r="AH530" t="s">
        <v>752</v>
      </c>
      <c r="AI530" t="s">
        <v>1126</v>
      </c>
      <c r="AJ530" t="s">
        <v>141</v>
      </c>
      <c r="AK530" t="s">
        <v>271</v>
      </c>
      <c r="AL530" t="s">
        <v>247</v>
      </c>
      <c r="AM530" t="s">
        <v>1078</v>
      </c>
      <c r="AN530" t="s">
        <v>766</v>
      </c>
      <c r="AO530" t="s">
        <v>1079</v>
      </c>
      <c r="AP530" t="s">
        <v>146</v>
      </c>
      <c r="AQ530" t="s">
        <v>321</v>
      </c>
      <c r="AR530" t="s">
        <v>1080</v>
      </c>
      <c r="AS530" t="s">
        <v>9</v>
      </c>
      <c r="AT530" t="s">
        <v>174</v>
      </c>
      <c r="AU530" t="s">
        <v>1094</v>
      </c>
      <c r="AV530" t="s">
        <v>230</v>
      </c>
      <c r="AW530" t="s">
        <v>1081</v>
      </c>
      <c r="AX530" t="s">
        <v>1095</v>
      </c>
      <c r="AY530" t="s">
        <v>1096</v>
      </c>
      <c r="AZ530" t="s">
        <v>951</v>
      </c>
      <c r="BA530" t="s">
        <v>917</v>
      </c>
      <c r="BB530" t="s">
        <v>231</v>
      </c>
      <c r="BC530" t="s">
        <v>1117</v>
      </c>
      <c r="BD530" t="s">
        <v>1037</v>
      </c>
      <c r="BE530" t="s">
        <v>1102</v>
      </c>
      <c r="BF530" t="s">
        <v>974</v>
      </c>
      <c r="BG530" t="s">
        <v>963</v>
      </c>
      <c r="BH530" t="s">
        <v>1031</v>
      </c>
      <c r="BI530" t="s">
        <v>956</v>
      </c>
      <c r="BJ530" t="s">
        <v>969</v>
      </c>
      <c r="BK530" t="s">
        <v>1005</v>
      </c>
      <c r="BL530" t="s">
        <v>995</v>
      </c>
      <c r="BM530" t="s">
        <v>1036</v>
      </c>
      <c r="BN530" t="s">
        <v>976</v>
      </c>
      <c r="BO530" t="s">
        <v>232</v>
      </c>
      <c r="BP530" t="s">
        <v>322</v>
      </c>
      <c r="BQ530" t="s">
        <v>145</v>
      </c>
      <c r="BR530" t="s">
        <v>785</v>
      </c>
      <c r="BS530" t="s">
        <v>143</v>
      </c>
      <c r="BT530" t="s">
        <v>1018</v>
      </c>
      <c r="BU530" t="s">
        <v>997</v>
      </c>
      <c r="BV530" t="s">
        <v>293</v>
      </c>
      <c r="BW530" t="s">
        <v>756</v>
      </c>
      <c r="BX530" t="s">
        <v>233</v>
      </c>
      <c r="BY530" t="s">
        <v>760</v>
      </c>
      <c r="BZ530" t="s">
        <v>1040</v>
      </c>
      <c r="CA530" t="s">
        <v>234</v>
      </c>
      <c r="CB530" t="s">
        <v>239</v>
      </c>
      <c r="CC530" t="s">
        <v>241</v>
      </c>
      <c r="CD530" t="s">
        <v>805</v>
      </c>
      <c r="CE530" t="s">
        <v>806</v>
      </c>
    </row>
    <row r="531" spans="1:105">
      <c r="A531" s="40">
        <v>492.1</v>
      </c>
      <c r="B531" s="40" t="s">
        <v>1984</v>
      </c>
      <c r="C531" s="2" t="s">
        <v>1985</v>
      </c>
      <c r="D531" s="2" t="s">
        <v>21</v>
      </c>
      <c r="E531" s="2"/>
      <c r="F531" s="2">
        <v>100</v>
      </c>
      <c r="G531" s="2">
        <v>100</v>
      </c>
      <c r="H531" s="2">
        <v>100</v>
      </c>
      <c r="I531" s="2">
        <v>100</v>
      </c>
      <c r="J531" s="2">
        <v>100</v>
      </c>
      <c r="K531" s="2">
        <v>100</v>
      </c>
      <c r="L531" s="2">
        <v>600</v>
      </c>
      <c r="M531" s="2" t="s">
        <v>1069</v>
      </c>
      <c r="N531" s="2" t="s">
        <v>1061</v>
      </c>
      <c r="O531" t="s">
        <v>215</v>
      </c>
      <c r="P531" t="s">
        <v>930</v>
      </c>
      <c r="Q531" t="s">
        <v>142</v>
      </c>
      <c r="R531" t="s">
        <v>750</v>
      </c>
      <c r="S531" t="s">
        <v>1076</v>
      </c>
      <c r="T531" t="s">
        <v>992</v>
      </c>
      <c r="U531" t="s">
        <v>1017</v>
      </c>
      <c r="V531" t="s">
        <v>1153</v>
      </c>
      <c r="W531" t="s">
        <v>970</v>
      </c>
      <c r="X531" t="s">
        <v>782</v>
      </c>
      <c r="Y531" t="s">
        <v>982</v>
      </c>
      <c r="Z531" t="s">
        <v>1986</v>
      </c>
      <c r="AA531" t="s">
        <v>1062</v>
      </c>
      <c r="AB531" t="s">
        <v>1063</v>
      </c>
      <c r="AC531" t="s">
        <v>148</v>
      </c>
      <c r="AD531" t="s">
        <v>172</v>
      </c>
      <c r="AE531" t="s">
        <v>752</v>
      </c>
      <c r="AF531" t="s">
        <v>247</v>
      </c>
      <c r="AG531" t="s">
        <v>1078</v>
      </c>
      <c r="AH531" t="s">
        <v>759</v>
      </c>
      <c r="AI531" t="s">
        <v>1079</v>
      </c>
      <c r="AJ531" t="s">
        <v>229</v>
      </c>
      <c r="AK531" t="s">
        <v>1080</v>
      </c>
      <c r="AL531" t="s">
        <v>9</v>
      </c>
      <c r="AM531" t="s">
        <v>230</v>
      </c>
      <c r="AN531" t="s">
        <v>917</v>
      </c>
      <c r="AO531" t="s">
        <v>231</v>
      </c>
      <c r="AP531" t="s">
        <v>1037</v>
      </c>
      <c r="AQ531" t="s">
        <v>970</v>
      </c>
      <c r="AR531" t="s">
        <v>976</v>
      </c>
      <c r="AS531" t="s">
        <v>232</v>
      </c>
      <c r="AT531" t="s">
        <v>145</v>
      </c>
      <c r="AU531" t="s">
        <v>785</v>
      </c>
      <c r="AV531" t="s">
        <v>977</v>
      </c>
      <c r="AW531" t="s">
        <v>756</v>
      </c>
      <c r="AX531" t="s">
        <v>233</v>
      </c>
      <c r="AY531" t="s">
        <v>234</v>
      </c>
      <c r="AZ531" t="s">
        <v>239</v>
      </c>
      <c r="BA531" t="s">
        <v>241</v>
      </c>
      <c r="BB531" t="s">
        <v>805</v>
      </c>
      <c r="BC531" t="s">
        <v>806</v>
      </c>
    </row>
    <row r="532" spans="1:105">
      <c r="A532" s="40">
        <v>492.2</v>
      </c>
      <c r="B532" s="40" t="s">
        <v>1987</v>
      </c>
      <c r="C532" s="2" t="s">
        <v>1988</v>
      </c>
      <c r="D532" s="2" t="s">
        <v>21</v>
      </c>
      <c r="E532" s="2" t="s">
        <v>20</v>
      </c>
      <c r="F532" s="2">
        <v>100</v>
      </c>
      <c r="G532" s="2">
        <v>103</v>
      </c>
      <c r="H532" s="2">
        <v>75</v>
      </c>
      <c r="I532" s="2">
        <v>120</v>
      </c>
      <c r="J532" s="2">
        <v>75</v>
      </c>
      <c r="K532" s="2">
        <v>127</v>
      </c>
      <c r="L532" s="2">
        <v>600</v>
      </c>
      <c r="M532" s="2" t="s">
        <v>1069</v>
      </c>
      <c r="N532" s="2" t="s">
        <v>1061</v>
      </c>
      <c r="O532" t="s">
        <v>215</v>
      </c>
      <c r="P532" t="s">
        <v>930</v>
      </c>
      <c r="Q532" t="s">
        <v>142</v>
      </c>
      <c r="R532" t="s">
        <v>310</v>
      </c>
      <c r="S532" t="s">
        <v>1076</v>
      </c>
      <c r="T532" t="s">
        <v>992</v>
      </c>
      <c r="U532" t="s">
        <v>1017</v>
      </c>
      <c r="V532" t="s">
        <v>1101</v>
      </c>
      <c r="W532" t="s">
        <v>970</v>
      </c>
      <c r="X532" t="s">
        <v>782</v>
      </c>
      <c r="Y532" t="s">
        <v>1086</v>
      </c>
      <c r="Z532" t="s">
        <v>1986</v>
      </c>
      <c r="AA532" t="s">
        <v>1062</v>
      </c>
      <c r="AB532" t="s">
        <v>1063</v>
      </c>
      <c r="AC532" t="s">
        <v>148</v>
      </c>
      <c r="AD532" t="s">
        <v>172</v>
      </c>
      <c r="AE532" t="s">
        <v>752</v>
      </c>
      <c r="AF532" t="s">
        <v>247</v>
      </c>
      <c r="AG532" t="s">
        <v>1078</v>
      </c>
      <c r="AH532" t="s">
        <v>759</v>
      </c>
      <c r="AI532" t="s">
        <v>1079</v>
      </c>
      <c r="AJ532" t="s">
        <v>229</v>
      </c>
      <c r="AK532" t="s">
        <v>1080</v>
      </c>
      <c r="AL532" t="s">
        <v>9</v>
      </c>
      <c r="AM532" t="s">
        <v>230</v>
      </c>
      <c r="AN532" t="s">
        <v>917</v>
      </c>
      <c r="AO532" t="s">
        <v>231</v>
      </c>
      <c r="AP532" t="s">
        <v>1037</v>
      </c>
      <c r="AQ532" t="s">
        <v>970</v>
      </c>
      <c r="AR532" t="s">
        <v>976</v>
      </c>
      <c r="AS532" t="s">
        <v>232</v>
      </c>
      <c r="AT532" t="s">
        <v>145</v>
      </c>
      <c r="AU532" t="s">
        <v>785</v>
      </c>
      <c r="AV532" t="s">
        <v>977</v>
      </c>
      <c r="AW532" t="s">
        <v>756</v>
      </c>
      <c r="AX532" t="s">
        <v>233</v>
      </c>
      <c r="AY532" t="s">
        <v>234</v>
      </c>
      <c r="AZ532" t="s">
        <v>239</v>
      </c>
      <c r="BA532" t="s">
        <v>241</v>
      </c>
      <c r="BB532" t="s">
        <v>805</v>
      </c>
      <c r="BC532" t="s">
        <v>806</v>
      </c>
    </row>
    <row r="533" spans="1:105">
      <c r="A533" s="40">
        <v>493</v>
      </c>
      <c r="B533" s="40" t="s">
        <v>1989</v>
      </c>
      <c r="C533" s="2" t="s">
        <v>1990</v>
      </c>
      <c r="D533" s="2" t="s">
        <v>24</v>
      </c>
      <c r="E533" s="2"/>
      <c r="F533" s="2">
        <v>120</v>
      </c>
      <c r="G533" s="2">
        <v>120</v>
      </c>
      <c r="H533" s="2">
        <v>120</v>
      </c>
      <c r="I533" s="2">
        <v>120</v>
      </c>
      <c r="J533" s="2">
        <v>120</v>
      </c>
      <c r="K533" s="2">
        <v>120</v>
      </c>
      <c r="L533" s="2">
        <v>720</v>
      </c>
      <c r="M533" s="2" t="s">
        <v>2416</v>
      </c>
      <c r="N533" s="2" t="s">
        <v>1061</v>
      </c>
      <c r="O533" t="s">
        <v>436</v>
      </c>
      <c r="P533" t="s">
        <v>1149</v>
      </c>
      <c r="Q533" t="s">
        <v>992</v>
      </c>
      <c r="R533" t="s">
        <v>1001</v>
      </c>
      <c r="S533" t="s">
        <v>978</v>
      </c>
      <c r="T533" t="s">
        <v>968</v>
      </c>
      <c r="U533" t="s">
        <v>1160</v>
      </c>
      <c r="V533" t="s">
        <v>791</v>
      </c>
      <c r="W533" t="s">
        <v>1106</v>
      </c>
      <c r="X533" t="s">
        <v>790</v>
      </c>
      <c r="Y533" t="s">
        <v>459</v>
      </c>
      <c r="Z533" t="s">
        <v>247</v>
      </c>
      <c r="AA533" t="s">
        <v>786</v>
      </c>
      <c r="AB533" t="s">
        <v>1991</v>
      </c>
      <c r="AC533" t="s">
        <v>1062</v>
      </c>
      <c r="AD533" t="s">
        <v>226</v>
      </c>
      <c r="AE533" t="s">
        <v>138</v>
      </c>
      <c r="AF533" t="s">
        <v>144</v>
      </c>
      <c r="AG533" t="s">
        <v>227</v>
      </c>
      <c r="AH533" t="s">
        <v>270</v>
      </c>
      <c r="AI533" t="s">
        <v>1063</v>
      </c>
      <c r="AJ533" t="s">
        <v>1030</v>
      </c>
      <c r="AK533" t="s">
        <v>1093</v>
      </c>
      <c r="AL533" t="s">
        <v>1151</v>
      </c>
      <c r="AM533" t="s">
        <v>912</v>
      </c>
      <c r="AN533" t="s">
        <v>246</v>
      </c>
      <c r="AO533" t="s">
        <v>148</v>
      </c>
      <c r="AP533" t="s">
        <v>1104</v>
      </c>
      <c r="AQ533" t="s">
        <v>172</v>
      </c>
      <c r="AR533" t="s">
        <v>752</v>
      </c>
      <c r="AS533" t="s">
        <v>141</v>
      </c>
      <c r="AT533" t="s">
        <v>271</v>
      </c>
      <c r="AU533" t="s">
        <v>247</v>
      </c>
      <c r="AV533" t="s">
        <v>228</v>
      </c>
      <c r="AW533" t="s">
        <v>1078</v>
      </c>
      <c r="AX533" t="s">
        <v>766</v>
      </c>
      <c r="AY533" t="s">
        <v>759</v>
      </c>
      <c r="AZ533" t="s">
        <v>1079</v>
      </c>
      <c r="BA533" t="s">
        <v>229</v>
      </c>
      <c r="BB533" t="s">
        <v>146</v>
      </c>
      <c r="BC533" t="s">
        <v>321</v>
      </c>
      <c r="BD533" t="s">
        <v>136</v>
      </c>
      <c r="BE533" t="s">
        <v>1080</v>
      </c>
      <c r="BF533" t="s">
        <v>9</v>
      </c>
      <c r="BG533" t="s">
        <v>174</v>
      </c>
      <c r="BH533" t="s">
        <v>1094</v>
      </c>
      <c r="BI533" t="s">
        <v>230</v>
      </c>
      <c r="BJ533" t="s">
        <v>380</v>
      </c>
      <c r="BK533" t="s">
        <v>254</v>
      </c>
      <c r="BL533" t="s">
        <v>1081</v>
      </c>
      <c r="BM533" t="s">
        <v>765</v>
      </c>
      <c r="BN533" t="s">
        <v>257</v>
      </c>
      <c r="BO533" t="s">
        <v>1095</v>
      </c>
      <c r="BP533" t="s">
        <v>1096</v>
      </c>
      <c r="BQ533" t="s">
        <v>917</v>
      </c>
      <c r="BR533" t="s">
        <v>231</v>
      </c>
      <c r="BS533" t="s">
        <v>1037</v>
      </c>
      <c r="BT533" t="s">
        <v>1083</v>
      </c>
      <c r="BU533" t="s">
        <v>1098</v>
      </c>
      <c r="BV533" t="s">
        <v>1102</v>
      </c>
      <c r="BW533" t="s">
        <v>970</v>
      </c>
      <c r="BX533" t="s">
        <v>963</v>
      </c>
      <c r="BY533" t="s">
        <v>1031</v>
      </c>
      <c r="BZ533" t="s">
        <v>1034</v>
      </c>
      <c r="CA533" t="s">
        <v>956</v>
      </c>
      <c r="CB533" t="s">
        <v>1005</v>
      </c>
      <c r="CC533" t="s">
        <v>995</v>
      </c>
      <c r="CD533" t="s">
        <v>1036</v>
      </c>
      <c r="CE533" t="s">
        <v>976</v>
      </c>
      <c r="CF533" t="s">
        <v>232</v>
      </c>
      <c r="CG533" t="s">
        <v>183</v>
      </c>
      <c r="CH533" t="s">
        <v>322</v>
      </c>
      <c r="CI533" t="s">
        <v>145</v>
      </c>
      <c r="CJ533" t="s">
        <v>785</v>
      </c>
      <c r="CK533" t="s">
        <v>1021</v>
      </c>
      <c r="CL533" t="s">
        <v>143</v>
      </c>
      <c r="CM533" t="s">
        <v>1018</v>
      </c>
      <c r="CN533" t="s">
        <v>997</v>
      </c>
      <c r="CO533" t="s">
        <v>293</v>
      </c>
      <c r="CP533" t="s">
        <v>977</v>
      </c>
      <c r="CQ533" t="s">
        <v>756</v>
      </c>
      <c r="CR533" t="s">
        <v>233</v>
      </c>
      <c r="CS533" t="s">
        <v>973</v>
      </c>
      <c r="CT533" t="s">
        <v>1012</v>
      </c>
      <c r="CU533" t="s">
        <v>760</v>
      </c>
      <c r="CV533" t="s">
        <v>1040</v>
      </c>
      <c r="CW533" t="s">
        <v>234</v>
      </c>
      <c r="CX533" t="s">
        <v>239</v>
      </c>
      <c r="CY533" t="s">
        <v>241</v>
      </c>
      <c r="CZ533" t="s">
        <v>805</v>
      </c>
      <c r="DA533" t="s">
        <v>806</v>
      </c>
    </row>
    <row r="534" spans="1:105">
      <c r="A534" s="40">
        <v>494</v>
      </c>
      <c r="B534" s="40" t="s">
        <v>1992</v>
      </c>
      <c r="C534" s="2" t="s">
        <v>1993</v>
      </c>
      <c r="D534" s="2" t="s">
        <v>9</v>
      </c>
      <c r="E534" s="2" t="s">
        <v>19</v>
      </c>
      <c r="F534" s="2">
        <v>100</v>
      </c>
      <c r="G534" s="2">
        <v>100</v>
      </c>
      <c r="H534" s="2">
        <v>100</v>
      </c>
      <c r="I534" s="2">
        <v>100</v>
      </c>
      <c r="J534" s="2">
        <v>100</v>
      </c>
      <c r="K534" s="2">
        <v>100</v>
      </c>
      <c r="L534" s="2">
        <v>600</v>
      </c>
      <c r="M534" s="2" t="s">
        <v>1074</v>
      </c>
      <c r="N534" s="2" t="s">
        <v>1061</v>
      </c>
      <c r="O534" t="s">
        <v>287</v>
      </c>
      <c r="P534" t="s">
        <v>310</v>
      </c>
      <c r="Q534" t="s">
        <v>302</v>
      </c>
      <c r="R534" t="s">
        <v>1031</v>
      </c>
      <c r="S534" t="s">
        <v>1994</v>
      </c>
      <c r="T534" t="s">
        <v>754</v>
      </c>
      <c r="U534" t="s">
        <v>420</v>
      </c>
      <c r="V534" t="s">
        <v>1097</v>
      </c>
      <c r="W534" t="s">
        <v>775</v>
      </c>
      <c r="X534" t="s">
        <v>1026</v>
      </c>
      <c r="Y534" t="s">
        <v>1019</v>
      </c>
      <c r="Z534" t="s">
        <v>185</v>
      </c>
      <c r="AA534" t="s">
        <v>225</v>
      </c>
      <c r="AB534" t="s">
        <v>972</v>
      </c>
      <c r="AC534" t="s">
        <v>1024</v>
      </c>
      <c r="AD534" t="s">
        <v>1041</v>
      </c>
      <c r="AE534" t="s">
        <v>1098</v>
      </c>
      <c r="AF534" t="s">
        <v>1062</v>
      </c>
      <c r="AG534" t="s">
        <v>1063</v>
      </c>
      <c r="AH534" t="s">
        <v>1151</v>
      </c>
      <c r="AI534" t="s">
        <v>148</v>
      </c>
      <c r="AJ534" t="s">
        <v>172</v>
      </c>
      <c r="AK534" t="s">
        <v>752</v>
      </c>
      <c r="AL534" t="s">
        <v>1126</v>
      </c>
      <c r="AM534" t="s">
        <v>247</v>
      </c>
      <c r="AN534" t="s">
        <v>228</v>
      </c>
      <c r="AO534" t="s">
        <v>1078</v>
      </c>
      <c r="AP534" t="s">
        <v>759</v>
      </c>
      <c r="AQ534" t="s">
        <v>1079</v>
      </c>
      <c r="AR534" t="s">
        <v>229</v>
      </c>
      <c r="AS534" t="s">
        <v>146</v>
      </c>
      <c r="AT534" t="s">
        <v>321</v>
      </c>
      <c r="AU534" t="s">
        <v>1080</v>
      </c>
      <c r="AV534" t="s">
        <v>9</v>
      </c>
      <c r="AW534" t="s">
        <v>174</v>
      </c>
      <c r="AX534" t="s">
        <v>1094</v>
      </c>
      <c r="AY534" t="s">
        <v>230</v>
      </c>
      <c r="AZ534" t="s">
        <v>254</v>
      </c>
      <c r="BA534" t="s">
        <v>257</v>
      </c>
      <c r="BB534" t="s">
        <v>917</v>
      </c>
      <c r="BC534" t="s">
        <v>1097</v>
      </c>
      <c r="BD534" t="s">
        <v>231</v>
      </c>
      <c r="BE534" t="s">
        <v>1037</v>
      </c>
      <c r="BF534" t="s">
        <v>1098</v>
      </c>
      <c r="BG534" t="s">
        <v>1102</v>
      </c>
      <c r="BH534" t="s">
        <v>970</v>
      </c>
      <c r="BI534" t="s">
        <v>974</v>
      </c>
      <c r="BJ534" t="s">
        <v>963</v>
      </c>
      <c r="BK534" t="s">
        <v>1031</v>
      </c>
      <c r="BL534" t="s">
        <v>956</v>
      </c>
      <c r="BM534" t="s">
        <v>969</v>
      </c>
      <c r="BN534" t="s">
        <v>976</v>
      </c>
      <c r="BO534" t="s">
        <v>232</v>
      </c>
      <c r="BP534" t="s">
        <v>322</v>
      </c>
      <c r="BQ534" t="s">
        <v>785</v>
      </c>
      <c r="BR534" t="s">
        <v>977</v>
      </c>
      <c r="BS534" t="s">
        <v>756</v>
      </c>
      <c r="BT534" t="s">
        <v>1014</v>
      </c>
      <c r="BU534" t="s">
        <v>233</v>
      </c>
      <c r="BV534" t="s">
        <v>1012</v>
      </c>
      <c r="BW534" t="s">
        <v>1047</v>
      </c>
      <c r="BX534" t="s">
        <v>760</v>
      </c>
      <c r="BY534" t="s">
        <v>234</v>
      </c>
      <c r="BZ534" t="s">
        <v>239</v>
      </c>
      <c r="CA534" t="s">
        <v>241</v>
      </c>
      <c r="CB534" t="s">
        <v>805</v>
      </c>
      <c r="CC534" t="s">
        <v>806</v>
      </c>
    </row>
    <row r="535" spans="1:105">
      <c r="A535" s="40">
        <v>495</v>
      </c>
      <c r="B535" s="40" t="s">
        <v>2000</v>
      </c>
      <c r="C535" s="2" t="s">
        <v>2001</v>
      </c>
      <c r="D535" s="2" t="s">
        <v>21</v>
      </c>
      <c r="E535" s="2"/>
      <c r="F535" s="2">
        <v>45</v>
      </c>
      <c r="G535" s="2">
        <v>45</v>
      </c>
      <c r="H535" s="2">
        <v>55</v>
      </c>
      <c r="I535" s="2">
        <v>45</v>
      </c>
      <c r="J535" s="2">
        <v>55</v>
      </c>
      <c r="K535" s="2">
        <v>63</v>
      </c>
      <c r="L535" s="2">
        <v>308</v>
      </c>
      <c r="M535" s="2" t="s">
        <v>1188</v>
      </c>
      <c r="N535" s="2" t="s">
        <v>1061</v>
      </c>
      <c r="O535" t="s">
        <v>219</v>
      </c>
      <c r="P535" t="s">
        <v>330</v>
      </c>
      <c r="Q535" t="s">
        <v>149</v>
      </c>
      <c r="R535" t="s">
        <v>338</v>
      </c>
      <c r="S535" t="s">
        <v>215</v>
      </c>
      <c r="T535" t="s">
        <v>1193</v>
      </c>
      <c r="U535" t="s">
        <v>142</v>
      </c>
      <c r="V535" t="s">
        <v>403</v>
      </c>
      <c r="W535" t="s">
        <v>341</v>
      </c>
      <c r="X535" t="s">
        <v>1194</v>
      </c>
      <c r="Y535" t="s">
        <v>1135</v>
      </c>
      <c r="Z535" t="s">
        <v>171</v>
      </c>
      <c r="AA535" t="s">
        <v>1189</v>
      </c>
      <c r="AB535" t="s">
        <v>975</v>
      </c>
      <c r="AC535" t="s">
        <v>1086</v>
      </c>
      <c r="AD535" t="s">
        <v>1062</v>
      </c>
      <c r="AE535" t="s">
        <v>226</v>
      </c>
      <c r="AF535" t="s">
        <v>1063</v>
      </c>
      <c r="AG535" t="s">
        <v>912</v>
      </c>
      <c r="AH535" t="s">
        <v>148</v>
      </c>
      <c r="AI535" t="s">
        <v>172</v>
      </c>
      <c r="AJ535" t="s">
        <v>752</v>
      </c>
      <c r="AK535" t="s">
        <v>1126</v>
      </c>
      <c r="AL535" t="s">
        <v>228</v>
      </c>
      <c r="AM535" t="s">
        <v>1078</v>
      </c>
      <c r="AN535" t="s">
        <v>759</v>
      </c>
      <c r="AO535" t="s">
        <v>1079</v>
      </c>
      <c r="AP535" t="s">
        <v>229</v>
      </c>
      <c r="AQ535" t="s">
        <v>1080</v>
      </c>
      <c r="AR535" t="s">
        <v>230</v>
      </c>
      <c r="AS535" t="s">
        <v>380</v>
      </c>
      <c r="AT535" t="s">
        <v>1096</v>
      </c>
      <c r="AU535" t="s">
        <v>951</v>
      </c>
      <c r="AV535" t="s">
        <v>917</v>
      </c>
      <c r="AW535" t="s">
        <v>231</v>
      </c>
      <c r="AX535" t="s">
        <v>1082</v>
      </c>
      <c r="AY535" t="s">
        <v>1037</v>
      </c>
      <c r="AZ535" t="s">
        <v>970</v>
      </c>
      <c r="BA535" t="s">
        <v>232</v>
      </c>
      <c r="BB535" t="s">
        <v>145</v>
      </c>
      <c r="BC535" t="s">
        <v>977</v>
      </c>
      <c r="BD535" t="s">
        <v>756</v>
      </c>
      <c r="BE535" t="s">
        <v>233</v>
      </c>
      <c r="BF535" t="s">
        <v>234</v>
      </c>
      <c r="BG535" t="s">
        <v>139</v>
      </c>
      <c r="BH535" t="s">
        <v>787</v>
      </c>
      <c r="BI535" t="s">
        <v>773</v>
      </c>
      <c r="BJ535" t="s">
        <v>1076</v>
      </c>
      <c r="BK535" t="s">
        <v>761</v>
      </c>
      <c r="BL535" t="s">
        <v>796</v>
      </c>
      <c r="BM535" t="s">
        <v>772</v>
      </c>
      <c r="BN535" t="s">
        <v>930</v>
      </c>
      <c r="BO535" t="s">
        <v>992</v>
      </c>
      <c r="BP535" t="s">
        <v>962</v>
      </c>
      <c r="BQ535" t="s">
        <v>239</v>
      </c>
      <c r="BR535" t="s">
        <v>241</v>
      </c>
      <c r="BS535" t="s">
        <v>805</v>
      </c>
      <c r="BT535" t="s">
        <v>806</v>
      </c>
    </row>
    <row r="536" spans="1:105">
      <c r="A536" s="40">
        <v>496</v>
      </c>
      <c r="B536" s="40" t="s">
        <v>2002</v>
      </c>
      <c r="C536" s="2" t="s">
        <v>2003</v>
      </c>
      <c r="D536" s="2" t="s">
        <v>21</v>
      </c>
      <c r="E536" s="2"/>
      <c r="F536" s="2">
        <v>60</v>
      </c>
      <c r="G536" s="2">
        <v>60</v>
      </c>
      <c r="H536" s="2">
        <v>75</v>
      </c>
      <c r="I536" s="2">
        <v>60</v>
      </c>
      <c r="J536" s="2">
        <v>75</v>
      </c>
      <c r="K536" s="2">
        <v>83</v>
      </c>
      <c r="L536" s="2">
        <v>413</v>
      </c>
      <c r="M536" s="2" t="s">
        <v>1165</v>
      </c>
      <c r="N536" s="2" t="s">
        <v>1061</v>
      </c>
      <c r="O536" t="s">
        <v>149</v>
      </c>
      <c r="P536" t="s">
        <v>219</v>
      </c>
      <c r="Q536" t="s">
        <v>338</v>
      </c>
      <c r="R536" t="s">
        <v>330</v>
      </c>
      <c r="S536" t="s">
        <v>330</v>
      </c>
      <c r="T536" t="s">
        <v>149</v>
      </c>
      <c r="U536" t="s">
        <v>338</v>
      </c>
      <c r="V536" t="s">
        <v>215</v>
      </c>
      <c r="W536" t="s">
        <v>1193</v>
      </c>
      <c r="X536" t="s">
        <v>142</v>
      </c>
      <c r="Y536" t="s">
        <v>403</v>
      </c>
      <c r="Z536" t="s">
        <v>341</v>
      </c>
      <c r="AA536" t="s">
        <v>1194</v>
      </c>
      <c r="AB536" t="s">
        <v>1135</v>
      </c>
      <c r="AC536" t="s">
        <v>171</v>
      </c>
      <c r="AD536" t="s">
        <v>1189</v>
      </c>
      <c r="AE536" t="s">
        <v>975</v>
      </c>
      <c r="AF536" t="s">
        <v>1086</v>
      </c>
      <c r="AG536" t="s">
        <v>1062</v>
      </c>
      <c r="AH536" t="s">
        <v>226</v>
      </c>
      <c r="AI536" t="s">
        <v>1063</v>
      </c>
      <c r="AJ536" t="s">
        <v>912</v>
      </c>
      <c r="AK536" t="s">
        <v>148</v>
      </c>
      <c r="AL536" t="s">
        <v>172</v>
      </c>
      <c r="AM536" t="s">
        <v>752</v>
      </c>
      <c r="AN536" t="s">
        <v>1126</v>
      </c>
      <c r="AO536" t="s">
        <v>228</v>
      </c>
      <c r="AP536" t="s">
        <v>1078</v>
      </c>
      <c r="AQ536" t="s">
        <v>759</v>
      </c>
      <c r="AR536" t="s">
        <v>1079</v>
      </c>
      <c r="AS536" t="s">
        <v>229</v>
      </c>
      <c r="AT536" t="s">
        <v>1080</v>
      </c>
      <c r="AU536" t="s">
        <v>230</v>
      </c>
      <c r="AV536" t="s">
        <v>380</v>
      </c>
      <c r="AW536" t="s">
        <v>1096</v>
      </c>
      <c r="AX536" t="s">
        <v>951</v>
      </c>
      <c r="AY536" t="s">
        <v>917</v>
      </c>
      <c r="AZ536" t="s">
        <v>231</v>
      </c>
      <c r="BA536" t="s">
        <v>1082</v>
      </c>
      <c r="BB536" t="s">
        <v>1037</v>
      </c>
      <c r="BC536" t="s">
        <v>970</v>
      </c>
      <c r="BD536" t="s">
        <v>232</v>
      </c>
      <c r="BE536" t="s">
        <v>145</v>
      </c>
      <c r="BF536" t="s">
        <v>977</v>
      </c>
      <c r="BG536" t="s">
        <v>756</v>
      </c>
      <c r="BH536" t="s">
        <v>233</v>
      </c>
      <c r="BI536" t="s">
        <v>234</v>
      </c>
      <c r="BJ536" t="s">
        <v>139</v>
      </c>
      <c r="BK536" t="s">
        <v>787</v>
      </c>
      <c r="BL536" t="s">
        <v>773</v>
      </c>
      <c r="BM536" t="s">
        <v>1076</v>
      </c>
      <c r="BN536" t="s">
        <v>761</v>
      </c>
      <c r="BO536" t="s">
        <v>796</v>
      </c>
      <c r="BP536" t="s">
        <v>772</v>
      </c>
      <c r="BQ536" t="s">
        <v>930</v>
      </c>
      <c r="BR536" t="s">
        <v>992</v>
      </c>
      <c r="BS536" t="s">
        <v>962</v>
      </c>
      <c r="BT536" t="s">
        <v>239</v>
      </c>
      <c r="BU536" t="s">
        <v>241</v>
      </c>
      <c r="BV536" t="s">
        <v>805</v>
      </c>
      <c r="BW536" t="s">
        <v>806</v>
      </c>
    </row>
    <row r="537" spans="1:105">
      <c r="A537" s="40">
        <v>497</v>
      </c>
      <c r="B537" s="40" t="s">
        <v>2004</v>
      </c>
      <c r="C537" s="2" t="s">
        <v>169</v>
      </c>
      <c r="D537" s="2" t="s">
        <v>21</v>
      </c>
      <c r="E537" s="2"/>
      <c r="F537" s="2">
        <v>75</v>
      </c>
      <c r="G537" s="2">
        <v>75</v>
      </c>
      <c r="H537" s="2">
        <v>95</v>
      </c>
      <c r="I537" s="2">
        <v>75</v>
      </c>
      <c r="J537" s="2">
        <v>95</v>
      </c>
      <c r="K537" s="2">
        <v>113</v>
      </c>
      <c r="L537" s="2">
        <v>528</v>
      </c>
      <c r="M537" s="2" t="s">
        <v>1091</v>
      </c>
      <c r="N537" s="2" t="s">
        <v>1061</v>
      </c>
      <c r="O537" t="s">
        <v>149</v>
      </c>
      <c r="P537" t="s">
        <v>219</v>
      </c>
      <c r="Q537" t="s">
        <v>338</v>
      </c>
      <c r="R537" t="s">
        <v>330</v>
      </c>
      <c r="S537" t="s">
        <v>330</v>
      </c>
      <c r="T537" t="s">
        <v>149</v>
      </c>
      <c r="U537" t="s">
        <v>338</v>
      </c>
      <c r="V537" t="s">
        <v>215</v>
      </c>
      <c r="W537" t="s">
        <v>1193</v>
      </c>
      <c r="X537" t="s">
        <v>142</v>
      </c>
      <c r="Y537" t="s">
        <v>403</v>
      </c>
      <c r="Z537" t="s">
        <v>341</v>
      </c>
      <c r="AA537" t="s">
        <v>1194</v>
      </c>
      <c r="AB537" t="s">
        <v>1135</v>
      </c>
      <c r="AC537" t="s">
        <v>171</v>
      </c>
      <c r="AD537" t="s">
        <v>1189</v>
      </c>
      <c r="AE537" t="s">
        <v>975</v>
      </c>
      <c r="AF537" t="s">
        <v>1086</v>
      </c>
      <c r="AG537" t="s">
        <v>1062</v>
      </c>
      <c r="AH537" t="s">
        <v>226</v>
      </c>
      <c r="AI537" t="s">
        <v>227</v>
      </c>
      <c r="AJ537" t="s">
        <v>1063</v>
      </c>
      <c r="AK537" t="s">
        <v>912</v>
      </c>
      <c r="AL537" t="s">
        <v>148</v>
      </c>
      <c r="AM537" t="s">
        <v>172</v>
      </c>
      <c r="AN537" t="s">
        <v>752</v>
      </c>
      <c r="AO537" t="s">
        <v>1126</v>
      </c>
      <c r="AP537" t="s">
        <v>247</v>
      </c>
      <c r="AQ537" t="s">
        <v>228</v>
      </c>
      <c r="AR537" t="s">
        <v>1078</v>
      </c>
      <c r="AS537" t="s">
        <v>759</v>
      </c>
      <c r="AT537" t="s">
        <v>1079</v>
      </c>
      <c r="AU537" t="s">
        <v>229</v>
      </c>
      <c r="AV537" t="s">
        <v>1080</v>
      </c>
      <c r="AW537" t="s">
        <v>230</v>
      </c>
      <c r="AX537" t="s">
        <v>380</v>
      </c>
      <c r="AY537" t="s">
        <v>1096</v>
      </c>
      <c r="AZ537" t="s">
        <v>951</v>
      </c>
      <c r="BA537" t="s">
        <v>917</v>
      </c>
      <c r="BB537" t="s">
        <v>231</v>
      </c>
      <c r="BC537" t="s">
        <v>1082</v>
      </c>
      <c r="BD537" t="s">
        <v>1037</v>
      </c>
      <c r="BE537" t="s">
        <v>970</v>
      </c>
      <c r="BF537" t="s">
        <v>976</v>
      </c>
      <c r="BG537" t="s">
        <v>232</v>
      </c>
      <c r="BH537" t="s">
        <v>145</v>
      </c>
      <c r="BI537" t="s">
        <v>1022</v>
      </c>
      <c r="BJ537" t="s">
        <v>977</v>
      </c>
      <c r="BK537" t="s">
        <v>756</v>
      </c>
      <c r="BL537" t="s">
        <v>233</v>
      </c>
      <c r="BM537" t="s">
        <v>760</v>
      </c>
      <c r="BN537" t="s">
        <v>234</v>
      </c>
      <c r="BO537" t="s">
        <v>139</v>
      </c>
      <c r="BP537" t="s">
        <v>787</v>
      </c>
      <c r="BQ537" t="s">
        <v>773</v>
      </c>
      <c r="BR537" t="s">
        <v>1076</v>
      </c>
      <c r="BS537" t="s">
        <v>761</v>
      </c>
      <c r="BT537" t="s">
        <v>796</v>
      </c>
      <c r="BU537" t="s">
        <v>772</v>
      </c>
      <c r="BV537" t="s">
        <v>930</v>
      </c>
      <c r="BW537" t="s">
        <v>992</v>
      </c>
      <c r="BX537" t="s">
        <v>962</v>
      </c>
      <c r="BY537" t="s">
        <v>239</v>
      </c>
      <c r="BZ537" t="s">
        <v>241</v>
      </c>
      <c r="CA537" t="s">
        <v>805</v>
      </c>
      <c r="CB537" t="s">
        <v>806</v>
      </c>
    </row>
    <row r="538" spans="1:105">
      <c r="A538" s="40">
        <v>498</v>
      </c>
      <c r="B538" s="40" t="s">
        <v>2005</v>
      </c>
      <c r="C538" s="2" t="s">
        <v>2006</v>
      </c>
      <c r="D538" s="2" t="s">
        <v>19</v>
      </c>
      <c r="E538" s="2"/>
      <c r="F538" s="2">
        <v>65</v>
      </c>
      <c r="G538" s="2">
        <v>63</v>
      </c>
      <c r="H538" s="2">
        <v>45</v>
      </c>
      <c r="I538" s="2">
        <v>45</v>
      </c>
      <c r="J538" s="2">
        <v>45</v>
      </c>
      <c r="K538" s="2">
        <v>45</v>
      </c>
      <c r="L538" s="2">
        <v>308</v>
      </c>
      <c r="M538" s="2" t="s">
        <v>1165</v>
      </c>
      <c r="N538" s="2" t="s">
        <v>1061</v>
      </c>
      <c r="O538" t="s">
        <v>219</v>
      </c>
      <c r="P538" t="s">
        <v>266</v>
      </c>
      <c r="Q538" t="s">
        <v>250</v>
      </c>
      <c r="R538" t="s">
        <v>934</v>
      </c>
      <c r="S538" t="s">
        <v>353</v>
      </c>
      <c r="T538" t="s">
        <v>1097</v>
      </c>
      <c r="U538" t="s">
        <v>530</v>
      </c>
      <c r="V538" t="s">
        <v>768</v>
      </c>
      <c r="W538" t="s">
        <v>223</v>
      </c>
      <c r="X538" t="s">
        <v>2007</v>
      </c>
      <c r="Y538" t="s">
        <v>960</v>
      </c>
      <c r="Z538" t="s">
        <v>254</v>
      </c>
      <c r="AA538" t="s">
        <v>800</v>
      </c>
      <c r="AB538" t="s">
        <v>246</v>
      </c>
      <c r="AC538" t="s">
        <v>972</v>
      </c>
      <c r="AD538" t="s">
        <v>1062</v>
      </c>
      <c r="AE538" t="s">
        <v>227</v>
      </c>
      <c r="AF538" t="s">
        <v>1063</v>
      </c>
      <c r="AG538" t="s">
        <v>246</v>
      </c>
      <c r="AH538" t="s">
        <v>148</v>
      </c>
      <c r="AI538" t="s">
        <v>172</v>
      </c>
      <c r="AJ538" t="s">
        <v>752</v>
      </c>
      <c r="AK538" t="s">
        <v>1126</v>
      </c>
      <c r="AL538" t="s">
        <v>1078</v>
      </c>
      <c r="AM538" t="s">
        <v>1079</v>
      </c>
      <c r="AN538" t="s">
        <v>229</v>
      </c>
      <c r="AO538" t="s">
        <v>1080</v>
      </c>
      <c r="AP538" t="s">
        <v>230</v>
      </c>
      <c r="AQ538" t="s">
        <v>254</v>
      </c>
      <c r="AR538" t="s">
        <v>257</v>
      </c>
      <c r="AS538" t="s">
        <v>1095</v>
      </c>
      <c r="AT538" t="s">
        <v>917</v>
      </c>
      <c r="AU538" t="s">
        <v>1097</v>
      </c>
      <c r="AV538" t="s">
        <v>231</v>
      </c>
      <c r="AW538" t="s">
        <v>1082</v>
      </c>
      <c r="AX538" t="s">
        <v>1037</v>
      </c>
      <c r="AY538" t="s">
        <v>1083</v>
      </c>
      <c r="AZ538" t="s">
        <v>1098</v>
      </c>
      <c r="BA538" t="s">
        <v>1031</v>
      </c>
      <c r="BB538" t="s">
        <v>956</v>
      </c>
      <c r="BC538" t="s">
        <v>980</v>
      </c>
      <c r="BD538" t="s">
        <v>977</v>
      </c>
      <c r="BE538" t="s">
        <v>756</v>
      </c>
      <c r="BF538" t="s">
        <v>233</v>
      </c>
      <c r="BG538" t="s">
        <v>1047</v>
      </c>
      <c r="BH538" t="s">
        <v>760</v>
      </c>
      <c r="BI538" t="s">
        <v>234</v>
      </c>
      <c r="BJ538" t="s">
        <v>364</v>
      </c>
      <c r="BK538" t="s">
        <v>373</v>
      </c>
      <c r="BL538" t="s">
        <v>751</v>
      </c>
      <c r="BM538" t="s">
        <v>757</v>
      </c>
      <c r="BN538" t="s">
        <v>789</v>
      </c>
      <c r="BO538" t="s">
        <v>947</v>
      </c>
      <c r="BP538" t="s">
        <v>958</v>
      </c>
      <c r="BQ538" t="s">
        <v>916</v>
      </c>
      <c r="BR538" t="s">
        <v>913</v>
      </c>
      <c r="BS538" t="s">
        <v>184</v>
      </c>
      <c r="BT538" t="s">
        <v>239</v>
      </c>
      <c r="BU538" t="s">
        <v>241</v>
      </c>
      <c r="BV538" t="s">
        <v>805</v>
      </c>
      <c r="BW538" t="s">
        <v>806</v>
      </c>
    </row>
    <row r="539" spans="1:105">
      <c r="A539" s="40">
        <v>499</v>
      </c>
      <c r="B539" s="40" t="s">
        <v>2008</v>
      </c>
      <c r="C539" s="2" t="s">
        <v>2009</v>
      </c>
      <c r="D539" s="2" t="s">
        <v>19</v>
      </c>
      <c r="E539" s="2" t="s">
        <v>18</v>
      </c>
      <c r="F539" s="2">
        <v>90</v>
      </c>
      <c r="G539" s="2">
        <v>93</v>
      </c>
      <c r="H539" s="2">
        <v>55</v>
      </c>
      <c r="I539" s="2">
        <v>70</v>
      </c>
      <c r="J539" s="2">
        <v>55</v>
      </c>
      <c r="K539" s="2">
        <v>55</v>
      </c>
      <c r="L539" s="2">
        <v>418</v>
      </c>
      <c r="M539" s="2" t="s">
        <v>1090</v>
      </c>
      <c r="N539" s="2" t="s">
        <v>1061</v>
      </c>
      <c r="O539" t="s">
        <v>219</v>
      </c>
      <c r="P539" t="s">
        <v>266</v>
      </c>
      <c r="Q539" t="s">
        <v>250</v>
      </c>
      <c r="R539" t="s">
        <v>934</v>
      </c>
      <c r="S539" t="s">
        <v>266</v>
      </c>
      <c r="T539" t="s">
        <v>250</v>
      </c>
      <c r="U539" t="s">
        <v>934</v>
      </c>
      <c r="V539" t="s">
        <v>353</v>
      </c>
      <c r="W539" t="s">
        <v>1097</v>
      </c>
      <c r="X539" t="s">
        <v>1546</v>
      </c>
      <c r="Y539" t="s">
        <v>530</v>
      </c>
      <c r="Z539" t="s">
        <v>768</v>
      </c>
      <c r="AA539" t="s">
        <v>223</v>
      </c>
      <c r="AB539" t="s">
        <v>2007</v>
      </c>
      <c r="AC539" t="s">
        <v>960</v>
      </c>
      <c r="AD539" t="s">
        <v>254</v>
      </c>
      <c r="AE539" t="s">
        <v>800</v>
      </c>
      <c r="AF539" t="s">
        <v>246</v>
      </c>
      <c r="AG539" t="s">
        <v>972</v>
      </c>
      <c r="AH539" t="s">
        <v>1062</v>
      </c>
      <c r="AI539" t="s">
        <v>227</v>
      </c>
      <c r="AJ539" t="s">
        <v>1063</v>
      </c>
      <c r="AK539" t="s">
        <v>246</v>
      </c>
      <c r="AL539" t="s">
        <v>148</v>
      </c>
      <c r="AM539" t="s">
        <v>172</v>
      </c>
      <c r="AN539" t="s">
        <v>752</v>
      </c>
      <c r="AO539" t="s">
        <v>1126</v>
      </c>
      <c r="AP539" t="s">
        <v>1078</v>
      </c>
      <c r="AQ539" t="s">
        <v>1079</v>
      </c>
      <c r="AR539" t="s">
        <v>229</v>
      </c>
      <c r="AS539" t="s">
        <v>1080</v>
      </c>
      <c r="AT539" t="s">
        <v>1094</v>
      </c>
      <c r="AU539" t="s">
        <v>230</v>
      </c>
      <c r="AV539" t="s">
        <v>254</v>
      </c>
      <c r="AW539" t="s">
        <v>257</v>
      </c>
      <c r="AX539" t="s">
        <v>1095</v>
      </c>
      <c r="AY539" t="s">
        <v>917</v>
      </c>
      <c r="AZ539" t="s">
        <v>1097</v>
      </c>
      <c r="BA539" t="s">
        <v>231</v>
      </c>
      <c r="BB539" t="s">
        <v>1082</v>
      </c>
      <c r="BC539" t="s">
        <v>1172</v>
      </c>
      <c r="BD539" t="s">
        <v>1037</v>
      </c>
      <c r="BE539" t="s">
        <v>1083</v>
      </c>
      <c r="BF539" t="s">
        <v>1098</v>
      </c>
      <c r="BG539" t="s">
        <v>1102</v>
      </c>
      <c r="BH539" t="s">
        <v>974</v>
      </c>
      <c r="BI539" t="s">
        <v>1031</v>
      </c>
      <c r="BJ539" t="s">
        <v>956</v>
      </c>
      <c r="BK539" t="s">
        <v>183</v>
      </c>
      <c r="BL539" t="s">
        <v>980</v>
      </c>
      <c r="BM539" t="s">
        <v>1021</v>
      </c>
      <c r="BN539" t="s">
        <v>143</v>
      </c>
      <c r="BO539" t="s">
        <v>997</v>
      </c>
      <c r="BP539" t="s">
        <v>977</v>
      </c>
      <c r="BQ539" t="s">
        <v>756</v>
      </c>
      <c r="BR539" t="s">
        <v>233</v>
      </c>
      <c r="BS539" t="s">
        <v>1047</v>
      </c>
      <c r="BT539" t="s">
        <v>760</v>
      </c>
      <c r="BU539" t="s">
        <v>234</v>
      </c>
      <c r="BV539" t="s">
        <v>364</v>
      </c>
      <c r="BW539" t="s">
        <v>373</v>
      </c>
      <c r="BX539" t="s">
        <v>751</v>
      </c>
      <c r="BY539" t="s">
        <v>757</v>
      </c>
      <c r="BZ539" t="s">
        <v>789</v>
      </c>
      <c r="CA539" t="s">
        <v>947</v>
      </c>
      <c r="CB539" t="s">
        <v>958</v>
      </c>
      <c r="CC539" t="s">
        <v>916</v>
      </c>
      <c r="CD539" t="s">
        <v>913</v>
      </c>
      <c r="CE539" t="s">
        <v>184</v>
      </c>
      <c r="CF539" t="s">
        <v>239</v>
      </c>
      <c r="CG539" t="s">
        <v>241</v>
      </c>
      <c r="CH539" t="s">
        <v>805</v>
      </c>
      <c r="CI539" t="s">
        <v>806</v>
      </c>
    </row>
    <row r="540" spans="1:105">
      <c r="A540" s="40">
        <v>500</v>
      </c>
      <c r="B540" s="40" t="s">
        <v>2010</v>
      </c>
      <c r="C540" s="2" t="s">
        <v>2011</v>
      </c>
      <c r="D540" s="2" t="s">
        <v>19</v>
      </c>
      <c r="E540" s="2" t="s">
        <v>18</v>
      </c>
      <c r="F540" s="2">
        <v>110</v>
      </c>
      <c r="G540" s="2">
        <v>123</v>
      </c>
      <c r="H540" s="2">
        <v>65</v>
      </c>
      <c r="I540" s="2">
        <v>100</v>
      </c>
      <c r="J540" s="2">
        <v>65</v>
      </c>
      <c r="K540" s="2">
        <v>65</v>
      </c>
      <c r="L540" s="2">
        <v>528</v>
      </c>
      <c r="M540" s="2" t="s">
        <v>1161</v>
      </c>
      <c r="N540" s="2" t="s">
        <v>1061</v>
      </c>
      <c r="O540" t="s">
        <v>219</v>
      </c>
      <c r="P540" t="s">
        <v>266</v>
      </c>
      <c r="Q540" t="s">
        <v>250</v>
      </c>
      <c r="R540" t="s">
        <v>934</v>
      </c>
      <c r="S540" t="s">
        <v>981</v>
      </c>
      <c r="T540" t="s">
        <v>266</v>
      </c>
      <c r="U540" t="s">
        <v>250</v>
      </c>
      <c r="V540" t="s">
        <v>934</v>
      </c>
      <c r="W540" t="s">
        <v>353</v>
      </c>
      <c r="X540" t="s">
        <v>1097</v>
      </c>
      <c r="Y540" t="s">
        <v>1546</v>
      </c>
      <c r="Z540" t="s">
        <v>530</v>
      </c>
      <c r="AA540" t="s">
        <v>768</v>
      </c>
      <c r="AB540" t="s">
        <v>223</v>
      </c>
      <c r="AC540" t="s">
        <v>2007</v>
      </c>
      <c r="AD540" t="s">
        <v>960</v>
      </c>
      <c r="AE540" t="s">
        <v>254</v>
      </c>
      <c r="AF540" t="s">
        <v>800</v>
      </c>
      <c r="AG540" t="s">
        <v>246</v>
      </c>
      <c r="AH540" t="s">
        <v>972</v>
      </c>
      <c r="AI540" t="s">
        <v>1062</v>
      </c>
      <c r="AJ540" t="s">
        <v>227</v>
      </c>
      <c r="AK540" t="s">
        <v>1063</v>
      </c>
      <c r="AL540" t="s">
        <v>246</v>
      </c>
      <c r="AM540" t="s">
        <v>148</v>
      </c>
      <c r="AN540" t="s">
        <v>1175</v>
      </c>
      <c r="AO540" t="s">
        <v>172</v>
      </c>
      <c r="AP540" t="s">
        <v>752</v>
      </c>
      <c r="AQ540" t="s">
        <v>1126</v>
      </c>
      <c r="AR540" t="s">
        <v>247</v>
      </c>
      <c r="AS540" t="s">
        <v>1078</v>
      </c>
      <c r="AT540" t="s">
        <v>1079</v>
      </c>
      <c r="AU540" t="s">
        <v>229</v>
      </c>
      <c r="AV540" t="s">
        <v>1109</v>
      </c>
      <c r="AW540" t="s">
        <v>136</v>
      </c>
      <c r="AX540" t="s">
        <v>1080</v>
      </c>
      <c r="AY540" t="s">
        <v>1094</v>
      </c>
      <c r="AZ540" t="s">
        <v>230</v>
      </c>
      <c r="BA540" t="s">
        <v>254</v>
      </c>
      <c r="BB540" t="s">
        <v>257</v>
      </c>
      <c r="BC540" t="s">
        <v>1095</v>
      </c>
      <c r="BD540" t="s">
        <v>917</v>
      </c>
      <c r="BE540" t="s">
        <v>1097</v>
      </c>
      <c r="BF540" t="s">
        <v>231</v>
      </c>
      <c r="BG540" t="s">
        <v>1082</v>
      </c>
      <c r="BH540" t="s">
        <v>1172</v>
      </c>
      <c r="BI540" t="s">
        <v>1037</v>
      </c>
      <c r="BJ540" t="s">
        <v>1083</v>
      </c>
      <c r="BK540" t="s">
        <v>1098</v>
      </c>
      <c r="BL540" t="s">
        <v>1102</v>
      </c>
      <c r="BM540" t="s">
        <v>1038</v>
      </c>
      <c r="BN540" t="s">
        <v>974</v>
      </c>
      <c r="BO540" t="s">
        <v>1031</v>
      </c>
      <c r="BP540" t="s">
        <v>956</v>
      </c>
      <c r="BQ540" t="s">
        <v>976</v>
      </c>
      <c r="BR540" t="s">
        <v>183</v>
      </c>
      <c r="BS540" t="s">
        <v>980</v>
      </c>
      <c r="BT540" t="s">
        <v>1021</v>
      </c>
      <c r="BU540" t="s">
        <v>143</v>
      </c>
      <c r="BV540" t="s">
        <v>997</v>
      </c>
      <c r="BW540" t="s">
        <v>977</v>
      </c>
      <c r="BX540" t="s">
        <v>756</v>
      </c>
      <c r="BY540" t="s">
        <v>233</v>
      </c>
      <c r="BZ540" t="s">
        <v>1047</v>
      </c>
      <c r="CA540" t="s">
        <v>760</v>
      </c>
      <c r="CB540" t="s">
        <v>234</v>
      </c>
      <c r="CC540" t="s">
        <v>364</v>
      </c>
      <c r="CD540" t="s">
        <v>373</v>
      </c>
      <c r="CE540" t="s">
        <v>751</v>
      </c>
      <c r="CF540" t="s">
        <v>757</v>
      </c>
      <c r="CG540" t="s">
        <v>789</v>
      </c>
      <c r="CH540" t="s">
        <v>947</v>
      </c>
      <c r="CI540" t="s">
        <v>958</v>
      </c>
      <c r="CJ540" t="s">
        <v>916</v>
      </c>
      <c r="CK540" t="s">
        <v>913</v>
      </c>
      <c r="CL540" t="s">
        <v>184</v>
      </c>
      <c r="CM540" t="s">
        <v>239</v>
      </c>
      <c r="CN540" t="s">
        <v>241</v>
      </c>
      <c r="CO540" t="s">
        <v>805</v>
      </c>
      <c r="CP540" t="s">
        <v>806</v>
      </c>
    </row>
    <row r="541" spans="1:105">
      <c r="A541" s="40">
        <v>501</v>
      </c>
      <c r="B541" s="40" t="s">
        <v>2012</v>
      </c>
      <c r="C541" s="2" t="s">
        <v>2013</v>
      </c>
      <c r="D541" s="2" t="s">
        <v>27</v>
      </c>
      <c r="E541" s="2"/>
      <c r="F541" s="2">
        <v>55</v>
      </c>
      <c r="G541" s="2">
        <v>55</v>
      </c>
      <c r="H541" s="2">
        <v>45</v>
      </c>
      <c r="I541" s="2">
        <v>63</v>
      </c>
      <c r="J541" s="2">
        <v>45</v>
      </c>
      <c r="K541" s="2">
        <v>45</v>
      </c>
      <c r="L541" s="2">
        <v>308</v>
      </c>
      <c r="M541" s="2" t="s">
        <v>1165</v>
      </c>
      <c r="N541" s="2" t="s">
        <v>1061</v>
      </c>
      <c r="O541" t="s">
        <v>219</v>
      </c>
      <c r="P541" t="s">
        <v>266</v>
      </c>
      <c r="Q541" t="s">
        <v>269</v>
      </c>
      <c r="R541" t="s">
        <v>955</v>
      </c>
      <c r="S541" t="s">
        <v>302</v>
      </c>
      <c r="T541" t="s">
        <v>1212</v>
      </c>
      <c r="U541" t="s">
        <v>758</v>
      </c>
      <c r="V541" t="s">
        <v>954</v>
      </c>
      <c r="W541" t="s">
        <v>1128</v>
      </c>
      <c r="X541" t="s">
        <v>959</v>
      </c>
      <c r="Y541" t="s">
        <v>779</v>
      </c>
      <c r="Z541" t="s">
        <v>179</v>
      </c>
      <c r="AA541" t="s">
        <v>1036</v>
      </c>
      <c r="AB541" t="s">
        <v>145</v>
      </c>
      <c r="AC541" t="s">
        <v>140</v>
      </c>
      <c r="AD541" t="s">
        <v>1062</v>
      </c>
      <c r="AE541" t="s">
        <v>226</v>
      </c>
      <c r="AF541" t="s">
        <v>144</v>
      </c>
      <c r="AG541" t="s">
        <v>270</v>
      </c>
      <c r="AH541" t="s">
        <v>914</v>
      </c>
      <c r="AI541" t="s">
        <v>1063</v>
      </c>
      <c r="AJ541" t="s">
        <v>148</v>
      </c>
      <c r="AK541" t="s">
        <v>1104</v>
      </c>
      <c r="AL541" t="s">
        <v>172</v>
      </c>
      <c r="AM541" t="s">
        <v>1126</v>
      </c>
      <c r="AN541" t="s">
        <v>141</v>
      </c>
      <c r="AO541" t="s">
        <v>271</v>
      </c>
      <c r="AP541" t="s">
        <v>1078</v>
      </c>
      <c r="AQ541" t="s">
        <v>766</v>
      </c>
      <c r="AR541" t="s">
        <v>1079</v>
      </c>
      <c r="AS541" t="s">
        <v>1080</v>
      </c>
      <c r="AT541" t="s">
        <v>256</v>
      </c>
      <c r="AU541" t="s">
        <v>230</v>
      </c>
      <c r="AV541" t="s">
        <v>1096</v>
      </c>
      <c r="AW541" t="s">
        <v>917</v>
      </c>
      <c r="AX541" t="s">
        <v>231</v>
      </c>
      <c r="AY541" t="s">
        <v>1082</v>
      </c>
      <c r="AZ541" t="s">
        <v>1037</v>
      </c>
      <c r="BA541" t="s">
        <v>776</v>
      </c>
      <c r="BB541" t="s">
        <v>1038</v>
      </c>
      <c r="BC541" t="s">
        <v>974</v>
      </c>
      <c r="BD541" t="s">
        <v>1036</v>
      </c>
      <c r="BE541" t="s">
        <v>145</v>
      </c>
      <c r="BF541" t="s">
        <v>1018</v>
      </c>
      <c r="BG541" t="s">
        <v>977</v>
      </c>
      <c r="BH541" t="s">
        <v>756</v>
      </c>
      <c r="BI541" t="s">
        <v>233</v>
      </c>
      <c r="BJ541" t="s">
        <v>760</v>
      </c>
      <c r="BK541" t="s">
        <v>234</v>
      </c>
      <c r="BL541" t="s">
        <v>324</v>
      </c>
      <c r="BM541" t="s">
        <v>1220</v>
      </c>
      <c r="BN541" t="s">
        <v>961</v>
      </c>
      <c r="BO541" t="s">
        <v>960</v>
      </c>
      <c r="BP541" t="s">
        <v>1013</v>
      </c>
      <c r="BQ541" t="s">
        <v>964</v>
      </c>
      <c r="BR541" t="s">
        <v>993</v>
      </c>
      <c r="BS541" t="s">
        <v>1101</v>
      </c>
      <c r="BT541" t="s">
        <v>239</v>
      </c>
      <c r="BU541" t="s">
        <v>241</v>
      </c>
      <c r="BV541" t="s">
        <v>805</v>
      </c>
      <c r="BW541" t="s">
        <v>806</v>
      </c>
    </row>
    <row r="542" spans="1:105">
      <c r="A542" s="40">
        <v>502</v>
      </c>
      <c r="B542" s="40" t="s">
        <v>2014</v>
      </c>
      <c r="C542" s="2" t="s">
        <v>2015</v>
      </c>
      <c r="D542" s="2" t="s">
        <v>27</v>
      </c>
      <c r="E542" s="2"/>
      <c r="F542" s="2">
        <v>75</v>
      </c>
      <c r="G542" s="2">
        <v>75</v>
      </c>
      <c r="H542" s="2">
        <v>60</v>
      </c>
      <c r="I542" s="2">
        <v>83</v>
      </c>
      <c r="J542" s="2">
        <v>60</v>
      </c>
      <c r="K542" s="2">
        <v>60</v>
      </c>
      <c r="L542" s="2">
        <v>413</v>
      </c>
      <c r="M542" s="2" t="s">
        <v>1145</v>
      </c>
      <c r="N542" s="2" t="s">
        <v>1061</v>
      </c>
      <c r="O542" t="s">
        <v>219</v>
      </c>
      <c r="P542" t="s">
        <v>266</v>
      </c>
      <c r="Q542" t="s">
        <v>269</v>
      </c>
      <c r="R542" t="s">
        <v>955</v>
      </c>
      <c r="S542" t="s">
        <v>266</v>
      </c>
      <c r="T542" t="s">
        <v>269</v>
      </c>
      <c r="U542" t="s">
        <v>955</v>
      </c>
      <c r="V542" t="s">
        <v>302</v>
      </c>
      <c r="W542" t="s">
        <v>1212</v>
      </c>
      <c r="X542" t="s">
        <v>758</v>
      </c>
      <c r="Y542" t="s">
        <v>954</v>
      </c>
      <c r="Z542" t="s">
        <v>1128</v>
      </c>
      <c r="AA542" t="s">
        <v>959</v>
      </c>
      <c r="AB542" t="s">
        <v>779</v>
      </c>
      <c r="AC542" t="s">
        <v>179</v>
      </c>
      <c r="AD542" t="s">
        <v>1036</v>
      </c>
      <c r="AE542" t="s">
        <v>145</v>
      </c>
      <c r="AF542" t="s">
        <v>140</v>
      </c>
      <c r="AG542" t="s">
        <v>1062</v>
      </c>
      <c r="AH542" t="s">
        <v>226</v>
      </c>
      <c r="AI542" t="s">
        <v>144</v>
      </c>
      <c r="AJ542" t="s">
        <v>270</v>
      </c>
      <c r="AK542" t="s">
        <v>914</v>
      </c>
      <c r="AL542" t="s">
        <v>1063</v>
      </c>
      <c r="AM542" t="s">
        <v>148</v>
      </c>
      <c r="AN542" t="s">
        <v>1104</v>
      </c>
      <c r="AO542" t="s">
        <v>172</v>
      </c>
      <c r="AP542" t="s">
        <v>1126</v>
      </c>
      <c r="AQ542" t="s">
        <v>141</v>
      </c>
      <c r="AR542" t="s">
        <v>271</v>
      </c>
      <c r="AS542" t="s">
        <v>1078</v>
      </c>
      <c r="AT542" t="s">
        <v>766</v>
      </c>
      <c r="AU542" t="s">
        <v>1079</v>
      </c>
      <c r="AV542" t="s">
        <v>1080</v>
      </c>
      <c r="AW542" t="s">
        <v>256</v>
      </c>
      <c r="AX542" t="s">
        <v>230</v>
      </c>
      <c r="AY542" t="s">
        <v>1096</v>
      </c>
      <c r="AZ542" t="s">
        <v>917</v>
      </c>
      <c r="BA542" t="s">
        <v>231</v>
      </c>
      <c r="BB542" t="s">
        <v>1082</v>
      </c>
      <c r="BC542" t="s">
        <v>1037</v>
      </c>
      <c r="BD542" t="s">
        <v>776</v>
      </c>
      <c r="BE542" t="s">
        <v>1038</v>
      </c>
      <c r="BF542" t="s">
        <v>974</v>
      </c>
      <c r="BG542" t="s">
        <v>1036</v>
      </c>
      <c r="BH542" t="s">
        <v>145</v>
      </c>
      <c r="BI542" t="s">
        <v>1018</v>
      </c>
      <c r="BJ542" t="s">
        <v>977</v>
      </c>
      <c r="BK542" t="s">
        <v>756</v>
      </c>
      <c r="BL542" t="s">
        <v>233</v>
      </c>
      <c r="BM542" t="s">
        <v>760</v>
      </c>
      <c r="BN542" t="s">
        <v>234</v>
      </c>
      <c r="BO542" t="s">
        <v>324</v>
      </c>
      <c r="BP542" t="s">
        <v>1220</v>
      </c>
      <c r="BQ542" t="s">
        <v>961</v>
      </c>
      <c r="BR542" t="s">
        <v>960</v>
      </c>
      <c r="BS542" t="s">
        <v>1013</v>
      </c>
      <c r="BT542" t="s">
        <v>964</v>
      </c>
      <c r="BU542" t="s">
        <v>993</v>
      </c>
      <c r="BV542" t="s">
        <v>1101</v>
      </c>
      <c r="BW542" t="s">
        <v>239</v>
      </c>
      <c r="BX542" t="s">
        <v>241</v>
      </c>
      <c r="BY542" t="s">
        <v>805</v>
      </c>
      <c r="BZ542" t="s">
        <v>806</v>
      </c>
    </row>
    <row r="543" spans="1:105">
      <c r="A543" s="40">
        <v>503</v>
      </c>
      <c r="B543" s="40" t="s">
        <v>2016</v>
      </c>
      <c r="C543" s="2" t="s">
        <v>2017</v>
      </c>
      <c r="D543" s="2" t="s">
        <v>27</v>
      </c>
      <c r="E543" s="2"/>
      <c r="F543" s="2">
        <v>95</v>
      </c>
      <c r="G543" s="2">
        <v>100</v>
      </c>
      <c r="H543" s="2">
        <v>85</v>
      </c>
      <c r="I543" s="2">
        <v>108</v>
      </c>
      <c r="J543" s="2">
        <v>70</v>
      </c>
      <c r="K543" s="2">
        <v>70</v>
      </c>
      <c r="L543" s="2">
        <v>528</v>
      </c>
      <c r="M543" s="2" t="s">
        <v>1141</v>
      </c>
      <c r="N543" s="2" t="s">
        <v>1061</v>
      </c>
      <c r="O543" t="s">
        <v>219</v>
      </c>
      <c r="P543" t="s">
        <v>266</v>
      </c>
      <c r="Q543" t="s">
        <v>269</v>
      </c>
      <c r="R543" t="s">
        <v>797</v>
      </c>
      <c r="S543" t="s">
        <v>955</v>
      </c>
      <c r="T543" t="s">
        <v>266</v>
      </c>
      <c r="U543" t="s">
        <v>269</v>
      </c>
      <c r="V543" t="s">
        <v>955</v>
      </c>
      <c r="W543" t="s">
        <v>302</v>
      </c>
      <c r="X543" t="s">
        <v>1212</v>
      </c>
      <c r="Y543" t="s">
        <v>758</v>
      </c>
      <c r="Z543" t="s">
        <v>954</v>
      </c>
      <c r="AA543" t="s">
        <v>1128</v>
      </c>
      <c r="AB543" t="s">
        <v>959</v>
      </c>
      <c r="AC543" t="s">
        <v>253</v>
      </c>
      <c r="AD543" t="s">
        <v>779</v>
      </c>
      <c r="AE543" t="s">
        <v>179</v>
      </c>
      <c r="AF543" t="s">
        <v>1036</v>
      </c>
      <c r="AG543" t="s">
        <v>145</v>
      </c>
      <c r="AH543" t="s">
        <v>140</v>
      </c>
      <c r="AI543" t="s">
        <v>1062</v>
      </c>
      <c r="AJ543" t="s">
        <v>226</v>
      </c>
      <c r="AK543" t="s">
        <v>144</v>
      </c>
      <c r="AL543" t="s">
        <v>227</v>
      </c>
      <c r="AM543" t="s">
        <v>270</v>
      </c>
      <c r="AN543" t="s">
        <v>914</v>
      </c>
      <c r="AO543" t="s">
        <v>1063</v>
      </c>
      <c r="AP543" t="s">
        <v>148</v>
      </c>
      <c r="AQ543" t="s">
        <v>1104</v>
      </c>
      <c r="AR543" t="s">
        <v>172</v>
      </c>
      <c r="AS543" t="s">
        <v>1126</v>
      </c>
      <c r="AT543" t="s">
        <v>141</v>
      </c>
      <c r="AU543" t="s">
        <v>271</v>
      </c>
      <c r="AV543" t="s">
        <v>247</v>
      </c>
      <c r="AW543" t="s">
        <v>1078</v>
      </c>
      <c r="AX543" t="s">
        <v>766</v>
      </c>
      <c r="AY543" t="s">
        <v>1079</v>
      </c>
      <c r="AZ543" t="s">
        <v>1080</v>
      </c>
      <c r="BA543" t="s">
        <v>256</v>
      </c>
      <c r="BB543" t="s">
        <v>230</v>
      </c>
      <c r="BC543" t="s">
        <v>1096</v>
      </c>
      <c r="BD543" t="s">
        <v>917</v>
      </c>
      <c r="BE543" t="s">
        <v>231</v>
      </c>
      <c r="BF543" t="s">
        <v>1082</v>
      </c>
      <c r="BG543" t="s">
        <v>1037</v>
      </c>
      <c r="BH543" t="s">
        <v>776</v>
      </c>
      <c r="BI543" t="s">
        <v>1038</v>
      </c>
      <c r="BJ543" t="s">
        <v>974</v>
      </c>
      <c r="BK543" t="s">
        <v>1036</v>
      </c>
      <c r="BL543" t="s">
        <v>976</v>
      </c>
      <c r="BM543" t="s">
        <v>145</v>
      </c>
      <c r="BN543" t="s">
        <v>1018</v>
      </c>
      <c r="BO543" t="s">
        <v>1022</v>
      </c>
      <c r="BP543" t="s">
        <v>977</v>
      </c>
      <c r="BQ543" t="s">
        <v>756</v>
      </c>
      <c r="BR543" t="s">
        <v>233</v>
      </c>
      <c r="BS543" t="s">
        <v>760</v>
      </c>
      <c r="BT543" t="s">
        <v>234</v>
      </c>
      <c r="BU543" t="s">
        <v>324</v>
      </c>
      <c r="BV543" t="s">
        <v>1220</v>
      </c>
      <c r="BW543" t="s">
        <v>961</v>
      </c>
      <c r="BX543" t="s">
        <v>960</v>
      </c>
      <c r="BY543" t="s">
        <v>1013</v>
      </c>
      <c r="BZ543" t="s">
        <v>964</v>
      </c>
      <c r="CA543" t="s">
        <v>993</v>
      </c>
      <c r="CB543" t="s">
        <v>1101</v>
      </c>
      <c r="CC543" t="s">
        <v>239</v>
      </c>
      <c r="CD543" t="s">
        <v>241</v>
      </c>
      <c r="CE543" t="s">
        <v>805</v>
      </c>
      <c r="CF543" t="s">
        <v>806</v>
      </c>
    </row>
    <row r="544" spans="1:105">
      <c r="A544" s="40">
        <v>504</v>
      </c>
      <c r="B544" s="40" t="s">
        <v>2018</v>
      </c>
      <c r="C544" s="2" t="s">
        <v>2019</v>
      </c>
      <c r="D544" s="2" t="s">
        <v>24</v>
      </c>
      <c r="E544" s="2"/>
      <c r="F544" s="2">
        <v>45</v>
      </c>
      <c r="G544" s="2">
        <v>55</v>
      </c>
      <c r="H544" s="2">
        <v>39</v>
      </c>
      <c r="I544" s="2">
        <v>35</v>
      </c>
      <c r="J544" s="2">
        <v>39</v>
      </c>
      <c r="K544" s="2">
        <v>42</v>
      </c>
      <c r="L544" s="2">
        <v>255</v>
      </c>
      <c r="M544" s="2" t="s">
        <v>1071</v>
      </c>
      <c r="N544" s="2" t="s">
        <v>1061</v>
      </c>
      <c r="O544" t="s">
        <v>219</v>
      </c>
      <c r="P544" t="s">
        <v>330</v>
      </c>
      <c r="Q544" t="s">
        <v>258</v>
      </c>
      <c r="R544" t="s">
        <v>347</v>
      </c>
      <c r="S544" t="s">
        <v>1220</v>
      </c>
      <c r="T544" t="s">
        <v>309</v>
      </c>
      <c r="U544" t="s">
        <v>777</v>
      </c>
      <c r="V544" t="s">
        <v>388</v>
      </c>
      <c r="W544" t="s">
        <v>320</v>
      </c>
      <c r="X544" t="s">
        <v>1150</v>
      </c>
      <c r="Y544" t="s">
        <v>1049</v>
      </c>
      <c r="Z544" t="s">
        <v>319</v>
      </c>
      <c r="AA544" t="s">
        <v>787</v>
      </c>
      <c r="AB544" t="s">
        <v>788</v>
      </c>
      <c r="AC544" t="s">
        <v>341</v>
      </c>
      <c r="AD544" t="s">
        <v>1062</v>
      </c>
      <c r="AE544" t="s">
        <v>226</v>
      </c>
      <c r="AF544" t="s">
        <v>1063</v>
      </c>
      <c r="AG544" t="s">
        <v>148</v>
      </c>
      <c r="AH544" t="s">
        <v>172</v>
      </c>
      <c r="AI544" t="s">
        <v>752</v>
      </c>
      <c r="AJ544" t="s">
        <v>1078</v>
      </c>
      <c r="AK544" t="s">
        <v>766</v>
      </c>
      <c r="AL544" t="s">
        <v>1079</v>
      </c>
      <c r="AM544" t="s">
        <v>146</v>
      </c>
      <c r="AN544" t="s">
        <v>1080</v>
      </c>
      <c r="AO544" t="s">
        <v>256</v>
      </c>
      <c r="AP544" t="s">
        <v>174</v>
      </c>
      <c r="AQ544" t="s">
        <v>230</v>
      </c>
      <c r="AR544" t="s">
        <v>917</v>
      </c>
      <c r="AS544" t="s">
        <v>231</v>
      </c>
      <c r="AT544" t="s">
        <v>1082</v>
      </c>
      <c r="AU544" t="s">
        <v>1037</v>
      </c>
      <c r="AV544" t="s">
        <v>974</v>
      </c>
      <c r="AW544" t="s">
        <v>1036</v>
      </c>
      <c r="AX544" t="s">
        <v>145</v>
      </c>
      <c r="AY544" t="s">
        <v>977</v>
      </c>
      <c r="AZ544" t="s">
        <v>756</v>
      </c>
      <c r="BA544" t="s">
        <v>757</v>
      </c>
      <c r="BB544" t="s">
        <v>233</v>
      </c>
      <c r="BC544" t="s">
        <v>2339</v>
      </c>
      <c r="BD544" t="s">
        <v>234</v>
      </c>
      <c r="BE544" t="s">
        <v>324</v>
      </c>
      <c r="BF544" t="s">
        <v>770</v>
      </c>
      <c r="BG544" t="s">
        <v>771</v>
      </c>
      <c r="BH544" t="s">
        <v>773</v>
      </c>
      <c r="BI544" t="s">
        <v>761</v>
      </c>
      <c r="BJ544" t="s">
        <v>1128</v>
      </c>
      <c r="BK544" t="s">
        <v>960</v>
      </c>
      <c r="BL544" t="s">
        <v>239</v>
      </c>
      <c r="BM544" t="s">
        <v>241</v>
      </c>
      <c r="BN544" t="s">
        <v>805</v>
      </c>
      <c r="BO544" t="s">
        <v>806</v>
      </c>
    </row>
    <row r="545" spans="1:90">
      <c r="A545" s="40">
        <v>505</v>
      </c>
      <c r="B545" s="40" t="s">
        <v>2020</v>
      </c>
      <c r="C545" s="2" t="s">
        <v>2021</v>
      </c>
      <c r="D545" s="2" t="s">
        <v>24</v>
      </c>
      <c r="E545" s="2"/>
      <c r="F545" s="2">
        <v>60</v>
      </c>
      <c r="G545" s="2">
        <v>85</v>
      </c>
      <c r="H545" s="2">
        <v>69</v>
      </c>
      <c r="I545" s="2">
        <v>60</v>
      </c>
      <c r="J545" s="2">
        <v>69</v>
      </c>
      <c r="K545" s="2">
        <v>77</v>
      </c>
      <c r="L545" s="2">
        <v>420</v>
      </c>
      <c r="M545" s="2" t="s">
        <v>1129</v>
      </c>
      <c r="N545" s="2" t="s">
        <v>1061</v>
      </c>
      <c r="O545" t="s">
        <v>219</v>
      </c>
      <c r="P545" t="s">
        <v>330</v>
      </c>
      <c r="Q545" t="s">
        <v>258</v>
      </c>
      <c r="R545" t="s">
        <v>432</v>
      </c>
      <c r="S545" t="s">
        <v>2400</v>
      </c>
      <c r="T545" t="s">
        <v>330</v>
      </c>
      <c r="U545" t="s">
        <v>258</v>
      </c>
      <c r="V545" t="s">
        <v>347</v>
      </c>
      <c r="W545" t="s">
        <v>1220</v>
      </c>
      <c r="X545" t="s">
        <v>309</v>
      </c>
      <c r="Y545" t="s">
        <v>777</v>
      </c>
      <c r="Z545" t="s">
        <v>388</v>
      </c>
      <c r="AA545" t="s">
        <v>387</v>
      </c>
      <c r="AB545" t="s">
        <v>320</v>
      </c>
      <c r="AC545" t="s">
        <v>1150</v>
      </c>
      <c r="AD545" t="s">
        <v>785</v>
      </c>
      <c r="AE545" t="s">
        <v>319</v>
      </c>
      <c r="AF545" t="s">
        <v>787</v>
      </c>
      <c r="AG545" t="s">
        <v>788</v>
      </c>
      <c r="AH545" t="s">
        <v>341</v>
      </c>
      <c r="AI545" t="s">
        <v>1062</v>
      </c>
      <c r="AJ545" t="s">
        <v>226</v>
      </c>
      <c r="AK545" t="s">
        <v>227</v>
      </c>
      <c r="AL545" t="s">
        <v>1063</v>
      </c>
      <c r="AM545" t="s">
        <v>148</v>
      </c>
      <c r="AN545" t="s">
        <v>172</v>
      </c>
      <c r="AO545" t="s">
        <v>752</v>
      </c>
      <c r="AP545" t="s">
        <v>247</v>
      </c>
      <c r="AQ545" t="s">
        <v>228</v>
      </c>
      <c r="AR545" t="s">
        <v>1078</v>
      </c>
      <c r="AS545" t="s">
        <v>766</v>
      </c>
      <c r="AT545" t="s">
        <v>1079</v>
      </c>
      <c r="AU545" t="s">
        <v>146</v>
      </c>
      <c r="AV545" t="s">
        <v>321</v>
      </c>
      <c r="AW545" t="s">
        <v>1080</v>
      </c>
      <c r="AX545" t="s">
        <v>256</v>
      </c>
      <c r="AY545" t="s">
        <v>174</v>
      </c>
      <c r="AZ545" t="s">
        <v>230</v>
      </c>
      <c r="BA545" t="s">
        <v>254</v>
      </c>
      <c r="BB545" t="s">
        <v>917</v>
      </c>
      <c r="BC545" t="s">
        <v>231</v>
      </c>
      <c r="BD545" t="s">
        <v>1082</v>
      </c>
      <c r="BE545" t="s">
        <v>1037</v>
      </c>
      <c r="BF545" t="s">
        <v>1102</v>
      </c>
      <c r="BG545" t="s">
        <v>974</v>
      </c>
      <c r="BH545" t="s">
        <v>1036</v>
      </c>
      <c r="BI545" t="s">
        <v>976</v>
      </c>
      <c r="BJ545" t="s">
        <v>232</v>
      </c>
      <c r="BK545" t="s">
        <v>322</v>
      </c>
      <c r="BL545" t="s">
        <v>145</v>
      </c>
      <c r="BM545" t="s">
        <v>785</v>
      </c>
      <c r="BN545" t="s">
        <v>293</v>
      </c>
      <c r="BO545" t="s">
        <v>977</v>
      </c>
      <c r="BP545" t="s">
        <v>756</v>
      </c>
      <c r="BQ545" t="s">
        <v>757</v>
      </c>
      <c r="BR545" t="s">
        <v>233</v>
      </c>
      <c r="BS545" t="s">
        <v>760</v>
      </c>
      <c r="BT545" t="s">
        <v>2398</v>
      </c>
      <c r="BU545" t="s">
        <v>2339</v>
      </c>
      <c r="BV545" t="s">
        <v>234</v>
      </c>
      <c r="BW545" t="s">
        <v>324</v>
      </c>
      <c r="BX545" t="s">
        <v>770</v>
      </c>
      <c r="BY545" t="s">
        <v>771</v>
      </c>
      <c r="BZ545" t="s">
        <v>773</v>
      </c>
      <c r="CA545" t="s">
        <v>761</v>
      </c>
      <c r="CB545" t="s">
        <v>1128</v>
      </c>
      <c r="CC545" t="s">
        <v>960</v>
      </c>
      <c r="CD545" t="s">
        <v>239</v>
      </c>
      <c r="CE545" t="s">
        <v>241</v>
      </c>
      <c r="CF545" t="s">
        <v>1049</v>
      </c>
      <c r="CG545" t="s">
        <v>805</v>
      </c>
      <c r="CH545" t="s">
        <v>806</v>
      </c>
    </row>
    <row r="546" spans="1:90">
      <c r="A546" s="40">
        <v>506</v>
      </c>
      <c r="B546" s="40" t="s">
        <v>2022</v>
      </c>
      <c r="C546" s="2" t="s">
        <v>2023</v>
      </c>
      <c r="D546" s="2" t="s">
        <v>24</v>
      </c>
      <c r="E546" s="2"/>
      <c r="F546" s="2">
        <v>45</v>
      </c>
      <c r="G546" s="2">
        <v>60</v>
      </c>
      <c r="H546" s="2">
        <v>45</v>
      </c>
      <c r="I546" s="2">
        <v>25</v>
      </c>
      <c r="J546" s="2">
        <v>45</v>
      </c>
      <c r="K546" s="2">
        <v>55</v>
      </c>
      <c r="L546" s="2">
        <v>275</v>
      </c>
      <c r="M546" s="2" t="s">
        <v>1188</v>
      </c>
      <c r="N546" s="2" t="s">
        <v>1061</v>
      </c>
      <c r="O546" t="s">
        <v>219</v>
      </c>
      <c r="P546" t="s">
        <v>330</v>
      </c>
      <c r="Q546" t="s">
        <v>934</v>
      </c>
      <c r="R546" t="s">
        <v>258</v>
      </c>
      <c r="S546" t="s">
        <v>925</v>
      </c>
      <c r="T546" t="s">
        <v>223</v>
      </c>
      <c r="U546" t="s">
        <v>1049</v>
      </c>
      <c r="V546" t="s">
        <v>777</v>
      </c>
      <c r="W546" t="s">
        <v>246</v>
      </c>
      <c r="X546" t="s">
        <v>1036</v>
      </c>
      <c r="Y546" t="s">
        <v>775</v>
      </c>
      <c r="Z546" t="s">
        <v>986</v>
      </c>
      <c r="AA546" t="s">
        <v>976</v>
      </c>
      <c r="AB546" t="s">
        <v>1062</v>
      </c>
      <c r="AC546" t="s">
        <v>1063</v>
      </c>
      <c r="AD546" t="s">
        <v>246</v>
      </c>
      <c r="AE546" t="s">
        <v>148</v>
      </c>
      <c r="AF546" t="s">
        <v>172</v>
      </c>
      <c r="AG546" t="s">
        <v>752</v>
      </c>
      <c r="AH546" t="s">
        <v>1078</v>
      </c>
      <c r="AI546" t="s">
        <v>766</v>
      </c>
      <c r="AJ546" t="s">
        <v>1079</v>
      </c>
      <c r="AK546" t="s">
        <v>146</v>
      </c>
      <c r="AL546" t="s">
        <v>1080</v>
      </c>
      <c r="AM546" t="s">
        <v>256</v>
      </c>
      <c r="AN546" t="s">
        <v>174</v>
      </c>
      <c r="AO546" t="s">
        <v>230</v>
      </c>
      <c r="AP546" t="s">
        <v>1095</v>
      </c>
      <c r="AQ546" t="s">
        <v>1096</v>
      </c>
      <c r="AR546" t="s">
        <v>917</v>
      </c>
      <c r="AS546" t="s">
        <v>231</v>
      </c>
      <c r="AT546" t="s">
        <v>1082</v>
      </c>
      <c r="AU546" t="s">
        <v>1037</v>
      </c>
      <c r="AV546" t="s">
        <v>1036</v>
      </c>
      <c r="AW546" t="s">
        <v>976</v>
      </c>
      <c r="AX546" t="s">
        <v>322</v>
      </c>
      <c r="AY546" t="s">
        <v>756</v>
      </c>
      <c r="AZ546" t="s">
        <v>233</v>
      </c>
      <c r="BA546" t="s">
        <v>1047</v>
      </c>
      <c r="BB546" t="s">
        <v>760</v>
      </c>
      <c r="BC546" t="s">
        <v>1040</v>
      </c>
      <c r="BD546" t="s">
        <v>234</v>
      </c>
      <c r="BE546" t="s">
        <v>309</v>
      </c>
      <c r="BF546" t="s">
        <v>511</v>
      </c>
      <c r="BG546" t="s">
        <v>755</v>
      </c>
      <c r="BH546" t="s">
        <v>754</v>
      </c>
      <c r="BI546" t="s">
        <v>781</v>
      </c>
      <c r="BJ546" t="s">
        <v>773</v>
      </c>
      <c r="BK546" t="s">
        <v>958</v>
      </c>
      <c r="BL546" t="s">
        <v>1155</v>
      </c>
      <c r="BM546" t="s">
        <v>1010</v>
      </c>
      <c r="BN546" t="s">
        <v>983</v>
      </c>
      <c r="BO546" t="s">
        <v>182</v>
      </c>
      <c r="BP546" t="s">
        <v>1150</v>
      </c>
      <c r="BQ546" t="s">
        <v>239</v>
      </c>
      <c r="BR546" t="s">
        <v>241</v>
      </c>
      <c r="BS546" t="s">
        <v>805</v>
      </c>
      <c r="BT546" t="s">
        <v>806</v>
      </c>
    </row>
    <row r="547" spans="1:90">
      <c r="A547" s="40">
        <v>507</v>
      </c>
      <c r="B547" s="40" t="s">
        <v>2024</v>
      </c>
      <c r="C547" s="2" t="s">
        <v>2025</v>
      </c>
      <c r="D547" s="2" t="s">
        <v>24</v>
      </c>
      <c r="E547" s="2"/>
      <c r="F547" s="2">
        <v>65</v>
      </c>
      <c r="G547" s="2">
        <v>80</v>
      </c>
      <c r="H547" s="2">
        <v>65</v>
      </c>
      <c r="I547" s="2">
        <v>35</v>
      </c>
      <c r="J547" s="2">
        <v>65</v>
      </c>
      <c r="K547" s="2">
        <v>60</v>
      </c>
      <c r="L547" s="2">
        <v>370</v>
      </c>
      <c r="M547" s="2" t="s">
        <v>1103</v>
      </c>
      <c r="N547" s="2" t="s">
        <v>1061</v>
      </c>
      <c r="O547" t="s">
        <v>219</v>
      </c>
      <c r="P547" t="s">
        <v>330</v>
      </c>
      <c r="Q547" t="s">
        <v>258</v>
      </c>
      <c r="R547" t="s">
        <v>934</v>
      </c>
      <c r="S547" t="s">
        <v>934</v>
      </c>
      <c r="T547" t="s">
        <v>258</v>
      </c>
      <c r="U547" t="s">
        <v>925</v>
      </c>
      <c r="V547" t="s">
        <v>223</v>
      </c>
      <c r="W547" t="s">
        <v>1049</v>
      </c>
      <c r="X547" t="s">
        <v>777</v>
      </c>
      <c r="Y547" t="s">
        <v>246</v>
      </c>
      <c r="Z547" t="s">
        <v>1036</v>
      </c>
      <c r="AA547" t="s">
        <v>775</v>
      </c>
      <c r="AB547" t="s">
        <v>986</v>
      </c>
      <c r="AC547" t="s">
        <v>976</v>
      </c>
      <c r="AD547" t="s">
        <v>1062</v>
      </c>
      <c r="AE547" t="s">
        <v>144</v>
      </c>
      <c r="AF547" t="s">
        <v>227</v>
      </c>
      <c r="AG547" t="s">
        <v>1063</v>
      </c>
      <c r="AH547" t="s">
        <v>246</v>
      </c>
      <c r="AI547" t="s">
        <v>148</v>
      </c>
      <c r="AJ547" t="s">
        <v>172</v>
      </c>
      <c r="AK547" t="s">
        <v>752</v>
      </c>
      <c r="AL547" t="s">
        <v>1078</v>
      </c>
      <c r="AM547" t="s">
        <v>766</v>
      </c>
      <c r="AN547" t="s">
        <v>1079</v>
      </c>
      <c r="AO547" t="s">
        <v>146</v>
      </c>
      <c r="AP547" t="s">
        <v>1080</v>
      </c>
      <c r="AQ547" t="s">
        <v>256</v>
      </c>
      <c r="AR547" t="s">
        <v>174</v>
      </c>
      <c r="AS547" t="s">
        <v>230</v>
      </c>
      <c r="AT547" t="s">
        <v>1095</v>
      </c>
      <c r="AU547" t="s">
        <v>1096</v>
      </c>
      <c r="AV547" t="s">
        <v>917</v>
      </c>
      <c r="AW547" t="s">
        <v>231</v>
      </c>
      <c r="AX547" t="s">
        <v>1082</v>
      </c>
      <c r="AY547" t="s">
        <v>1037</v>
      </c>
      <c r="AZ547" t="s">
        <v>995</v>
      </c>
      <c r="BA547" t="s">
        <v>1036</v>
      </c>
      <c r="BB547" t="s">
        <v>976</v>
      </c>
      <c r="BC547" t="s">
        <v>322</v>
      </c>
      <c r="BD547" t="s">
        <v>756</v>
      </c>
      <c r="BE547" t="s">
        <v>233</v>
      </c>
      <c r="BF547" t="s">
        <v>1047</v>
      </c>
      <c r="BG547" t="s">
        <v>760</v>
      </c>
      <c r="BH547" t="s">
        <v>1040</v>
      </c>
      <c r="BI547" t="s">
        <v>234</v>
      </c>
      <c r="BJ547" t="s">
        <v>309</v>
      </c>
      <c r="BK547" t="s">
        <v>511</v>
      </c>
      <c r="BL547" t="s">
        <v>755</v>
      </c>
      <c r="BM547" t="s">
        <v>754</v>
      </c>
      <c r="BN547" t="s">
        <v>781</v>
      </c>
      <c r="BO547" t="s">
        <v>773</v>
      </c>
      <c r="BP547" t="s">
        <v>958</v>
      </c>
      <c r="BQ547" t="s">
        <v>1155</v>
      </c>
      <c r="BR547" t="s">
        <v>1010</v>
      </c>
      <c r="BS547" t="s">
        <v>983</v>
      </c>
      <c r="BT547" t="s">
        <v>182</v>
      </c>
      <c r="BU547" t="s">
        <v>1150</v>
      </c>
      <c r="BV547" t="s">
        <v>239</v>
      </c>
      <c r="BW547" t="s">
        <v>241</v>
      </c>
      <c r="BX547" t="s">
        <v>805</v>
      </c>
      <c r="BY547" t="s">
        <v>806</v>
      </c>
    </row>
    <row r="548" spans="1:90">
      <c r="A548" s="40">
        <v>508</v>
      </c>
      <c r="B548" s="40" t="s">
        <v>2026</v>
      </c>
      <c r="C548" s="2" t="s">
        <v>2027</v>
      </c>
      <c r="D548" s="2" t="s">
        <v>24</v>
      </c>
      <c r="E548" s="2"/>
      <c r="F548" s="2">
        <v>85</v>
      </c>
      <c r="G548" s="2">
        <v>100</v>
      </c>
      <c r="H548" s="2">
        <v>90</v>
      </c>
      <c r="I548" s="2">
        <v>45</v>
      </c>
      <c r="J548" s="2">
        <v>90</v>
      </c>
      <c r="K548" s="2">
        <v>80</v>
      </c>
      <c r="L548" s="2">
        <v>490</v>
      </c>
      <c r="M548" s="2" t="s">
        <v>1177</v>
      </c>
      <c r="N548" s="2" t="s">
        <v>1061</v>
      </c>
      <c r="O548" t="s">
        <v>219</v>
      </c>
      <c r="P548" t="s">
        <v>330</v>
      </c>
      <c r="Q548" t="s">
        <v>258</v>
      </c>
      <c r="R548" t="s">
        <v>934</v>
      </c>
      <c r="S548" t="s">
        <v>1010</v>
      </c>
      <c r="T548" t="s">
        <v>983</v>
      </c>
      <c r="U548" t="s">
        <v>182</v>
      </c>
      <c r="V548" t="s">
        <v>934</v>
      </c>
      <c r="W548" t="s">
        <v>258</v>
      </c>
      <c r="X548" t="s">
        <v>925</v>
      </c>
      <c r="Y548" t="s">
        <v>223</v>
      </c>
      <c r="Z548" t="s">
        <v>1049</v>
      </c>
      <c r="AA548" t="s">
        <v>777</v>
      </c>
      <c r="AB548" t="s">
        <v>246</v>
      </c>
      <c r="AC548" t="s">
        <v>1036</v>
      </c>
      <c r="AD548" t="s">
        <v>775</v>
      </c>
      <c r="AE548" t="s">
        <v>986</v>
      </c>
      <c r="AF548" t="s">
        <v>976</v>
      </c>
      <c r="AG548" t="s">
        <v>1062</v>
      </c>
      <c r="AH548" t="s">
        <v>144</v>
      </c>
      <c r="AI548" t="s">
        <v>227</v>
      </c>
      <c r="AJ548" t="s">
        <v>1063</v>
      </c>
      <c r="AK548" t="s">
        <v>246</v>
      </c>
      <c r="AL548" t="s">
        <v>148</v>
      </c>
      <c r="AM548" t="s">
        <v>172</v>
      </c>
      <c r="AN548" t="s">
        <v>752</v>
      </c>
      <c r="AO548" t="s">
        <v>247</v>
      </c>
      <c r="AP548" t="s">
        <v>1078</v>
      </c>
      <c r="AQ548" t="s">
        <v>766</v>
      </c>
      <c r="AR548" t="s">
        <v>1079</v>
      </c>
      <c r="AS548" t="s">
        <v>146</v>
      </c>
      <c r="AT548" t="s">
        <v>321</v>
      </c>
      <c r="AU548" t="s">
        <v>1080</v>
      </c>
      <c r="AV548" t="s">
        <v>256</v>
      </c>
      <c r="AW548" t="s">
        <v>174</v>
      </c>
      <c r="AX548" t="s">
        <v>230</v>
      </c>
      <c r="AY548" t="s">
        <v>1095</v>
      </c>
      <c r="AZ548" t="s">
        <v>1096</v>
      </c>
      <c r="BA548" t="s">
        <v>917</v>
      </c>
      <c r="BB548" t="s">
        <v>231</v>
      </c>
      <c r="BC548" t="s">
        <v>1082</v>
      </c>
      <c r="BD548" t="s">
        <v>1037</v>
      </c>
      <c r="BE548" t="s">
        <v>995</v>
      </c>
      <c r="BF548" t="s">
        <v>1036</v>
      </c>
      <c r="BG548" t="s">
        <v>976</v>
      </c>
      <c r="BH548" t="s">
        <v>322</v>
      </c>
      <c r="BI548" t="s">
        <v>756</v>
      </c>
      <c r="BJ548" t="s">
        <v>233</v>
      </c>
      <c r="BK548" t="s">
        <v>1047</v>
      </c>
      <c r="BL548" t="s">
        <v>760</v>
      </c>
      <c r="BM548" t="s">
        <v>1040</v>
      </c>
      <c r="BN548" t="s">
        <v>234</v>
      </c>
      <c r="BO548" t="s">
        <v>309</v>
      </c>
      <c r="BP548" t="s">
        <v>511</v>
      </c>
      <c r="BQ548" t="s">
        <v>755</v>
      </c>
      <c r="BR548" t="s">
        <v>754</v>
      </c>
      <c r="BS548" t="s">
        <v>781</v>
      </c>
      <c r="BT548" t="s">
        <v>773</v>
      </c>
      <c r="BU548" t="s">
        <v>958</v>
      </c>
      <c r="BV548" t="s">
        <v>1155</v>
      </c>
      <c r="BW548" t="s">
        <v>1010</v>
      </c>
      <c r="BX548" t="s">
        <v>983</v>
      </c>
      <c r="BY548" t="s">
        <v>182</v>
      </c>
      <c r="BZ548" t="s">
        <v>1150</v>
      </c>
      <c r="CA548" t="s">
        <v>239</v>
      </c>
      <c r="CB548" t="s">
        <v>241</v>
      </c>
      <c r="CC548" t="s">
        <v>805</v>
      </c>
      <c r="CD548" t="s">
        <v>806</v>
      </c>
    </row>
    <row r="549" spans="1:90">
      <c r="A549" s="40">
        <v>509</v>
      </c>
      <c r="B549" s="40" t="s">
        <v>2028</v>
      </c>
      <c r="C549" s="2" t="s">
        <v>2029</v>
      </c>
      <c r="D549" s="2" t="s">
        <v>15</v>
      </c>
      <c r="E549" s="2"/>
      <c r="F549" s="2">
        <v>41</v>
      </c>
      <c r="G549" s="2">
        <v>50</v>
      </c>
      <c r="H549" s="2">
        <v>37</v>
      </c>
      <c r="I549" s="2">
        <v>50</v>
      </c>
      <c r="J549" s="2">
        <v>37</v>
      </c>
      <c r="K549" s="2">
        <v>66</v>
      </c>
      <c r="L549" s="2">
        <v>281</v>
      </c>
      <c r="M549" s="2" t="s">
        <v>1074</v>
      </c>
      <c r="N549" s="2" t="s">
        <v>1061</v>
      </c>
      <c r="O549" t="s">
        <v>249</v>
      </c>
      <c r="P549" t="s">
        <v>220</v>
      </c>
      <c r="Q549" t="s">
        <v>1166</v>
      </c>
      <c r="R549" t="s">
        <v>309</v>
      </c>
      <c r="S549" t="s">
        <v>323</v>
      </c>
      <c r="T549" t="s">
        <v>773</v>
      </c>
      <c r="U549" t="s">
        <v>951</v>
      </c>
      <c r="V549" t="s">
        <v>176</v>
      </c>
      <c r="W549" t="s">
        <v>1030</v>
      </c>
      <c r="X549" t="s">
        <v>960</v>
      </c>
      <c r="Y549" t="s">
        <v>253</v>
      </c>
      <c r="Z549" t="s">
        <v>962</v>
      </c>
      <c r="AA549" t="s">
        <v>993</v>
      </c>
      <c r="AB549" t="s">
        <v>945</v>
      </c>
      <c r="AC549" t="s">
        <v>991</v>
      </c>
      <c r="AD549" t="s">
        <v>1008</v>
      </c>
      <c r="AE549" t="s">
        <v>2395</v>
      </c>
      <c r="AF549" t="s">
        <v>1062</v>
      </c>
      <c r="AG549" t="s">
        <v>226</v>
      </c>
      <c r="AH549" t="s">
        <v>1063</v>
      </c>
      <c r="AI549" t="s">
        <v>1030</v>
      </c>
      <c r="AJ549" t="s">
        <v>148</v>
      </c>
      <c r="AK549" t="s">
        <v>172</v>
      </c>
      <c r="AL549" t="s">
        <v>752</v>
      </c>
      <c r="AM549" t="s">
        <v>1126</v>
      </c>
      <c r="AN549" t="s">
        <v>1078</v>
      </c>
      <c r="AO549" t="s">
        <v>766</v>
      </c>
      <c r="AP549" t="s">
        <v>1079</v>
      </c>
      <c r="AQ549" t="s">
        <v>1080</v>
      </c>
      <c r="AR549" t="s">
        <v>174</v>
      </c>
      <c r="AS549" t="s">
        <v>230</v>
      </c>
      <c r="AT549" t="s">
        <v>1096</v>
      </c>
      <c r="AU549" t="s">
        <v>951</v>
      </c>
      <c r="AV549" t="s">
        <v>917</v>
      </c>
      <c r="AW549" t="s">
        <v>231</v>
      </c>
      <c r="AX549" t="s">
        <v>1082</v>
      </c>
      <c r="AY549" t="s">
        <v>1117</v>
      </c>
      <c r="AZ549" t="s">
        <v>1037</v>
      </c>
      <c r="BA549" t="s">
        <v>1083</v>
      </c>
      <c r="BB549" t="s">
        <v>969</v>
      </c>
      <c r="BC549" t="s">
        <v>1005</v>
      </c>
      <c r="BD549" t="s">
        <v>995</v>
      </c>
      <c r="BE549" t="s">
        <v>322</v>
      </c>
      <c r="BF549" t="s">
        <v>785</v>
      </c>
      <c r="BG549" t="s">
        <v>293</v>
      </c>
      <c r="BH549" t="s">
        <v>977</v>
      </c>
      <c r="BI549" t="s">
        <v>756</v>
      </c>
      <c r="BJ549" t="s">
        <v>757</v>
      </c>
      <c r="BK549" t="s">
        <v>1014</v>
      </c>
      <c r="BL549" t="s">
        <v>233</v>
      </c>
      <c r="BM549" t="s">
        <v>1040</v>
      </c>
      <c r="BN549" t="s">
        <v>1157</v>
      </c>
      <c r="BO549" t="s">
        <v>2339</v>
      </c>
      <c r="BP549" t="s">
        <v>234</v>
      </c>
      <c r="BQ549" t="s">
        <v>425</v>
      </c>
      <c r="BR549" t="s">
        <v>774</v>
      </c>
      <c r="BS549" t="s">
        <v>781</v>
      </c>
      <c r="BT549" t="s">
        <v>779</v>
      </c>
      <c r="BU549" t="s">
        <v>958</v>
      </c>
      <c r="BV549" t="s">
        <v>918</v>
      </c>
      <c r="BW549" t="s">
        <v>913</v>
      </c>
      <c r="BX549" t="s">
        <v>964</v>
      </c>
      <c r="BY549" t="s">
        <v>1167</v>
      </c>
      <c r="BZ549" t="s">
        <v>239</v>
      </c>
      <c r="CA549" t="s">
        <v>241</v>
      </c>
      <c r="CB549" t="s">
        <v>805</v>
      </c>
      <c r="CC549" t="s">
        <v>806</v>
      </c>
    </row>
    <row r="550" spans="1:90">
      <c r="A550" s="40">
        <v>510</v>
      </c>
      <c r="B550" s="40" t="s">
        <v>2030</v>
      </c>
      <c r="C550" s="2" t="s">
        <v>2031</v>
      </c>
      <c r="D550" s="2" t="s">
        <v>15</v>
      </c>
      <c r="E550" s="2"/>
      <c r="F550" s="2">
        <v>64</v>
      </c>
      <c r="G550" s="2">
        <v>88</v>
      </c>
      <c r="H550" s="2">
        <v>50</v>
      </c>
      <c r="I550" s="2">
        <v>88</v>
      </c>
      <c r="J550" s="2">
        <v>50</v>
      </c>
      <c r="K550" s="2">
        <v>106</v>
      </c>
      <c r="L550" s="2">
        <v>446</v>
      </c>
      <c r="M550" s="2" t="s">
        <v>1221</v>
      </c>
      <c r="N550" s="2" t="s">
        <v>1061</v>
      </c>
      <c r="O550" t="s">
        <v>249</v>
      </c>
      <c r="P550" t="s">
        <v>309</v>
      </c>
      <c r="Q550" t="s">
        <v>220</v>
      </c>
      <c r="R550" t="s">
        <v>1166</v>
      </c>
      <c r="S550" t="s">
        <v>220</v>
      </c>
      <c r="T550" t="s">
        <v>1166</v>
      </c>
      <c r="U550" t="s">
        <v>309</v>
      </c>
      <c r="V550" t="s">
        <v>323</v>
      </c>
      <c r="W550" t="s">
        <v>773</v>
      </c>
      <c r="X550" t="s">
        <v>951</v>
      </c>
      <c r="Y550" t="s">
        <v>176</v>
      </c>
      <c r="Z550" t="s">
        <v>1030</v>
      </c>
      <c r="AA550" t="s">
        <v>960</v>
      </c>
      <c r="AB550" t="s">
        <v>253</v>
      </c>
      <c r="AC550" t="s">
        <v>1126</v>
      </c>
      <c r="AD550" t="s">
        <v>993</v>
      </c>
      <c r="AE550" t="s">
        <v>945</v>
      </c>
      <c r="AF550" t="s">
        <v>991</v>
      </c>
      <c r="AG550" t="s">
        <v>1008</v>
      </c>
      <c r="AH550" t="s">
        <v>2395</v>
      </c>
      <c r="AI550" t="s">
        <v>1062</v>
      </c>
      <c r="AJ550" t="s">
        <v>226</v>
      </c>
      <c r="AK550" t="s">
        <v>1063</v>
      </c>
      <c r="AL550" t="s">
        <v>1030</v>
      </c>
      <c r="AM550" t="s">
        <v>148</v>
      </c>
      <c r="AN550" t="s">
        <v>172</v>
      </c>
      <c r="AO550" t="s">
        <v>752</v>
      </c>
      <c r="AP550" t="s">
        <v>1126</v>
      </c>
      <c r="AQ550" t="s">
        <v>247</v>
      </c>
      <c r="AR550" t="s">
        <v>1078</v>
      </c>
      <c r="AS550" t="s">
        <v>766</v>
      </c>
      <c r="AT550" t="s">
        <v>1079</v>
      </c>
      <c r="AU550" t="s">
        <v>1080</v>
      </c>
      <c r="AV550" t="s">
        <v>174</v>
      </c>
      <c r="AW550" t="s">
        <v>230</v>
      </c>
      <c r="AX550" t="s">
        <v>1096</v>
      </c>
      <c r="AY550" t="s">
        <v>951</v>
      </c>
      <c r="AZ550" t="s">
        <v>917</v>
      </c>
      <c r="BA550" t="s">
        <v>231</v>
      </c>
      <c r="BB550" t="s">
        <v>1082</v>
      </c>
      <c r="BC550" t="s">
        <v>1117</v>
      </c>
      <c r="BD550" t="s">
        <v>1037</v>
      </c>
      <c r="BE550" t="s">
        <v>1083</v>
      </c>
      <c r="BF550" t="s">
        <v>969</v>
      </c>
      <c r="BG550" t="s">
        <v>1005</v>
      </c>
      <c r="BH550" t="s">
        <v>995</v>
      </c>
      <c r="BI550" t="s">
        <v>976</v>
      </c>
      <c r="BJ550" t="s">
        <v>322</v>
      </c>
      <c r="BK550" t="s">
        <v>785</v>
      </c>
      <c r="BL550" t="s">
        <v>293</v>
      </c>
      <c r="BM550" t="s">
        <v>977</v>
      </c>
      <c r="BN550" t="s">
        <v>756</v>
      </c>
      <c r="BO550" t="s">
        <v>757</v>
      </c>
      <c r="BP550" t="s">
        <v>1014</v>
      </c>
      <c r="BQ550" t="s">
        <v>233</v>
      </c>
      <c r="BR550" t="s">
        <v>760</v>
      </c>
      <c r="BS550" t="s">
        <v>1040</v>
      </c>
      <c r="BT550" t="s">
        <v>1157</v>
      </c>
      <c r="BU550" t="s">
        <v>2339</v>
      </c>
      <c r="BV550" t="s">
        <v>234</v>
      </c>
      <c r="BW550" t="s">
        <v>425</v>
      </c>
      <c r="BX550" t="s">
        <v>774</v>
      </c>
      <c r="BY550" t="s">
        <v>781</v>
      </c>
      <c r="BZ550" t="s">
        <v>779</v>
      </c>
      <c r="CA550" t="s">
        <v>958</v>
      </c>
      <c r="CB550" t="s">
        <v>918</v>
      </c>
      <c r="CC550" t="s">
        <v>913</v>
      </c>
      <c r="CD550" t="s">
        <v>964</v>
      </c>
      <c r="CE550" t="s">
        <v>1167</v>
      </c>
      <c r="CF550" t="s">
        <v>239</v>
      </c>
      <c r="CG550" t="s">
        <v>241</v>
      </c>
      <c r="CH550" t="s">
        <v>962</v>
      </c>
      <c r="CI550" t="s">
        <v>805</v>
      </c>
      <c r="CJ550" t="s">
        <v>806</v>
      </c>
    </row>
    <row r="551" spans="1:90">
      <c r="A551" s="40">
        <v>511</v>
      </c>
      <c r="B551" s="40" t="s">
        <v>2431</v>
      </c>
      <c r="C551" s="2" t="s">
        <v>2432</v>
      </c>
      <c r="D551" s="2" t="s">
        <v>21</v>
      </c>
      <c r="E551" s="2"/>
      <c r="F551" s="2">
        <v>50</v>
      </c>
      <c r="G551" s="2">
        <v>53</v>
      </c>
      <c r="H551" s="2">
        <v>48</v>
      </c>
      <c r="I551" s="2">
        <v>53</v>
      </c>
      <c r="J551" s="2">
        <v>48</v>
      </c>
      <c r="K551" s="2">
        <v>64</v>
      </c>
      <c r="L551" s="2">
        <v>316</v>
      </c>
      <c r="M551" s="2" t="s">
        <v>1074</v>
      </c>
      <c r="N551" s="2" t="s">
        <v>1061</v>
      </c>
      <c r="O551" t="s">
        <v>249</v>
      </c>
      <c r="P551" t="s">
        <v>2393</v>
      </c>
      <c r="Q551" t="s">
        <v>330</v>
      </c>
      <c r="R551" t="s">
        <v>511</v>
      </c>
      <c r="S551" t="s">
        <v>149</v>
      </c>
      <c r="T551" t="s">
        <v>323</v>
      </c>
      <c r="U551" t="s">
        <v>142</v>
      </c>
      <c r="V551" t="s">
        <v>258</v>
      </c>
      <c r="W551" t="s">
        <v>1004</v>
      </c>
      <c r="X551" t="s">
        <v>951</v>
      </c>
      <c r="Y551" t="s">
        <v>974</v>
      </c>
      <c r="Z551" t="s">
        <v>1020</v>
      </c>
      <c r="AA551" t="s">
        <v>977</v>
      </c>
      <c r="AB551" t="s">
        <v>937</v>
      </c>
      <c r="AC551" t="s">
        <v>992</v>
      </c>
      <c r="AD551" t="s">
        <v>777</v>
      </c>
      <c r="AE551" t="s">
        <v>1062</v>
      </c>
      <c r="AF551" t="s">
        <v>226</v>
      </c>
      <c r="AG551" t="s">
        <v>1063</v>
      </c>
      <c r="AH551" t="s">
        <v>1030</v>
      </c>
      <c r="AI551" t="s">
        <v>148</v>
      </c>
      <c r="AJ551" t="s">
        <v>172</v>
      </c>
      <c r="AK551" t="s">
        <v>752</v>
      </c>
      <c r="AL551" t="s">
        <v>1126</v>
      </c>
      <c r="AM551" t="s">
        <v>1078</v>
      </c>
      <c r="AN551" t="s">
        <v>1079</v>
      </c>
      <c r="AO551" t="s">
        <v>229</v>
      </c>
      <c r="AP551" t="s">
        <v>1080</v>
      </c>
      <c r="AQ551" t="s">
        <v>256</v>
      </c>
      <c r="AR551" t="s">
        <v>230</v>
      </c>
      <c r="AS551" t="s">
        <v>1095</v>
      </c>
      <c r="AT551" t="s">
        <v>951</v>
      </c>
      <c r="AU551" t="s">
        <v>917</v>
      </c>
      <c r="AV551" t="s">
        <v>231</v>
      </c>
      <c r="AW551" t="s">
        <v>1082</v>
      </c>
      <c r="AX551" t="s">
        <v>1117</v>
      </c>
      <c r="AY551" t="s">
        <v>1172</v>
      </c>
      <c r="AZ551" t="s">
        <v>1037</v>
      </c>
      <c r="BA551" t="s">
        <v>970</v>
      </c>
      <c r="BB551" t="s">
        <v>974</v>
      </c>
      <c r="BC551" t="s">
        <v>1020</v>
      </c>
      <c r="BD551" t="s">
        <v>1005</v>
      </c>
      <c r="BE551" t="s">
        <v>995</v>
      </c>
      <c r="BF551" t="s">
        <v>232</v>
      </c>
      <c r="BG551" t="s">
        <v>977</v>
      </c>
      <c r="BH551" t="s">
        <v>756</v>
      </c>
      <c r="BI551" t="s">
        <v>757</v>
      </c>
      <c r="BJ551" t="s">
        <v>233</v>
      </c>
      <c r="BK551" t="s">
        <v>760</v>
      </c>
      <c r="BL551" t="s">
        <v>1087</v>
      </c>
      <c r="BM551" t="s">
        <v>2339</v>
      </c>
      <c r="BN551" t="s">
        <v>234</v>
      </c>
      <c r="BO551" t="s">
        <v>432</v>
      </c>
      <c r="BP551" t="s">
        <v>938</v>
      </c>
      <c r="BQ551" t="s">
        <v>1130</v>
      </c>
      <c r="BR551" t="s">
        <v>1084</v>
      </c>
      <c r="BS551" t="s">
        <v>950</v>
      </c>
      <c r="BT551" t="s">
        <v>1190</v>
      </c>
      <c r="BU551" t="s">
        <v>913</v>
      </c>
      <c r="BV551" t="s">
        <v>930</v>
      </c>
      <c r="BW551" t="s">
        <v>991</v>
      </c>
      <c r="BX551" t="s">
        <v>1086</v>
      </c>
      <c r="BY551" t="s">
        <v>2343</v>
      </c>
      <c r="BZ551" t="s">
        <v>239</v>
      </c>
      <c r="CA551" t="s">
        <v>241</v>
      </c>
      <c r="CB551" t="s">
        <v>805</v>
      </c>
      <c r="CC551" t="s">
        <v>806</v>
      </c>
    </row>
    <row r="552" spans="1:90">
      <c r="A552" s="40">
        <v>512</v>
      </c>
      <c r="B552" s="40" t="s">
        <v>2433</v>
      </c>
      <c r="C552" s="2" t="s">
        <v>2434</v>
      </c>
      <c r="D552" s="2" t="s">
        <v>21</v>
      </c>
      <c r="E552" s="2"/>
      <c r="F552" s="2">
        <v>75</v>
      </c>
      <c r="G552" s="2">
        <v>98</v>
      </c>
      <c r="H552" s="2">
        <v>63</v>
      </c>
      <c r="I552" s="2">
        <v>98</v>
      </c>
      <c r="J552" s="2">
        <v>63</v>
      </c>
      <c r="K552" s="2">
        <v>101</v>
      </c>
      <c r="L552" s="2">
        <v>498</v>
      </c>
      <c r="M552" s="2" t="s">
        <v>1090</v>
      </c>
      <c r="N552" s="2" t="s">
        <v>1061</v>
      </c>
      <c r="O552" t="s">
        <v>330</v>
      </c>
      <c r="P552" t="s">
        <v>511</v>
      </c>
      <c r="Q552" t="s">
        <v>323</v>
      </c>
      <c r="R552" t="s">
        <v>1004</v>
      </c>
      <c r="S552" t="s">
        <v>1062</v>
      </c>
      <c r="T552" t="s">
        <v>226</v>
      </c>
      <c r="U552" t="s">
        <v>1063</v>
      </c>
      <c r="V552" t="s">
        <v>1030</v>
      </c>
      <c r="W552" t="s">
        <v>148</v>
      </c>
      <c r="X552" t="s">
        <v>172</v>
      </c>
      <c r="Y552" t="s">
        <v>752</v>
      </c>
      <c r="Z552" t="s">
        <v>1126</v>
      </c>
      <c r="AA552" t="s">
        <v>247</v>
      </c>
      <c r="AB552" t="s">
        <v>1078</v>
      </c>
      <c r="AC552" t="s">
        <v>1079</v>
      </c>
      <c r="AD552" t="s">
        <v>229</v>
      </c>
      <c r="AE552" t="s">
        <v>1080</v>
      </c>
      <c r="AF552" t="s">
        <v>256</v>
      </c>
      <c r="AG552" t="s">
        <v>1094</v>
      </c>
      <c r="AH552" t="s">
        <v>230</v>
      </c>
      <c r="AI552" t="s">
        <v>1095</v>
      </c>
      <c r="AJ552" t="s">
        <v>951</v>
      </c>
      <c r="AK552" t="s">
        <v>917</v>
      </c>
      <c r="AL552" t="s">
        <v>231</v>
      </c>
      <c r="AM552" t="s">
        <v>1082</v>
      </c>
      <c r="AN552" t="s">
        <v>1117</v>
      </c>
      <c r="AO552" t="s">
        <v>1172</v>
      </c>
      <c r="AP552" t="s">
        <v>1037</v>
      </c>
      <c r="AQ552" t="s">
        <v>1102</v>
      </c>
      <c r="AR552" t="s">
        <v>970</v>
      </c>
      <c r="AS552" t="s">
        <v>974</v>
      </c>
      <c r="AT552" t="s">
        <v>1020</v>
      </c>
      <c r="AU552" t="s">
        <v>1005</v>
      </c>
      <c r="AV552" t="s">
        <v>995</v>
      </c>
      <c r="AW552" t="s">
        <v>976</v>
      </c>
      <c r="AX552" t="s">
        <v>232</v>
      </c>
      <c r="AY552" t="s">
        <v>143</v>
      </c>
      <c r="AZ552" t="s">
        <v>977</v>
      </c>
      <c r="BA552" t="s">
        <v>756</v>
      </c>
      <c r="BB552" t="s">
        <v>757</v>
      </c>
      <c r="BC552" t="s">
        <v>233</v>
      </c>
      <c r="BD552" t="s">
        <v>760</v>
      </c>
      <c r="BE552" t="s">
        <v>1087</v>
      </c>
      <c r="BF552" t="s">
        <v>2398</v>
      </c>
      <c r="BG552" t="s">
        <v>2339</v>
      </c>
      <c r="BH552" t="s">
        <v>234</v>
      </c>
      <c r="BI552" t="s">
        <v>432</v>
      </c>
      <c r="BJ552" t="s">
        <v>938</v>
      </c>
      <c r="BK552" t="s">
        <v>1130</v>
      </c>
      <c r="BL552" t="s">
        <v>1084</v>
      </c>
      <c r="BM552" t="s">
        <v>950</v>
      </c>
      <c r="BN552" t="s">
        <v>1190</v>
      </c>
      <c r="BO552" t="s">
        <v>913</v>
      </c>
      <c r="BP552" t="s">
        <v>930</v>
      </c>
      <c r="BQ552" t="s">
        <v>991</v>
      </c>
      <c r="BR552" t="s">
        <v>1086</v>
      </c>
      <c r="BS552" t="s">
        <v>2343</v>
      </c>
      <c r="BT552" t="s">
        <v>239</v>
      </c>
      <c r="BU552" t="s">
        <v>241</v>
      </c>
      <c r="BV552" t="s">
        <v>249</v>
      </c>
      <c r="BW552" t="s">
        <v>2393</v>
      </c>
      <c r="BX552" t="s">
        <v>149</v>
      </c>
      <c r="BY552" t="s">
        <v>142</v>
      </c>
      <c r="BZ552" t="s">
        <v>258</v>
      </c>
      <c r="CA552" t="s">
        <v>951</v>
      </c>
      <c r="CB552" t="s">
        <v>974</v>
      </c>
      <c r="CC552" t="s">
        <v>1020</v>
      </c>
      <c r="CD552" t="s">
        <v>977</v>
      </c>
      <c r="CE552" t="s">
        <v>937</v>
      </c>
      <c r="CF552" t="s">
        <v>992</v>
      </c>
      <c r="CG552" t="s">
        <v>777</v>
      </c>
      <c r="CH552" t="s">
        <v>805</v>
      </c>
      <c r="CI552" t="s">
        <v>806</v>
      </c>
    </row>
    <row r="553" spans="1:90">
      <c r="A553" s="40">
        <v>513</v>
      </c>
      <c r="B553" s="40" t="s">
        <v>2435</v>
      </c>
      <c r="C553" s="2" t="s">
        <v>2436</v>
      </c>
      <c r="D553" s="2" t="s">
        <v>19</v>
      </c>
      <c r="E553" s="2"/>
      <c r="F553" s="2">
        <v>50</v>
      </c>
      <c r="G553" s="2">
        <v>53</v>
      </c>
      <c r="H553" s="2">
        <v>48</v>
      </c>
      <c r="I553" s="2">
        <v>53</v>
      </c>
      <c r="J553" s="2">
        <v>48</v>
      </c>
      <c r="K553" s="2">
        <v>64</v>
      </c>
      <c r="L553" s="2">
        <v>316</v>
      </c>
      <c r="M553" s="2" t="s">
        <v>1141</v>
      </c>
      <c r="N553" s="2" t="s">
        <v>1061</v>
      </c>
      <c r="O553" t="s">
        <v>249</v>
      </c>
      <c r="P553" t="s">
        <v>2393</v>
      </c>
      <c r="Q553" t="s">
        <v>330</v>
      </c>
      <c r="R553" t="s">
        <v>511</v>
      </c>
      <c r="S553" t="s">
        <v>1031</v>
      </c>
      <c r="T553" t="s">
        <v>323</v>
      </c>
      <c r="U553" t="s">
        <v>958</v>
      </c>
      <c r="V553" t="s">
        <v>258</v>
      </c>
      <c r="W553" t="s">
        <v>1026</v>
      </c>
      <c r="X553" t="s">
        <v>235</v>
      </c>
      <c r="Y553" t="s">
        <v>974</v>
      </c>
      <c r="Z553" t="s">
        <v>1020</v>
      </c>
      <c r="AA553" t="s">
        <v>257</v>
      </c>
      <c r="AB553" t="s">
        <v>937</v>
      </c>
      <c r="AC553" t="s">
        <v>992</v>
      </c>
      <c r="AD553" t="s">
        <v>777</v>
      </c>
      <c r="AE553" t="s">
        <v>1062</v>
      </c>
      <c r="AF553" t="s">
        <v>226</v>
      </c>
      <c r="AG553" t="s">
        <v>1063</v>
      </c>
      <c r="AH553" t="s">
        <v>1030</v>
      </c>
      <c r="AI553" t="s">
        <v>148</v>
      </c>
      <c r="AJ553" t="s">
        <v>172</v>
      </c>
      <c r="AK553" t="s">
        <v>752</v>
      </c>
      <c r="AL553" t="s">
        <v>1126</v>
      </c>
      <c r="AM553" t="s">
        <v>1078</v>
      </c>
      <c r="AN553" t="s">
        <v>1079</v>
      </c>
      <c r="AO553" t="s">
        <v>229</v>
      </c>
      <c r="AP553" t="s">
        <v>1080</v>
      </c>
      <c r="AQ553" t="s">
        <v>256</v>
      </c>
      <c r="AR553" t="s">
        <v>230</v>
      </c>
      <c r="AS553" t="s">
        <v>254</v>
      </c>
      <c r="AT553" t="s">
        <v>257</v>
      </c>
      <c r="AU553" t="s">
        <v>1095</v>
      </c>
      <c r="AV553" t="s">
        <v>951</v>
      </c>
      <c r="AW553" t="s">
        <v>917</v>
      </c>
      <c r="AX553" t="s">
        <v>1097</v>
      </c>
      <c r="AY553" t="s">
        <v>231</v>
      </c>
      <c r="AZ553" t="s">
        <v>1082</v>
      </c>
      <c r="BA553" t="s">
        <v>1117</v>
      </c>
      <c r="BB553" t="s">
        <v>1172</v>
      </c>
      <c r="BC553" t="s">
        <v>1037</v>
      </c>
      <c r="BD553" t="s">
        <v>1098</v>
      </c>
      <c r="BE553" t="s">
        <v>974</v>
      </c>
      <c r="BF553" t="s">
        <v>1031</v>
      </c>
      <c r="BG553" t="s">
        <v>956</v>
      </c>
      <c r="BH553" t="s">
        <v>1020</v>
      </c>
      <c r="BI553" t="s">
        <v>1005</v>
      </c>
      <c r="BJ553" t="s">
        <v>995</v>
      </c>
      <c r="BK553" t="s">
        <v>977</v>
      </c>
      <c r="BL553" t="s">
        <v>756</v>
      </c>
      <c r="BM553" t="s">
        <v>757</v>
      </c>
      <c r="BN553" t="s">
        <v>233</v>
      </c>
      <c r="BO553" t="s">
        <v>760</v>
      </c>
      <c r="BP553" t="s">
        <v>2339</v>
      </c>
      <c r="BQ553" t="s">
        <v>234</v>
      </c>
      <c r="BR553" t="s">
        <v>137</v>
      </c>
      <c r="BS553" t="s">
        <v>432</v>
      </c>
      <c r="BT553" t="s">
        <v>255</v>
      </c>
      <c r="BU553" t="s">
        <v>757</v>
      </c>
      <c r="BV553" t="s">
        <v>924</v>
      </c>
      <c r="BW553" t="s">
        <v>938</v>
      </c>
      <c r="BX553" t="s">
        <v>1130</v>
      </c>
      <c r="BY553" t="s">
        <v>950</v>
      </c>
      <c r="BZ553" t="s">
        <v>913</v>
      </c>
      <c r="CA553" t="s">
        <v>991</v>
      </c>
      <c r="CB553" t="s">
        <v>2343</v>
      </c>
      <c r="CC553" t="s">
        <v>239</v>
      </c>
      <c r="CD553" t="s">
        <v>241</v>
      </c>
      <c r="CE553" t="s">
        <v>805</v>
      </c>
      <c r="CF553" t="s">
        <v>806</v>
      </c>
    </row>
    <row r="554" spans="1:90">
      <c r="A554" s="40">
        <v>514</v>
      </c>
      <c r="B554" s="40" t="s">
        <v>2437</v>
      </c>
      <c r="C554" s="2" t="s">
        <v>2438</v>
      </c>
      <c r="D554" s="2" t="s">
        <v>19</v>
      </c>
      <c r="E554" s="2"/>
      <c r="F554" s="2">
        <v>75</v>
      </c>
      <c r="G554" s="2">
        <v>98</v>
      </c>
      <c r="H554" s="2">
        <v>63</v>
      </c>
      <c r="I554" s="2">
        <v>98</v>
      </c>
      <c r="J554" s="2">
        <v>63</v>
      </c>
      <c r="K554" s="2">
        <v>101</v>
      </c>
      <c r="L554" s="2">
        <v>498</v>
      </c>
      <c r="M554" s="2" t="s">
        <v>1168</v>
      </c>
      <c r="N554" s="2" t="s">
        <v>1061</v>
      </c>
      <c r="O554" t="s">
        <v>330</v>
      </c>
      <c r="P554" t="s">
        <v>511</v>
      </c>
      <c r="Q554" t="s">
        <v>323</v>
      </c>
      <c r="R554" t="s">
        <v>1026</v>
      </c>
      <c r="S554" t="s">
        <v>1062</v>
      </c>
      <c r="T554" t="s">
        <v>226</v>
      </c>
      <c r="U554" t="s">
        <v>1063</v>
      </c>
      <c r="V554" t="s">
        <v>1030</v>
      </c>
      <c r="W554" t="s">
        <v>148</v>
      </c>
      <c r="X554" t="s">
        <v>172</v>
      </c>
      <c r="Y554" t="s">
        <v>752</v>
      </c>
      <c r="Z554" t="s">
        <v>1126</v>
      </c>
      <c r="AA554" t="s">
        <v>247</v>
      </c>
      <c r="AB554" t="s">
        <v>1078</v>
      </c>
      <c r="AC554" t="s">
        <v>1079</v>
      </c>
      <c r="AD554" t="s">
        <v>229</v>
      </c>
      <c r="AE554" t="s">
        <v>1080</v>
      </c>
      <c r="AF554" t="s">
        <v>256</v>
      </c>
      <c r="AG554" t="s">
        <v>1094</v>
      </c>
      <c r="AH554" t="s">
        <v>230</v>
      </c>
      <c r="AI554" t="s">
        <v>254</v>
      </c>
      <c r="AJ554" t="s">
        <v>257</v>
      </c>
      <c r="AK554" t="s">
        <v>1095</v>
      </c>
      <c r="AL554" t="s">
        <v>951</v>
      </c>
      <c r="AM554" t="s">
        <v>917</v>
      </c>
      <c r="AN554" t="s">
        <v>1097</v>
      </c>
      <c r="AO554" t="s">
        <v>231</v>
      </c>
      <c r="AP554" t="s">
        <v>1082</v>
      </c>
      <c r="AQ554" t="s">
        <v>1117</v>
      </c>
      <c r="AR554" t="s">
        <v>1172</v>
      </c>
      <c r="AS554" t="s">
        <v>1037</v>
      </c>
      <c r="AT554" t="s">
        <v>1098</v>
      </c>
      <c r="AU554" t="s">
        <v>1102</v>
      </c>
      <c r="AV554" t="s">
        <v>974</v>
      </c>
      <c r="AW554" t="s">
        <v>1031</v>
      </c>
      <c r="AX554" t="s">
        <v>956</v>
      </c>
      <c r="AY554" t="s">
        <v>1020</v>
      </c>
      <c r="AZ554" t="s">
        <v>1005</v>
      </c>
      <c r="BA554" t="s">
        <v>995</v>
      </c>
      <c r="BB554" t="s">
        <v>976</v>
      </c>
      <c r="BC554" t="s">
        <v>143</v>
      </c>
      <c r="BD554" t="s">
        <v>977</v>
      </c>
      <c r="BE554" t="s">
        <v>756</v>
      </c>
      <c r="BF554" t="s">
        <v>757</v>
      </c>
      <c r="BG554" t="s">
        <v>233</v>
      </c>
      <c r="BH554" t="s">
        <v>760</v>
      </c>
      <c r="BI554" t="s">
        <v>2398</v>
      </c>
      <c r="BJ554" t="s">
        <v>2339</v>
      </c>
      <c r="BK554" t="s">
        <v>234</v>
      </c>
      <c r="BL554" t="s">
        <v>137</v>
      </c>
      <c r="BM554" t="s">
        <v>432</v>
      </c>
      <c r="BN554" t="s">
        <v>255</v>
      </c>
      <c r="BO554" t="s">
        <v>757</v>
      </c>
      <c r="BP554" t="s">
        <v>924</v>
      </c>
      <c r="BQ554" t="s">
        <v>938</v>
      </c>
      <c r="BR554" t="s">
        <v>1130</v>
      </c>
      <c r="BS554" t="s">
        <v>950</v>
      </c>
      <c r="BT554" t="s">
        <v>913</v>
      </c>
      <c r="BU554" t="s">
        <v>991</v>
      </c>
      <c r="BV554" t="s">
        <v>2343</v>
      </c>
      <c r="BW554" t="s">
        <v>239</v>
      </c>
      <c r="BX554" t="s">
        <v>241</v>
      </c>
      <c r="BY554" t="s">
        <v>249</v>
      </c>
      <c r="BZ554" t="s">
        <v>2393</v>
      </c>
      <c r="CA554" t="s">
        <v>1031</v>
      </c>
      <c r="CB554" t="s">
        <v>958</v>
      </c>
      <c r="CC554" t="s">
        <v>258</v>
      </c>
      <c r="CD554" t="s">
        <v>235</v>
      </c>
      <c r="CE554" t="s">
        <v>974</v>
      </c>
      <c r="CF554" t="s">
        <v>1020</v>
      </c>
      <c r="CG554" t="s">
        <v>257</v>
      </c>
      <c r="CH554" t="s">
        <v>937</v>
      </c>
      <c r="CI554" t="s">
        <v>992</v>
      </c>
      <c r="CJ554" t="s">
        <v>777</v>
      </c>
      <c r="CK554" t="s">
        <v>805</v>
      </c>
      <c r="CL554" t="s">
        <v>806</v>
      </c>
    </row>
    <row r="555" spans="1:90">
      <c r="A555" s="40">
        <v>515</v>
      </c>
      <c r="B555" s="40" t="s">
        <v>2439</v>
      </c>
      <c r="C555" s="2" t="s">
        <v>2440</v>
      </c>
      <c r="D555" s="2" t="s">
        <v>27</v>
      </c>
      <c r="E555" s="2"/>
      <c r="F555" s="2">
        <v>50</v>
      </c>
      <c r="G555" s="2">
        <v>53</v>
      </c>
      <c r="H555" s="2">
        <v>48</v>
      </c>
      <c r="I555" s="2">
        <v>53</v>
      </c>
      <c r="J555" s="2">
        <v>48</v>
      </c>
      <c r="K555" s="2">
        <v>64</v>
      </c>
      <c r="L555" s="2">
        <v>316</v>
      </c>
      <c r="M555" s="2" t="s">
        <v>1141</v>
      </c>
      <c r="N555" s="2" t="s">
        <v>1061</v>
      </c>
      <c r="O555" t="s">
        <v>249</v>
      </c>
      <c r="P555" t="s">
        <v>2393</v>
      </c>
      <c r="Q555" t="s">
        <v>330</v>
      </c>
      <c r="R555" t="s">
        <v>511</v>
      </c>
      <c r="S555" t="s">
        <v>269</v>
      </c>
      <c r="T555" t="s">
        <v>323</v>
      </c>
      <c r="U555" t="s">
        <v>955</v>
      </c>
      <c r="V555" t="s">
        <v>258</v>
      </c>
      <c r="W555" t="s">
        <v>1038</v>
      </c>
      <c r="X555" t="s">
        <v>1126</v>
      </c>
      <c r="Y555" t="s">
        <v>974</v>
      </c>
      <c r="Z555" t="s">
        <v>1020</v>
      </c>
      <c r="AA555" t="s">
        <v>961</v>
      </c>
      <c r="AB555" t="s">
        <v>937</v>
      </c>
      <c r="AC555" t="s">
        <v>992</v>
      </c>
      <c r="AD555" t="s">
        <v>777</v>
      </c>
      <c r="AE555" t="s">
        <v>1062</v>
      </c>
      <c r="AF555" t="s">
        <v>226</v>
      </c>
      <c r="AG555" t="s">
        <v>144</v>
      </c>
      <c r="AH555" t="s">
        <v>270</v>
      </c>
      <c r="AI555" t="s">
        <v>914</v>
      </c>
      <c r="AJ555" t="s">
        <v>1063</v>
      </c>
      <c r="AK555" t="s">
        <v>1030</v>
      </c>
      <c r="AL555" t="s">
        <v>148</v>
      </c>
      <c r="AM555" t="s">
        <v>1104</v>
      </c>
      <c r="AN555" t="s">
        <v>172</v>
      </c>
      <c r="AO555" t="s">
        <v>1126</v>
      </c>
      <c r="AP555" t="s">
        <v>141</v>
      </c>
      <c r="AQ555" t="s">
        <v>271</v>
      </c>
      <c r="AR555" t="s">
        <v>1078</v>
      </c>
      <c r="AS555" t="s">
        <v>766</v>
      </c>
      <c r="AT555" t="s">
        <v>1079</v>
      </c>
      <c r="AU555" t="s">
        <v>1080</v>
      </c>
      <c r="AV555" t="s">
        <v>256</v>
      </c>
      <c r="AW555" t="s">
        <v>230</v>
      </c>
      <c r="AX555" t="s">
        <v>1095</v>
      </c>
      <c r="AY555" t="s">
        <v>951</v>
      </c>
      <c r="AZ555" t="s">
        <v>917</v>
      </c>
      <c r="BA555" t="s">
        <v>231</v>
      </c>
      <c r="BB555" t="s">
        <v>1082</v>
      </c>
      <c r="BC555" t="s">
        <v>1117</v>
      </c>
      <c r="BD555" t="s">
        <v>1172</v>
      </c>
      <c r="BE555" t="s">
        <v>1037</v>
      </c>
      <c r="BF555" t="s">
        <v>1038</v>
      </c>
      <c r="BG555" t="s">
        <v>974</v>
      </c>
      <c r="BH555" t="s">
        <v>1020</v>
      </c>
      <c r="BI555" t="s">
        <v>1005</v>
      </c>
      <c r="BJ555" t="s">
        <v>995</v>
      </c>
      <c r="BK555" t="s">
        <v>977</v>
      </c>
      <c r="BL555" t="s">
        <v>756</v>
      </c>
      <c r="BM555" t="s">
        <v>757</v>
      </c>
      <c r="BN555" t="s">
        <v>233</v>
      </c>
      <c r="BO555" t="s">
        <v>760</v>
      </c>
      <c r="BP555" t="s">
        <v>2339</v>
      </c>
      <c r="BQ555" t="s">
        <v>234</v>
      </c>
      <c r="BR555" t="s">
        <v>140</v>
      </c>
      <c r="BS555" t="s">
        <v>432</v>
      </c>
      <c r="BT555" t="s">
        <v>938</v>
      </c>
      <c r="BU555" t="s">
        <v>933</v>
      </c>
      <c r="BV555" t="s">
        <v>1130</v>
      </c>
      <c r="BW555" t="s">
        <v>950</v>
      </c>
      <c r="BX555" t="s">
        <v>913</v>
      </c>
      <c r="BY555" t="s">
        <v>178</v>
      </c>
      <c r="BZ555" t="s">
        <v>179</v>
      </c>
      <c r="CA555" t="s">
        <v>991</v>
      </c>
      <c r="CB555" t="s">
        <v>2343</v>
      </c>
      <c r="CC555" t="s">
        <v>239</v>
      </c>
      <c r="CD555" t="s">
        <v>241</v>
      </c>
      <c r="CE555" t="s">
        <v>805</v>
      </c>
      <c r="CF555" t="s">
        <v>806</v>
      </c>
    </row>
    <row r="556" spans="1:90">
      <c r="A556" s="40">
        <v>516</v>
      </c>
      <c r="B556" s="40" t="s">
        <v>2441</v>
      </c>
      <c r="C556" s="2" t="s">
        <v>2442</v>
      </c>
      <c r="D556" s="2" t="s">
        <v>27</v>
      </c>
      <c r="E556" s="2"/>
      <c r="F556" s="2">
        <v>75</v>
      </c>
      <c r="G556" s="2">
        <v>98</v>
      </c>
      <c r="H556" s="2">
        <v>63</v>
      </c>
      <c r="I556" s="2">
        <v>98</v>
      </c>
      <c r="J556" s="2">
        <v>63</v>
      </c>
      <c r="K556" s="2">
        <v>101</v>
      </c>
      <c r="L556" s="2">
        <v>498</v>
      </c>
      <c r="M556" s="2" t="s">
        <v>1168</v>
      </c>
      <c r="N556" s="2" t="s">
        <v>1061</v>
      </c>
      <c r="O556" t="s">
        <v>330</v>
      </c>
      <c r="P556" t="s">
        <v>511</v>
      </c>
      <c r="Q556" t="s">
        <v>323</v>
      </c>
      <c r="R556" t="s">
        <v>1038</v>
      </c>
      <c r="S556" t="s">
        <v>1062</v>
      </c>
      <c r="T556" t="s">
        <v>226</v>
      </c>
      <c r="U556" t="s">
        <v>144</v>
      </c>
      <c r="V556" t="s">
        <v>270</v>
      </c>
      <c r="W556" t="s">
        <v>914</v>
      </c>
      <c r="X556" t="s">
        <v>1063</v>
      </c>
      <c r="Y556" t="s">
        <v>1030</v>
      </c>
      <c r="Z556" t="s">
        <v>148</v>
      </c>
      <c r="AA556" t="s">
        <v>1104</v>
      </c>
      <c r="AB556" t="s">
        <v>172</v>
      </c>
      <c r="AC556" t="s">
        <v>1126</v>
      </c>
      <c r="AD556" t="s">
        <v>141</v>
      </c>
      <c r="AE556" t="s">
        <v>271</v>
      </c>
      <c r="AF556" t="s">
        <v>247</v>
      </c>
      <c r="AG556" t="s">
        <v>1078</v>
      </c>
      <c r="AH556" t="s">
        <v>766</v>
      </c>
      <c r="AI556" t="s">
        <v>1079</v>
      </c>
      <c r="AJ556" t="s">
        <v>1080</v>
      </c>
      <c r="AK556" t="s">
        <v>256</v>
      </c>
      <c r="AL556" t="s">
        <v>1094</v>
      </c>
      <c r="AM556" t="s">
        <v>230</v>
      </c>
      <c r="AN556" t="s">
        <v>1095</v>
      </c>
      <c r="AO556" t="s">
        <v>951</v>
      </c>
      <c r="AP556" t="s">
        <v>917</v>
      </c>
      <c r="AQ556" t="s">
        <v>231</v>
      </c>
      <c r="AR556" t="s">
        <v>1082</v>
      </c>
      <c r="AS556" t="s">
        <v>1117</v>
      </c>
      <c r="AT556" t="s">
        <v>1172</v>
      </c>
      <c r="AU556" t="s">
        <v>1037</v>
      </c>
      <c r="AV556" t="s">
        <v>1102</v>
      </c>
      <c r="AW556" t="s">
        <v>1038</v>
      </c>
      <c r="AX556" t="s">
        <v>974</v>
      </c>
      <c r="AY556" t="s">
        <v>1020</v>
      </c>
      <c r="AZ556" t="s">
        <v>1005</v>
      </c>
      <c r="BA556" t="s">
        <v>995</v>
      </c>
      <c r="BB556" t="s">
        <v>976</v>
      </c>
      <c r="BC556" t="s">
        <v>143</v>
      </c>
      <c r="BD556" t="s">
        <v>977</v>
      </c>
      <c r="BE556" t="s">
        <v>756</v>
      </c>
      <c r="BF556" t="s">
        <v>757</v>
      </c>
      <c r="BG556" t="s">
        <v>233</v>
      </c>
      <c r="BH556" t="s">
        <v>760</v>
      </c>
      <c r="BI556" t="s">
        <v>2398</v>
      </c>
      <c r="BJ556" t="s">
        <v>2339</v>
      </c>
      <c r="BK556" t="s">
        <v>234</v>
      </c>
      <c r="BL556" t="s">
        <v>140</v>
      </c>
      <c r="BM556" t="s">
        <v>432</v>
      </c>
      <c r="BN556" t="s">
        <v>938</v>
      </c>
      <c r="BO556" t="s">
        <v>933</v>
      </c>
      <c r="BP556" t="s">
        <v>1130</v>
      </c>
      <c r="BQ556" t="s">
        <v>950</v>
      </c>
      <c r="BR556" t="s">
        <v>913</v>
      </c>
      <c r="BS556" t="s">
        <v>178</v>
      </c>
      <c r="BT556" t="s">
        <v>179</v>
      </c>
      <c r="BU556" t="s">
        <v>991</v>
      </c>
      <c r="BV556" t="s">
        <v>2343</v>
      </c>
      <c r="BW556" t="s">
        <v>239</v>
      </c>
      <c r="BX556" t="s">
        <v>241</v>
      </c>
      <c r="BY556" t="s">
        <v>249</v>
      </c>
      <c r="BZ556" t="s">
        <v>2393</v>
      </c>
      <c r="CA556" t="s">
        <v>269</v>
      </c>
      <c r="CB556" t="s">
        <v>955</v>
      </c>
      <c r="CC556" t="s">
        <v>258</v>
      </c>
      <c r="CD556" t="s">
        <v>1126</v>
      </c>
      <c r="CE556" t="s">
        <v>974</v>
      </c>
      <c r="CF556" t="s">
        <v>1020</v>
      </c>
      <c r="CG556" t="s">
        <v>961</v>
      </c>
      <c r="CH556" t="s">
        <v>937</v>
      </c>
      <c r="CI556" t="s">
        <v>992</v>
      </c>
      <c r="CJ556" t="s">
        <v>777</v>
      </c>
      <c r="CK556" t="s">
        <v>805</v>
      </c>
      <c r="CL556" t="s">
        <v>806</v>
      </c>
    </row>
    <row r="557" spans="1:90">
      <c r="A557" s="40">
        <v>517</v>
      </c>
      <c r="B557" s="40" t="s">
        <v>2443</v>
      </c>
      <c r="C557" s="2" t="s">
        <v>2444</v>
      </c>
      <c r="D557" s="2" t="s">
        <v>9</v>
      </c>
      <c r="E557" s="2"/>
      <c r="F557" s="2">
        <v>76</v>
      </c>
      <c r="G557" s="2">
        <v>25</v>
      </c>
      <c r="H557" s="2">
        <v>45</v>
      </c>
      <c r="I557" s="2">
        <v>67</v>
      </c>
      <c r="J557" s="2">
        <v>55</v>
      </c>
      <c r="K557" s="2">
        <v>24</v>
      </c>
      <c r="L557" s="2">
        <v>292</v>
      </c>
      <c r="M557" s="2" t="s">
        <v>1089</v>
      </c>
      <c r="N557" s="2" t="s">
        <v>1061</v>
      </c>
      <c r="O557" t="s">
        <v>353</v>
      </c>
      <c r="P557" t="s">
        <v>529</v>
      </c>
      <c r="Q557" t="s">
        <v>987</v>
      </c>
      <c r="R557" t="s">
        <v>958</v>
      </c>
      <c r="S557" t="s">
        <v>292</v>
      </c>
      <c r="T557" t="s">
        <v>927</v>
      </c>
      <c r="U557" t="s">
        <v>784</v>
      </c>
      <c r="V557" t="s">
        <v>388</v>
      </c>
      <c r="W557" t="s">
        <v>1019</v>
      </c>
      <c r="X557" t="s">
        <v>1043</v>
      </c>
      <c r="Y557" t="s">
        <v>1217</v>
      </c>
      <c r="Z557" t="s">
        <v>790</v>
      </c>
      <c r="AA557" t="s">
        <v>912</v>
      </c>
      <c r="AB557" t="s">
        <v>9</v>
      </c>
      <c r="AC557" t="s">
        <v>293</v>
      </c>
      <c r="AD557" t="s">
        <v>1152</v>
      </c>
      <c r="AE557" t="s">
        <v>1041</v>
      </c>
      <c r="AF557" t="s">
        <v>1062</v>
      </c>
      <c r="AG557" t="s">
        <v>1063</v>
      </c>
      <c r="AH557" t="s">
        <v>1151</v>
      </c>
      <c r="AI557" t="s">
        <v>912</v>
      </c>
      <c r="AJ557" t="s">
        <v>148</v>
      </c>
      <c r="AK557" t="s">
        <v>172</v>
      </c>
      <c r="AL557" t="s">
        <v>228</v>
      </c>
      <c r="AM557" t="s">
        <v>1078</v>
      </c>
      <c r="AN557" t="s">
        <v>766</v>
      </c>
      <c r="AO557" t="s">
        <v>759</v>
      </c>
      <c r="AP557" t="s">
        <v>1079</v>
      </c>
      <c r="AQ557" t="s">
        <v>1080</v>
      </c>
      <c r="AR557" t="s">
        <v>9</v>
      </c>
      <c r="AS557" t="s">
        <v>174</v>
      </c>
      <c r="AT557" t="s">
        <v>230</v>
      </c>
      <c r="AU557" t="s">
        <v>380</v>
      </c>
      <c r="AV557" t="s">
        <v>1095</v>
      </c>
      <c r="AW557" t="s">
        <v>951</v>
      </c>
      <c r="AX557" t="s">
        <v>917</v>
      </c>
      <c r="AY557" t="s">
        <v>231</v>
      </c>
      <c r="AZ557" t="s">
        <v>1082</v>
      </c>
      <c r="BA557" t="s">
        <v>1037</v>
      </c>
      <c r="BB557" t="s">
        <v>970</v>
      </c>
      <c r="BC557" t="s">
        <v>963</v>
      </c>
      <c r="BD557" t="s">
        <v>232</v>
      </c>
      <c r="BE557" t="s">
        <v>322</v>
      </c>
      <c r="BF557" t="s">
        <v>980</v>
      </c>
      <c r="BG557" t="s">
        <v>785</v>
      </c>
      <c r="BH557" t="s">
        <v>143</v>
      </c>
      <c r="BI557" t="s">
        <v>293</v>
      </c>
      <c r="BJ557" t="s">
        <v>756</v>
      </c>
      <c r="BK557" t="s">
        <v>233</v>
      </c>
      <c r="BL557" t="s">
        <v>1012</v>
      </c>
      <c r="BM557" t="s">
        <v>234</v>
      </c>
      <c r="BN557" t="s">
        <v>502</v>
      </c>
      <c r="BO557" t="s">
        <v>455</v>
      </c>
      <c r="BP557" t="s">
        <v>354</v>
      </c>
      <c r="BQ557" t="s">
        <v>751</v>
      </c>
      <c r="BR557" t="s">
        <v>757</v>
      </c>
      <c r="BS557" t="s">
        <v>788</v>
      </c>
      <c r="BT557" t="s">
        <v>925</v>
      </c>
      <c r="BU557" t="s">
        <v>929</v>
      </c>
      <c r="BV557" t="s">
        <v>940</v>
      </c>
      <c r="BW557" t="s">
        <v>982</v>
      </c>
      <c r="BX557" t="s">
        <v>239</v>
      </c>
      <c r="BY557" t="s">
        <v>241</v>
      </c>
      <c r="BZ557" t="s">
        <v>805</v>
      </c>
      <c r="CA557" t="s">
        <v>806</v>
      </c>
    </row>
    <row r="558" spans="1:90">
      <c r="A558" s="40">
        <v>518</v>
      </c>
      <c r="B558" s="40" t="s">
        <v>2445</v>
      </c>
      <c r="C558" s="2" t="s">
        <v>2446</v>
      </c>
      <c r="D558" s="2" t="s">
        <v>9</v>
      </c>
      <c r="E558" s="2"/>
      <c r="F558" s="2">
        <v>116</v>
      </c>
      <c r="G558" s="2">
        <v>55</v>
      </c>
      <c r="H558" s="2">
        <v>85</v>
      </c>
      <c r="I558" s="2">
        <v>107</v>
      </c>
      <c r="J558" s="2">
        <v>95</v>
      </c>
      <c r="K558" s="2">
        <v>29</v>
      </c>
      <c r="L558" s="2">
        <v>487</v>
      </c>
      <c r="M558" s="2" t="s">
        <v>1074</v>
      </c>
      <c r="N558" s="2" t="s">
        <v>1061</v>
      </c>
      <c r="O558" t="s">
        <v>292</v>
      </c>
      <c r="P558" t="s">
        <v>388</v>
      </c>
      <c r="Q558" t="s">
        <v>353</v>
      </c>
      <c r="R558" t="s">
        <v>987</v>
      </c>
      <c r="S558" t="s">
        <v>1062</v>
      </c>
      <c r="T558" t="s">
        <v>1063</v>
      </c>
      <c r="U558" t="s">
        <v>1151</v>
      </c>
      <c r="V558" t="s">
        <v>912</v>
      </c>
      <c r="W558" t="s">
        <v>148</v>
      </c>
      <c r="X558" t="s">
        <v>172</v>
      </c>
      <c r="Y558" t="s">
        <v>247</v>
      </c>
      <c r="Z558" t="s">
        <v>228</v>
      </c>
      <c r="AA558" t="s">
        <v>1078</v>
      </c>
      <c r="AB558" t="s">
        <v>766</v>
      </c>
      <c r="AC558" t="s">
        <v>759</v>
      </c>
      <c r="AD558" t="s">
        <v>1079</v>
      </c>
      <c r="AE558" t="s">
        <v>1080</v>
      </c>
      <c r="AF558" t="s">
        <v>9</v>
      </c>
      <c r="AG558" t="s">
        <v>174</v>
      </c>
      <c r="AH558" t="s">
        <v>230</v>
      </c>
      <c r="AI558" t="s">
        <v>380</v>
      </c>
      <c r="AJ558" t="s">
        <v>1095</v>
      </c>
      <c r="AK558" t="s">
        <v>951</v>
      </c>
      <c r="AL558" t="s">
        <v>917</v>
      </c>
      <c r="AM558" t="s">
        <v>231</v>
      </c>
      <c r="AN558" t="s">
        <v>1082</v>
      </c>
      <c r="AO558" t="s">
        <v>1037</v>
      </c>
      <c r="AP558" t="s">
        <v>970</v>
      </c>
      <c r="AQ558" t="s">
        <v>963</v>
      </c>
      <c r="AR558" t="s">
        <v>976</v>
      </c>
      <c r="AS558" t="s">
        <v>232</v>
      </c>
      <c r="AT558" t="s">
        <v>322</v>
      </c>
      <c r="AU558" t="s">
        <v>980</v>
      </c>
      <c r="AV558" t="s">
        <v>785</v>
      </c>
      <c r="AW558" t="s">
        <v>143</v>
      </c>
      <c r="AX558" t="s">
        <v>293</v>
      </c>
      <c r="AY558" t="s">
        <v>756</v>
      </c>
      <c r="AZ558" t="s">
        <v>233</v>
      </c>
      <c r="BA558" t="s">
        <v>1012</v>
      </c>
      <c r="BB558" t="s">
        <v>234</v>
      </c>
      <c r="BC558" t="s">
        <v>502</v>
      </c>
      <c r="BD558" t="s">
        <v>455</v>
      </c>
      <c r="BE558" t="s">
        <v>354</v>
      </c>
      <c r="BF558" t="s">
        <v>751</v>
      </c>
      <c r="BG558" t="s">
        <v>757</v>
      </c>
      <c r="BH558" t="s">
        <v>788</v>
      </c>
      <c r="BI558" t="s">
        <v>925</v>
      </c>
      <c r="BJ558" t="s">
        <v>929</v>
      </c>
      <c r="BK558" t="s">
        <v>940</v>
      </c>
      <c r="BL558" t="s">
        <v>982</v>
      </c>
      <c r="BM558" t="s">
        <v>239</v>
      </c>
      <c r="BN558" t="s">
        <v>241</v>
      </c>
      <c r="BO558" t="s">
        <v>529</v>
      </c>
      <c r="BP558" t="s">
        <v>958</v>
      </c>
      <c r="BQ558" t="s">
        <v>927</v>
      </c>
      <c r="BR558" t="s">
        <v>784</v>
      </c>
      <c r="BS558" t="s">
        <v>1019</v>
      </c>
      <c r="BT558" t="s">
        <v>1043</v>
      </c>
      <c r="BU558" t="s">
        <v>1217</v>
      </c>
      <c r="BV558" t="s">
        <v>790</v>
      </c>
      <c r="BW558" t="s">
        <v>912</v>
      </c>
      <c r="BX558" t="s">
        <v>9</v>
      </c>
      <c r="BY558" t="s">
        <v>293</v>
      </c>
      <c r="BZ558" t="s">
        <v>1152</v>
      </c>
      <c r="CA558" t="s">
        <v>1041</v>
      </c>
      <c r="CB558" t="s">
        <v>805</v>
      </c>
      <c r="CC558" t="s">
        <v>806</v>
      </c>
    </row>
    <row r="559" spans="1:90">
      <c r="A559" s="40">
        <v>519</v>
      </c>
      <c r="B559" s="40" t="s">
        <v>2447</v>
      </c>
      <c r="C559" s="2" t="s">
        <v>2448</v>
      </c>
      <c r="D559" s="2" t="s">
        <v>24</v>
      </c>
      <c r="E559" s="2" t="s">
        <v>20</v>
      </c>
      <c r="F559" s="2">
        <v>50</v>
      </c>
      <c r="G559" s="2">
        <v>55</v>
      </c>
      <c r="H559" s="2">
        <v>50</v>
      </c>
      <c r="I559" s="2">
        <v>36</v>
      </c>
      <c r="J559" s="2">
        <v>30</v>
      </c>
      <c r="K559" s="2">
        <v>43</v>
      </c>
      <c r="L559" s="2">
        <v>264</v>
      </c>
      <c r="M559" s="2" t="s">
        <v>2449</v>
      </c>
      <c r="N559" s="2" t="s">
        <v>1061</v>
      </c>
      <c r="O559" t="s">
        <v>289</v>
      </c>
      <c r="P559" t="s">
        <v>220</v>
      </c>
      <c r="Q559" t="s">
        <v>330</v>
      </c>
      <c r="R559" t="s">
        <v>310</v>
      </c>
      <c r="S559" t="s">
        <v>1118</v>
      </c>
      <c r="T559" t="s">
        <v>1119</v>
      </c>
      <c r="U559" t="s">
        <v>1220</v>
      </c>
      <c r="V559" t="s">
        <v>1126</v>
      </c>
      <c r="W559" t="s">
        <v>1101</v>
      </c>
      <c r="X559" t="s">
        <v>332</v>
      </c>
      <c r="Y559" t="s">
        <v>1121</v>
      </c>
      <c r="Z559" t="s">
        <v>756</v>
      </c>
      <c r="AA559" t="s">
        <v>917</v>
      </c>
      <c r="AB559" t="s">
        <v>1009</v>
      </c>
      <c r="AC559" t="s">
        <v>316</v>
      </c>
      <c r="AD559" t="s">
        <v>1062</v>
      </c>
      <c r="AE559" t="s">
        <v>138</v>
      </c>
      <c r="AF559" t="s">
        <v>1063</v>
      </c>
      <c r="AG559" t="s">
        <v>148</v>
      </c>
      <c r="AH559" t="s">
        <v>172</v>
      </c>
      <c r="AI559" t="s">
        <v>752</v>
      </c>
      <c r="AJ559" t="s">
        <v>1126</v>
      </c>
      <c r="AK559" t="s">
        <v>1078</v>
      </c>
      <c r="AL559" t="s">
        <v>766</v>
      </c>
      <c r="AM559" t="s">
        <v>1079</v>
      </c>
      <c r="AN559" t="s">
        <v>1080</v>
      </c>
      <c r="AO559" t="s">
        <v>230</v>
      </c>
      <c r="AP559" t="s">
        <v>1096</v>
      </c>
      <c r="AQ559" t="s">
        <v>917</v>
      </c>
      <c r="AR559" t="s">
        <v>231</v>
      </c>
      <c r="AS559" t="s">
        <v>1082</v>
      </c>
      <c r="AT559" t="s">
        <v>1037</v>
      </c>
      <c r="AU559" t="s">
        <v>1083</v>
      </c>
      <c r="AV559" t="s">
        <v>756</v>
      </c>
      <c r="AW559" t="s">
        <v>1014</v>
      </c>
      <c r="AX559" t="s">
        <v>233</v>
      </c>
      <c r="AY559" t="s">
        <v>234</v>
      </c>
      <c r="AZ559" t="s">
        <v>388</v>
      </c>
      <c r="BA559" t="s">
        <v>1125</v>
      </c>
      <c r="BB559" t="s">
        <v>1164</v>
      </c>
      <c r="BC559" t="s">
        <v>953</v>
      </c>
      <c r="BD559" t="s">
        <v>957</v>
      </c>
      <c r="BE559" t="s">
        <v>987</v>
      </c>
      <c r="BF559" t="s">
        <v>993</v>
      </c>
      <c r="BG559" t="s">
        <v>1139</v>
      </c>
      <c r="BH559" t="s">
        <v>239</v>
      </c>
      <c r="BI559" t="s">
        <v>241</v>
      </c>
      <c r="BJ559" t="s">
        <v>805</v>
      </c>
      <c r="BK559" t="s">
        <v>806</v>
      </c>
    </row>
    <row r="560" spans="1:90">
      <c r="A560" s="40">
        <v>520</v>
      </c>
      <c r="B560" s="40" t="s">
        <v>2450</v>
      </c>
      <c r="C560" s="2" t="s">
        <v>2451</v>
      </c>
      <c r="D560" s="2" t="s">
        <v>24</v>
      </c>
      <c r="E560" s="2" t="s">
        <v>20</v>
      </c>
      <c r="F560" s="2">
        <v>62</v>
      </c>
      <c r="G560" s="2">
        <v>77</v>
      </c>
      <c r="H560" s="2">
        <v>62</v>
      </c>
      <c r="I560" s="2">
        <v>50</v>
      </c>
      <c r="J560" s="2">
        <v>42</v>
      </c>
      <c r="K560" s="2">
        <v>65</v>
      </c>
      <c r="L560" s="2">
        <v>358</v>
      </c>
      <c r="M560" s="2" t="s">
        <v>1073</v>
      </c>
      <c r="N560" s="2" t="s">
        <v>1061</v>
      </c>
      <c r="O560" t="s">
        <v>289</v>
      </c>
      <c r="P560" t="s">
        <v>330</v>
      </c>
      <c r="Q560" t="s">
        <v>220</v>
      </c>
      <c r="R560" t="s">
        <v>310</v>
      </c>
      <c r="S560" t="s">
        <v>220</v>
      </c>
      <c r="T560" t="s">
        <v>330</v>
      </c>
      <c r="U560" t="s">
        <v>310</v>
      </c>
      <c r="V560" t="s">
        <v>1118</v>
      </c>
      <c r="W560" t="s">
        <v>1119</v>
      </c>
      <c r="X560" t="s">
        <v>1220</v>
      </c>
      <c r="Y560" t="s">
        <v>1126</v>
      </c>
      <c r="Z560" t="s">
        <v>1101</v>
      </c>
      <c r="AA560" t="s">
        <v>332</v>
      </c>
      <c r="AB560" t="s">
        <v>1121</v>
      </c>
      <c r="AC560" t="s">
        <v>756</v>
      </c>
      <c r="AD560" t="s">
        <v>917</v>
      </c>
      <c r="AE560" t="s">
        <v>1009</v>
      </c>
      <c r="AF560" t="s">
        <v>316</v>
      </c>
      <c r="AG560" t="s">
        <v>1062</v>
      </c>
      <c r="AH560" t="s">
        <v>138</v>
      </c>
      <c r="AI560" t="s">
        <v>1063</v>
      </c>
      <c r="AJ560" t="s">
        <v>148</v>
      </c>
      <c r="AK560" t="s">
        <v>172</v>
      </c>
      <c r="AL560" t="s">
        <v>752</v>
      </c>
      <c r="AM560" t="s">
        <v>1126</v>
      </c>
      <c r="AN560" t="s">
        <v>1078</v>
      </c>
      <c r="AO560" t="s">
        <v>766</v>
      </c>
      <c r="AP560" t="s">
        <v>1079</v>
      </c>
      <c r="AQ560" t="s">
        <v>1080</v>
      </c>
      <c r="AR560" t="s">
        <v>230</v>
      </c>
      <c r="AS560" t="s">
        <v>1096</v>
      </c>
      <c r="AT560" t="s">
        <v>917</v>
      </c>
      <c r="AU560" t="s">
        <v>231</v>
      </c>
      <c r="AV560" t="s">
        <v>1082</v>
      </c>
      <c r="AW560" t="s">
        <v>1037</v>
      </c>
      <c r="AX560" t="s">
        <v>1083</v>
      </c>
      <c r="AY560" t="s">
        <v>756</v>
      </c>
      <c r="AZ560" t="s">
        <v>1014</v>
      </c>
      <c r="BA560" t="s">
        <v>233</v>
      </c>
      <c r="BB560" t="s">
        <v>234</v>
      </c>
      <c r="BC560" t="s">
        <v>388</v>
      </c>
      <c r="BD560" t="s">
        <v>1125</v>
      </c>
      <c r="BE560" t="s">
        <v>1164</v>
      </c>
      <c r="BF560" t="s">
        <v>953</v>
      </c>
      <c r="BG560" t="s">
        <v>957</v>
      </c>
      <c r="BH560" t="s">
        <v>987</v>
      </c>
      <c r="BI560" t="s">
        <v>993</v>
      </c>
      <c r="BJ560" t="s">
        <v>1139</v>
      </c>
      <c r="BK560" t="s">
        <v>239</v>
      </c>
      <c r="BL560" t="s">
        <v>241</v>
      </c>
      <c r="BM560" t="s">
        <v>805</v>
      </c>
      <c r="BN560" t="s">
        <v>806</v>
      </c>
    </row>
    <row r="561" spans="1:94">
      <c r="A561" s="40">
        <v>521</v>
      </c>
      <c r="B561" s="40" t="s">
        <v>2452</v>
      </c>
      <c r="C561" s="2" t="s">
        <v>2453</v>
      </c>
      <c r="D561" s="2" t="s">
        <v>24</v>
      </c>
      <c r="E561" s="2" t="s">
        <v>20</v>
      </c>
      <c r="F561" s="2">
        <v>80</v>
      </c>
      <c r="G561" s="2">
        <v>105</v>
      </c>
      <c r="H561" s="2">
        <v>80</v>
      </c>
      <c r="I561" s="2">
        <v>65</v>
      </c>
      <c r="J561" s="2">
        <v>55</v>
      </c>
      <c r="K561" s="2">
        <v>93</v>
      </c>
      <c r="L561" s="2">
        <v>478</v>
      </c>
      <c r="M561" s="2" t="s">
        <v>1120</v>
      </c>
      <c r="N561" s="2" t="s">
        <v>1061</v>
      </c>
      <c r="O561" t="s">
        <v>289</v>
      </c>
      <c r="P561" t="s">
        <v>330</v>
      </c>
      <c r="Q561" t="s">
        <v>220</v>
      </c>
      <c r="R561" t="s">
        <v>310</v>
      </c>
      <c r="S561" t="s">
        <v>220</v>
      </c>
      <c r="T561" t="s">
        <v>330</v>
      </c>
      <c r="U561" t="s">
        <v>310</v>
      </c>
      <c r="V561" t="s">
        <v>1118</v>
      </c>
      <c r="W561" t="s">
        <v>1119</v>
      </c>
      <c r="X561" t="s">
        <v>1220</v>
      </c>
      <c r="Y561" t="s">
        <v>1126</v>
      </c>
      <c r="Z561" t="s">
        <v>1101</v>
      </c>
      <c r="AA561" t="s">
        <v>332</v>
      </c>
      <c r="AB561" t="s">
        <v>1121</v>
      </c>
      <c r="AC561" t="s">
        <v>756</v>
      </c>
      <c r="AD561" t="s">
        <v>917</v>
      </c>
      <c r="AE561" t="s">
        <v>1009</v>
      </c>
      <c r="AF561" t="s">
        <v>316</v>
      </c>
      <c r="AG561" t="s">
        <v>1062</v>
      </c>
      <c r="AH561" t="s">
        <v>138</v>
      </c>
      <c r="AI561" t="s">
        <v>1063</v>
      </c>
      <c r="AJ561" t="s">
        <v>148</v>
      </c>
      <c r="AK561" t="s">
        <v>172</v>
      </c>
      <c r="AL561" t="s">
        <v>752</v>
      </c>
      <c r="AM561" t="s">
        <v>1126</v>
      </c>
      <c r="AN561" t="s">
        <v>247</v>
      </c>
      <c r="AO561" t="s">
        <v>1078</v>
      </c>
      <c r="AP561" t="s">
        <v>766</v>
      </c>
      <c r="AQ561" t="s">
        <v>1079</v>
      </c>
      <c r="AR561" t="s">
        <v>1080</v>
      </c>
      <c r="AS561" t="s">
        <v>230</v>
      </c>
      <c r="AT561" t="s">
        <v>1096</v>
      </c>
      <c r="AU561" t="s">
        <v>917</v>
      </c>
      <c r="AV561" t="s">
        <v>231</v>
      </c>
      <c r="AW561" t="s">
        <v>1082</v>
      </c>
      <c r="AX561" t="s">
        <v>1037</v>
      </c>
      <c r="AY561" t="s">
        <v>1083</v>
      </c>
      <c r="AZ561" t="s">
        <v>976</v>
      </c>
      <c r="BA561" t="s">
        <v>785</v>
      </c>
      <c r="BB561" t="s">
        <v>756</v>
      </c>
      <c r="BC561" t="s">
        <v>1014</v>
      </c>
      <c r="BD561" t="s">
        <v>233</v>
      </c>
      <c r="BE561" t="s">
        <v>234</v>
      </c>
      <c r="BF561" t="s">
        <v>388</v>
      </c>
      <c r="BG561" t="s">
        <v>1125</v>
      </c>
      <c r="BH561" t="s">
        <v>1164</v>
      </c>
      <c r="BI561" t="s">
        <v>953</v>
      </c>
      <c r="BJ561" t="s">
        <v>957</v>
      </c>
      <c r="BK561" t="s">
        <v>987</v>
      </c>
      <c r="BL561" t="s">
        <v>993</v>
      </c>
      <c r="BM561" t="s">
        <v>1139</v>
      </c>
      <c r="BN561" t="s">
        <v>239</v>
      </c>
      <c r="BO561" t="s">
        <v>241</v>
      </c>
      <c r="BP561" t="s">
        <v>805</v>
      </c>
      <c r="BQ561" t="s">
        <v>806</v>
      </c>
    </row>
    <row r="562" spans="1:94">
      <c r="A562" s="40">
        <v>522</v>
      </c>
      <c r="B562" s="40" t="s">
        <v>2454</v>
      </c>
      <c r="C562" s="2" t="s">
        <v>2455</v>
      </c>
      <c r="D562" s="2" t="s">
        <v>17</v>
      </c>
      <c r="E562" s="2"/>
      <c r="F562" s="2">
        <v>45</v>
      </c>
      <c r="G562" s="2">
        <v>60</v>
      </c>
      <c r="H562" s="2">
        <v>32</v>
      </c>
      <c r="I562" s="2">
        <v>50</v>
      </c>
      <c r="J562" s="2">
        <v>32</v>
      </c>
      <c r="K562" s="2">
        <v>76</v>
      </c>
      <c r="L562" s="2">
        <v>295</v>
      </c>
      <c r="M562" s="2" t="s">
        <v>1066</v>
      </c>
      <c r="N562" s="2" t="s">
        <v>1061</v>
      </c>
      <c r="O562" t="s">
        <v>310</v>
      </c>
      <c r="P562" t="s">
        <v>266</v>
      </c>
      <c r="Q562" t="s">
        <v>1140</v>
      </c>
      <c r="R562" t="s">
        <v>1230</v>
      </c>
      <c r="S562" t="s">
        <v>322</v>
      </c>
      <c r="T562" t="s">
        <v>1097</v>
      </c>
      <c r="U562" t="s">
        <v>773</v>
      </c>
      <c r="V562" t="s">
        <v>1203</v>
      </c>
      <c r="W562" t="s">
        <v>493</v>
      </c>
      <c r="X562" t="s">
        <v>1138</v>
      </c>
      <c r="Y562" t="s">
        <v>306</v>
      </c>
      <c r="Z562" t="s">
        <v>1047</v>
      </c>
      <c r="AA562" t="s">
        <v>373</v>
      </c>
      <c r="AB562" t="s">
        <v>1062</v>
      </c>
      <c r="AC562" t="s">
        <v>1063</v>
      </c>
      <c r="AD562" t="s">
        <v>148</v>
      </c>
      <c r="AE562" t="s">
        <v>172</v>
      </c>
      <c r="AF562" t="s">
        <v>228</v>
      </c>
      <c r="AG562" t="s">
        <v>1078</v>
      </c>
      <c r="AH562" t="s">
        <v>766</v>
      </c>
      <c r="AI562" t="s">
        <v>1079</v>
      </c>
      <c r="AJ562" t="s">
        <v>146</v>
      </c>
      <c r="AK562" t="s">
        <v>321</v>
      </c>
      <c r="AL562" t="s">
        <v>1080</v>
      </c>
      <c r="AM562" t="s">
        <v>230</v>
      </c>
      <c r="AN562" t="s">
        <v>917</v>
      </c>
      <c r="AO562" t="s">
        <v>1097</v>
      </c>
      <c r="AP562" t="s">
        <v>231</v>
      </c>
      <c r="AQ562" t="s">
        <v>1082</v>
      </c>
      <c r="AR562" t="s">
        <v>1037</v>
      </c>
      <c r="AS562" t="s">
        <v>963</v>
      </c>
      <c r="AT562" t="s">
        <v>232</v>
      </c>
      <c r="AU562" t="s">
        <v>1045</v>
      </c>
      <c r="AV562" t="s">
        <v>322</v>
      </c>
      <c r="AW562" t="s">
        <v>756</v>
      </c>
      <c r="AX562" t="s">
        <v>233</v>
      </c>
      <c r="AY562" t="s">
        <v>1047</v>
      </c>
      <c r="AZ562" t="s">
        <v>234</v>
      </c>
      <c r="BA562" t="s">
        <v>359</v>
      </c>
      <c r="BB562" t="s">
        <v>309</v>
      </c>
      <c r="BC562" t="s">
        <v>223</v>
      </c>
      <c r="BD562" t="s">
        <v>225</v>
      </c>
      <c r="BE562" t="s">
        <v>304</v>
      </c>
      <c r="BF562" t="s">
        <v>324</v>
      </c>
      <c r="BG562" t="s">
        <v>754</v>
      </c>
      <c r="BH562" t="s">
        <v>1230</v>
      </c>
      <c r="BI562" t="s">
        <v>989</v>
      </c>
      <c r="BJ562" t="s">
        <v>239</v>
      </c>
      <c r="BK562" t="s">
        <v>241</v>
      </c>
      <c r="BL562" t="s">
        <v>805</v>
      </c>
      <c r="BM562" t="s">
        <v>806</v>
      </c>
    </row>
    <row r="563" spans="1:94">
      <c r="A563" s="40">
        <v>523</v>
      </c>
      <c r="B563" s="40" t="s">
        <v>2456</v>
      </c>
      <c r="C563" s="2" t="s">
        <v>2457</v>
      </c>
      <c r="D563" s="2" t="s">
        <v>17</v>
      </c>
      <c r="E563" s="2"/>
      <c r="F563" s="2">
        <v>75</v>
      </c>
      <c r="G563" s="2">
        <v>100</v>
      </c>
      <c r="H563" s="2">
        <v>63</v>
      </c>
      <c r="I563" s="2">
        <v>80</v>
      </c>
      <c r="J563" s="2">
        <v>63</v>
      </c>
      <c r="K563" s="2">
        <v>116</v>
      </c>
      <c r="L563" s="2">
        <v>497</v>
      </c>
      <c r="M563" s="2" t="s">
        <v>1188</v>
      </c>
      <c r="N563" s="2" t="s">
        <v>1061</v>
      </c>
      <c r="O563" t="s">
        <v>266</v>
      </c>
      <c r="P563" t="s">
        <v>322</v>
      </c>
      <c r="Q563" t="s">
        <v>310</v>
      </c>
      <c r="R563" t="s">
        <v>1140</v>
      </c>
      <c r="S563" t="s">
        <v>266</v>
      </c>
      <c r="T563" t="s">
        <v>1140</v>
      </c>
      <c r="U563" t="s">
        <v>1230</v>
      </c>
      <c r="V563" t="s">
        <v>322</v>
      </c>
      <c r="W563" t="s">
        <v>1097</v>
      </c>
      <c r="X563" t="s">
        <v>773</v>
      </c>
      <c r="Y563" t="s">
        <v>1203</v>
      </c>
      <c r="Z563" t="s">
        <v>493</v>
      </c>
      <c r="AA563" t="s">
        <v>1138</v>
      </c>
      <c r="AB563" t="s">
        <v>306</v>
      </c>
      <c r="AC563" t="s">
        <v>1047</v>
      </c>
      <c r="AD563" t="s">
        <v>373</v>
      </c>
      <c r="AE563" t="s">
        <v>1062</v>
      </c>
      <c r="AF563" t="s">
        <v>1063</v>
      </c>
      <c r="AG563" t="s">
        <v>148</v>
      </c>
      <c r="AH563" t="s">
        <v>172</v>
      </c>
      <c r="AI563" t="s">
        <v>247</v>
      </c>
      <c r="AJ563" t="s">
        <v>228</v>
      </c>
      <c r="AK563" t="s">
        <v>1078</v>
      </c>
      <c r="AL563" t="s">
        <v>766</v>
      </c>
      <c r="AM563" t="s">
        <v>1079</v>
      </c>
      <c r="AN563" t="s">
        <v>146</v>
      </c>
      <c r="AO563" t="s">
        <v>321</v>
      </c>
      <c r="AP563" t="s">
        <v>1080</v>
      </c>
      <c r="AQ563" t="s">
        <v>230</v>
      </c>
      <c r="AR563" t="s">
        <v>917</v>
      </c>
      <c r="AS563" t="s">
        <v>1097</v>
      </c>
      <c r="AT563" t="s">
        <v>231</v>
      </c>
      <c r="AU563" t="s">
        <v>1082</v>
      </c>
      <c r="AV563" t="s">
        <v>1037</v>
      </c>
      <c r="AW563" t="s">
        <v>1098</v>
      </c>
      <c r="AX563" t="s">
        <v>963</v>
      </c>
      <c r="AY563" t="s">
        <v>976</v>
      </c>
      <c r="AZ563" t="s">
        <v>232</v>
      </c>
      <c r="BA563" t="s">
        <v>1045</v>
      </c>
      <c r="BB563" t="s">
        <v>322</v>
      </c>
      <c r="BC563" t="s">
        <v>756</v>
      </c>
      <c r="BD563" t="s">
        <v>233</v>
      </c>
      <c r="BE563" t="s">
        <v>1047</v>
      </c>
      <c r="BF563" t="s">
        <v>760</v>
      </c>
      <c r="BG563" t="s">
        <v>234</v>
      </c>
      <c r="BH563" t="s">
        <v>359</v>
      </c>
      <c r="BI563" t="s">
        <v>309</v>
      </c>
      <c r="BJ563" t="s">
        <v>223</v>
      </c>
      <c r="BK563" t="s">
        <v>225</v>
      </c>
      <c r="BL563" t="s">
        <v>304</v>
      </c>
      <c r="BM563" t="s">
        <v>324</v>
      </c>
      <c r="BN563" t="s">
        <v>754</v>
      </c>
      <c r="BO563" t="s">
        <v>1230</v>
      </c>
      <c r="BP563" t="s">
        <v>989</v>
      </c>
      <c r="BQ563" t="s">
        <v>239</v>
      </c>
      <c r="BR563" t="s">
        <v>241</v>
      </c>
      <c r="BS563" t="s">
        <v>805</v>
      </c>
      <c r="BT563" t="s">
        <v>806</v>
      </c>
    </row>
    <row r="564" spans="1:94">
      <c r="A564" s="40">
        <v>524</v>
      </c>
      <c r="B564" s="40" t="s">
        <v>2458</v>
      </c>
      <c r="C564" s="2" t="s">
        <v>2459</v>
      </c>
      <c r="D564" s="2" t="s">
        <v>25</v>
      </c>
      <c r="E564" s="2"/>
      <c r="F564" s="2">
        <v>55</v>
      </c>
      <c r="G564" s="2">
        <v>75</v>
      </c>
      <c r="H564" s="2">
        <v>85</v>
      </c>
      <c r="I564" s="2">
        <v>25</v>
      </c>
      <c r="J564" s="2">
        <v>25</v>
      </c>
      <c r="K564" s="2">
        <v>15</v>
      </c>
      <c r="L564" s="2">
        <v>280</v>
      </c>
      <c r="M564" s="2" t="s">
        <v>1120</v>
      </c>
      <c r="N564" s="2" t="s">
        <v>1061</v>
      </c>
      <c r="O564" t="s">
        <v>219</v>
      </c>
      <c r="P564" t="s">
        <v>284</v>
      </c>
      <c r="Q564" t="s">
        <v>309</v>
      </c>
      <c r="R564" t="s">
        <v>420</v>
      </c>
      <c r="S564" t="s">
        <v>1196</v>
      </c>
      <c r="T564" t="s">
        <v>755</v>
      </c>
      <c r="U564" t="s">
        <v>177</v>
      </c>
      <c r="V564" t="s">
        <v>1109</v>
      </c>
      <c r="W564" t="s">
        <v>143</v>
      </c>
      <c r="X564" t="s">
        <v>1007</v>
      </c>
      <c r="Y564" t="s">
        <v>765</v>
      </c>
      <c r="Z564" t="s">
        <v>183</v>
      </c>
      <c r="AA564" t="s">
        <v>485</v>
      </c>
      <c r="AB564" t="s">
        <v>1062</v>
      </c>
      <c r="AC564" t="s">
        <v>227</v>
      </c>
      <c r="AD564" t="s">
        <v>1063</v>
      </c>
      <c r="AE564" t="s">
        <v>148</v>
      </c>
      <c r="AF564" t="s">
        <v>172</v>
      </c>
      <c r="AG564" t="s">
        <v>1078</v>
      </c>
      <c r="AH564" t="s">
        <v>1079</v>
      </c>
      <c r="AI564" t="s">
        <v>1109</v>
      </c>
      <c r="AJ564" t="s">
        <v>136</v>
      </c>
      <c r="AK564" t="s">
        <v>1080</v>
      </c>
      <c r="AL564" t="s">
        <v>230</v>
      </c>
      <c r="AM564" t="s">
        <v>765</v>
      </c>
      <c r="AN564" t="s">
        <v>1095</v>
      </c>
      <c r="AO564" t="s">
        <v>917</v>
      </c>
      <c r="AP564" t="s">
        <v>231</v>
      </c>
      <c r="AQ564" t="s">
        <v>1082</v>
      </c>
      <c r="AR564" t="s">
        <v>1037</v>
      </c>
      <c r="AS564" t="s">
        <v>485</v>
      </c>
      <c r="AT564" t="s">
        <v>1003</v>
      </c>
      <c r="AU564" t="s">
        <v>183</v>
      </c>
      <c r="AV564" t="s">
        <v>1021</v>
      </c>
      <c r="AW564" t="s">
        <v>143</v>
      </c>
      <c r="AX564" t="s">
        <v>756</v>
      </c>
      <c r="AY564" t="s">
        <v>757</v>
      </c>
      <c r="AZ564" t="s">
        <v>233</v>
      </c>
      <c r="BA564" t="s">
        <v>973</v>
      </c>
      <c r="BB564" t="s">
        <v>760</v>
      </c>
      <c r="BC564" t="s">
        <v>1087</v>
      </c>
      <c r="BD564" t="s">
        <v>2339</v>
      </c>
      <c r="BE564" t="s">
        <v>234</v>
      </c>
      <c r="BF564" t="s">
        <v>223</v>
      </c>
      <c r="BG564" t="s">
        <v>751</v>
      </c>
      <c r="BH564" t="s">
        <v>1204</v>
      </c>
      <c r="BI564" t="s">
        <v>789</v>
      </c>
      <c r="BJ564" t="s">
        <v>1095</v>
      </c>
      <c r="BK564" t="s">
        <v>978</v>
      </c>
      <c r="BL564" t="s">
        <v>1197</v>
      </c>
      <c r="BM564" t="s">
        <v>184</v>
      </c>
      <c r="BN564" t="s">
        <v>239</v>
      </c>
      <c r="BO564" t="s">
        <v>241</v>
      </c>
      <c r="BP564" t="s">
        <v>805</v>
      </c>
      <c r="BQ564" t="s">
        <v>806</v>
      </c>
    </row>
    <row r="565" spans="1:94">
      <c r="A565" s="40">
        <v>525</v>
      </c>
      <c r="B565" s="40" t="s">
        <v>2460</v>
      </c>
      <c r="C565" s="2" t="s">
        <v>2461</v>
      </c>
      <c r="D565" s="2" t="s">
        <v>25</v>
      </c>
      <c r="E565" s="2"/>
      <c r="F565" s="2">
        <v>70</v>
      </c>
      <c r="G565" s="2">
        <v>105</v>
      </c>
      <c r="H565" s="2">
        <v>105</v>
      </c>
      <c r="I565" s="2">
        <v>50</v>
      </c>
      <c r="J565" s="2">
        <v>40</v>
      </c>
      <c r="K565" s="2">
        <v>20</v>
      </c>
      <c r="L565" s="2">
        <v>390</v>
      </c>
      <c r="M565" s="2" t="s">
        <v>1112</v>
      </c>
      <c r="N565" s="2" t="s">
        <v>1061</v>
      </c>
      <c r="O565" t="s">
        <v>309</v>
      </c>
      <c r="P565" t="s">
        <v>420</v>
      </c>
      <c r="Q565" t="s">
        <v>219</v>
      </c>
      <c r="R565" t="s">
        <v>284</v>
      </c>
      <c r="S565" t="s">
        <v>284</v>
      </c>
      <c r="T565" t="s">
        <v>309</v>
      </c>
      <c r="U565" t="s">
        <v>420</v>
      </c>
      <c r="V565" t="s">
        <v>1196</v>
      </c>
      <c r="W565" t="s">
        <v>755</v>
      </c>
      <c r="X565" t="s">
        <v>177</v>
      </c>
      <c r="Y565" t="s">
        <v>1109</v>
      </c>
      <c r="Z565" t="s">
        <v>1169</v>
      </c>
      <c r="AA565" t="s">
        <v>143</v>
      </c>
      <c r="AB565" t="s">
        <v>1007</v>
      </c>
      <c r="AC565" t="s">
        <v>765</v>
      </c>
      <c r="AD565" t="s">
        <v>183</v>
      </c>
      <c r="AE565" t="s">
        <v>485</v>
      </c>
      <c r="AF565" t="s">
        <v>1062</v>
      </c>
      <c r="AG565" t="s">
        <v>227</v>
      </c>
      <c r="AH565" t="s">
        <v>1063</v>
      </c>
      <c r="AI565" t="s">
        <v>148</v>
      </c>
      <c r="AJ565" t="s">
        <v>172</v>
      </c>
      <c r="AK565" t="s">
        <v>1078</v>
      </c>
      <c r="AL565" t="s">
        <v>1079</v>
      </c>
      <c r="AM565" t="s">
        <v>1109</v>
      </c>
      <c r="AN565" t="s">
        <v>136</v>
      </c>
      <c r="AO565" t="s">
        <v>1080</v>
      </c>
      <c r="AP565" t="s">
        <v>230</v>
      </c>
      <c r="AQ565" t="s">
        <v>765</v>
      </c>
      <c r="AR565" t="s">
        <v>1095</v>
      </c>
      <c r="AS565" t="s">
        <v>917</v>
      </c>
      <c r="AT565" t="s">
        <v>231</v>
      </c>
      <c r="AU565" t="s">
        <v>1082</v>
      </c>
      <c r="AV565" t="s">
        <v>1037</v>
      </c>
      <c r="AW565" t="s">
        <v>485</v>
      </c>
      <c r="AX565" t="s">
        <v>1003</v>
      </c>
      <c r="AY565" t="s">
        <v>183</v>
      </c>
      <c r="AZ565" t="s">
        <v>1021</v>
      </c>
      <c r="BA565" t="s">
        <v>143</v>
      </c>
      <c r="BB565" t="s">
        <v>756</v>
      </c>
      <c r="BC565" t="s">
        <v>757</v>
      </c>
      <c r="BD565" t="s">
        <v>233</v>
      </c>
      <c r="BE565" t="s">
        <v>973</v>
      </c>
      <c r="BF565" t="s">
        <v>760</v>
      </c>
      <c r="BG565" t="s">
        <v>1087</v>
      </c>
      <c r="BH565" t="s">
        <v>2339</v>
      </c>
      <c r="BI565" t="s">
        <v>234</v>
      </c>
      <c r="BJ565" t="s">
        <v>223</v>
      </c>
      <c r="BK565" t="s">
        <v>751</v>
      </c>
      <c r="BL565" t="s">
        <v>1204</v>
      </c>
      <c r="BM565" t="s">
        <v>789</v>
      </c>
      <c r="BN565" t="s">
        <v>1095</v>
      </c>
      <c r="BO565" t="s">
        <v>978</v>
      </c>
      <c r="BP565" t="s">
        <v>1197</v>
      </c>
      <c r="BQ565" t="s">
        <v>184</v>
      </c>
      <c r="BR565" t="s">
        <v>239</v>
      </c>
      <c r="BS565" t="s">
        <v>241</v>
      </c>
      <c r="BT565" t="s">
        <v>805</v>
      </c>
      <c r="BU565" t="s">
        <v>806</v>
      </c>
    </row>
    <row r="566" spans="1:94">
      <c r="A566" s="40">
        <v>526</v>
      </c>
      <c r="B566" s="40" t="s">
        <v>2462</v>
      </c>
      <c r="C566" s="2" t="s">
        <v>2463</v>
      </c>
      <c r="D566" s="2" t="s">
        <v>25</v>
      </c>
      <c r="E566" s="2"/>
      <c r="F566" s="2">
        <v>85</v>
      </c>
      <c r="G566" s="2">
        <v>135</v>
      </c>
      <c r="H566" s="2">
        <v>130</v>
      </c>
      <c r="I566" s="2">
        <v>60</v>
      </c>
      <c r="J566" s="2">
        <v>70</v>
      </c>
      <c r="K566" s="2">
        <v>25</v>
      </c>
      <c r="L566" s="2">
        <v>505</v>
      </c>
      <c r="M566" s="2" t="s">
        <v>1075</v>
      </c>
      <c r="N566" s="2" t="s">
        <v>1061</v>
      </c>
      <c r="O566" t="s">
        <v>309</v>
      </c>
      <c r="P566" t="s">
        <v>420</v>
      </c>
      <c r="Q566" t="s">
        <v>219</v>
      </c>
      <c r="R566" t="s">
        <v>284</v>
      </c>
      <c r="S566" t="s">
        <v>284</v>
      </c>
      <c r="T566" t="s">
        <v>309</v>
      </c>
      <c r="U566" t="s">
        <v>420</v>
      </c>
      <c r="V566" t="s">
        <v>1196</v>
      </c>
      <c r="W566" t="s">
        <v>755</v>
      </c>
      <c r="X566" t="s">
        <v>177</v>
      </c>
      <c r="Y566" t="s">
        <v>1109</v>
      </c>
      <c r="Z566" t="s">
        <v>1169</v>
      </c>
      <c r="AA566" t="s">
        <v>143</v>
      </c>
      <c r="AB566" t="s">
        <v>1007</v>
      </c>
      <c r="AC566" t="s">
        <v>765</v>
      </c>
      <c r="AD566" t="s">
        <v>183</v>
      </c>
      <c r="AE566" t="s">
        <v>485</v>
      </c>
      <c r="AF566" t="s">
        <v>1062</v>
      </c>
      <c r="AG566" t="s">
        <v>227</v>
      </c>
      <c r="AH566" t="s">
        <v>1063</v>
      </c>
      <c r="AI566" t="s">
        <v>148</v>
      </c>
      <c r="AJ566" t="s">
        <v>172</v>
      </c>
      <c r="AK566" t="s">
        <v>247</v>
      </c>
      <c r="AL566" t="s">
        <v>1078</v>
      </c>
      <c r="AM566" t="s">
        <v>1079</v>
      </c>
      <c r="AN566" t="s">
        <v>229</v>
      </c>
      <c r="AO566" t="s">
        <v>1109</v>
      </c>
      <c r="AP566" t="s">
        <v>136</v>
      </c>
      <c r="AQ566" t="s">
        <v>1080</v>
      </c>
      <c r="AR566" t="s">
        <v>230</v>
      </c>
      <c r="AS566" t="s">
        <v>765</v>
      </c>
      <c r="AT566" t="s">
        <v>1095</v>
      </c>
      <c r="AU566" t="s">
        <v>917</v>
      </c>
      <c r="AV566" t="s">
        <v>231</v>
      </c>
      <c r="AW566" t="s">
        <v>1082</v>
      </c>
      <c r="AX566" t="s">
        <v>1037</v>
      </c>
      <c r="AY566" t="s">
        <v>485</v>
      </c>
      <c r="AZ566" t="s">
        <v>976</v>
      </c>
      <c r="BA566" t="s">
        <v>1003</v>
      </c>
      <c r="BB566" t="s">
        <v>183</v>
      </c>
      <c r="BC566" t="s">
        <v>1021</v>
      </c>
      <c r="BD566" t="s">
        <v>143</v>
      </c>
      <c r="BE566" t="s">
        <v>756</v>
      </c>
      <c r="BF566" t="s">
        <v>757</v>
      </c>
      <c r="BG566" t="s">
        <v>233</v>
      </c>
      <c r="BH566" t="s">
        <v>973</v>
      </c>
      <c r="BI566" t="s">
        <v>760</v>
      </c>
      <c r="BJ566" t="s">
        <v>1087</v>
      </c>
      <c r="BK566" t="s">
        <v>2339</v>
      </c>
      <c r="BL566" t="s">
        <v>234</v>
      </c>
      <c r="BM566" t="s">
        <v>223</v>
      </c>
      <c r="BN566" t="s">
        <v>751</v>
      </c>
      <c r="BO566" t="s">
        <v>1204</v>
      </c>
      <c r="BP566" t="s">
        <v>789</v>
      </c>
      <c r="BQ566" t="s">
        <v>1095</v>
      </c>
      <c r="BR566" t="s">
        <v>978</v>
      </c>
      <c r="BS566" t="s">
        <v>1197</v>
      </c>
      <c r="BT566" t="s">
        <v>184</v>
      </c>
      <c r="BU566" t="s">
        <v>239</v>
      </c>
      <c r="BV566" t="s">
        <v>241</v>
      </c>
      <c r="BW566" t="s">
        <v>805</v>
      </c>
      <c r="BX566" t="s">
        <v>806</v>
      </c>
    </row>
    <row r="567" spans="1:94">
      <c r="A567" s="40">
        <v>527</v>
      </c>
      <c r="B567" s="40" t="s">
        <v>2464</v>
      </c>
      <c r="C567" s="2" t="s">
        <v>2465</v>
      </c>
      <c r="D567" s="2" t="s">
        <v>9</v>
      </c>
      <c r="E567" s="2" t="s">
        <v>20</v>
      </c>
      <c r="F567" s="2">
        <v>55</v>
      </c>
      <c r="G567" s="2">
        <v>45</v>
      </c>
      <c r="H567" s="2">
        <v>43</v>
      </c>
      <c r="I567" s="2">
        <v>55</v>
      </c>
      <c r="J567" s="2">
        <v>43</v>
      </c>
      <c r="K567" s="2">
        <v>72</v>
      </c>
      <c r="L567" s="2">
        <v>313</v>
      </c>
      <c r="M567" s="2" t="s">
        <v>1090</v>
      </c>
      <c r="N567" s="2" t="s">
        <v>1061</v>
      </c>
      <c r="O567" t="s">
        <v>287</v>
      </c>
      <c r="P567" t="s">
        <v>934</v>
      </c>
      <c r="Q567" t="s">
        <v>289</v>
      </c>
      <c r="R567" t="s">
        <v>960</v>
      </c>
      <c r="S567" t="s">
        <v>1229</v>
      </c>
      <c r="T567" t="s">
        <v>927</v>
      </c>
      <c r="U567" t="s">
        <v>1118</v>
      </c>
      <c r="V567" t="s">
        <v>1082</v>
      </c>
      <c r="W567" t="s">
        <v>235</v>
      </c>
      <c r="X567" t="s">
        <v>912</v>
      </c>
      <c r="Y567" t="s">
        <v>1101</v>
      </c>
      <c r="Z567" t="s">
        <v>790</v>
      </c>
      <c r="AA567" t="s">
        <v>9</v>
      </c>
      <c r="AB567" t="s">
        <v>916</v>
      </c>
      <c r="AC567" t="s">
        <v>1062</v>
      </c>
      <c r="AD567" t="s">
        <v>138</v>
      </c>
      <c r="AE567" t="s">
        <v>1063</v>
      </c>
      <c r="AF567" t="s">
        <v>1151</v>
      </c>
      <c r="AG567" t="s">
        <v>912</v>
      </c>
      <c r="AH567" t="s">
        <v>148</v>
      </c>
      <c r="AI567" t="s">
        <v>172</v>
      </c>
      <c r="AJ567" t="s">
        <v>1126</v>
      </c>
      <c r="AK567" t="s">
        <v>228</v>
      </c>
      <c r="AL567" t="s">
        <v>1078</v>
      </c>
      <c r="AM567" t="s">
        <v>766</v>
      </c>
      <c r="AN567" t="s">
        <v>1119</v>
      </c>
      <c r="AO567" t="s">
        <v>759</v>
      </c>
      <c r="AP567" t="s">
        <v>1079</v>
      </c>
      <c r="AQ567" t="s">
        <v>1080</v>
      </c>
      <c r="AR567" t="s">
        <v>9</v>
      </c>
      <c r="AS567" t="s">
        <v>174</v>
      </c>
      <c r="AT567" t="s">
        <v>230</v>
      </c>
      <c r="AU567" t="s">
        <v>380</v>
      </c>
      <c r="AV567" t="s">
        <v>1096</v>
      </c>
      <c r="AW567" t="s">
        <v>951</v>
      </c>
      <c r="AX567" t="s">
        <v>917</v>
      </c>
      <c r="AY567" t="s">
        <v>231</v>
      </c>
      <c r="AZ567" t="s">
        <v>1082</v>
      </c>
      <c r="BA567" t="s">
        <v>1117</v>
      </c>
      <c r="BB567" t="s">
        <v>1037</v>
      </c>
      <c r="BC567" t="s">
        <v>1125</v>
      </c>
      <c r="BD567" t="s">
        <v>970</v>
      </c>
      <c r="BE567" t="s">
        <v>963</v>
      </c>
      <c r="BF567" t="s">
        <v>1020</v>
      </c>
      <c r="BG567" t="s">
        <v>969</v>
      </c>
      <c r="BH567" t="s">
        <v>232</v>
      </c>
      <c r="BI567" t="s">
        <v>322</v>
      </c>
      <c r="BJ567" t="s">
        <v>980</v>
      </c>
      <c r="BK567" t="s">
        <v>785</v>
      </c>
      <c r="BL567" t="s">
        <v>293</v>
      </c>
      <c r="BM567" t="s">
        <v>756</v>
      </c>
      <c r="BN567" t="s">
        <v>757</v>
      </c>
      <c r="BO567" t="s">
        <v>1014</v>
      </c>
      <c r="BP567" t="s">
        <v>233</v>
      </c>
      <c r="BQ567" t="s">
        <v>1012</v>
      </c>
      <c r="BR567" t="s">
        <v>2339</v>
      </c>
      <c r="BS567" t="s">
        <v>234</v>
      </c>
      <c r="BT567" t="s">
        <v>290</v>
      </c>
      <c r="BU567" t="s">
        <v>781</v>
      </c>
      <c r="BV567" t="s">
        <v>919</v>
      </c>
      <c r="BW567" t="s">
        <v>925</v>
      </c>
      <c r="BX567" t="s">
        <v>928</v>
      </c>
      <c r="BY567" t="s">
        <v>918</v>
      </c>
      <c r="BZ567" t="s">
        <v>1119</v>
      </c>
      <c r="CA567" t="s">
        <v>1262</v>
      </c>
      <c r="CB567" t="s">
        <v>962</v>
      </c>
      <c r="CC567" t="s">
        <v>1043</v>
      </c>
      <c r="CD567" t="s">
        <v>1041</v>
      </c>
      <c r="CE567" t="s">
        <v>2410</v>
      </c>
      <c r="CF567" t="s">
        <v>239</v>
      </c>
      <c r="CG567" t="s">
        <v>241</v>
      </c>
      <c r="CH567" t="s">
        <v>805</v>
      </c>
      <c r="CI567" t="s">
        <v>806</v>
      </c>
    </row>
    <row r="568" spans="1:94">
      <c r="A568" s="40">
        <v>528</v>
      </c>
      <c r="B568" s="40" t="s">
        <v>2466</v>
      </c>
      <c r="C568" s="2" t="s">
        <v>2467</v>
      </c>
      <c r="D568" s="2" t="s">
        <v>9</v>
      </c>
      <c r="E568" s="2" t="s">
        <v>20</v>
      </c>
      <c r="F568" s="2">
        <v>67</v>
      </c>
      <c r="G568" s="2">
        <v>57</v>
      </c>
      <c r="H568" s="2">
        <v>55</v>
      </c>
      <c r="I568" s="2">
        <v>77</v>
      </c>
      <c r="J568" s="2">
        <v>55</v>
      </c>
      <c r="K568" s="2">
        <v>114</v>
      </c>
      <c r="L568" s="2">
        <v>425</v>
      </c>
      <c r="M568" s="2" t="s">
        <v>1108</v>
      </c>
      <c r="N568" s="2" t="s">
        <v>1061</v>
      </c>
      <c r="O568" t="s">
        <v>289</v>
      </c>
      <c r="P568" t="s">
        <v>287</v>
      </c>
      <c r="Q568" t="s">
        <v>934</v>
      </c>
      <c r="R568" t="s">
        <v>960</v>
      </c>
      <c r="S568" t="s">
        <v>934</v>
      </c>
      <c r="T568" t="s">
        <v>289</v>
      </c>
      <c r="U568" t="s">
        <v>960</v>
      </c>
      <c r="V568" t="s">
        <v>1229</v>
      </c>
      <c r="W568" t="s">
        <v>927</v>
      </c>
      <c r="X568" t="s">
        <v>1118</v>
      </c>
      <c r="Y568" t="s">
        <v>1082</v>
      </c>
      <c r="Z568" t="s">
        <v>235</v>
      </c>
      <c r="AA568" t="s">
        <v>912</v>
      </c>
      <c r="AB568" t="s">
        <v>1101</v>
      </c>
      <c r="AC568" t="s">
        <v>790</v>
      </c>
      <c r="AD568" t="s">
        <v>9</v>
      </c>
      <c r="AE568" t="s">
        <v>916</v>
      </c>
      <c r="AF568" t="s">
        <v>1062</v>
      </c>
      <c r="AG568" t="s">
        <v>138</v>
      </c>
      <c r="AH568" t="s">
        <v>1063</v>
      </c>
      <c r="AI568" t="s">
        <v>1151</v>
      </c>
      <c r="AJ568" t="s">
        <v>912</v>
      </c>
      <c r="AK568" t="s">
        <v>148</v>
      </c>
      <c r="AL568" t="s">
        <v>172</v>
      </c>
      <c r="AM568" t="s">
        <v>1126</v>
      </c>
      <c r="AN568" t="s">
        <v>247</v>
      </c>
      <c r="AO568" t="s">
        <v>228</v>
      </c>
      <c r="AP568" t="s">
        <v>1078</v>
      </c>
      <c r="AQ568" t="s">
        <v>766</v>
      </c>
      <c r="AR568" t="s">
        <v>1119</v>
      </c>
      <c r="AS568" t="s">
        <v>759</v>
      </c>
      <c r="AT568" t="s">
        <v>1079</v>
      </c>
      <c r="AU568" t="s">
        <v>1080</v>
      </c>
      <c r="AV568" t="s">
        <v>9</v>
      </c>
      <c r="AW568" t="s">
        <v>174</v>
      </c>
      <c r="AX568" t="s">
        <v>230</v>
      </c>
      <c r="AY568" t="s">
        <v>380</v>
      </c>
      <c r="AZ568" t="s">
        <v>1096</v>
      </c>
      <c r="BA568" t="s">
        <v>951</v>
      </c>
      <c r="BB568" t="s">
        <v>917</v>
      </c>
      <c r="BC568" t="s">
        <v>231</v>
      </c>
      <c r="BD568" t="s">
        <v>1082</v>
      </c>
      <c r="BE568" t="s">
        <v>1117</v>
      </c>
      <c r="BF568" t="s">
        <v>1037</v>
      </c>
      <c r="BG568" t="s">
        <v>1125</v>
      </c>
      <c r="BH568" t="s">
        <v>970</v>
      </c>
      <c r="BI568" t="s">
        <v>963</v>
      </c>
      <c r="BJ568" t="s">
        <v>1020</v>
      </c>
      <c r="BK568" t="s">
        <v>969</v>
      </c>
      <c r="BL568" t="s">
        <v>976</v>
      </c>
      <c r="BM568" t="s">
        <v>232</v>
      </c>
      <c r="BN568" t="s">
        <v>322</v>
      </c>
      <c r="BO568" t="s">
        <v>980</v>
      </c>
      <c r="BP568" t="s">
        <v>785</v>
      </c>
      <c r="BQ568" t="s">
        <v>293</v>
      </c>
      <c r="BR568" t="s">
        <v>756</v>
      </c>
      <c r="BS568" t="s">
        <v>757</v>
      </c>
      <c r="BT568" t="s">
        <v>1014</v>
      </c>
      <c r="BU568" t="s">
        <v>233</v>
      </c>
      <c r="BV568" t="s">
        <v>1012</v>
      </c>
      <c r="BW568" t="s">
        <v>2339</v>
      </c>
      <c r="BX568" t="s">
        <v>234</v>
      </c>
      <c r="BY568" t="s">
        <v>290</v>
      </c>
      <c r="BZ568" t="s">
        <v>781</v>
      </c>
      <c r="CA568" t="s">
        <v>919</v>
      </c>
      <c r="CB568" t="s">
        <v>925</v>
      </c>
      <c r="CC568" t="s">
        <v>928</v>
      </c>
      <c r="CD568" t="s">
        <v>918</v>
      </c>
      <c r="CE568" t="s">
        <v>1119</v>
      </c>
      <c r="CF568" t="s">
        <v>1262</v>
      </c>
      <c r="CG568" t="s">
        <v>962</v>
      </c>
      <c r="CH568" t="s">
        <v>1043</v>
      </c>
      <c r="CI568" t="s">
        <v>1041</v>
      </c>
      <c r="CJ568" t="s">
        <v>2410</v>
      </c>
      <c r="CK568" t="s">
        <v>239</v>
      </c>
      <c r="CL568" t="s">
        <v>241</v>
      </c>
      <c r="CM568" t="s">
        <v>805</v>
      </c>
      <c r="CN568" t="s">
        <v>806</v>
      </c>
    </row>
    <row r="569" spans="1:94">
      <c r="A569" s="40">
        <v>529</v>
      </c>
      <c r="B569" s="40" t="s">
        <v>2468</v>
      </c>
      <c r="C569" s="2" t="s">
        <v>2469</v>
      </c>
      <c r="D569" s="2" t="s">
        <v>22</v>
      </c>
      <c r="E569" s="2"/>
      <c r="F569" s="2">
        <v>60</v>
      </c>
      <c r="G569" s="2">
        <v>85</v>
      </c>
      <c r="H569" s="2">
        <v>40</v>
      </c>
      <c r="I569" s="2">
        <v>30</v>
      </c>
      <c r="J569" s="2">
        <v>45</v>
      </c>
      <c r="K569" s="2">
        <v>68</v>
      </c>
      <c r="L569" s="2">
        <v>328</v>
      </c>
      <c r="M569" s="2" t="s">
        <v>1162</v>
      </c>
      <c r="N569" s="2" t="s">
        <v>1061</v>
      </c>
      <c r="O569" t="s">
        <v>249</v>
      </c>
      <c r="P569" t="s">
        <v>933</v>
      </c>
      <c r="Q569" t="s">
        <v>173</v>
      </c>
      <c r="R569" t="s">
        <v>755</v>
      </c>
      <c r="S569" t="s">
        <v>323</v>
      </c>
      <c r="T569" t="s">
        <v>783</v>
      </c>
      <c r="U569" t="s">
        <v>256</v>
      </c>
      <c r="V569" t="s">
        <v>1030</v>
      </c>
      <c r="W569" t="s">
        <v>253</v>
      </c>
      <c r="X569" t="s">
        <v>143</v>
      </c>
      <c r="Y569" t="s">
        <v>136</v>
      </c>
      <c r="Z569" t="s">
        <v>145</v>
      </c>
      <c r="AA569" t="s">
        <v>765</v>
      </c>
      <c r="AB569" t="s">
        <v>1132</v>
      </c>
      <c r="AC569" t="s">
        <v>419</v>
      </c>
      <c r="AD569" t="s">
        <v>1062</v>
      </c>
      <c r="AE569" t="s">
        <v>226</v>
      </c>
      <c r="AF569" t="s">
        <v>227</v>
      </c>
      <c r="AG569" t="s">
        <v>1063</v>
      </c>
      <c r="AH569" t="s">
        <v>1030</v>
      </c>
      <c r="AI569" t="s">
        <v>148</v>
      </c>
      <c r="AJ569" t="s">
        <v>172</v>
      </c>
      <c r="AK569" t="s">
        <v>1078</v>
      </c>
      <c r="AL569" t="s">
        <v>1079</v>
      </c>
      <c r="AM569" t="s">
        <v>136</v>
      </c>
      <c r="AN569" t="s">
        <v>1080</v>
      </c>
      <c r="AO569" t="s">
        <v>256</v>
      </c>
      <c r="AP569" t="s">
        <v>1094</v>
      </c>
      <c r="AQ569" t="s">
        <v>230</v>
      </c>
      <c r="AR569" t="s">
        <v>1081</v>
      </c>
      <c r="AS569" t="s">
        <v>765</v>
      </c>
      <c r="AT569" t="s">
        <v>1095</v>
      </c>
      <c r="AU569" t="s">
        <v>1096</v>
      </c>
      <c r="AV569" t="s">
        <v>917</v>
      </c>
      <c r="AW569" t="s">
        <v>231</v>
      </c>
      <c r="AX569" t="s">
        <v>1082</v>
      </c>
      <c r="AY569" t="s">
        <v>1037</v>
      </c>
      <c r="AZ569" t="s">
        <v>974</v>
      </c>
      <c r="BA569" t="s">
        <v>1005</v>
      </c>
      <c r="BB569" t="s">
        <v>145</v>
      </c>
      <c r="BC569" t="s">
        <v>1021</v>
      </c>
      <c r="BD569" t="s">
        <v>143</v>
      </c>
      <c r="BE569" t="s">
        <v>1018</v>
      </c>
      <c r="BF569" t="s">
        <v>997</v>
      </c>
      <c r="BG569" t="s">
        <v>756</v>
      </c>
      <c r="BH569" t="s">
        <v>233</v>
      </c>
      <c r="BI569" t="s">
        <v>760</v>
      </c>
      <c r="BJ569" t="s">
        <v>234</v>
      </c>
      <c r="BK569" t="s">
        <v>451</v>
      </c>
      <c r="BL569" t="s">
        <v>237</v>
      </c>
      <c r="BM569" t="s">
        <v>173</v>
      </c>
      <c r="BN569" t="s">
        <v>1143</v>
      </c>
      <c r="BO569" t="s">
        <v>1202</v>
      </c>
      <c r="BP569" t="s">
        <v>177</v>
      </c>
      <c r="BQ569" t="s">
        <v>968</v>
      </c>
      <c r="BR569" t="s">
        <v>1002</v>
      </c>
      <c r="BS569" t="s">
        <v>239</v>
      </c>
      <c r="BT569" t="s">
        <v>241</v>
      </c>
      <c r="BU569" t="s">
        <v>805</v>
      </c>
      <c r="BV569" t="s">
        <v>806</v>
      </c>
    </row>
    <row r="570" spans="1:94">
      <c r="A570" s="40">
        <v>530</v>
      </c>
      <c r="B570" s="40" t="s">
        <v>2470</v>
      </c>
      <c r="C570" s="2" t="s">
        <v>2471</v>
      </c>
      <c r="D570" s="2" t="s">
        <v>22</v>
      </c>
      <c r="E570" s="2" t="s">
        <v>26</v>
      </c>
      <c r="F570" s="2">
        <v>110</v>
      </c>
      <c r="G570" s="2">
        <v>135</v>
      </c>
      <c r="H570" s="2">
        <v>60</v>
      </c>
      <c r="I570" s="2">
        <v>50</v>
      </c>
      <c r="J570" s="2">
        <v>65</v>
      </c>
      <c r="K570" s="2">
        <v>88</v>
      </c>
      <c r="L570" s="2">
        <v>508</v>
      </c>
      <c r="M570" s="2" t="s">
        <v>1091</v>
      </c>
      <c r="N570" s="2" t="s">
        <v>1061</v>
      </c>
      <c r="O570" t="s">
        <v>249</v>
      </c>
      <c r="P570" t="s">
        <v>755</v>
      </c>
      <c r="Q570" t="s">
        <v>173</v>
      </c>
      <c r="R570" t="s">
        <v>933</v>
      </c>
      <c r="S570" t="s">
        <v>173</v>
      </c>
      <c r="T570" t="s">
        <v>755</v>
      </c>
      <c r="U570" t="s">
        <v>323</v>
      </c>
      <c r="V570" t="s">
        <v>783</v>
      </c>
      <c r="W570" t="s">
        <v>256</v>
      </c>
      <c r="X570" t="s">
        <v>1030</v>
      </c>
      <c r="Y570" t="s">
        <v>253</v>
      </c>
      <c r="Z570" t="s">
        <v>143</v>
      </c>
      <c r="AA570" t="s">
        <v>368</v>
      </c>
      <c r="AB570" t="s">
        <v>136</v>
      </c>
      <c r="AC570" t="s">
        <v>145</v>
      </c>
      <c r="AD570" t="s">
        <v>765</v>
      </c>
      <c r="AE570" t="s">
        <v>1132</v>
      </c>
      <c r="AF570" t="s">
        <v>419</v>
      </c>
      <c r="AG570" t="s">
        <v>1062</v>
      </c>
      <c r="AH570" t="s">
        <v>226</v>
      </c>
      <c r="AI570" t="s">
        <v>227</v>
      </c>
      <c r="AJ570" t="s">
        <v>1063</v>
      </c>
      <c r="AK570" t="s">
        <v>1030</v>
      </c>
      <c r="AL570" t="s">
        <v>148</v>
      </c>
      <c r="AM570" t="s">
        <v>172</v>
      </c>
      <c r="AN570" t="s">
        <v>247</v>
      </c>
      <c r="AO570" t="s">
        <v>1078</v>
      </c>
      <c r="AP570" t="s">
        <v>1079</v>
      </c>
      <c r="AQ570" t="s">
        <v>136</v>
      </c>
      <c r="AR570" t="s">
        <v>1080</v>
      </c>
      <c r="AS570" t="s">
        <v>256</v>
      </c>
      <c r="AT570" t="s">
        <v>1094</v>
      </c>
      <c r="AU570" t="s">
        <v>230</v>
      </c>
      <c r="AV570" t="s">
        <v>1081</v>
      </c>
      <c r="AW570" t="s">
        <v>765</v>
      </c>
      <c r="AX570" t="s">
        <v>1095</v>
      </c>
      <c r="AY570" t="s">
        <v>1096</v>
      </c>
      <c r="AZ570" t="s">
        <v>917</v>
      </c>
      <c r="BA570" t="s">
        <v>231</v>
      </c>
      <c r="BB570" t="s">
        <v>1082</v>
      </c>
      <c r="BC570" t="s">
        <v>1037</v>
      </c>
      <c r="BD570" t="s">
        <v>1102</v>
      </c>
      <c r="BE570" t="s">
        <v>974</v>
      </c>
      <c r="BF570" t="s">
        <v>1005</v>
      </c>
      <c r="BG570" t="s">
        <v>976</v>
      </c>
      <c r="BH570" t="s">
        <v>145</v>
      </c>
      <c r="BI570" t="s">
        <v>1021</v>
      </c>
      <c r="BJ570" t="s">
        <v>143</v>
      </c>
      <c r="BK570" t="s">
        <v>1018</v>
      </c>
      <c r="BL570" t="s">
        <v>997</v>
      </c>
      <c r="BM570" t="s">
        <v>756</v>
      </c>
      <c r="BN570" t="s">
        <v>233</v>
      </c>
      <c r="BO570" t="s">
        <v>760</v>
      </c>
      <c r="BP570" t="s">
        <v>234</v>
      </c>
      <c r="BQ570" t="s">
        <v>451</v>
      </c>
      <c r="BR570" t="s">
        <v>237</v>
      </c>
      <c r="BS570" t="s">
        <v>173</v>
      </c>
      <c r="BT570" t="s">
        <v>1143</v>
      </c>
      <c r="BU570" t="s">
        <v>1202</v>
      </c>
      <c r="BV570" t="s">
        <v>177</v>
      </c>
      <c r="BW570" t="s">
        <v>968</v>
      </c>
      <c r="BX570" t="s">
        <v>1002</v>
      </c>
      <c r="BY570" t="s">
        <v>239</v>
      </c>
      <c r="BZ570" t="s">
        <v>241</v>
      </c>
      <c r="CA570" t="s">
        <v>805</v>
      </c>
      <c r="CB570" t="s">
        <v>806</v>
      </c>
    </row>
    <row r="571" spans="1:94">
      <c r="A571" s="40">
        <v>531</v>
      </c>
      <c r="B571" s="40" t="s">
        <v>2472</v>
      </c>
      <c r="C571" s="2" t="s">
        <v>2473</v>
      </c>
      <c r="D571" s="2" t="s">
        <v>24</v>
      </c>
      <c r="E571" s="2"/>
      <c r="F571" s="2">
        <v>103</v>
      </c>
      <c r="G571" s="2">
        <v>60</v>
      </c>
      <c r="H571" s="2">
        <v>86</v>
      </c>
      <c r="I571" s="2">
        <v>60</v>
      </c>
      <c r="J571" s="2">
        <v>86</v>
      </c>
      <c r="K571" s="2">
        <v>50</v>
      </c>
      <c r="L571" s="2">
        <v>445</v>
      </c>
      <c r="M571" s="2" t="s">
        <v>1161</v>
      </c>
      <c r="N571" s="2" t="s">
        <v>1061</v>
      </c>
      <c r="O571" t="s">
        <v>376</v>
      </c>
      <c r="P571" t="s">
        <v>220</v>
      </c>
      <c r="Q571" t="s">
        <v>925</v>
      </c>
      <c r="R571" t="s">
        <v>2393</v>
      </c>
      <c r="S571" t="s">
        <v>1106</v>
      </c>
      <c r="T571" t="s">
        <v>348</v>
      </c>
      <c r="U571" t="s">
        <v>1082</v>
      </c>
      <c r="V571" t="s">
        <v>940</v>
      </c>
      <c r="W571" t="s">
        <v>1577</v>
      </c>
      <c r="X571" t="s">
        <v>223</v>
      </c>
      <c r="Y571" t="s">
        <v>1200</v>
      </c>
      <c r="Z571" t="s">
        <v>1150</v>
      </c>
      <c r="AA571" t="s">
        <v>1477</v>
      </c>
      <c r="AB571" t="s">
        <v>225</v>
      </c>
      <c r="AC571" t="s">
        <v>986</v>
      </c>
      <c r="AD571" t="s">
        <v>1062</v>
      </c>
      <c r="AE571" t="s">
        <v>144</v>
      </c>
      <c r="AF571" t="s">
        <v>1063</v>
      </c>
      <c r="AG571" t="s">
        <v>1151</v>
      </c>
      <c r="AH571" t="s">
        <v>912</v>
      </c>
      <c r="AI571" t="s">
        <v>148</v>
      </c>
      <c r="AJ571" t="s">
        <v>172</v>
      </c>
      <c r="AK571" t="s">
        <v>752</v>
      </c>
      <c r="AL571" t="s">
        <v>141</v>
      </c>
      <c r="AM571" t="s">
        <v>271</v>
      </c>
      <c r="AN571" t="s">
        <v>247</v>
      </c>
      <c r="AO571" t="s">
        <v>228</v>
      </c>
      <c r="AP571" t="s">
        <v>1078</v>
      </c>
      <c r="AQ571" t="s">
        <v>766</v>
      </c>
      <c r="AR571" t="s">
        <v>759</v>
      </c>
      <c r="AS571" t="s">
        <v>1079</v>
      </c>
      <c r="AT571" t="s">
        <v>229</v>
      </c>
      <c r="AU571" t="s">
        <v>146</v>
      </c>
      <c r="AV571" t="s">
        <v>321</v>
      </c>
      <c r="AW571" t="s">
        <v>1080</v>
      </c>
      <c r="AX571" t="s">
        <v>256</v>
      </c>
      <c r="AY571" t="s">
        <v>9</v>
      </c>
      <c r="AZ571" t="s">
        <v>174</v>
      </c>
      <c r="BA571" t="s">
        <v>230</v>
      </c>
      <c r="BB571" t="s">
        <v>380</v>
      </c>
      <c r="BC571" t="s">
        <v>254</v>
      </c>
      <c r="BD571" t="s">
        <v>257</v>
      </c>
      <c r="BE571" t="s">
        <v>917</v>
      </c>
      <c r="BF571" t="s">
        <v>231</v>
      </c>
      <c r="BG571" t="s">
        <v>1082</v>
      </c>
      <c r="BH571" t="s">
        <v>1037</v>
      </c>
      <c r="BI571" t="s">
        <v>1083</v>
      </c>
      <c r="BJ571" t="s">
        <v>974</v>
      </c>
      <c r="BK571" t="s">
        <v>963</v>
      </c>
      <c r="BL571" t="s">
        <v>1031</v>
      </c>
      <c r="BM571" t="s">
        <v>1036</v>
      </c>
      <c r="BN571" t="s">
        <v>232</v>
      </c>
      <c r="BO571" t="s">
        <v>322</v>
      </c>
      <c r="BP571" t="s">
        <v>785</v>
      </c>
      <c r="BQ571" t="s">
        <v>293</v>
      </c>
      <c r="BR571" t="s">
        <v>977</v>
      </c>
      <c r="BS571" t="s">
        <v>756</v>
      </c>
      <c r="BT571" t="s">
        <v>757</v>
      </c>
      <c r="BU571" t="s">
        <v>233</v>
      </c>
      <c r="BV571" t="s">
        <v>1012</v>
      </c>
      <c r="BW571" t="s">
        <v>1047</v>
      </c>
      <c r="BX571" t="s">
        <v>2398</v>
      </c>
      <c r="BY571" t="s">
        <v>2342</v>
      </c>
      <c r="BZ571" t="s">
        <v>2339</v>
      </c>
      <c r="CA571" t="s">
        <v>234</v>
      </c>
      <c r="CB571" t="s">
        <v>235</v>
      </c>
      <c r="CC571" t="s">
        <v>782</v>
      </c>
      <c r="CD571" t="s">
        <v>757</v>
      </c>
      <c r="CE571" t="s">
        <v>795</v>
      </c>
      <c r="CF571" t="s">
        <v>779</v>
      </c>
      <c r="CG571" t="s">
        <v>957</v>
      </c>
      <c r="CH571" t="s">
        <v>958</v>
      </c>
      <c r="CI571" t="s">
        <v>982</v>
      </c>
      <c r="CJ571" t="s">
        <v>987</v>
      </c>
      <c r="CK571" t="s">
        <v>1139</v>
      </c>
      <c r="CL571" t="s">
        <v>2344</v>
      </c>
      <c r="CM571" t="s">
        <v>239</v>
      </c>
      <c r="CN571" t="s">
        <v>241</v>
      </c>
      <c r="CO571" t="s">
        <v>805</v>
      </c>
      <c r="CP571" t="s">
        <v>806</v>
      </c>
    </row>
    <row r="572" spans="1:94">
      <c r="A572" s="40">
        <v>532</v>
      </c>
      <c r="B572" s="40" t="s">
        <v>2474</v>
      </c>
      <c r="C572" s="2" t="s">
        <v>2475</v>
      </c>
      <c r="D572" s="2" t="s">
        <v>18</v>
      </c>
      <c r="E572" s="2"/>
      <c r="F572" s="2">
        <v>75</v>
      </c>
      <c r="G572" s="2">
        <v>80</v>
      </c>
      <c r="H572" s="2">
        <v>55</v>
      </c>
      <c r="I572" s="2">
        <v>25</v>
      </c>
      <c r="J572" s="2">
        <v>35</v>
      </c>
      <c r="K572" s="2">
        <v>35</v>
      </c>
      <c r="L572" s="2">
        <v>305</v>
      </c>
      <c r="M572" s="2" t="s">
        <v>1158</v>
      </c>
      <c r="N572" s="2" t="s">
        <v>1061</v>
      </c>
      <c r="O572" t="s">
        <v>376</v>
      </c>
      <c r="P572" t="s">
        <v>330</v>
      </c>
      <c r="Q572" t="s">
        <v>302</v>
      </c>
      <c r="R572" t="s">
        <v>347</v>
      </c>
      <c r="S572" t="s">
        <v>432</v>
      </c>
      <c r="T572" t="s">
        <v>483</v>
      </c>
      <c r="U572" t="s">
        <v>1016</v>
      </c>
      <c r="V572" t="s">
        <v>1142</v>
      </c>
      <c r="W572" t="s">
        <v>1175</v>
      </c>
      <c r="X572" t="s">
        <v>143</v>
      </c>
      <c r="Y572" t="s">
        <v>1179</v>
      </c>
      <c r="Z572" t="s">
        <v>1092</v>
      </c>
      <c r="AA572" t="s">
        <v>981</v>
      </c>
      <c r="AB572" t="s">
        <v>183</v>
      </c>
      <c r="AC572" t="s">
        <v>920</v>
      </c>
      <c r="AD572" t="s">
        <v>947</v>
      </c>
      <c r="AE572" t="s">
        <v>1062</v>
      </c>
      <c r="AF572" t="s">
        <v>227</v>
      </c>
      <c r="AG572" t="s">
        <v>1063</v>
      </c>
      <c r="AH572" t="s">
        <v>148</v>
      </c>
      <c r="AI572" t="s">
        <v>1175</v>
      </c>
      <c r="AJ572" t="s">
        <v>172</v>
      </c>
      <c r="AK572" t="s">
        <v>752</v>
      </c>
      <c r="AL572" t="s">
        <v>1126</v>
      </c>
      <c r="AM572" t="s">
        <v>1078</v>
      </c>
      <c r="AN572" t="s">
        <v>766</v>
      </c>
      <c r="AO572" t="s">
        <v>1079</v>
      </c>
      <c r="AP572" t="s">
        <v>1109</v>
      </c>
      <c r="AQ572" t="s">
        <v>1080</v>
      </c>
      <c r="AR572" t="s">
        <v>256</v>
      </c>
      <c r="AS572" t="s">
        <v>1094</v>
      </c>
      <c r="AT572" t="s">
        <v>230</v>
      </c>
      <c r="AU572" t="s">
        <v>1095</v>
      </c>
      <c r="AV572" t="s">
        <v>917</v>
      </c>
      <c r="AW572" t="s">
        <v>231</v>
      </c>
      <c r="AX572" t="s">
        <v>1082</v>
      </c>
      <c r="AY572" t="s">
        <v>1172</v>
      </c>
      <c r="AZ572" t="s">
        <v>1037</v>
      </c>
      <c r="BA572" t="s">
        <v>1102</v>
      </c>
      <c r="BB572" t="s">
        <v>974</v>
      </c>
      <c r="BC572" t="s">
        <v>995</v>
      </c>
      <c r="BD572" t="s">
        <v>1036</v>
      </c>
      <c r="BE572" t="s">
        <v>183</v>
      </c>
      <c r="BF572" t="s">
        <v>143</v>
      </c>
      <c r="BG572" t="s">
        <v>997</v>
      </c>
      <c r="BH572" t="s">
        <v>977</v>
      </c>
      <c r="BI572" t="s">
        <v>756</v>
      </c>
      <c r="BJ572" t="s">
        <v>757</v>
      </c>
      <c r="BK572" t="s">
        <v>233</v>
      </c>
      <c r="BL572" t="s">
        <v>760</v>
      </c>
      <c r="BM572" t="s">
        <v>2398</v>
      </c>
      <c r="BN572" t="s">
        <v>2339</v>
      </c>
      <c r="BO572" t="s">
        <v>234</v>
      </c>
      <c r="BP572" t="s">
        <v>570</v>
      </c>
      <c r="BQ572" t="s">
        <v>259</v>
      </c>
      <c r="BR572" t="s">
        <v>775</v>
      </c>
      <c r="BS572" t="s">
        <v>1223</v>
      </c>
      <c r="BT572" t="s">
        <v>771</v>
      </c>
      <c r="BU572" t="s">
        <v>1220</v>
      </c>
      <c r="BV572" t="s">
        <v>754</v>
      </c>
      <c r="BW572" t="s">
        <v>1171</v>
      </c>
      <c r="BX572" t="s">
        <v>944</v>
      </c>
      <c r="BY572" t="s">
        <v>1525</v>
      </c>
      <c r="BZ572" t="s">
        <v>181</v>
      </c>
      <c r="CA572" t="s">
        <v>1187</v>
      </c>
      <c r="CB572" t="s">
        <v>239</v>
      </c>
      <c r="CC572" t="s">
        <v>241</v>
      </c>
      <c r="CD572" t="s">
        <v>805</v>
      </c>
      <c r="CE572" t="s">
        <v>806</v>
      </c>
    </row>
    <row r="573" spans="1:94">
      <c r="A573" s="40">
        <v>533</v>
      </c>
      <c r="B573" s="40" t="s">
        <v>2476</v>
      </c>
      <c r="C573" s="2" t="s">
        <v>2477</v>
      </c>
      <c r="D573" s="2" t="s">
        <v>18</v>
      </c>
      <c r="E573" s="2"/>
      <c r="F573" s="2">
        <v>85</v>
      </c>
      <c r="G573" s="2">
        <v>105</v>
      </c>
      <c r="H573" s="2">
        <v>85</v>
      </c>
      <c r="I573" s="2">
        <v>40</v>
      </c>
      <c r="J573" s="2">
        <v>50</v>
      </c>
      <c r="K573" s="2">
        <v>40</v>
      </c>
      <c r="L573" s="2">
        <v>405</v>
      </c>
      <c r="M573" s="2" t="s">
        <v>1137</v>
      </c>
      <c r="N573" s="2" t="s">
        <v>1061</v>
      </c>
      <c r="O573" t="s">
        <v>376</v>
      </c>
      <c r="P573" t="s">
        <v>330</v>
      </c>
      <c r="Q573" t="s">
        <v>302</v>
      </c>
      <c r="R573" t="s">
        <v>347</v>
      </c>
      <c r="S573" t="s">
        <v>302</v>
      </c>
      <c r="T573" t="s">
        <v>347</v>
      </c>
      <c r="U573" t="s">
        <v>432</v>
      </c>
      <c r="V573" t="s">
        <v>483</v>
      </c>
      <c r="W573" t="s">
        <v>1016</v>
      </c>
      <c r="X573" t="s">
        <v>1142</v>
      </c>
      <c r="Y573" t="s">
        <v>1175</v>
      </c>
      <c r="Z573" t="s">
        <v>143</v>
      </c>
      <c r="AA573" t="s">
        <v>1179</v>
      </c>
      <c r="AB573" t="s">
        <v>1092</v>
      </c>
      <c r="AC573" t="s">
        <v>981</v>
      </c>
      <c r="AD573" t="s">
        <v>183</v>
      </c>
      <c r="AE573" t="s">
        <v>920</v>
      </c>
      <c r="AF573" t="s">
        <v>947</v>
      </c>
      <c r="AG573" t="s">
        <v>1062</v>
      </c>
      <c r="AH573" t="s">
        <v>227</v>
      </c>
      <c r="AI573" t="s">
        <v>1063</v>
      </c>
      <c r="AJ573" t="s">
        <v>148</v>
      </c>
      <c r="AK573" t="s">
        <v>1175</v>
      </c>
      <c r="AL573" t="s">
        <v>172</v>
      </c>
      <c r="AM573" t="s">
        <v>752</v>
      </c>
      <c r="AN573" t="s">
        <v>1126</v>
      </c>
      <c r="AO573" t="s">
        <v>1078</v>
      </c>
      <c r="AP573" t="s">
        <v>766</v>
      </c>
      <c r="AQ573" t="s">
        <v>1079</v>
      </c>
      <c r="AR573" t="s">
        <v>1109</v>
      </c>
      <c r="AS573" t="s">
        <v>1080</v>
      </c>
      <c r="AT573" t="s">
        <v>256</v>
      </c>
      <c r="AU573" t="s">
        <v>1094</v>
      </c>
      <c r="AV573" t="s">
        <v>230</v>
      </c>
      <c r="AW573" t="s">
        <v>1095</v>
      </c>
      <c r="AX573" t="s">
        <v>917</v>
      </c>
      <c r="AY573" t="s">
        <v>231</v>
      </c>
      <c r="AZ573" t="s">
        <v>1082</v>
      </c>
      <c r="BA573" t="s">
        <v>1172</v>
      </c>
      <c r="BB573" t="s">
        <v>1037</v>
      </c>
      <c r="BC573" t="s">
        <v>1102</v>
      </c>
      <c r="BD573" t="s">
        <v>974</v>
      </c>
      <c r="BE573" t="s">
        <v>995</v>
      </c>
      <c r="BF573" t="s">
        <v>1036</v>
      </c>
      <c r="BG573" t="s">
        <v>183</v>
      </c>
      <c r="BH573" t="s">
        <v>143</v>
      </c>
      <c r="BI573" t="s">
        <v>997</v>
      </c>
      <c r="BJ573" t="s">
        <v>977</v>
      </c>
      <c r="BK573" t="s">
        <v>756</v>
      </c>
      <c r="BL573" t="s">
        <v>757</v>
      </c>
      <c r="BM573" t="s">
        <v>233</v>
      </c>
      <c r="BN573" t="s">
        <v>760</v>
      </c>
      <c r="BO573" t="s">
        <v>2398</v>
      </c>
      <c r="BP573" t="s">
        <v>2339</v>
      </c>
      <c r="BQ573" t="s">
        <v>234</v>
      </c>
      <c r="BR573" t="s">
        <v>570</v>
      </c>
      <c r="BS573" t="s">
        <v>259</v>
      </c>
      <c r="BT573" t="s">
        <v>775</v>
      </c>
      <c r="BU573" t="s">
        <v>1223</v>
      </c>
      <c r="BV573" t="s">
        <v>771</v>
      </c>
      <c r="BW573" t="s">
        <v>1220</v>
      </c>
      <c r="BX573" t="s">
        <v>754</v>
      </c>
      <c r="BY573" t="s">
        <v>1171</v>
      </c>
      <c r="BZ573" t="s">
        <v>944</v>
      </c>
      <c r="CA573" t="s">
        <v>1525</v>
      </c>
      <c r="CB573" t="s">
        <v>181</v>
      </c>
      <c r="CC573" t="s">
        <v>1187</v>
      </c>
      <c r="CD573" t="s">
        <v>239</v>
      </c>
      <c r="CE573" t="s">
        <v>241</v>
      </c>
      <c r="CF573" t="s">
        <v>805</v>
      </c>
      <c r="CG573" t="s">
        <v>806</v>
      </c>
    </row>
    <row r="574" spans="1:94">
      <c r="A574" s="40">
        <v>534</v>
      </c>
      <c r="B574" s="40" t="s">
        <v>2478</v>
      </c>
      <c r="C574" s="2" t="s">
        <v>2479</v>
      </c>
      <c r="D574" s="2" t="s">
        <v>18</v>
      </c>
      <c r="E574" s="2"/>
      <c r="F574" s="2">
        <v>105</v>
      </c>
      <c r="G574" s="2">
        <v>140</v>
      </c>
      <c r="H574" s="2">
        <v>95</v>
      </c>
      <c r="I574" s="2">
        <v>55</v>
      </c>
      <c r="J574" s="2">
        <v>65</v>
      </c>
      <c r="K574" s="2">
        <v>45</v>
      </c>
      <c r="L574" s="2">
        <v>505</v>
      </c>
      <c r="M574" s="2" t="s">
        <v>1173</v>
      </c>
      <c r="N574" s="2" t="s">
        <v>1061</v>
      </c>
      <c r="O574" t="s">
        <v>376</v>
      </c>
      <c r="P574" t="s">
        <v>330</v>
      </c>
      <c r="Q574" t="s">
        <v>302</v>
      </c>
      <c r="R574" t="s">
        <v>347</v>
      </c>
      <c r="S574" t="s">
        <v>302</v>
      </c>
      <c r="T574" t="s">
        <v>347</v>
      </c>
      <c r="U574" t="s">
        <v>432</v>
      </c>
      <c r="V574" t="s">
        <v>483</v>
      </c>
      <c r="W574" t="s">
        <v>1016</v>
      </c>
      <c r="X574" t="s">
        <v>1142</v>
      </c>
      <c r="Y574" t="s">
        <v>1175</v>
      </c>
      <c r="Z574" t="s">
        <v>143</v>
      </c>
      <c r="AA574" t="s">
        <v>1179</v>
      </c>
      <c r="AB574" t="s">
        <v>1092</v>
      </c>
      <c r="AC574" t="s">
        <v>981</v>
      </c>
      <c r="AD574" t="s">
        <v>183</v>
      </c>
      <c r="AE574" t="s">
        <v>920</v>
      </c>
      <c r="AF574" t="s">
        <v>947</v>
      </c>
      <c r="AG574" t="s">
        <v>1062</v>
      </c>
      <c r="AH574" t="s">
        <v>227</v>
      </c>
      <c r="AI574" t="s">
        <v>1063</v>
      </c>
      <c r="AJ574" t="s">
        <v>148</v>
      </c>
      <c r="AK574" t="s">
        <v>1175</v>
      </c>
      <c r="AL574" t="s">
        <v>172</v>
      </c>
      <c r="AM574" t="s">
        <v>752</v>
      </c>
      <c r="AN574" t="s">
        <v>1126</v>
      </c>
      <c r="AO574" t="s">
        <v>247</v>
      </c>
      <c r="AP574" t="s">
        <v>1078</v>
      </c>
      <c r="AQ574" t="s">
        <v>766</v>
      </c>
      <c r="AR574" t="s">
        <v>1079</v>
      </c>
      <c r="AS574" t="s">
        <v>1109</v>
      </c>
      <c r="AT574" t="s">
        <v>136</v>
      </c>
      <c r="AU574" t="s">
        <v>1080</v>
      </c>
      <c r="AV574" t="s">
        <v>256</v>
      </c>
      <c r="AW574" t="s">
        <v>1094</v>
      </c>
      <c r="AX574" t="s">
        <v>230</v>
      </c>
      <c r="AY574" t="s">
        <v>1095</v>
      </c>
      <c r="AZ574" t="s">
        <v>917</v>
      </c>
      <c r="BA574" t="s">
        <v>231</v>
      </c>
      <c r="BB574" t="s">
        <v>1082</v>
      </c>
      <c r="BC574" t="s">
        <v>1172</v>
      </c>
      <c r="BD574" t="s">
        <v>1037</v>
      </c>
      <c r="BE574" t="s">
        <v>1102</v>
      </c>
      <c r="BF574" t="s">
        <v>974</v>
      </c>
      <c r="BG574" t="s">
        <v>995</v>
      </c>
      <c r="BH574" t="s">
        <v>1036</v>
      </c>
      <c r="BI574" t="s">
        <v>976</v>
      </c>
      <c r="BJ574" t="s">
        <v>183</v>
      </c>
      <c r="BK574" t="s">
        <v>1021</v>
      </c>
      <c r="BL574" t="s">
        <v>143</v>
      </c>
      <c r="BM574" t="s">
        <v>997</v>
      </c>
      <c r="BN574" t="s">
        <v>977</v>
      </c>
      <c r="BO574" t="s">
        <v>756</v>
      </c>
      <c r="BP574" t="s">
        <v>757</v>
      </c>
      <c r="BQ574" t="s">
        <v>233</v>
      </c>
      <c r="BR574" t="s">
        <v>760</v>
      </c>
      <c r="BS574" t="s">
        <v>2398</v>
      </c>
      <c r="BT574" t="s">
        <v>2339</v>
      </c>
      <c r="BU574" t="s">
        <v>234</v>
      </c>
      <c r="BV574" t="s">
        <v>570</v>
      </c>
      <c r="BW574" t="s">
        <v>259</v>
      </c>
      <c r="BX574" t="s">
        <v>775</v>
      </c>
      <c r="BY574" t="s">
        <v>1223</v>
      </c>
      <c r="BZ574" t="s">
        <v>771</v>
      </c>
      <c r="CA574" t="s">
        <v>1220</v>
      </c>
      <c r="CB574" t="s">
        <v>754</v>
      </c>
      <c r="CC574" t="s">
        <v>1171</v>
      </c>
      <c r="CD574" t="s">
        <v>944</v>
      </c>
      <c r="CE574" t="s">
        <v>1525</v>
      </c>
      <c r="CF574" t="s">
        <v>181</v>
      </c>
      <c r="CG574" t="s">
        <v>1187</v>
      </c>
      <c r="CH574" t="s">
        <v>239</v>
      </c>
      <c r="CI574" t="s">
        <v>241</v>
      </c>
      <c r="CJ574" t="s">
        <v>805</v>
      </c>
      <c r="CK574" t="s">
        <v>806</v>
      </c>
    </row>
    <row r="575" spans="1:94">
      <c r="A575" s="40">
        <v>535</v>
      </c>
      <c r="B575" s="40" t="s">
        <v>2480</v>
      </c>
      <c r="C575" s="2" t="s">
        <v>2481</v>
      </c>
      <c r="D575" s="2" t="s">
        <v>27</v>
      </c>
      <c r="E575" s="2"/>
      <c r="F575" s="2">
        <v>50</v>
      </c>
      <c r="G575" s="2">
        <v>50</v>
      </c>
      <c r="H575" s="2">
        <v>40</v>
      </c>
      <c r="I575" s="2">
        <v>50</v>
      </c>
      <c r="J575" s="2">
        <v>40</v>
      </c>
      <c r="K575" s="2">
        <v>64</v>
      </c>
      <c r="L575" s="2">
        <v>294</v>
      </c>
      <c r="M575" s="2" t="s">
        <v>1067</v>
      </c>
      <c r="N575" s="2" t="s">
        <v>1061</v>
      </c>
      <c r="O575" t="s">
        <v>220</v>
      </c>
      <c r="P575" t="s">
        <v>267</v>
      </c>
      <c r="Q575" t="s">
        <v>290</v>
      </c>
      <c r="R575" t="s">
        <v>1037</v>
      </c>
      <c r="S575" t="s">
        <v>446</v>
      </c>
      <c r="T575" t="s">
        <v>1144</v>
      </c>
      <c r="U575" t="s">
        <v>178</v>
      </c>
      <c r="V575" t="s">
        <v>953</v>
      </c>
      <c r="W575" t="s">
        <v>1105</v>
      </c>
      <c r="X575" t="s">
        <v>766</v>
      </c>
      <c r="Y575" t="s">
        <v>770</v>
      </c>
      <c r="Z575" t="s">
        <v>1083</v>
      </c>
      <c r="AA575" t="s">
        <v>140</v>
      </c>
      <c r="AB575" t="s">
        <v>1160</v>
      </c>
      <c r="AC575" t="s">
        <v>1062</v>
      </c>
      <c r="AD575" t="s">
        <v>144</v>
      </c>
      <c r="AE575" t="s">
        <v>1063</v>
      </c>
      <c r="AF575" t="s">
        <v>148</v>
      </c>
      <c r="AG575" t="s">
        <v>1104</v>
      </c>
      <c r="AH575" t="s">
        <v>172</v>
      </c>
      <c r="AI575" t="s">
        <v>1078</v>
      </c>
      <c r="AJ575" t="s">
        <v>766</v>
      </c>
      <c r="AK575" t="s">
        <v>1079</v>
      </c>
      <c r="AL575" t="s">
        <v>1080</v>
      </c>
      <c r="AM575" t="s">
        <v>230</v>
      </c>
      <c r="AN575" t="s">
        <v>186</v>
      </c>
      <c r="AO575" t="s">
        <v>1081</v>
      </c>
      <c r="AP575" t="s">
        <v>917</v>
      </c>
      <c r="AQ575" t="s">
        <v>231</v>
      </c>
      <c r="AR575" t="s">
        <v>1082</v>
      </c>
      <c r="AS575" t="s">
        <v>1037</v>
      </c>
      <c r="AT575" t="s">
        <v>1083</v>
      </c>
      <c r="AU575" t="s">
        <v>1038</v>
      </c>
      <c r="AV575" t="s">
        <v>756</v>
      </c>
      <c r="AW575" t="s">
        <v>233</v>
      </c>
      <c r="AX575" t="s">
        <v>234</v>
      </c>
      <c r="AY575" t="s">
        <v>273</v>
      </c>
      <c r="AZ575" t="s">
        <v>753</v>
      </c>
      <c r="BA575" t="s">
        <v>757</v>
      </c>
      <c r="BB575" t="s">
        <v>1106</v>
      </c>
      <c r="BC575" t="s">
        <v>933</v>
      </c>
      <c r="BD575" t="s">
        <v>954</v>
      </c>
      <c r="BE575" t="s">
        <v>968</v>
      </c>
      <c r="BF575" t="s">
        <v>990</v>
      </c>
      <c r="BG575" t="s">
        <v>239</v>
      </c>
      <c r="BH575" t="s">
        <v>241</v>
      </c>
      <c r="BI575" t="s">
        <v>805</v>
      </c>
      <c r="BJ575" t="s">
        <v>806</v>
      </c>
    </row>
    <row r="576" spans="1:94">
      <c r="A576" s="40">
        <v>536</v>
      </c>
      <c r="B576" s="40" t="s">
        <v>2482</v>
      </c>
      <c r="C576" s="2" t="s">
        <v>2483</v>
      </c>
      <c r="D576" s="2" t="s">
        <v>27</v>
      </c>
      <c r="E576" s="2" t="s">
        <v>22</v>
      </c>
      <c r="F576" s="2">
        <v>75</v>
      </c>
      <c r="G576" s="2">
        <v>65</v>
      </c>
      <c r="H576" s="2">
        <v>55</v>
      </c>
      <c r="I576" s="2">
        <v>65</v>
      </c>
      <c r="J576" s="2">
        <v>55</v>
      </c>
      <c r="K576" s="2">
        <v>69</v>
      </c>
      <c r="L576" s="2">
        <v>384</v>
      </c>
      <c r="M576" s="2" t="s">
        <v>1073</v>
      </c>
      <c r="N576" s="2" t="s">
        <v>1061</v>
      </c>
      <c r="O576" t="s">
        <v>220</v>
      </c>
      <c r="P576" t="s">
        <v>290</v>
      </c>
      <c r="Q576" t="s">
        <v>267</v>
      </c>
      <c r="R576" t="s">
        <v>1037</v>
      </c>
      <c r="S576" t="s">
        <v>290</v>
      </c>
      <c r="T576" t="s">
        <v>1037</v>
      </c>
      <c r="U576" t="s">
        <v>446</v>
      </c>
      <c r="V576" t="s">
        <v>1144</v>
      </c>
      <c r="W576" t="s">
        <v>178</v>
      </c>
      <c r="X576" t="s">
        <v>953</v>
      </c>
      <c r="Y576" t="s">
        <v>1105</v>
      </c>
      <c r="Z576" t="s">
        <v>766</v>
      </c>
      <c r="AA576" t="s">
        <v>770</v>
      </c>
      <c r="AB576" t="s">
        <v>1083</v>
      </c>
      <c r="AC576" t="s">
        <v>140</v>
      </c>
      <c r="AD576" t="s">
        <v>1160</v>
      </c>
      <c r="AE576" t="s">
        <v>1062</v>
      </c>
      <c r="AF576" t="s">
        <v>144</v>
      </c>
      <c r="AG576" t="s">
        <v>1063</v>
      </c>
      <c r="AH576" t="s">
        <v>148</v>
      </c>
      <c r="AI576" t="s">
        <v>1104</v>
      </c>
      <c r="AJ576" t="s">
        <v>172</v>
      </c>
      <c r="AK576" t="s">
        <v>1078</v>
      </c>
      <c r="AL576" t="s">
        <v>766</v>
      </c>
      <c r="AM576" t="s">
        <v>1079</v>
      </c>
      <c r="AN576" t="s">
        <v>1080</v>
      </c>
      <c r="AO576" t="s">
        <v>230</v>
      </c>
      <c r="AP576" t="s">
        <v>186</v>
      </c>
      <c r="AQ576" t="s">
        <v>1081</v>
      </c>
      <c r="AR576" t="s">
        <v>917</v>
      </c>
      <c r="AS576" t="s">
        <v>231</v>
      </c>
      <c r="AT576" t="s">
        <v>1082</v>
      </c>
      <c r="AU576" t="s">
        <v>1037</v>
      </c>
      <c r="AV576" t="s">
        <v>1083</v>
      </c>
      <c r="AW576" t="s">
        <v>1038</v>
      </c>
      <c r="AX576" t="s">
        <v>1021</v>
      </c>
      <c r="AY576" t="s">
        <v>756</v>
      </c>
      <c r="AZ576" t="s">
        <v>233</v>
      </c>
      <c r="BA576" t="s">
        <v>760</v>
      </c>
      <c r="BB576" t="s">
        <v>234</v>
      </c>
      <c r="BC576" t="s">
        <v>273</v>
      </c>
      <c r="BD576" t="s">
        <v>753</v>
      </c>
      <c r="BE576" t="s">
        <v>757</v>
      </c>
      <c r="BF576" t="s">
        <v>1106</v>
      </c>
      <c r="BG576" t="s">
        <v>933</v>
      </c>
      <c r="BH576" t="s">
        <v>954</v>
      </c>
      <c r="BI576" t="s">
        <v>968</v>
      </c>
      <c r="BJ576" t="s">
        <v>990</v>
      </c>
      <c r="BK576" t="s">
        <v>239</v>
      </c>
      <c r="BL576" t="s">
        <v>241</v>
      </c>
      <c r="BM576" t="s">
        <v>805</v>
      </c>
      <c r="BN576" t="s">
        <v>806</v>
      </c>
    </row>
    <row r="577" spans="1:93">
      <c r="A577" s="40">
        <v>537</v>
      </c>
      <c r="B577" s="40" t="s">
        <v>2484</v>
      </c>
      <c r="C577" s="2" t="s">
        <v>2485</v>
      </c>
      <c r="D577" s="2" t="s">
        <v>27</v>
      </c>
      <c r="E577" s="2" t="s">
        <v>22</v>
      </c>
      <c r="F577" s="2">
        <v>105</v>
      </c>
      <c r="G577" s="2">
        <v>85</v>
      </c>
      <c r="H577" s="2">
        <v>75</v>
      </c>
      <c r="I577" s="2">
        <v>85</v>
      </c>
      <c r="J577" s="2">
        <v>75</v>
      </c>
      <c r="K577" s="2">
        <v>74</v>
      </c>
      <c r="L577" s="2">
        <v>499</v>
      </c>
      <c r="M577" s="2" t="s">
        <v>1177</v>
      </c>
      <c r="N577" s="2" t="s">
        <v>1061</v>
      </c>
      <c r="O577" t="s">
        <v>220</v>
      </c>
      <c r="P577" t="s">
        <v>290</v>
      </c>
      <c r="Q577" t="s">
        <v>267</v>
      </c>
      <c r="R577" t="s">
        <v>1037</v>
      </c>
      <c r="S577" t="s">
        <v>290</v>
      </c>
      <c r="T577" t="s">
        <v>1037</v>
      </c>
      <c r="U577" t="s">
        <v>446</v>
      </c>
      <c r="V577" t="s">
        <v>1144</v>
      </c>
      <c r="W577" t="s">
        <v>178</v>
      </c>
      <c r="X577" t="s">
        <v>953</v>
      </c>
      <c r="Y577" t="s">
        <v>1105</v>
      </c>
      <c r="Z577" t="s">
        <v>766</v>
      </c>
      <c r="AA577" t="s">
        <v>339</v>
      </c>
      <c r="AB577" t="s">
        <v>770</v>
      </c>
      <c r="AC577" t="s">
        <v>181</v>
      </c>
      <c r="AD577" t="s">
        <v>1083</v>
      </c>
      <c r="AE577" t="s">
        <v>140</v>
      </c>
      <c r="AF577" t="s">
        <v>1160</v>
      </c>
      <c r="AG577" t="s">
        <v>1062</v>
      </c>
      <c r="AH577" t="s">
        <v>144</v>
      </c>
      <c r="AI577" t="s">
        <v>227</v>
      </c>
      <c r="AJ577" t="s">
        <v>1063</v>
      </c>
      <c r="AK577" t="s">
        <v>148</v>
      </c>
      <c r="AL577" t="s">
        <v>1104</v>
      </c>
      <c r="AM577" t="s">
        <v>1077</v>
      </c>
      <c r="AN577" t="s">
        <v>172</v>
      </c>
      <c r="AO577" t="s">
        <v>247</v>
      </c>
      <c r="AP577" t="s">
        <v>1078</v>
      </c>
      <c r="AQ577" t="s">
        <v>766</v>
      </c>
      <c r="AR577" t="s">
        <v>1079</v>
      </c>
      <c r="AS577" t="s">
        <v>136</v>
      </c>
      <c r="AT577" t="s">
        <v>1080</v>
      </c>
      <c r="AU577" t="s">
        <v>256</v>
      </c>
      <c r="AV577" t="s">
        <v>1094</v>
      </c>
      <c r="AW577" t="s">
        <v>230</v>
      </c>
      <c r="AX577" t="s">
        <v>186</v>
      </c>
      <c r="AY577" t="s">
        <v>1081</v>
      </c>
      <c r="AZ577" t="s">
        <v>1095</v>
      </c>
      <c r="BA577" t="s">
        <v>917</v>
      </c>
      <c r="BB577" t="s">
        <v>231</v>
      </c>
      <c r="BC577" t="s">
        <v>1082</v>
      </c>
      <c r="BD577" t="s">
        <v>1037</v>
      </c>
      <c r="BE577" t="s">
        <v>1083</v>
      </c>
      <c r="BF577" t="s">
        <v>1102</v>
      </c>
      <c r="BG577" t="s">
        <v>1038</v>
      </c>
      <c r="BH577" t="s">
        <v>974</v>
      </c>
      <c r="BI577" t="s">
        <v>995</v>
      </c>
      <c r="BJ577" t="s">
        <v>976</v>
      </c>
      <c r="BK577" t="s">
        <v>1021</v>
      </c>
      <c r="BL577" t="s">
        <v>143</v>
      </c>
      <c r="BM577" t="s">
        <v>997</v>
      </c>
      <c r="BN577" t="s">
        <v>977</v>
      </c>
      <c r="BO577" t="s">
        <v>756</v>
      </c>
      <c r="BP577" t="s">
        <v>233</v>
      </c>
      <c r="BQ577" t="s">
        <v>760</v>
      </c>
      <c r="BR577" t="s">
        <v>234</v>
      </c>
      <c r="BS577" t="s">
        <v>273</v>
      </c>
      <c r="BT577" t="s">
        <v>753</v>
      </c>
      <c r="BU577" t="s">
        <v>757</v>
      </c>
      <c r="BV577" t="s">
        <v>1106</v>
      </c>
      <c r="BW577" t="s">
        <v>933</v>
      </c>
      <c r="BX577" t="s">
        <v>954</v>
      </c>
      <c r="BY577" t="s">
        <v>968</v>
      </c>
      <c r="BZ577" t="s">
        <v>990</v>
      </c>
      <c r="CA577" t="s">
        <v>239</v>
      </c>
      <c r="CB577" t="s">
        <v>241</v>
      </c>
      <c r="CC577" t="s">
        <v>805</v>
      </c>
      <c r="CD577" t="s">
        <v>806</v>
      </c>
    </row>
    <row r="578" spans="1:93">
      <c r="A578" s="40">
        <v>538</v>
      </c>
      <c r="B578" s="40" t="s">
        <v>2486</v>
      </c>
      <c r="C578" s="2" t="s">
        <v>2487</v>
      </c>
      <c r="D578" s="2" t="s">
        <v>18</v>
      </c>
      <c r="E578" s="2"/>
      <c r="F578" s="2">
        <v>120</v>
      </c>
      <c r="G578" s="2">
        <v>100</v>
      </c>
      <c r="H578" s="2">
        <v>85</v>
      </c>
      <c r="I578" s="2">
        <v>30</v>
      </c>
      <c r="J578" s="2">
        <v>85</v>
      </c>
      <c r="K578" s="2">
        <v>45</v>
      </c>
      <c r="L578" s="2">
        <v>465</v>
      </c>
      <c r="M578" s="2" t="s">
        <v>1188</v>
      </c>
      <c r="N578" s="2" t="s">
        <v>1061</v>
      </c>
      <c r="O578" t="s">
        <v>240</v>
      </c>
      <c r="P578" t="s">
        <v>330</v>
      </c>
      <c r="Q578" t="s">
        <v>347</v>
      </c>
      <c r="R578" t="s">
        <v>302</v>
      </c>
      <c r="S578" t="s">
        <v>436</v>
      </c>
      <c r="T578" t="s">
        <v>1185</v>
      </c>
      <c r="U578" t="s">
        <v>1128</v>
      </c>
      <c r="V578" t="s">
        <v>2032</v>
      </c>
      <c r="W578" t="s">
        <v>364</v>
      </c>
      <c r="X578" t="s">
        <v>1175</v>
      </c>
      <c r="Y578" t="s">
        <v>1180</v>
      </c>
      <c r="Z578" t="s">
        <v>754</v>
      </c>
      <c r="AA578" t="s">
        <v>1187</v>
      </c>
      <c r="AB578" t="s">
        <v>947</v>
      </c>
      <c r="AC578" t="s">
        <v>775</v>
      </c>
      <c r="AD578" t="s">
        <v>1062</v>
      </c>
      <c r="AE578" t="s">
        <v>227</v>
      </c>
      <c r="AF578" t="s">
        <v>1063</v>
      </c>
      <c r="AG578" t="s">
        <v>148</v>
      </c>
      <c r="AH578" t="s">
        <v>1175</v>
      </c>
      <c r="AI578" t="s">
        <v>172</v>
      </c>
      <c r="AJ578" t="s">
        <v>752</v>
      </c>
      <c r="AK578" t="s">
        <v>1126</v>
      </c>
      <c r="AL578" t="s">
        <v>1078</v>
      </c>
      <c r="AM578" t="s">
        <v>766</v>
      </c>
      <c r="AN578" t="s">
        <v>1079</v>
      </c>
      <c r="AO578" t="s">
        <v>136</v>
      </c>
      <c r="AP578" t="s">
        <v>1080</v>
      </c>
      <c r="AQ578" t="s">
        <v>256</v>
      </c>
      <c r="AR578" t="s">
        <v>1094</v>
      </c>
      <c r="AS578" t="s">
        <v>230</v>
      </c>
      <c r="AT578" t="s">
        <v>1095</v>
      </c>
      <c r="AU578" t="s">
        <v>917</v>
      </c>
      <c r="AV578" t="s">
        <v>231</v>
      </c>
      <c r="AW578" t="s">
        <v>1082</v>
      </c>
      <c r="AX578" t="s">
        <v>1172</v>
      </c>
      <c r="AY578" t="s">
        <v>1037</v>
      </c>
      <c r="AZ578" t="s">
        <v>1102</v>
      </c>
      <c r="BA578" t="s">
        <v>974</v>
      </c>
      <c r="BB578" t="s">
        <v>995</v>
      </c>
      <c r="BC578" t="s">
        <v>1036</v>
      </c>
      <c r="BD578" t="s">
        <v>976</v>
      </c>
      <c r="BE578" t="s">
        <v>183</v>
      </c>
      <c r="BF578" t="s">
        <v>1021</v>
      </c>
      <c r="BG578" t="s">
        <v>143</v>
      </c>
      <c r="BH578" t="s">
        <v>997</v>
      </c>
      <c r="BI578" t="s">
        <v>977</v>
      </c>
      <c r="BJ578" t="s">
        <v>756</v>
      </c>
      <c r="BK578" t="s">
        <v>757</v>
      </c>
      <c r="BL578" t="s">
        <v>233</v>
      </c>
      <c r="BM578" t="s">
        <v>760</v>
      </c>
      <c r="BN578" t="s">
        <v>2398</v>
      </c>
      <c r="BO578" t="s">
        <v>2339</v>
      </c>
      <c r="BP578" t="s">
        <v>234</v>
      </c>
      <c r="BQ578" t="s">
        <v>239</v>
      </c>
      <c r="BR578" t="s">
        <v>241</v>
      </c>
      <c r="BS578" t="s">
        <v>805</v>
      </c>
      <c r="BT578" t="s">
        <v>806</v>
      </c>
    </row>
    <row r="579" spans="1:93">
      <c r="A579" s="40">
        <v>539</v>
      </c>
      <c r="B579" s="40" t="s">
        <v>2488</v>
      </c>
      <c r="C579" s="2" t="s">
        <v>2489</v>
      </c>
      <c r="D579" s="2" t="s">
        <v>18</v>
      </c>
      <c r="E579" s="2"/>
      <c r="F579" s="2">
        <v>75</v>
      </c>
      <c r="G579" s="2">
        <v>125</v>
      </c>
      <c r="H579" s="2">
        <v>75</v>
      </c>
      <c r="I579" s="2">
        <v>30</v>
      </c>
      <c r="J579" s="2">
        <v>75</v>
      </c>
      <c r="K579" s="2">
        <v>85</v>
      </c>
      <c r="L579" s="2">
        <v>465</v>
      </c>
      <c r="M579" s="2" t="s">
        <v>1188</v>
      </c>
      <c r="N579" s="2" t="s">
        <v>1061</v>
      </c>
      <c r="O579" t="s">
        <v>330</v>
      </c>
      <c r="P579" t="s">
        <v>760</v>
      </c>
      <c r="Q579" t="s">
        <v>347</v>
      </c>
      <c r="R579" t="s">
        <v>302</v>
      </c>
      <c r="S579" t="s">
        <v>359</v>
      </c>
      <c r="T579" t="s">
        <v>1172</v>
      </c>
      <c r="U579" t="s">
        <v>259</v>
      </c>
      <c r="V579" t="s">
        <v>435</v>
      </c>
      <c r="W579" t="s">
        <v>1094</v>
      </c>
      <c r="X579" t="s">
        <v>1175</v>
      </c>
      <c r="Y579" t="s">
        <v>1036</v>
      </c>
      <c r="Z579" t="s">
        <v>754</v>
      </c>
      <c r="AA579" t="s">
        <v>1035</v>
      </c>
      <c r="AB579" t="s">
        <v>1174</v>
      </c>
      <c r="AC579" t="s">
        <v>775</v>
      </c>
      <c r="AD579" t="s">
        <v>1062</v>
      </c>
      <c r="AE579" t="s">
        <v>227</v>
      </c>
      <c r="AF579" t="s">
        <v>1063</v>
      </c>
      <c r="AG579" t="s">
        <v>148</v>
      </c>
      <c r="AH579" t="s">
        <v>1175</v>
      </c>
      <c r="AI579" t="s">
        <v>172</v>
      </c>
      <c r="AJ579" t="s">
        <v>752</v>
      </c>
      <c r="AK579" t="s">
        <v>1126</v>
      </c>
      <c r="AL579" t="s">
        <v>1078</v>
      </c>
      <c r="AM579" t="s">
        <v>766</v>
      </c>
      <c r="AN579" t="s">
        <v>1079</v>
      </c>
      <c r="AO579" t="s">
        <v>136</v>
      </c>
      <c r="AP579" t="s">
        <v>1080</v>
      </c>
      <c r="AQ579" t="s">
        <v>256</v>
      </c>
      <c r="AR579" t="s">
        <v>1094</v>
      </c>
      <c r="AS579" t="s">
        <v>230</v>
      </c>
      <c r="AT579" t="s">
        <v>1095</v>
      </c>
      <c r="AU579" t="s">
        <v>917</v>
      </c>
      <c r="AV579" t="s">
        <v>231</v>
      </c>
      <c r="AW579" t="s">
        <v>1082</v>
      </c>
      <c r="AX579" t="s">
        <v>1172</v>
      </c>
      <c r="AY579" t="s">
        <v>1037</v>
      </c>
      <c r="AZ579" t="s">
        <v>1102</v>
      </c>
      <c r="BA579" t="s">
        <v>974</v>
      </c>
      <c r="BB579" t="s">
        <v>995</v>
      </c>
      <c r="BC579" t="s">
        <v>1036</v>
      </c>
      <c r="BD579" t="s">
        <v>976</v>
      </c>
      <c r="BE579" t="s">
        <v>183</v>
      </c>
      <c r="BF579" t="s">
        <v>1021</v>
      </c>
      <c r="BG579" t="s">
        <v>143</v>
      </c>
      <c r="BH579" t="s">
        <v>997</v>
      </c>
      <c r="BI579" t="s">
        <v>977</v>
      </c>
      <c r="BJ579" t="s">
        <v>756</v>
      </c>
      <c r="BK579" t="s">
        <v>757</v>
      </c>
      <c r="BL579" t="s">
        <v>233</v>
      </c>
      <c r="BM579" t="s">
        <v>760</v>
      </c>
      <c r="BN579" t="s">
        <v>2398</v>
      </c>
      <c r="BO579" t="s">
        <v>2339</v>
      </c>
      <c r="BP579" t="s">
        <v>234</v>
      </c>
      <c r="BQ579" t="s">
        <v>239</v>
      </c>
      <c r="BR579" t="s">
        <v>241</v>
      </c>
      <c r="BS579" t="s">
        <v>805</v>
      </c>
      <c r="BT579" t="s">
        <v>806</v>
      </c>
    </row>
    <row r="580" spans="1:93">
      <c r="A580" s="40">
        <v>540</v>
      </c>
      <c r="B580" s="40" t="s">
        <v>2490</v>
      </c>
      <c r="C580" s="2" t="s">
        <v>2491</v>
      </c>
      <c r="D580" s="2" t="s">
        <v>14</v>
      </c>
      <c r="E580" s="2" t="s">
        <v>21</v>
      </c>
      <c r="F580" s="2">
        <v>45</v>
      </c>
      <c r="G580" s="2">
        <v>53</v>
      </c>
      <c r="H580" s="2">
        <v>70</v>
      </c>
      <c r="I580" s="2">
        <v>40</v>
      </c>
      <c r="J580" s="2">
        <v>60</v>
      </c>
      <c r="K580" s="2">
        <v>42</v>
      </c>
      <c r="L580" s="2">
        <v>310</v>
      </c>
      <c r="M580" s="2" t="s">
        <v>1067</v>
      </c>
      <c r="N580" s="2" t="s">
        <v>1061</v>
      </c>
      <c r="O580" t="s">
        <v>219</v>
      </c>
      <c r="P580" t="s">
        <v>281</v>
      </c>
      <c r="Q580" t="s">
        <v>1110</v>
      </c>
      <c r="R580" t="s">
        <v>224</v>
      </c>
      <c r="S580" t="s">
        <v>1042</v>
      </c>
      <c r="T580" t="s">
        <v>754</v>
      </c>
      <c r="U580" t="s">
        <v>1115</v>
      </c>
      <c r="V580" t="s">
        <v>770</v>
      </c>
      <c r="W580" t="s">
        <v>1062</v>
      </c>
      <c r="X580" t="s">
        <v>226</v>
      </c>
      <c r="Y580" t="s">
        <v>1063</v>
      </c>
      <c r="Z580" t="s">
        <v>912</v>
      </c>
      <c r="AA580" t="s">
        <v>148</v>
      </c>
      <c r="AB580" t="s">
        <v>172</v>
      </c>
      <c r="AC580" t="s">
        <v>752</v>
      </c>
      <c r="AD580" t="s">
        <v>228</v>
      </c>
      <c r="AE580" t="s">
        <v>1078</v>
      </c>
      <c r="AF580" t="s">
        <v>759</v>
      </c>
      <c r="AG580" t="s">
        <v>1079</v>
      </c>
      <c r="AH580" t="s">
        <v>229</v>
      </c>
      <c r="AI580" t="s">
        <v>1080</v>
      </c>
      <c r="AJ580" t="s">
        <v>230</v>
      </c>
      <c r="AK580" t="s">
        <v>917</v>
      </c>
      <c r="AL580" t="s">
        <v>231</v>
      </c>
      <c r="AM580" t="s">
        <v>1082</v>
      </c>
      <c r="AN580" t="s">
        <v>1037</v>
      </c>
      <c r="AO580" t="s">
        <v>970</v>
      </c>
      <c r="AP580" t="s">
        <v>995</v>
      </c>
      <c r="AQ580" t="s">
        <v>232</v>
      </c>
      <c r="AR580" t="s">
        <v>1042</v>
      </c>
      <c r="AS580" t="s">
        <v>293</v>
      </c>
      <c r="AT580" t="s">
        <v>977</v>
      </c>
      <c r="AU580" t="s">
        <v>756</v>
      </c>
      <c r="AV580" t="s">
        <v>233</v>
      </c>
      <c r="AW580" t="s">
        <v>234</v>
      </c>
      <c r="AX580" t="s">
        <v>332</v>
      </c>
      <c r="AY580" t="s">
        <v>306</v>
      </c>
      <c r="AZ580" t="s">
        <v>324</v>
      </c>
      <c r="BA580" t="s">
        <v>792</v>
      </c>
      <c r="BB580" t="s">
        <v>788</v>
      </c>
      <c r="BC580" t="s">
        <v>1226</v>
      </c>
      <c r="BD580" t="s">
        <v>1113</v>
      </c>
      <c r="BE580" t="s">
        <v>989</v>
      </c>
      <c r="BF580" t="s">
        <v>1101</v>
      </c>
      <c r="BG580" t="s">
        <v>239</v>
      </c>
      <c r="BH580" t="s">
        <v>241</v>
      </c>
      <c r="BI580" t="s">
        <v>805</v>
      </c>
      <c r="BJ580" t="s">
        <v>806</v>
      </c>
    </row>
    <row r="581" spans="1:93">
      <c r="A581" s="40">
        <v>541</v>
      </c>
      <c r="B581" s="40" t="s">
        <v>2492</v>
      </c>
      <c r="C581" s="2" t="s">
        <v>2493</v>
      </c>
      <c r="D581" s="2" t="s">
        <v>14</v>
      </c>
      <c r="E581" s="2" t="s">
        <v>21</v>
      </c>
      <c r="F581" s="2">
        <v>55</v>
      </c>
      <c r="G581" s="2">
        <v>63</v>
      </c>
      <c r="H581" s="2">
        <v>90</v>
      </c>
      <c r="I581" s="2">
        <v>50</v>
      </c>
      <c r="J581" s="2">
        <v>80</v>
      </c>
      <c r="K581" s="2">
        <v>42</v>
      </c>
      <c r="L581" s="2">
        <v>380</v>
      </c>
      <c r="M581" s="2" t="s">
        <v>1065</v>
      </c>
      <c r="N581" s="2" t="s">
        <v>1061</v>
      </c>
      <c r="O581" t="s">
        <v>219</v>
      </c>
      <c r="P581" t="s">
        <v>224</v>
      </c>
      <c r="Q581" t="s">
        <v>281</v>
      </c>
      <c r="R581" t="s">
        <v>1084</v>
      </c>
      <c r="S581" t="s">
        <v>1110</v>
      </c>
      <c r="T581" t="s">
        <v>1078</v>
      </c>
      <c r="U581" t="s">
        <v>1062</v>
      </c>
      <c r="V581" t="s">
        <v>226</v>
      </c>
      <c r="W581" t="s">
        <v>1063</v>
      </c>
      <c r="X581" t="s">
        <v>912</v>
      </c>
      <c r="Y581" t="s">
        <v>148</v>
      </c>
      <c r="Z581" t="s">
        <v>172</v>
      </c>
      <c r="AA581" t="s">
        <v>752</v>
      </c>
      <c r="AB581" t="s">
        <v>228</v>
      </c>
      <c r="AC581" t="s">
        <v>1078</v>
      </c>
      <c r="AD581" t="s">
        <v>759</v>
      </c>
      <c r="AE581" t="s">
        <v>1079</v>
      </c>
      <c r="AF581" t="s">
        <v>229</v>
      </c>
      <c r="AG581" t="s">
        <v>1080</v>
      </c>
      <c r="AH581" t="s">
        <v>230</v>
      </c>
      <c r="AI581" t="s">
        <v>917</v>
      </c>
      <c r="AJ581" t="s">
        <v>231</v>
      </c>
      <c r="AK581" t="s">
        <v>1082</v>
      </c>
      <c r="AL581" t="s">
        <v>1037</v>
      </c>
      <c r="AM581" t="s">
        <v>970</v>
      </c>
      <c r="AN581" t="s">
        <v>995</v>
      </c>
      <c r="AO581" t="s">
        <v>232</v>
      </c>
      <c r="AP581" t="s">
        <v>1042</v>
      </c>
      <c r="AQ581" t="s">
        <v>293</v>
      </c>
      <c r="AR581" t="s">
        <v>977</v>
      </c>
      <c r="AS581" t="s">
        <v>756</v>
      </c>
      <c r="AT581" t="s">
        <v>233</v>
      </c>
      <c r="AU581" t="s">
        <v>234</v>
      </c>
      <c r="AV581" t="s">
        <v>332</v>
      </c>
      <c r="AW581" t="s">
        <v>306</v>
      </c>
      <c r="AX581" t="s">
        <v>324</v>
      </c>
      <c r="AY581" t="s">
        <v>792</v>
      </c>
      <c r="AZ581" t="s">
        <v>788</v>
      </c>
      <c r="BA581" t="s">
        <v>1226</v>
      </c>
      <c r="BB581" t="s">
        <v>1113</v>
      </c>
      <c r="BC581" t="s">
        <v>989</v>
      </c>
      <c r="BD581" t="s">
        <v>1101</v>
      </c>
      <c r="BE581" t="s">
        <v>239</v>
      </c>
      <c r="BF581" t="s">
        <v>241</v>
      </c>
      <c r="BG581" t="s">
        <v>1042</v>
      </c>
      <c r="BH581" t="s">
        <v>754</v>
      </c>
      <c r="BI581" t="s">
        <v>1115</v>
      </c>
      <c r="BJ581" t="s">
        <v>770</v>
      </c>
      <c r="BK581" t="s">
        <v>805</v>
      </c>
      <c r="BL581" t="s">
        <v>806</v>
      </c>
    </row>
    <row r="582" spans="1:93">
      <c r="A582" s="40">
        <v>542</v>
      </c>
      <c r="B582" s="40" t="s">
        <v>2494</v>
      </c>
      <c r="C582" s="2" t="s">
        <v>2495</v>
      </c>
      <c r="D582" s="2" t="s">
        <v>14</v>
      </c>
      <c r="E582" s="2" t="s">
        <v>21</v>
      </c>
      <c r="F582" s="2">
        <v>75</v>
      </c>
      <c r="G582" s="2">
        <v>103</v>
      </c>
      <c r="H582" s="2">
        <v>80</v>
      </c>
      <c r="I582" s="2">
        <v>70</v>
      </c>
      <c r="J582" s="2">
        <v>70</v>
      </c>
      <c r="K582" s="2">
        <v>92</v>
      </c>
      <c r="L582" s="2">
        <v>490</v>
      </c>
      <c r="M582" s="2" t="s">
        <v>1137</v>
      </c>
      <c r="N582" s="2" t="s">
        <v>1061</v>
      </c>
      <c r="O582" t="s">
        <v>219</v>
      </c>
      <c r="P582" t="s">
        <v>224</v>
      </c>
      <c r="Q582" t="s">
        <v>281</v>
      </c>
      <c r="R582" t="s">
        <v>776</v>
      </c>
      <c r="S582" t="s">
        <v>1110</v>
      </c>
      <c r="T582" t="s">
        <v>1110</v>
      </c>
      <c r="U582" t="s">
        <v>224</v>
      </c>
      <c r="V582" t="s">
        <v>1042</v>
      </c>
      <c r="W582" t="s">
        <v>253</v>
      </c>
      <c r="X582" t="s">
        <v>925</v>
      </c>
      <c r="Y582" t="s">
        <v>1194</v>
      </c>
      <c r="Z582" t="s">
        <v>1018</v>
      </c>
      <c r="AA582" t="s">
        <v>1577</v>
      </c>
      <c r="AB582" t="s">
        <v>145</v>
      </c>
      <c r="AC582" t="s">
        <v>1086</v>
      </c>
      <c r="AD582" t="s">
        <v>1062</v>
      </c>
      <c r="AE582" t="s">
        <v>226</v>
      </c>
      <c r="AF582" t="s">
        <v>1063</v>
      </c>
      <c r="AG582" t="s">
        <v>1030</v>
      </c>
      <c r="AH582" t="s">
        <v>912</v>
      </c>
      <c r="AI582" t="s">
        <v>148</v>
      </c>
      <c r="AJ582" t="s">
        <v>172</v>
      </c>
      <c r="AK582" t="s">
        <v>752</v>
      </c>
      <c r="AL582" t="s">
        <v>247</v>
      </c>
      <c r="AM582" t="s">
        <v>228</v>
      </c>
      <c r="AN582" t="s">
        <v>1078</v>
      </c>
      <c r="AO582" t="s">
        <v>759</v>
      </c>
      <c r="AP582" t="s">
        <v>1079</v>
      </c>
      <c r="AQ582" t="s">
        <v>229</v>
      </c>
      <c r="AR582" t="s">
        <v>1080</v>
      </c>
      <c r="AS582" t="s">
        <v>230</v>
      </c>
      <c r="AT582" t="s">
        <v>380</v>
      </c>
      <c r="AU582" t="s">
        <v>1096</v>
      </c>
      <c r="AV582" t="s">
        <v>917</v>
      </c>
      <c r="AW582" t="s">
        <v>231</v>
      </c>
      <c r="AX582" t="s">
        <v>1082</v>
      </c>
      <c r="AY582" t="s">
        <v>1037</v>
      </c>
      <c r="AZ582" t="s">
        <v>970</v>
      </c>
      <c r="BA582" t="s">
        <v>776</v>
      </c>
      <c r="BB582" t="s">
        <v>1005</v>
      </c>
      <c r="BC582" t="s">
        <v>995</v>
      </c>
      <c r="BD582" t="s">
        <v>1036</v>
      </c>
      <c r="BE582" t="s">
        <v>976</v>
      </c>
      <c r="BF582" t="s">
        <v>232</v>
      </c>
      <c r="BG582" t="s">
        <v>145</v>
      </c>
      <c r="BH582" t="s">
        <v>1042</v>
      </c>
      <c r="BI582" t="s">
        <v>1018</v>
      </c>
      <c r="BJ582" t="s">
        <v>997</v>
      </c>
      <c r="BK582" t="s">
        <v>293</v>
      </c>
      <c r="BL582" t="s">
        <v>977</v>
      </c>
      <c r="BM582" t="s">
        <v>756</v>
      </c>
      <c r="BN582" t="s">
        <v>233</v>
      </c>
      <c r="BO582" t="s">
        <v>234</v>
      </c>
      <c r="BP582" t="s">
        <v>332</v>
      </c>
      <c r="BQ582" t="s">
        <v>306</v>
      </c>
      <c r="BR582" t="s">
        <v>324</v>
      </c>
      <c r="BS582" t="s">
        <v>792</v>
      </c>
      <c r="BT582" t="s">
        <v>788</v>
      </c>
      <c r="BU582" t="s">
        <v>1226</v>
      </c>
      <c r="BV582" t="s">
        <v>1113</v>
      </c>
      <c r="BW582" t="s">
        <v>989</v>
      </c>
      <c r="BX582" t="s">
        <v>1101</v>
      </c>
      <c r="BY582" t="s">
        <v>239</v>
      </c>
      <c r="BZ582" t="s">
        <v>241</v>
      </c>
      <c r="CA582" t="s">
        <v>1084</v>
      </c>
      <c r="CB582" t="s">
        <v>1078</v>
      </c>
      <c r="CC582" t="s">
        <v>754</v>
      </c>
      <c r="CD582" t="s">
        <v>1115</v>
      </c>
      <c r="CE582" t="s">
        <v>770</v>
      </c>
      <c r="CF582" t="s">
        <v>805</v>
      </c>
      <c r="CG582" t="s">
        <v>806</v>
      </c>
    </row>
    <row r="583" spans="1:93">
      <c r="A583" s="40">
        <v>543</v>
      </c>
      <c r="B583" s="40" t="s">
        <v>2496</v>
      </c>
      <c r="C583" s="2" t="s">
        <v>2497</v>
      </c>
      <c r="D583" s="2" t="s">
        <v>14</v>
      </c>
      <c r="E583" s="2" t="s">
        <v>11</v>
      </c>
      <c r="F583" s="2">
        <v>30</v>
      </c>
      <c r="G583" s="2">
        <v>45</v>
      </c>
      <c r="H583" s="2">
        <v>59</v>
      </c>
      <c r="I583" s="2">
        <v>30</v>
      </c>
      <c r="J583" s="2">
        <v>39</v>
      </c>
      <c r="K583" s="2">
        <v>57</v>
      </c>
      <c r="L583" s="2">
        <v>260</v>
      </c>
      <c r="M583" s="2" t="s">
        <v>1066</v>
      </c>
      <c r="N583" s="2" t="s">
        <v>1061</v>
      </c>
      <c r="O583" t="s">
        <v>353</v>
      </c>
      <c r="P583" t="s">
        <v>768</v>
      </c>
      <c r="Q583" t="s">
        <v>296</v>
      </c>
      <c r="R583" t="s">
        <v>324</v>
      </c>
      <c r="S583" t="s">
        <v>773</v>
      </c>
      <c r="T583" t="s">
        <v>1078</v>
      </c>
      <c r="U583" t="s">
        <v>936</v>
      </c>
      <c r="V583" t="s">
        <v>1110</v>
      </c>
      <c r="W583" t="s">
        <v>1077</v>
      </c>
      <c r="X583" t="s">
        <v>306</v>
      </c>
      <c r="Y583" t="s">
        <v>1198</v>
      </c>
      <c r="Z583" t="s">
        <v>148</v>
      </c>
      <c r="AA583" t="s">
        <v>1002</v>
      </c>
      <c r="AB583" t="s">
        <v>225</v>
      </c>
      <c r="AC583" t="s">
        <v>1062</v>
      </c>
      <c r="AD583" t="s">
        <v>1063</v>
      </c>
      <c r="AE583" t="s">
        <v>148</v>
      </c>
      <c r="AF583" t="s">
        <v>1077</v>
      </c>
      <c r="AG583" t="s">
        <v>172</v>
      </c>
      <c r="AH583" t="s">
        <v>752</v>
      </c>
      <c r="AI583" t="s">
        <v>1078</v>
      </c>
      <c r="AJ583" t="s">
        <v>1079</v>
      </c>
      <c r="AK583" t="s">
        <v>229</v>
      </c>
      <c r="AL583" t="s">
        <v>1080</v>
      </c>
      <c r="AM583" t="s">
        <v>230</v>
      </c>
      <c r="AN583" t="s">
        <v>1081</v>
      </c>
      <c r="AO583" t="s">
        <v>917</v>
      </c>
      <c r="AP583" t="s">
        <v>231</v>
      </c>
      <c r="AQ583" t="s">
        <v>1082</v>
      </c>
      <c r="AR583" t="s">
        <v>1037</v>
      </c>
      <c r="AS583" t="s">
        <v>995</v>
      </c>
      <c r="AT583" t="s">
        <v>980</v>
      </c>
      <c r="AU583" t="s">
        <v>1042</v>
      </c>
      <c r="AV583" t="s">
        <v>2369</v>
      </c>
      <c r="AW583" t="s">
        <v>997</v>
      </c>
      <c r="AX583" t="s">
        <v>756</v>
      </c>
      <c r="AY583" t="s">
        <v>757</v>
      </c>
      <c r="AZ583" t="s">
        <v>233</v>
      </c>
      <c r="BA583" t="s">
        <v>760</v>
      </c>
      <c r="BB583" t="s">
        <v>2339</v>
      </c>
      <c r="BC583" t="s">
        <v>234</v>
      </c>
      <c r="BD583" t="s">
        <v>223</v>
      </c>
      <c r="BE583" t="s">
        <v>303</v>
      </c>
      <c r="BF583" t="s">
        <v>305</v>
      </c>
      <c r="BG583" t="s">
        <v>1215</v>
      </c>
      <c r="BH583" t="s">
        <v>1011</v>
      </c>
      <c r="BI583" t="s">
        <v>1002</v>
      </c>
      <c r="BJ583" t="s">
        <v>239</v>
      </c>
      <c r="BK583" t="s">
        <v>241</v>
      </c>
      <c r="BL583" t="s">
        <v>805</v>
      </c>
      <c r="BM583" t="s">
        <v>806</v>
      </c>
    </row>
    <row r="584" spans="1:93">
      <c r="A584" s="40">
        <v>544</v>
      </c>
      <c r="B584" s="40" t="s">
        <v>2498</v>
      </c>
      <c r="C584" s="2" t="s">
        <v>2499</v>
      </c>
      <c r="D584" s="2" t="s">
        <v>14</v>
      </c>
      <c r="E584" s="2" t="s">
        <v>11</v>
      </c>
      <c r="F584" s="2">
        <v>40</v>
      </c>
      <c r="G584" s="2">
        <v>55</v>
      </c>
      <c r="H584" s="2">
        <v>99</v>
      </c>
      <c r="I584" s="2">
        <v>40</v>
      </c>
      <c r="J584" s="2">
        <v>79</v>
      </c>
      <c r="K584" s="2">
        <v>47</v>
      </c>
      <c r="L584" s="2">
        <v>360</v>
      </c>
      <c r="M584" s="2" t="s">
        <v>1120</v>
      </c>
      <c r="N584" s="2" t="s">
        <v>1061</v>
      </c>
      <c r="O584" t="s">
        <v>296</v>
      </c>
      <c r="P584" t="s">
        <v>324</v>
      </c>
      <c r="Q584" t="s">
        <v>353</v>
      </c>
      <c r="R584" t="s">
        <v>768</v>
      </c>
      <c r="S584" t="s">
        <v>296</v>
      </c>
      <c r="T584" t="s">
        <v>324</v>
      </c>
      <c r="U584" t="s">
        <v>773</v>
      </c>
      <c r="V584" t="s">
        <v>1078</v>
      </c>
      <c r="W584" t="s">
        <v>936</v>
      </c>
      <c r="X584" t="s">
        <v>177</v>
      </c>
      <c r="Y584" t="s">
        <v>1110</v>
      </c>
      <c r="Z584" t="s">
        <v>1077</v>
      </c>
      <c r="AA584" t="s">
        <v>306</v>
      </c>
      <c r="AB584" t="s">
        <v>1198</v>
      </c>
      <c r="AC584" t="s">
        <v>148</v>
      </c>
      <c r="AD584" t="s">
        <v>2410</v>
      </c>
      <c r="AE584" t="s">
        <v>1002</v>
      </c>
      <c r="AF584" t="s">
        <v>225</v>
      </c>
      <c r="AG584" t="s">
        <v>1062</v>
      </c>
      <c r="AH584" t="s">
        <v>1063</v>
      </c>
      <c r="AI584" t="s">
        <v>148</v>
      </c>
      <c r="AJ584" t="s">
        <v>1077</v>
      </c>
      <c r="AK584" t="s">
        <v>172</v>
      </c>
      <c r="AL584" t="s">
        <v>752</v>
      </c>
      <c r="AM584" t="s">
        <v>1078</v>
      </c>
      <c r="AN584" t="s">
        <v>1079</v>
      </c>
      <c r="AO584" t="s">
        <v>229</v>
      </c>
      <c r="AP584" t="s">
        <v>1080</v>
      </c>
      <c r="AQ584" t="s">
        <v>230</v>
      </c>
      <c r="AR584" t="s">
        <v>1081</v>
      </c>
      <c r="AS584" t="s">
        <v>917</v>
      </c>
      <c r="AT584" t="s">
        <v>231</v>
      </c>
      <c r="AU584" t="s">
        <v>1082</v>
      </c>
      <c r="AV584" t="s">
        <v>1037</v>
      </c>
      <c r="AW584" t="s">
        <v>995</v>
      </c>
      <c r="AX584" t="s">
        <v>980</v>
      </c>
      <c r="AY584" t="s">
        <v>1042</v>
      </c>
      <c r="AZ584" t="s">
        <v>2369</v>
      </c>
      <c r="BA584" t="s">
        <v>997</v>
      </c>
      <c r="BB584" t="s">
        <v>756</v>
      </c>
      <c r="BC584" t="s">
        <v>757</v>
      </c>
      <c r="BD584" t="s">
        <v>233</v>
      </c>
      <c r="BE584" t="s">
        <v>760</v>
      </c>
      <c r="BF584" t="s">
        <v>2339</v>
      </c>
      <c r="BG584" t="s">
        <v>234</v>
      </c>
      <c r="BH584" t="s">
        <v>223</v>
      </c>
      <c r="BI584" t="s">
        <v>303</v>
      </c>
      <c r="BJ584" t="s">
        <v>305</v>
      </c>
      <c r="BK584" t="s">
        <v>1215</v>
      </c>
      <c r="BL584" t="s">
        <v>1011</v>
      </c>
      <c r="BM584" t="s">
        <v>1002</v>
      </c>
      <c r="BN584" t="s">
        <v>239</v>
      </c>
      <c r="BO584" t="s">
        <v>241</v>
      </c>
      <c r="BP584" t="s">
        <v>805</v>
      </c>
      <c r="BQ584" t="s">
        <v>806</v>
      </c>
    </row>
    <row r="585" spans="1:93">
      <c r="A585" s="40">
        <v>545</v>
      </c>
      <c r="B585" s="40" t="s">
        <v>2500</v>
      </c>
      <c r="C585" s="2" t="s">
        <v>2501</v>
      </c>
      <c r="D585" s="2" t="s">
        <v>14</v>
      </c>
      <c r="E585" s="2" t="s">
        <v>11</v>
      </c>
      <c r="F585" s="2">
        <v>60</v>
      </c>
      <c r="G585" s="2">
        <v>90</v>
      </c>
      <c r="H585" s="2">
        <v>89</v>
      </c>
      <c r="I585" s="2">
        <v>55</v>
      </c>
      <c r="J585" s="2">
        <v>69</v>
      </c>
      <c r="K585" s="2">
        <v>112</v>
      </c>
      <c r="L585" s="2">
        <v>475</v>
      </c>
      <c r="M585" s="2" t="s">
        <v>1177</v>
      </c>
      <c r="N585" s="2" t="s">
        <v>1061</v>
      </c>
      <c r="O585" t="s">
        <v>296</v>
      </c>
      <c r="P585" t="s">
        <v>324</v>
      </c>
      <c r="Q585" t="s">
        <v>353</v>
      </c>
      <c r="R585" t="s">
        <v>768</v>
      </c>
      <c r="S585" t="s">
        <v>797</v>
      </c>
      <c r="T585" t="s">
        <v>296</v>
      </c>
      <c r="U585" t="s">
        <v>324</v>
      </c>
      <c r="V585" t="s">
        <v>773</v>
      </c>
      <c r="W585" t="s">
        <v>1078</v>
      </c>
      <c r="X585" t="s">
        <v>936</v>
      </c>
      <c r="Y585" t="s">
        <v>1110</v>
      </c>
      <c r="Z585" t="s">
        <v>1077</v>
      </c>
      <c r="AA585" t="s">
        <v>788</v>
      </c>
      <c r="AB585" t="s">
        <v>306</v>
      </c>
      <c r="AC585" t="s">
        <v>1198</v>
      </c>
      <c r="AD585" t="s">
        <v>148</v>
      </c>
      <c r="AE585" t="s">
        <v>2410</v>
      </c>
      <c r="AF585" t="s">
        <v>1002</v>
      </c>
      <c r="AG585" t="s">
        <v>225</v>
      </c>
      <c r="AH585" t="s">
        <v>1062</v>
      </c>
      <c r="AI585" t="s">
        <v>226</v>
      </c>
      <c r="AJ585" t="s">
        <v>227</v>
      </c>
      <c r="AK585" t="s">
        <v>1063</v>
      </c>
      <c r="AL585" t="s">
        <v>148</v>
      </c>
      <c r="AM585" t="s">
        <v>1077</v>
      </c>
      <c r="AN585" t="s">
        <v>172</v>
      </c>
      <c r="AO585" t="s">
        <v>752</v>
      </c>
      <c r="AP585" t="s">
        <v>247</v>
      </c>
      <c r="AQ585" t="s">
        <v>1078</v>
      </c>
      <c r="AR585" t="s">
        <v>1079</v>
      </c>
      <c r="AS585" t="s">
        <v>229</v>
      </c>
      <c r="AT585" t="s">
        <v>136</v>
      </c>
      <c r="AU585" t="s">
        <v>1080</v>
      </c>
      <c r="AV585" t="s">
        <v>256</v>
      </c>
      <c r="AW585" t="s">
        <v>230</v>
      </c>
      <c r="AX585" t="s">
        <v>1081</v>
      </c>
      <c r="AY585" t="s">
        <v>1095</v>
      </c>
      <c r="AZ585" t="s">
        <v>917</v>
      </c>
      <c r="BA585" t="s">
        <v>231</v>
      </c>
      <c r="BB585" t="s">
        <v>1082</v>
      </c>
      <c r="BC585" t="s">
        <v>1037</v>
      </c>
      <c r="BD585" t="s">
        <v>995</v>
      </c>
      <c r="BE585" t="s">
        <v>976</v>
      </c>
      <c r="BF585" t="s">
        <v>980</v>
      </c>
      <c r="BG585" t="s">
        <v>145</v>
      </c>
      <c r="BH585" t="s">
        <v>1042</v>
      </c>
      <c r="BI585" t="s">
        <v>1021</v>
      </c>
      <c r="BJ585" t="s">
        <v>143</v>
      </c>
      <c r="BK585" t="s">
        <v>1018</v>
      </c>
      <c r="BL585" t="s">
        <v>2369</v>
      </c>
      <c r="BM585" t="s">
        <v>997</v>
      </c>
      <c r="BN585" t="s">
        <v>756</v>
      </c>
      <c r="BO585" t="s">
        <v>757</v>
      </c>
      <c r="BP585" t="s">
        <v>233</v>
      </c>
      <c r="BQ585" t="s">
        <v>760</v>
      </c>
      <c r="BR585" t="s">
        <v>2339</v>
      </c>
      <c r="BS585" t="s">
        <v>234</v>
      </c>
      <c r="BT585" t="s">
        <v>223</v>
      </c>
      <c r="BU585" t="s">
        <v>303</v>
      </c>
      <c r="BV585" t="s">
        <v>305</v>
      </c>
      <c r="BW585" t="s">
        <v>1215</v>
      </c>
      <c r="BX585" t="s">
        <v>1011</v>
      </c>
      <c r="BY585" t="s">
        <v>1002</v>
      </c>
      <c r="BZ585" t="s">
        <v>239</v>
      </c>
      <c r="CA585" t="s">
        <v>241</v>
      </c>
      <c r="CB585" t="s">
        <v>177</v>
      </c>
      <c r="CC585" t="s">
        <v>805</v>
      </c>
      <c r="CD585" t="s">
        <v>806</v>
      </c>
    </row>
    <row r="586" spans="1:93">
      <c r="A586" s="40">
        <v>546</v>
      </c>
      <c r="B586" s="40" t="s">
        <v>2502</v>
      </c>
      <c r="C586" s="2" t="s">
        <v>2503</v>
      </c>
      <c r="D586" s="2" t="s">
        <v>21</v>
      </c>
      <c r="E586" s="2" t="s">
        <v>894</v>
      </c>
      <c r="F586" s="2">
        <v>40</v>
      </c>
      <c r="G586" s="2">
        <v>27</v>
      </c>
      <c r="H586" s="2">
        <v>60</v>
      </c>
      <c r="I586" s="2">
        <v>37</v>
      </c>
      <c r="J586" s="2">
        <v>50</v>
      </c>
      <c r="K586" s="2">
        <v>66</v>
      </c>
      <c r="L586" s="2">
        <v>280</v>
      </c>
      <c r="M586" s="2" t="s">
        <v>1073</v>
      </c>
      <c r="N586" s="2" t="s">
        <v>1061</v>
      </c>
      <c r="O586" t="s">
        <v>402</v>
      </c>
      <c r="P586" t="s">
        <v>215</v>
      </c>
      <c r="Q586" t="s">
        <v>142</v>
      </c>
      <c r="R586" t="s">
        <v>288</v>
      </c>
      <c r="S586" t="s">
        <v>403</v>
      </c>
      <c r="T586" t="s">
        <v>1297</v>
      </c>
      <c r="U586" t="s">
        <v>224</v>
      </c>
      <c r="V586" t="s">
        <v>221</v>
      </c>
      <c r="W586" t="s">
        <v>171</v>
      </c>
      <c r="X586" t="s">
        <v>781</v>
      </c>
      <c r="Y586" t="s">
        <v>925</v>
      </c>
      <c r="Z586" t="s">
        <v>970</v>
      </c>
      <c r="AA586" t="s">
        <v>1298</v>
      </c>
      <c r="AB586" t="s">
        <v>752</v>
      </c>
      <c r="AC586" t="s">
        <v>916</v>
      </c>
      <c r="AD586" t="s">
        <v>229</v>
      </c>
      <c r="AE586" t="s">
        <v>1062</v>
      </c>
      <c r="AF586" t="s">
        <v>1063</v>
      </c>
      <c r="AG586" t="s">
        <v>148</v>
      </c>
      <c r="AH586" t="s">
        <v>172</v>
      </c>
      <c r="AI586" t="s">
        <v>752</v>
      </c>
      <c r="AJ586" t="s">
        <v>1126</v>
      </c>
      <c r="AK586" t="s">
        <v>1078</v>
      </c>
      <c r="AL586" t="s">
        <v>759</v>
      </c>
      <c r="AM586" t="s">
        <v>1079</v>
      </c>
      <c r="AN586" t="s">
        <v>229</v>
      </c>
      <c r="AO586" t="s">
        <v>1080</v>
      </c>
      <c r="AP586" t="s">
        <v>230</v>
      </c>
      <c r="AQ586" t="s">
        <v>917</v>
      </c>
      <c r="AR586" t="s">
        <v>231</v>
      </c>
      <c r="AS586" t="s">
        <v>1082</v>
      </c>
      <c r="AT586" t="s">
        <v>1037</v>
      </c>
      <c r="AU586" t="s">
        <v>970</v>
      </c>
      <c r="AV586" t="s">
        <v>232</v>
      </c>
      <c r="AW586" t="s">
        <v>293</v>
      </c>
      <c r="AX586" t="s">
        <v>977</v>
      </c>
      <c r="AY586" t="s">
        <v>756</v>
      </c>
      <c r="AZ586" t="s">
        <v>233</v>
      </c>
      <c r="BA586" t="s">
        <v>234</v>
      </c>
      <c r="BB586" t="s">
        <v>779</v>
      </c>
      <c r="BC586" t="s">
        <v>763</v>
      </c>
      <c r="BD586" t="s">
        <v>931</v>
      </c>
      <c r="BE586" t="s">
        <v>918</v>
      </c>
      <c r="BF586" t="s">
        <v>1084</v>
      </c>
      <c r="BG586" t="s">
        <v>950</v>
      </c>
      <c r="BH586" t="s">
        <v>992</v>
      </c>
      <c r="BI586" t="s">
        <v>1017</v>
      </c>
      <c r="BJ586" t="s">
        <v>1136</v>
      </c>
      <c r="BK586" t="s">
        <v>239</v>
      </c>
      <c r="BL586" t="s">
        <v>241</v>
      </c>
      <c r="BM586" t="s">
        <v>805</v>
      </c>
      <c r="BN586" t="s">
        <v>806</v>
      </c>
    </row>
    <row r="587" spans="1:93">
      <c r="A587" s="40">
        <v>547</v>
      </c>
      <c r="B587" s="40" t="s">
        <v>2504</v>
      </c>
      <c r="C587" s="2" t="s">
        <v>2505</v>
      </c>
      <c r="D587" s="2" t="s">
        <v>21</v>
      </c>
      <c r="E587" s="2" t="s">
        <v>894</v>
      </c>
      <c r="F587" s="2">
        <v>60</v>
      </c>
      <c r="G587" s="2">
        <v>67</v>
      </c>
      <c r="H587" s="2">
        <v>85</v>
      </c>
      <c r="I587" s="2">
        <v>77</v>
      </c>
      <c r="J587" s="2">
        <v>75</v>
      </c>
      <c r="K587" s="2">
        <v>116</v>
      </c>
      <c r="L587" s="2">
        <v>480</v>
      </c>
      <c r="M587" s="2" t="s">
        <v>1145</v>
      </c>
      <c r="N587" s="2" t="s">
        <v>1061</v>
      </c>
      <c r="O587" t="s">
        <v>403</v>
      </c>
      <c r="P587" t="s">
        <v>142</v>
      </c>
      <c r="Q587" t="s">
        <v>215</v>
      </c>
      <c r="R587" t="s">
        <v>1297</v>
      </c>
      <c r="S587" t="s">
        <v>289</v>
      </c>
      <c r="T587" t="s">
        <v>1009</v>
      </c>
      <c r="U587" t="s">
        <v>1122</v>
      </c>
      <c r="V587" t="s">
        <v>1062</v>
      </c>
      <c r="W587" t="s">
        <v>1063</v>
      </c>
      <c r="X587" t="s">
        <v>148</v>
      </c>
      <c r="Y587" t="s">
        <v>172</v>
      </c>
      <c r="Z587" t="s">
        <v>752</v>
      </c>
      <c r="AA587" t="s">
        <v>1126</v>
      </c>
      <c r="AB587" t="s">
        <v>247</v>
      </c>
      <c r="AC587" t="s">
        <v>228</v>
      </c>
      <c r="AD587" t="s">
        <v>1078</v>
      </c>
      <c r="AE587" t="s">
        <v>759</v>
      </c>
      <c r="AF587" t="s">
        <v>1079</v>
      </c>
      <c r="AG587" t="s">
        <v>229</v>
      </c>
      <c r="AH587" t="s">
        <v>1080</v>
      </c>
      <c r="AI587" t="s">
        <v>9</v>
      </c>
      <c r="AJ587" t="s">
        <v>174</v>
      </c>
      <c r="AK587" t="s">
        <v>230</v>
      </c>
      <c r="AL587" t="s">
        <v>917</v>
      </c>
      <c r="AM587" t="s">
        <v>231</v>
      </c>
      <c r="AN587" t="s">
        <v>1082</v>
      </c>
      <c r="AO587" t="s">
        <v>1117</v>
      </c>
      <c r="AP587" t="s">
        <v>1037</v>
      </c>
      <c r="AQ587" t="s">
        <v>970</v>
      </c>
      <c r="AR587" t="s">
        <v>974</v>
      </c>
      <c r="AS587" t="s">
        <v>976</v>
      </c>
      <c r="AT587" t="s">
        <v>232</v>
      </c>
      <c r="AU587" t="s">
        <v>293</v>
      </c>
      <c r="AV587" t="s">
        <v>977</v>
      </c>
      <c r="AW587" t="s">
        <v>756</v>
      </c>
      <c r="AX587" t="s">
        <v>1014</v>
      </c>
      <c r="AY587" t="s">
        <v>233</v>
      </c>
      <c r="AZ587" t="s">
        <v>1012</v>
      </c>
      <c r="BA587" t="s">
        <v>234</v>
      </c>
      <c r="BB587" t="s">
        <v>779</v>
      </c>
      <c r="BC587" t="s">
        <v>763</v>
      </c>
      <c r="BD587" t="s">
        <v>931</v>
      </c>
      <c r="BE587" t="s">
        <v>918</v>
      </c>
      <c r="BF587" t="s">
        <v>1084</v>
      </c>
      <c r="BG587" t="s">
        <v>950</v>
      </c>
      <c r="BH587" t="s">
        <v>992</v>
      </c>
      <c r="BI587" t="s">
        <v>1017</v>
      </c>
      <c r="BJ587" t="s">
        <v>1136</v>
      </c>
      <c r="BK587" t="s">
        <v>239</v>
      </c>
      <c r="BL587" t="s">
        <v>241</v>
      </c>
      <c r="BM587" t="s">
        <v>402</v>
      </c>
      <c r="BN587" t="s">
        <v>288</v>
      </c>
      <c r="BO587" t="s">
        <v>224</v>
      </c>
      <c r="BP587" t="s">
        <v>221</v>
      </c>
      <c r="BQ587" t="s">
        <v>171</v>
      </c>
      <c r="BR587" t="s">
        <v>781</v>
      </c>
      <c r="BS587" t="s">
        <v>925</v>
      </c>
      <c r="BT587" t="s">
        <v>970</v>
      </c>
      <c r="BU587" t="s">
        <v>1298</v>
      </c>
      <c r="BV587" t="s">
        <v>752</v>
      </c>
      <c r="BW587" t="s">
        <v>916</v>
      </c>
      <c r="BX587" t="s">
        <v>229</v>
      </c>
      <c r="BY587" t="s">
        <v>805</v>
      </c>
      <c r="BZ587" t="s">
        <v>806</v>
      </c>
    </row>
    <row r="588" spans="1:93">
      <c r="A588" s="40">
        <v>548</v>
      </c>
      <c r="B588" s="40" t="s">
        <v>2506</v>
      </c>
      <c r="C588" s="2" t="s">
        <v>2507</v>
      </c>
      <c r="D588" s="2" t="s">
        <v>21</v>
      </c>
      <c r="E588" s="2"/>
      <c r="F588" s="2">
        <v>45</v>
      </c>
      <c r="G588" s="2">
        <v>35</v>
      </c>
      <c r="H588" s="2">
        <v>50</v>
      </c>
      <c r="I588" s="2">
        <v>70</v>
      </c>
      <c r="J588" s="2">
        <v>50</v>
      </c>
      <c r="K588" s="2">
        <v>30</v>
      </c>
      <c r="L588" s="2">
        <v>280</v>
      </c>
      <c r="M588" s="2" t="s">
        <v>1073</v>
      </c>
      <c r="N588" s="2" t="s">
        <v>1061</v>
      </c>
      <c r="O588" t="s">
        <v>402</v>
      </c>
      <c r="P588" t="s">
        <v>215</v>
      </c>
      <c r="Q588" t="s">
        <v>142</v>
      </c>
      <c r="R588" t="s">
        <v>222</v>
      </c>
      <c r="S588" t="s">
        <v>403</v>
      </c>
      <c r="T588" t="s">
        <v>750</v>
      </c>
      <c r="U588" t="s">
        <v>930</v>
      </c>
      <c r="V588" t="s">
        <v>288</v>
      </c>
      <c r="W588" t="s">
        <v>171</v>
      </c>
      <c r="X588" t="s">
        <v>1153</v>
      </c>
      <c r="Y588" t="s">
        <v>925</v>
      </c>
      <c r="Z588" t="s">
        <v>970</v>
      </c>
      <c r="AA588" t="s">
        <v>1577</v>
      </c>
      <c r="AB588" t="s">
        <v>752</v>
      </c>
      <c r="AC588" t="s">
        <v>1150</v>
      </c>
      <c r="AD588" t="s">
        <v>1086</v>
      </c>
      <c r="AE588" t="s">
        <v>1062</v>
      </c>
      <c r="AF588" t="s">
        <v>226</v>
      </c>
      <c r="AG588" t="s">
        <v>1063</v>
      </c>
      <c r="AH588" t="s">
        <v>148</v>
      </c>
      <c r="AI588" t="s">
        <v>172</v>
      </c>
      <c r="AJ588" t="s">
        <v>752</v>
      </c>
      <c r="AK588" t="s">
        <v>1078</v>
      </c>
      <c r="AL588" t="s">
        <v>759</v>
      </c>
      <c r="AM588" t="s">
        <v>1079</v>
      </c>
      <c r="AN588" t="s">
        <v>229</v>
      </c>
      <c r="AO588" t="s">
        <v>1080</v>
      </c>
      <c r="AP588" t="s">
        <v>230</v>
      </c>
      <c r="AQ588" t="s">
        <v>917</v>
      </c>
      <c r="AR588" t="s">
        <v>231</v>
      </c>
      <c r="AS588" t="s">
        <v>1082</v>
      </c>
      <c r="AT588" t="s">
        <v>1037</v>
      </c>
      <c r="AU588" t="s">
        <v>970</v>
      </c>
      <c r="AV588" t="s">
        <v>232</v>
      </c>
      <c r="AW588" t="s">
        <v>293</v>
      </c>
      <c r="AX588" t="s">
        <v>977</v>
      </c>
      <c r="AY588" t="s">
        <v>756</v>
      </c>
      <c r="AZ588" t="s">
        <v>233</v>
      </c>
      <c r="BA588" t="s">
        <v>234</v>
      </c>
      <c r="BB588" t="s">
        <v>347</v>
      </c>
      <c r="BC588" t="s">
        <v>754</v>
      </c>
      <c r="BD588" t="s">
        <v>781</v>
      </c>
      <c r="BE588" t="s">
        <v>1076</v>
      </c>
      <c r="BF588" t="s">
        <v>1085</v>
      </c>
      <c r="BG588" t="s">
        <v>1084</v>
      </c>
      <c r="BH588" t="s">
        <v>982</v>
      </c>
      <c r="BI588" t="s">
        <v>992</v>
      </c>
      <c r="BJ588" t="s">
        <v>1017</v>
      </c>
      <c r="BK588" t="s">
        <v>239</v>
      </c>
      <c r="BL588" t="s">
        <v>241</v>
      </c>
      <c r="BM588" t="s">
        <v>805</v>
      </c>
      <c r="BN588" t="s">
        <v>806</v>
      </c>
    </row>
    <row r="589" spans="1:93">
      <c r="A589" s="40">
        <v>549</v>
      </c>
      <c r="B589" s="40" t="s">
        <v>2508</v>
      </c>
      <c r="C589" s="2" t="s">
        <v>2509</v>
      </c>
      <c r="D589" s="2" t="s">
        <v>21</v>
      </c>
      <c r="E589" s="2"/>
      <c r="F589" s="2">
        <v>70</v>
      </c>
      <c r="G589" s="2">
        <v>60</v>
      </c>
      <c r="H589" s="2">
        <v>75</v>
      </c>
      <c r="I589" s="2">
        <v>110</v>
      </c>
      <c r="J589" s="2">
        <v>75</v>
      </c>
      <c r="K589" s="2">
        <v>90</v>
      </c>
      <c r="L589" s="2">
        <v>480</v>
      </c>
      <c r="M589" s="2" t="s">
        <v>1112</v>
      </c>
      <c r="N589" s="2" t="s">
        <v>1061</v>
      </c>
      <c r="O589" t="s">
        <v>403</v>
      </c>
      <c r="P589" t="s">
        <v>142</v>
      </c>
      <c r="Q589" t="s">
        <v>215</v>
      </c>
      <c r="R589" t="s">
        <v>750</v>
      </c>
      <c r="S589" t="s">
        <v>949</v>
      </c>
      <c r="T589" t="s">
        <v>1116</v>
      </c>
      <c r="U589" t="s">
        <v>236</v>
      </c>
      <c r="V589" t="s">
        <v>1062</v>
      </c>
      <c r="W589" t="s">
        <v>226</v>
      </c>
      <c r="X589" t="s">
        <v>1063</v>
      </c>
      <c r="Y589" t="s">
        <v>148</v>
      </c>
      <c r="Z589" t="s">
        <v>172</v>
      </c>
      <c r="AA589" t="s">
        <v>752</v>
      </c>
      <c r="AB589" t="s">
        <v>247</v>
      </c>
      <c r="AC589" t="s">
        <v>228</v>
      </c>
      <c r="AD589" t="s">
        <v>1078</v>
      </c>
      <c r="AE589" t="s">
        <v>759</v>
      </c>
      <c r="AF589" t="s">
        <v>1079</v>
      </c>
      <c r="AG589" t="s">
        <v>229</v>
      </c>
      <c r="AH589" t="s">
        <v>1080</v>
      </c>
      <c r="AI589" t="s">
        <v>230</v>
      </c>
      <c r="AJ589" t="s">
        <v>917</v>
      </c>
      <c r="AK589" t="s">
        <v>231</v>
      </c>
      <c r="AL589" t="s">
        <v>1082</v>
      </c>
      <c r="AM589" t="s">
        <v>1037</v>
      </c>
      <c r="AN589" t="s">
        <v>970</v>
      </c>
      <c r="AO589" t="s">
        <v>976</v>
      </c>
      <c r="AP589" t="s">
        <v>232</v>
      </c>
      <c r="AQ589" t="s">
        <v>145</v>
      </c>
      <c r="AR589" t="s">
        <v>293</v>
      </c>
      <c r="AS589" t="s">
        <v>977</v>
      </c>
      <c r="AT589" t="s">
        <v>756</v>
      </c>
      <c r="AU589" t="s">
        <v>233</v>
      </c>
      <c r="AV589" t="s">
        <v>234</v>
      </c>
      <c r="AW589" t="s">
        <v>347</v>
      </c>
      <c r="AX589" t="s">
        <v>754</v>
      </c>
      <c r="AY589" t="s">
        <v>781</v>
      </c>
      <c r="AZ589" t="s">
        <v>1076</v>
      </c>
      <c r="BA589" t="s">
        <v>1085</v>
      </c>
      <c r="BB589" t="s">
        <v>1084</v>
      </c>
      <c r="BC589" t="s">
        <v>982</v>
      </c>
      <c r="BD589" t="s">
        <v>992</v>
      </c>
      <c r="BE589" t="s">
        <v>1017</v>
      </c>
      <c r="BF589" t="s">
        <v>239</v>
      </c>
      <c r="BG589" t="s">
        <v>241</v>
      </c>
      <c r="BH589" t="s">
        <v>402</v>
      </c>
      <c r="BI589" t="s">
        <v>222</v>
      </c>
      <c r="BJ589" t="s">
        <v>930</v>
      </c>
      <c r="BK589" t="s">
        <v>288</v>
      </c>
      <c r="BL589" t="s">
        <v>171</v>
      </c>
      <c r="BM589" t="s">
        <v>1153</v>
      </c>
      <c r="BN589" t="s">
        <v>925</v>
      </c>
      <c r="BO589" t="s">
        <v>970</v>
      </c>
      <c r="BP589" t="s">
        <v>1577</v>
      </c>
      <c r="BQ589" t="s">
        <v>752</v>
      </c>
      <c r="BR589" t="s">
        <v>1150</v>
      </c>
      <c r="BS589" t="s">
        <v>1086</v>
      </c>
      <c r="BT589" t="s">
        <v>805</v>
      </c>
      <c r="BU589" t="s">
        <v>806</v>
      </c>
    </row>
    <row r="590" spans="1:93">
      <c r="A590" s="40">
        <v>550</v>
      </c>
      <c r="B590" s="40" t="s">
        <v>2510</v>
      </c>
      <c r="C590" s="2" t="s">
        <v>2511</v>
      </c>
      <c r="D590" s="2" t="s">
        <v>27</v>
      </c>
      <c r="E590" s="2"/>
      <c r="F590" s="2">
        <v>70</v>
      </c>
      <c r="G590" s="2">
        <v>92</v>
      </c>
      <c r="H590" s="2">
        <v>65</v>
      </c>
      <c r="I590" s="2">
        <v>80</v>
      </c>
      <c r="J590" s="2">
        <v>55</v>
      </c>
      <c r="K590" s="2">
        <v>98</v>
      </c>
      <c r="L590" s="2">
        <v>460</v>
      </c>
      <c r="M590" s="2" t="s">
        <v>1120</v>
      </c>
      <c r="N590" s="2" t="s">
        <v>1061</v>
      </c>
      <c r="O590" t="s">
        <v>219</v>
      </c>
      <c r="P590" t="s">
        <v>269</v>
      </c>
      <c r="Q590" t="s">
        <v>953</v>
      </c>
      <c r="R590" t="s">
        <v>420</v>
      </c>
      <c r="S590" t="s">
        <v>258</v>
      </c>
      <c r="T590" t="s">
        <v>959</v>
      </c>
      <c r="U590" t="s">
        <v>1142</v>
      </c>
      <c r="V590" t="s">
        <v>223</v>
      </c>
      <c r="W590" t="s">
        <v>777</v>
      </c>
      <c r="X590" t="s">
        <v>179</v>
      </c>
      <c r="Y590" t="s">
        <v>1170</v>
      </c>
      <c r="Z590" t="s">
        <v>225</v>
      </c>
      <c r="AA590" t="s">
        <v>1092</v>
      </c>
      <c r="AB590" t="s">
        <v>770</v>
      </c>
      <c r="AC590" t="s">
        <v>1024</v>
      </c>
      <c r="AD590" t="s">
        <v>373</v>
      </c>
      <c r="AE590" t="s">
        <v>1062</v>
      </c>
      <c r="AF590" t="s">
        <v>226</v>
      </c>
      <c r="AG590" t="s">
        <v>144</v>
      </c>
      <c r="AH590" t="s">
        <v>270</v>
      </c>
      <c r="AI590" t="s">
        <v>914</v>
      </c>
      <c r="AJ590" t="s">
        <v>1063</v>
      </c>
      <c r="AK590" t="s">
        <v>148</v>
      </c>
      <c r="AL590" t="s">
        <v>1104</v>
      </c>
      <c r="AM590" t="s">
        <v>172</v>
      </c>
      <c r="AN590" t="s">
        <v>1126</v>
      </c>
      <c r="AO590" t="s">
        <v>141</v>
      </c>
      <c r="AP590" t="s">
        <v>1078</v>
      </c>
      <c r="AQ590" t="s">
        <v>766</v>
      </c>
      <c r="AR590" t="s">
        <v>1079</v>
      </c>
      <c r="AS590" t="s">
        <v>1080</v>
      </c>
      <c r="AT590" t="s">
        <v>230</v>
      </c>
      <c r="AU590" t="s">
        <v>917</v>
      </c>
      <c r="AV590" t="s">
        <v>231</v>
      </c>
      <c r="AW590" t="s">
        <v>1082</v>
      </c>
      <c r="AX590" t="s">
        <v>1037</v>
      </c>
      <c r="AY590" t="s">
        <v>1038</v>
      </c>
      <c r="AZ590" t="s">
        <v>756</v>
      </c>
      <c r="BA590" t="s">
        <v>757</v>
      </c>
      <c r="BB590" t="s">
        <v>233</v>
      </c>
      <c r="BC590" t="s">
        <v>2339</v>
      </c>
      <c r="BD590" t="s">
        <v>234</v>
      </c>
      <c r="BE590" t="s">
        <v>446</v>
      </c>
      <c r="BF590" t="s">
        <v>306</v>
      </c>
      <c r="BG590" t="s">
        <v>304</v>
      </c>
      <c r="BH590" t="s">
        <v>354</v>
      </c>
      <c r="BI590" t="s">
        <v>767</v>
      </c>
      <c r="BJ590" t="s">
        <v>1128</v>
      </c>
      <c r="BK590" t="s">
        <v>1105</v>
      </c>
      <c r="BL590" t="s">
        <v>1144</v>
      </c>
      <c r="BM590" t="s">
        <v>961</v>
      </c>
      <c r="BN590" t="s">
        <v>239</v>
      </c>
      <c r="BO590" t="s">
        <v>241</v>
      </c>
      <c r="BP590" t="s">
        <v>805</v>
      </c>
      <c r="BQ590" t="s">
        <v>806</v>
      </c>
    </row>
    <row r="591" spans="1:93">
      <c r="A591" s="40">
        <v>551</v>
      </c>
      <c r="B591" s="40" t="s">
        <v>2512</v>
      </c>
      <c r="C591" s="2" t="s">
        <v>2513</v>
      </c>
      <c r="D591" s="2" t="s">
        <v>22</v>
      </c>
      <c r="E591" s="2" t="s">
        <v>15</v>
      </c>
      <c r="F591" s="2">
        <v>50</v>
      </c>
      <c r="G591" s="2">
        <v>72</v>
      </c>
      <c r="H591" s="2">
        <v>35</v>
      </c>
      <c r="I591" s="2">
        <v>35</v>
      </c>
      <c r="J591" s="2">
        <v>35</v>
      </c>
      <c r="K591" s="2">
        <v>65</v>
      </c>
      <c r="L591" s="2">
        <v>292</v>
      </c>
      <c r="M591" s="2" t="s">
        <v>1158</v>
      </c>
      <c r="N591" s="2" t="s">
        <v>1061</v>
      </c>
      <c r="O591" t="s">
        <v>330</v>
      </c>
      <c r="P591" t="s">
        <v>304</v>
      </c>
      <c r="Q591" t="s">
        <v>258</v>
      </c>
      <c r="R591" t="s">
        <v>309</v>
      </c>
      <c r="S591" t="s">
        <v>951</v>
      </c>
      <c r="T591" t="s">
        <v>939</v>
      </c>
      <c r="U591" t="s">
        <v>960</v>
      </c>
      <c r="V591" t="s">
        <v>755</v>
      </c>
      <c r="W591" t="s">
        <v>969</v>
      </c>
      <c r="X591" t="s">
        <v>756</v>
      </c>
      <c r="Y591" t="s">
        <v>777</v>
      </c>
      <c r="Z591" t="s">
        <v>256</v>
      </c>
      <c r="AA591" t="s">
        <v>1092</v>
      </c>
      <c r="AB591" t="s">
        <v>1167</v>
      </c>
      <c r="AC591" t="s">
        <v>765</v>
      </c>
      <c r="AD591" t="s">
        <v>136</v>
      </c>
      <c r="AE591" t="s">
        <v>373</v>
      </c>
      <c r="AF591" t="s">
        <v>1062</v>
      </c>
      <c r="AG591" t="s">
        <v>226</v>
      </c>
      <c r="AH591" t="s">
        <v>1063</v>
      </c>
      <c r="AI591" t="s">
        <v>1030</v>
      </c>
      <c r="AJ591" t="s">
        <v>246</v>
      </c>
      <c r="AK591" t="s">
        <v>148</v>
      </c>
      <c r="AL591" t="s">
        <v>172</v>
      </c>
      <c r="AM591" t="s">
        <v>1126</v>
      </c>
      <c r="AN591" t="s">
        <v>1078</v>
      </c>
      <c r="AO591" t="s">
        <v>1079</v>
      </c>
      <c r="AP591" t="s">
        <v>136</v>
      </c>
      <c r="AQ591" t="s">
        <v>1080</v>
      </c>
      <c r="AR591" t="s">
        <v>256</v>
      </c>
      <c r="AS591" t="s">
        <v>230</v>
      </c>
      <c r="AT591" t="s">
        <v>1081</v>
      </c>
      <c r="AU591" t="s">
        <v>765</v>
      </c>
      <c r="AV591" t="s">
        <v>1095</v>
      </c>
      <c r="AW591" t="s">
        <v>951</v>
      </c>
      <c r="AX591" t="s">
        <v>917</v>
      </c>
      <c r="AY591" t="s">
        <v>231</v>
      </c>
      <c r="AZ591" t="s">
        <v>1082</v>
      </c>
      <c r="BA591" t="s">
        <v>1117</v>
      </c>
      <c r="BB591" t="s">
        <v>1037</v>
      </c>
      <c r="BC591" t="s">
        <v>1031</v>
      </c>
      <c r="BD591" t="s">
        <v>969</v>
      </c>
      <c r="BE591" t="s">
        <v>995</v>
      </c>
      <c r="BF591" t="s">
        <v>1036</v>
      </c>
      <c r="BG591" t="s">
        <v>183</v>
      </c>
      <c r="BH591" t="s">
        <v>1021</v>
      </c>
      <c r="BI591" t="s">
        <v>143</v>
      </c>
      <c r="BJ591" t="s">
        <v>756</v>
      </c>
      <c r="BK591" t="s">
        <v>757</v>
      </c>
      <c r="BL591" t="s">
        <v>233</v>
      </c>
      <c r="BM591" t="s">
        <v>1040</v>
      </c>
      <c r="BN591" t="s">
        <v>1157</v>
      </c>
      <c r="BO591" t="s">
        <v>2339</v>
      </c>
      <c r="BP591" t="s">
        <v>234</v>
      </c>
      <c r="BQ591" t="s">
        <v>225</v>
      </c>
      <c r="BR591" t="s">
        <v>259</v>
      </c>
      <c r="BS591" t="s">
        <v>302</v>
      </c>
      <c r="BT591" t="s">
        <v>787</v>
      </c>
      <c r="BU591" t="s">
        <v>773</v>
      </c>
      <c r="BV591" t="s">
        <v>763</v>
      </c>
      <c r="BW591" t="s">
        <v>953</v>
      </c>
      <c r="BX591" t="s">
        <v>989</v>
      </c>
      <c r="BY591" t="s">
        <v>1010</v>
      </c>
      <c r="BZ591" t="s">
        <v>182</v>
      </c>
      <c r="CA591" t="s">
        <v>1002</v>
      </c>
      <c r="CB591" t="s">
        <v>239</v>
      </c>
      <c r="CC591" t="s">
        <v>241</v>
      </c>
      <c r="CD591" t="s">
        <v>805</v>
      </c>
      <c r="CE591" t="s">
        <v>806</v>
      </c>
    </row>
    <row r="592" spans="1:93">
      <c r="A592" s="40">
        <v>552</v>
      </c>
      <c r="B592" s="40" t="s">
        <v>2514</v>
      </c>
      <c r="C592" s="2" t="s">
        <v>2515</v>
      </c>
      <c r="D592" s="2" t="s">
        <v>22</v>
      </c>
      <c r="E592" s="2" t="s">
        <v>15</v>
      </c>
      <c r="F592" s="2">
        <v>60</v>
      </c>
      <c r="G592" s="2">
        <v>82</v>
      </c>
      <c r="H592" s="2">
        <v>45</v>
      </c>
      <c r="I592" s="2">
        <v>45</v>
      </c>
      <c r="J592" s="2">
        <v>45</v>
      </c>
      <c r="K592" s="2">
        <v>74</v>
      </c>
      <c r="L592" s="2">
        <v>351</v>
      </c>
      <c r="M592" s="2" t="s">
        <v>1176</v>
      </c>
      <c r="N592" s="2" t="s">
        <v>1061</v>
      </c>
      <c r="O592" t="s">
        <v>309</v>
      </c>
      <c r="P592" t="s">
        <v>330</v>
      </c>
      <c r="Q592" t="s">
        <v>258</v>
      </c>
      <c r="R592" t="s">
        <v>304</v>
      </c>
      <c r="S592" t="s">
        <v>258</v>
      </c>
      <c r="T592" t="s">
        <v>309</v>
      </c>
      <c r="U592" t="s">
        <v>951</v>
      </c>
      <c r="V592" t="s">
        <v>939</v>
      </c>
      <c r="W592" t="s">
        <v>960</v>
      </c>
      <c r="X592" t="s">
        <v>755</v>
      </c>
      <c r="Y592" t="s">
        <v>969</v>
      </c>
      <c r="Z592" t="s">
        <v>756</v>
      </c>
      <c r="AA592" t="s">
        <v>777</v>
      </c>
      <c r="AB592" t="s">
        <v>256</v>
      </c>
      <c r="AC592" t="s">
        <v>1092</v>
      </c>
      <c r="AD592" t="s">
        <v>1167</v>
      </c>
      <c r="AE592" t="s">
        <v>765</v>
      </c>
      <c r="AF592" t="s">
        <v>136</v>
      </c>
      <c r="AG592" t="s">
        <v>373</v>
      </c>
      <c r="AH592" t="s">
        <v>1062</v>
      </c>
      <c r="AI592" t="s">
        <v>226</v>
      </c>
      <c r="AJ592" t="s">
        <v>227</v>
      </c>
      <c r="AK592" t="s">
        <v>1063</v>
      </c>
      <c r="AL592" t="s">
        <v>1030</v>
      </c>
      <c r="AM592" t="s">
        <v>246</v>
      </c>
      <c r="AN592" t="s">
        <v>148</v>
      </c>
      <c r="AO592" t="s">
        <v>172</v>
      </c>
      <c r="AP592" t="s">
        <v>1126</v>
      </c>
      <c r="AQ592" t="s">
        <v>1078</v>
      </c>
      <c r="AR592" t="s">
        <v>1079</v>
      </c>
      <c r="AS592" t="s">
        <v>136</v>
      </c>
      <c r="AT592" t="s">
        <v>1080</v>
      </c>
      <c r="AU592" t="s">
        <v>256</v>
      </c>
      <c r="AV592" t="s">
        <v>1094</v>
      </c>
      <c r="AW592" t="s">
        <v>230</v>
      </c>
      <c r="AX592" t="s">
        <v>1081</v>
      </c>
      <c r="AY592" t="s">
        <v>765</v>
      </c>
      <c r="AZ592" t="s">
        <v>1095</v>
      </c>
      <c r="BA592" t="s">
        <v>951</v>
      </c>
      <c r="BB592" t="s">
        <v>917</v>
      </c>
      <c r="BC592" t="s">
        <v>231</v>
      </c>
      <c r="BD592" t="s">
        <v>1082</v>
      </c>
      <c r="BE592" t="s">
        <v>1117</v>
      </c>
      <c r="BF592" t="s">
        <v>1172</v>
      </c>
      <c r="BG592" t="s">
        <v>1037</v>
      </c>
      <c r="BH592" t="s">
        <v>974</v>
      </c>
      <c r="BI592" t="s">
        <v>1031</v>
      </c>
      <c r="BJ592" t="s">
        <v>969</v>
      </c>
      <c r="BK592" t="s">
        <v>1005</v>
      </c>
      <c r="BL592" t="s">
        <v>995</v>
      </c>
      <c r="BM592" t="s">
        <v>1036</v>
      </c>
      <c r="BN592" t="s">
        <v>183</v>
      </c>
      <c r="BO592" t="s">
        <v>1021</v>
      </c>
      <c r="BP592" t="s">
        <v>143</v>
      </c>
      <c r="BQ592" t="s">
        <v>977</v>
      </c>
      <c r="BR592" t="s">
        <v>756</v>
      </c>
      <c r="BS592" t="s">
        <v>757</v>
      </c>
      <c r="BT592" t="s">
        <v>233</v>
      </c>
      <c r="BU592" t="s">
        <v>760</v>
      </c>
      <c r="BV592" t="s">
        <v>1040</v>
      </c>
      <c r="BW592" t="s">
        <v>1157</v>
      </c>
      <c r="BX592" t="s">
        <v>2398</v>
      </c>
      <c r="BY592" t="s">
        <v>2339</v>
      </c>
      <c r="BZ592" t="s">
        <v>234</v>
      </c>
      <c r="CA592" t="s">
        <v>225</v>
      </c>
      <c r="CB592" t="s">
        <v>259</v>
      </c>
      <c r="CC592" t="s">
        <v>302</v>
      </c>
      <c r="CD592" t="s">
        <v>787</v>
      </c>
      <c r="CE592" t="s">
        <v>773</v>
      </c>
      <c r="CF592" t="s">
        <v>763</v>
      </c>
      <c r="CG592" t="s">
        <v>953</v>
      </c>
      <c r="CH592" t="s">
        <v>989</v>
      </c>
      <c r="CI592" t="s">
        <v>1010</v>
      </c>
      <c r="CJ592" t="s">
        <v>182</v>
      </c>
      <c r="CK592" t="s">
        <v>1002</v>
      </c>
      <c r="CL592" t="s">
        <v>239</v>
      </c>
      <c r="CM592" t="s">
        <v>241</v>
      </c>
      <c r="CN592" t="s">
        <v>805</v>
      </c>
      <c r="CO592" t="s">
        <v>806</v>
      </c>
    </row>
    <row r="593" spans="1:102">
      <c r="A593" s="40">
        <v>553</v>
      </c>
      <c r="B593" s="40" t="s">
        <v>2516</v>
      </c>
      <c r="C593" s="2" t="s">
        <v>2517</v>
      </c>
      <c r="D593" s="2" t="s">
        <v>22</v>
      </c>
      <c r="E593" s="2" t="s">
        <v>15</v>
      </c>
      <c r="F593" s="2">
        <v>95</v>
      </c>
      <c r="G593" s="2">
        <v>117</v>
      </c>
      <c r="H593" s="2">
        <v>70</v>
      </c>
      <c r="I593" s="2">
        <v>65</v>
      </c>
      <c r="J593" s="2">
        <v>70</v>
      </c>
      <c r="K593" s="2">
        <v>92</v>
      </c>
      <c r="L593" s="2">
        <v>509</v>
      </c>
      <c r="M593" s="2" t="s">
        <v>1430</v>
      </c>
      <c r="N593" s="2" t="s">
        <v>1061</v>
      </c>
      <c r="O593" t="s">
        <v>309</v>
      </c>
      <c r="P593" t="s">
        <v>330</v>
      </c>
      <c r="Q593" t="s">
        <v>258</v>
      </c>
      <c r="R593" t="s">
        <v>304</v>
      </c>
      <c r="S593" t="s">
        <v>258</v>
      </c>
      <c r="T593" t="s">
        <v>309</v>
      </c>
      <c r="U593" t="s">
        <v>951</v>
      </c>
      <c r="V593" t="s">
        <v>939</v>
      </c>
      <c r="W593" t="s">
        <v>960</v>
      </c>
      <c r="X593" t="s">
        <v>755</v>
      </c>
      <c r="Y593" t="s">
        <v>969</v>
      </c>
      <c r="Z593" t="s">
        <v>756</v>
      </c>
      <c r="AA593" t="s">
        <v>777</v>
      </c>
      <c r="AB593" t="s">
        <v>256</v>
      </c>
      <c r="AC593" t="s">
        <v>1092</v>
      </c>
      <c r="AD593" t="s">
        <v>1167</v>
      </c>
      <c r="AE593" t="s">
        <v>765</v>
      </c>
      <c r="AF593" t="s">
        <v>136</v>
      </c>
      <c r="AG593" t="s">
        <v>764</v>
      </c>
      <c r="AH593" t="s">
        <v>1062</v>
      </c>
      <c r="AI593" t="s">
        <v>226</v>
      </c>
      <c r="AJ593" t="s">
        <v>227</v>
      </c>
      <c r="AK593" t="s">
        <v>1063</v>
      </c>
      <c r="AL593" t="s">
        <v>1030</v>
      </c>
      <c r="AM593" t="s">
        <v>1093</v>
      </c>
      <c r="AN593" t="s">
        <v>246</v>
      </c>
      <c r="AO593" t="s">
        <v>148</v>
      </c>
      <c r="AP593" t="s">
        <v>1175</v>
      </c>
      <c r="AQ593" t="s">
        <v>172</v>
      </c>
      <c r="AR593" t="s">
        <v>1126</v>
      </c>
      <c r="AS593" t="s">
        <v>247</v>
      </c>
      <c r="AT593" t="s">
        <v>1078</v>
      </c>
      <c r="AU593" t="s">
        <v>1079</v>
      </c>
      <c r="AV593" t="s">
        <v>1109</v>
      </c>
      <c r="AW593" t="s">
        <v>136</v>
      </c>
      <c r="AX593" t="s">
        <v>1080</v>
      </c>
      <c r="AY593" t="s">
        <v>256</v>
      </c>
      <c r="AZ593" t="s">
        <v>1094</v>
      </c>
      <c r="BA593" t="s">
        <v>230</v>
      </c>
      <c r="BB593" t="s">
        <v>1081</v>
      </c>
      <c r="BC593" t="s">
        <v>765</v>
      </c>
      <c r="BD593" t="s">
        <v>1095</v>
      </c>
      <c r="BE593" t="s">
        <v>1096</v>
      </c>
      <c r="BF593" t="s">
        <v>951</v>
      </c>
      <c r="BG593" t="s">
        <v>917</v>
      </c>
      <c r="BH593" t="s">
        <v>231</v>
      </c>
      <c r="BI593" t="s">
        <v>1082</v>
      </c>
      <c r="BJ593" t="s">
        <v>1117</v>
      </c>
      <c r="BK593" t="s">
        <v>1172</v>
      </c>
      <c r="BL593" t="s">
        <v>1037</v>
      </c>
      <c r="BM593" t="s">
        <v>1102</v>
      </c>
      <c r="BN593" t="s">
        <v>974</v>
      </c>
      <c r="BO593" t="s">
        <v>1031</v>
      </c>
      <c r="BP593" t="s">
        <v>969</v>
      </c>
      <c r="BQ593" t="s">
        <v>1005</v>
      </c>
      <c r="BR593" t="s">
        <v>995</v>
      </c>
      <c r="BS593" t="s">
        <v>1036</v>
      </c>
      <c r="BT593" t="s">
        <v>976</v>
      </c>
      <c r="BU593" t="s">
        <v>183</v>
      </c>
      <c r="BV593" t="s">
        <v>1021</v>
      </c>
      <c r="BW593" t="s">
        <v>143</v>
      </c>
      <c r="BX593" t="s">
        <v>1022</v>
      </c>
      <c r="BY593" t="s">
        <v>977</v>
      </c>
      <c r="BZ593" t="s">
        <v>756</v>
      </c>
      <c r="CA593" t="s">
        <v>757</v>
      </c>
      <c r="CB593" t="s">
        <v>233</v>
      </c>
      <c r="CC593" t="s">
        <v>760</v>
      </c>
      <c r="CD593" t="s">
        <v>1040</v>
      </c>
      <c r="CE593" t="s">
        <v>1157</v>
      </c>
      <c r="CF593" t="s">
        <v>2398</v>
      </c>
      <c r="CG593" t="s">
        <v>2339</v>
      </c>
      <c r="CH593" t="s">
        <v>234</v>
      </c>
      <c r="CI593" t="s">
        <v>225</v>
      </c>
      <c r="CJ593" t="s">
        <v>259</v>
      </c>
      <c r="CK593" t="s">
        <v>302</v>
      </c>
      <c r="CL593" t="s">
        <v>787</v>
      </c>
      <c r="CM593" t="s">
        <v>773</v>
      </c>
      <c r="CN593" t="s">
        <v>763</v>
      </c>
      <c r="CO593" t="s">
        <v>953</v>
      </c>
      <c r="CP593" t="s">
        <v>989</v>
      </c>
      <c r="CQ593" t="s">
        <v>1010</v>
      </c>
      <c r="CR593" t="s">
        <v>182</v>
      </c>
      <c r="CS593" t="s">
        <v>1002</v>
      </c>
      <c r="CT593" t="s">
        <v>239</v>
      </c>
      <c r="CU593" t="s">
        <v>241</v>
      </c>
      <c r="CV593" t="s">
        <v>373</v>
      </c>
      <c r="CW593" t="s">
        <v>805</v>
      </c>
      <c r="CX593" t="s">
        <v>806</v>
      </c>
    </row>
    <row r="594" spans="1:102">
      <c r="A594" s="40">
        <v>554</v>
      </c>
      <c r="B594" s="40" t="s">
        <v>2518</v>
      </c>
      <c r="C594" s="2" t="s">
        <v>2519</v>
      </c>
      <c r="D594" s="2" t="s">
        <v>19</v>
      </c>
      <c r="E594" s="2"/>
      <c r="F594" s="2">
        <v>70</v>
      </c>
      <c r="G594" s="2">
        <v>90</v>
      </c>
      <c r="H594" s="2">
        <v>45</v>
      </c>
      <c r="I594" s="2">
        <v>15</v>
      </c>
      <c r="J594" s="2">
        <v>45</v>
      </c>
      <c r="K594" s="2">
        <v>50</v>
      </c>
      <c r="L594" s="2">
        <v>315</v>
      </c>
      <c r="M594" s="2" t="s">
        <v>1089</v>
      </c>
      <c r="N594" s="2" t="s">
        <v>1061</v>
      </c>
      <c r="O594" t="s">
        <v>219</v>
      </c>
      <c r="P594" t="s">
        <v>768</v>
      </c>
      <c r="Q594" t="s">
        <v>1031</v>
      </c>
      <c r="R594" t="s">
        <v>304</v>
      </c>
      <c r="S594" t="s">
        <v>182</v>
      </c>
      <c r="T594" t="s">
        <v>420</v>
      </c>
      <c r="U594" t="s">
        <v>953</v>
      </c>
      <c r="V594" t="s">
        <v>917</v>
      </c>
      <c r="W594" t="s">
        <v>137</v>
      </c>
      <c r="X594" t="s">
        <v>1049</v>
      </c>
      <c r="Y594" t="s">
        <v>373</v>
      </c>
      <c r="Z594" t="s">
        <v>1099</v>
      </c>
      <c r="AA594" t="s">
        <v>972</v>
      </c>
      <c r="AB594" t="s">
        <v>1126</v>
      </c>
      <c r="AC594" t="s">
        <v>947</v>
      </c>
      <c r="AD594" t="s">
        <v>1098</v>
      </c>
      <c r="AE594" t="s">
        <v>1062</v>
      </c>
      <c r="AF594" t="s">
        <v>227</v>
      </c>
      <c r="AG594" t="s">
        <v>1063</v>
      </c>
      <c r="AH594" t="s">
        <v>246</v>
      </c>
      <c r="AI594" t="s">
        <v>148</v>
      </c>
      <c r="AJ594" t="s">
        <v>172</v>
      </c>
      <c r="AK594" t="s">
        <v>752</v>
      </c>
      <c r="AL594" t="s">
        <v>1126</v>
      </c>
      <c r="AM594" t="s">
        <v>1078</v>
      </c>
      <c r="AN594" t="s">
        <v>1079</v>
      </c>
      <c r="AO594" t="s">
        <v>229</v>
      </c>
      <c r="AP594" t="s">
        <v>1080</v>
      </c>
      <c r="AQ594" t="s">
        <v>256</v>
      </c>
      <c r="AR594" t="s">
        <v>1094</v>
      </c>
      <c r="AS594" t="s">
        <v>230</v>
      </c>
      <c r="AT594" t="s">
        <v>254</v>
      </c>
      <c r="AU594" t="s">
        <v>257</v>
      </c>
      <c r="AV594" t="s">
        <v>1095</v>
      </c>
      <c r="AW594" t="s">
        <v>917</v>
      </c>
      <c r="AX594" t="s">
        <v>1097</v>
      </c>
      <c r="AY594" t="s">
        <v>231</v>
      </c>
      <c r="AZ594" t="s">
        <v>1082</v>
      </c>
      <c r="BA594" t="s">
        <v>1117</v>
      </c>
      <c r="BB594" t="s">
        <v>1037</v>
      </c>
      <c r="BC594" t="s">
        <v>1098</v>
      </c>
      <c r="BD594" t="s">
        <v>974</v>
      </c>
      <c r="BE594" t="s">
        <v>1031</v>
      </c>
      <c r="BF594" t="s">
        <v>956</v>
      </c>
      <c r="BG594" t="s">
        <v>980</v>
      </c>
      <c r="BH594" t="s">
        <v>143</v>
      </c>
      <c r="BI594" t="s">
        <v>977</v>
      </c>
      <c r="BJ594" t="s">
        <v>756</v>
      </c>
      <c r="BK594" t="s">
        <v>1014</v>
      </c>
      <c r="BL594" t="s">
        <v>233</v>
      </c>
      <c r="BM594" t="s">
        <v>760</v>
      </c>
      <c r="BN594" t="s">
        <v>234</v>
      </c>
      <c r="BO594" t="s">
        <v>223</v>
      </c>
      <c r="BP594" t="s">
        <v>302</v>
      </c>
      <c r="BQ594" t="s">
        <v>1127</v>
      </c>
      <c r="BR594" t="s">
        <v>754</v>
      </c>
      <c r="BS594" t="s">
        <v>757</v>
      </c>
      <c r="BT594" t="s">
        <v>779</v>
      </c>
      <c r="BU594" t="s">
        <v>920</v>
      </c>
      <c r="BV594" t="s">
        <v>958</v>
      </c>
      <c r="BW594" t="s">
        <v>981</v>
      </c>
      <c r="BX594" t="s">
        <v>239</v>
      </c>
      <c r="BY594" t="s">
        <v>241</v>
      </c>
      <c r="BZ594" t="s">
        <v>805</v>
      </c>
      <c r="CA594" t="s">
        <v>806</v>
      </c>
    </row>
    <row r="595" spans="1:102">
      <c r="A595" s="40">
        <v>555.1</v>
      </c>
      <c r="B595" s="40" t="s">
        <v>2520</v>
      </c>
      <c r="C595" s="2" t="s">
        <v>2521</v>
      </c>
      <c r="D595" s="2" t="s">
        <v>19</v>
      </c>
      <c r="E595" s="2"/>
      <c r="F595" s="2">
        <v>105</v>
      </c>
      <c r="G595" s="2">
        <v>140</v>
      </c>
      <c r="H595" s="2">
        <v>55</v>
      </c>
      <c r="I595" s="2">
        <v>30</v>
      </c>
      <c r="J595" s="2">
        <v>55</v>
      </c>
      <c r="K595" s="2">
        <v>95</v>
      </c>
      <c r="L595" s="2">
        <v>480</v>
      </c>
      <c r="M595" s="2" t="s">
        <v>1255</v>
      </c>
      <c r="N595" s="2" t="s">
        <v>1061</v>
      </c>
      <c r="O595" t="s">
        <v>219</v>
      </c>
      <c r="P595" t="s">
        <v>304</v>
      </c>
      <c r="Q595" t="s">
        <v>768</v>
      </c>
      <c r="R595" t="s">
        <v>1031</v>
      </c>
      <c r="S595" t="s">
        <v>768</v>
      </c>
      <c r="T595" t="s">
        <v>1031</v>
      </c>
      <c r="U595" t="s">
        <v>304</v>
      </c>
      <c r="V595" t="s">
        <v>182</v>
      </c>
      <c r="W595" t="s">
        <v>420</v>
      </c>
      <c r="X595" t="s">
        <v>756</v>
      </c>
      <c r="Y595" t="s">
        <v>917</v>
      </c>
      <c r="Z595" t="s">
        <v>137</v>
      </c>
      <c r="AA595" t="s">
        <v>1049</v>
      </c>
      <c r="AB595" t="s">
        <v>373</v>
      </c>
      <c r="AC595" t="s">
        <v>1099</v>
      </c>
      <c r="AD595" t="s">
        <v>972</v>
      </c>
      <c r="AE595" t="s">
        <v>981</v>
      </c>
      <c r="AF595" t="s">
        <v>1126</v>
      </c>
      <c r="AG595" t="s">
        <v>947</v>
      </c>
      <c r="AH595" t="s">
        <v>1098</v>
      </c>
      <c r="AI595" t="s">
        <v>1062</v>
      </c>
      <c r="AJ595" t="s">
        <v>227</v>
      </c>
      <c r="AK595" t="s">
        <v>1063</v>
      </c>
      <c r="AL595" t="s">
        <v>246</v>
      </c>
      <c r="AM595" t="s">
        <v>148</v>
      </c>
      <c r="AN595" t="s">
        <v>1175</v>
      </c>
      <c r="AO595" t="s">
        <v>172</v>
      </c>
      <c r="AP595" t="s">
        <v>752</v>
      </c>
      <c r="AQ595" t="s">
        <v>1126</v>
      </c>
      <c r="AR595" t="s">
        <v>247</v>
      </c>
      <c r="AS595" t="s">
        <v>1078</v>
      </c>
      <c r="AT595" t="s">
        <v>1079</v>
      </c>
      <c r="AU595" t="s">
        <v>229</v>
      </c>
      <c r="AV595" t="s">
        <v>1109</v>
      </c>
      <c r="AW595" t="s">
        <v>136</v>
      </c>
      <c r="AX595" t="s">
        <v>1080</v>
      </c>
      <c r="AY595" t="s">
        <v>256</v>
      </c>
      <c r="AZ595" t="s">
        <v>9</v>
      </c>
      <c r="BA595" t="s">
        <v>1094</v>
      </c>
      <c r="BB595" t="s">
        <v>230</v>
      </c>
      <c r="BC595" t="s">
        <v>254</v>
      </c>
      <c r="BD595" t="s">
        <v>257</v>
      </c>
      <c r="BE595" t="s">
        <v>1095</v>
      </c>
      <c r="BF595" t="s">
        <v>951</v>
      </c>
      <c r="BG595" t="s">
        <v>917</v>
      </c>
      <c r="BH595" t="s">
        <v>1097</v>
      </c>
      <c r="BI595" t="s">
        <v>231</v>
      </c>
      <c r="BJ595" t="s">
        <v>1082</v>
      </c>
      <c r="BK595" t="s">
        <v>1117</v>
      </c>
      <c r="BL595" t="s">
        <v>1037</v>
      </c>
      <c r="BM595" t="s">
        <v>1098</v>
      </c>
      <c r="BN595" t="s">
        <v>1102</v>
      </c>
      <c r="BO595" t="s">
        <v>974</v>
      </c>
      <c r="BP595" t="s">
        <v>1031</v>
      </c>
      <c r="BQ595" t="s">
        <v>956</v>
      </c>
      <c r="BR595" t="s">
        <v>995</v>
      </c>
      <c r="BS595" t="s">
        <v>976</v>
      </c>
      <c r="BT595" t="s">
        <v>183</v>
      </c>
      <c r="BU595" t="s">
        <v>980</v>
      </c>
      <c r="BV595" t="s">
        <v>1021</v>
      </c>
      <c r="BW595" t="s">
        <v>143</v>
      </c>
      <c r="BX595" t="s">
        <v>977</v>
      </c>
      <c r="BY595" t="s">
        <v>756</v>
      </c>
      <c r="BZ595" t="s">
        <v>1014</v>
      </c>
      <c r="CA595" t="s">
        <v>233</v>
      </c>
      <c r="CB595" t="s">
        <v>760</v>
      </c>
      <c r="CC595" t="s">
        <v>234</v>
      </c>
      <c r="CD595" t="s">
        <v>223</v>
      </c>
      <c r="CE595" t="s">
        <v>302</v>
      </c>
      <c r="CF595" t="s">
        <v>1127</v>
      </c>
      <c r="CG595" t="s">
        <v>754</v>
      </c>
      <c r="CH595" t="s">
        <v>757</v>
      </c>
      <c r="CI595" t="s">
        <v>779</v>
      </c>
      <c r="CJ595" t="s">
        <v>920</v>
      </c>
      <c r="CK595" t="s">
        <v>958</v>
      </c>
      <c r="CL595" t="s">
        <v>981</v>
      </c>
      <c r="CM595" t="s">
        <v>239</v>
      </c>
      <c r="CN595" t="s">
        <v>241</v>
      </c>
      <c r="CO595" t="s">
        <v>953</v>
      </c>
      <c r="CP595" t="s">
        <v>805</v>
      </c>
      <c r="CQ595" t="s">
        <v>806</v>
      </c>
    </row>
    <row r="596" spans="1:102">
      <c r="A596" s="40">
        <v>555.20000000000005</v>
      </c>
      <c r="B596" s="40" t="s">
        <v>2522</v>
      </c>
      <c r="C596" s="2" t="s">
        <v>2523</v>
      </c>
      <c r="D596" s="2" t="s">
        <v>19</v>
      </c>
      <c r="E596" s="2" t="s">
        <v>9</v>
      </c>
      <c r="F596" s="2">
        <v>105</v>
      </c>
      <c r="G596" s="2">
        <v>30</v>
      </c>
      <c r="H596" s="2">
        <v>105</v>
      </c>
      <c r="I596" s="2">
        <v>140</v>
      </c>
      <c r="J596" s="2">
        <v>105</v>
      </c>
      <c r="K596" s="2">
        <v>55</v>
      </c>
      <c r="L596" s="2">
        <v>540</v>
      </c>
      <c r="M596" s="2" t="s">
        <v>1255</v>
      </c>
      <c r="N596" s="2" t="s">
        <v>1061</v>
      </c>
      <c r="O596" t="s">
        <v>219</v>
      </c>
      <c r="P596" t="s">
        <v>304</v>
      </c>
      <c r="Q596" t="s">
        <v>768</v>
      </c>
      <c r="R596" t="s">
        <v>1031</v>
      </c>
      <c r="S596" t="s">
        <v>768</v>
      </c>
      <c r="T596" t="s">
        <v>1031</v>
      </c>
      <c r="U596" t="s">
        <v>304</v>
      </c>
      <c r="V596" t="s">
        <v>182</v>
      </c>
      <c r="W596" t="s">
        <v>420</v>
      </c>
      <c r="X596" t="s">
        <v>756</v>
      </c>
      <c r="Y596" t="s">
        <v>917</v>
      </c>
      <c r="Z596" t="s">
        <v>137</v>
      </c>
      <c r="AA596" t="s">
        <v>1049</v>
      </c>
      <c r="AB596" t="s">
        <v>373</v>
      </c>
      <c r="AC596" t="s">
        <v>1099</v>
      </c>
      <c r="AD596" t="s">
        <v>972</v>
      </c>
      <c r="AE596" t="s">
        <v>981</v>
      </c>
      <c r="AF596" t="s">
        <v>1126</v>
      </c>
      <c r="AG596" t="s">
        <v>947</v>
      </c>
      <c r="AH596" t="s">
        <v>1098</v>
      </c>
      <c r="AI596" t="s">
        <v>1062</v>
      </c>
      <c r="AJ596" t="s">
        <v>227</v>
      </c>
      <c r="AK596" t="s">
        <v>1063</v>
      </c>
      <c r="AL596" t="s">
        <v>246</v>
      </c>
      <c r="AM596" t="s">
        <v>148</v>
      </c>
      <c r="AN596" t="s">
        <v>1175</v>
      </c>
      <c r="AO596" t="s">
        <v>172</v>
      </c>
      <c r="AP596" t="s">
        <v>752</v>
      </c>
      <c r="AQ596" t="s">
        <v>1126</v>
      </c>
      <c r="AR596" t="s">
        <v>247</v>
      </c>
      <c r="AS596" t="s">
        <v>1078</v>
      </c>
      <c r="AT596" t="s">
        <v>1079</v>
      </c>
      <c r="AU596" t="s">
        <v>229</v>
      </c>
      <c r="AV596" t="s">
        <v>1109</v>
      </c>
      <c r="AW596" t="s">
        <v>136</v>
      </c>
      <c r="AX596" t="s">
        <v>1080</v>
      </c>
      <c r="AY596" t="s">
        <v>256</v>
      </c>
      <c r="AZ596" t="s">
        <v>9</v>
      </c>
      <c r="BA596" t="s">
        <v>1094</v>
      </c>
      <c r="BB596" t="s">
        <v>230</v>
      </c>
      <c r="BC596" t="s">
        <v>254</v>
      </c>
      <c r="BD596" t="s">
        <v>257</v>
      </c>
      <c r="BE596" t="s">
        <v>1095</v>
      </c>
      <c r="BF596" t="s">
        <v>951</v>
      </c>
      <c r="BG596" t="s">
        <v>917</v>
      </c>
      <c r="BH596" t="s">
        <v>1097</v>
      </c>
      <c r="BI596" t="s">
        <v>231</v>
      </c>
      <c r="BJ596" t="s">
        <v>1082</v>
      </c>
      <c r="BK596" t="s">
        <v>1117</v>
      </c>
      <c r="BL596" t="s">
        <v>1037</v>
      </c>
      <c r="BM596" t="s">
        <v>1098</v>
      </c>
      <c r="BN596" t="s">
        <v>1102</v>
      </c>
      <c r="BO596" t="s">
        <v>974</v>
      </c>
      <c r="BP596" t="s">
        <v>1031</v>
      </c>
      <c r="BQ596" t="s">
        <v>956</v>
      </c>
      <c r="BR596" t="s">
        <v>995</v>
      </c>
      <c r="BS596" t="s">
        <v>976</v>
      </c>
      <c r="BT596" t="s">
        <v>183</v>
      </c>
      <c r="BU596" t="s">
        <v>980</v>
      </c>
      <c r="BV596" t="s">
        <v>1021</v>
      </c>
      <c r="BW596" t="s">
        <v>143</v>
      </c>
      <c r="BX596" t="s">
        <v>977</v>
      </c>
      <c r="BY596" t="s">
        <v>756</v>
      </c>
      <c r="BZ596" t="s">
        <v>1014</v>
      </c>
      <c r="CA596" t="s">
        <v>233</v>
      </c>
      <c r="CB596" t="s">
        <v>760</v>
      </c>
      <c r="CC596" t="s">
        <v>234</v>
      </c>
      <c r="CD596" t="s">
        <v>223</v>
      </c>
      <c r="CE596" t="s">
        <v>302</v>
      </c>
      <c r="CF596" t="s">
        <v>1127</v>
      </c>
      <c r="CG596" t="s">
        <v>754</v>
      </c>
      <c r="CH596" t="s">
        <v>757</v>
      </c>
      <c r="CI596" t="s">
        <v>779</v>
      </c>
      <c r="CJ596" t="s">
        <v>920</v>
      </c>
      <c r="CK596" t="s">
        <v>958</v>
      </c>
      <c r="CL596" t="s">
        <v>981</v>
      </c>
      <c r="CM596" t="s">
        <v>239</v>
      </c>
      <c r="CN596" t="s">
        <v>241</v>
      </c>
      <c r="CO596" t="s">
        <v>953</v>
      </c>
      <c r="CP596" t="s">
        <v>805</v>
      </c>
      <c r="CQ596" t="s">
        <v>806</v>
      </c>
    </row>
    <row r="597" spans="1:102">
      <c r="A597" s="40">
        <v>556</v>
      </c>
      <c r="B597" s="40" t="s">
        <v>2524</v>
      </c>
      <c r="C597" s="2" t="s">
        <v>2525</v>
      </c>
      <c r="D597" s="2" t="s">
        <v>21</v>
      </c>
      <c r="E597" s="2"/>
      <c r="F597" s="2">
        <v>75</v>
      </c>
      <c r="G597" s="2">
        <v>86</v>
      </c>
      <c r="H597" s="2">
        <v>67</v>
      </c>
      <c r="I597" s="2">
        <v>106</v>
      </c>
      <c r="J597" s="2">
        <v>67</v>
      </c>
      <c r="K597" s="2">
        <v>60</v>
      </c>
      <c r="L597" s="2">
        <v>461</v>
      </c>
      <c r="M597" s="2" t="s">
        <v>1071</v>
      </c>
      <c r="N597" s="2" t="s">
        <v>1061</v>
      </c>
      <c r="O597" t="s">
        <v>329</v>
      </c>
      <c r="P597" t="s">
        <v>402</v>
      </c>
      <c r="Q597" t="s">
        <v>1076</v>
      </c>
      <c r="R597" t="s">
        <v>215</v>
      </c>
      <c r="S597" t="s">
        <v>305</v>
      </c>
      <c r="T597" t="s">
        <v>403</v>
      </c>
      <c r="U597" t="s">
        <v>750</v>
      </c>
      <c r="V597" t="s">
        <v>1297</v>
      </c>
      <c r="W597" t="s">
        <v>1619</v>
      </c>
      <c r="X597" t="s">
        <v>171</v>
      </c>
      <c r="Y597" t="s">
        <v>1195</v>
      </c>
      <c r="Z597" t="s">
        <v>1085</v>
      </c>
      <c r="AA597" t="s">
        <v>236</v>
      </c>
      <c r="AB597" t="s">
        <v>1008</v>
      </c>
      <c r="AC597" t="s">
        <v>752</v>
      </c>
      <c r="AD597" t="s">
        <v>229</v>
      </c>
      <c r="AE597" t="s">
        <v>1298</v>
      </c>
      <c r="AF597" t="s">
        <v>1150</v>
      </c>
      <c r="AG597" t="s">
        <v>1062</v>
      </c>
      <c r="AH597" t="s">
        <v>1063</v>
      </c>
      <c r="AI597" t="s">
        <v>148</v>
      </c>
      <c r="AJ597" t="s">
        <v>172</v>
      </c>
      <c r="AK597" t="s">
        <v>752</v>
      </c>
      <c r="AL597" t="s">
        <v>1078</v>
      </c>
      <c r="AM597" t="s">
        <v>759</v>
      </c>
      <c r="AN597" t="s">
        <v>1079</v>
      </c>
      <c r="AO597" t="s">
        <v>229</v>
      </c>
      <c r="AP597" t="s">
        <v>1080</v>
      </c>
      <c r="AQ597" t="s">
        <v>230</v>
      </c>
      <c r="AR597" t="s">
        <v>1096</v>
      </c>
      <c r="AS597" t="s">
        <v>917</v>
      </c>
      <c r="AT597" t="s">
        <v>231</v>
      </c>
      <c r="AU597" t="s">
        <v>1082</v>
      </c>
      <c r="AV597" t="s">
        <v>1037</v>
      </c>
      <c r="AW597" t="s">
        <v>970</v>
      </c>
      <c r="AX597" t="s">
        <v>997</v>
      </c>
      <c r="AY597" t="s">
        <v>977</v>
      </c>
      <c r="AZ597" t="s">
        <v>756</v>
      </c>
      <c r="BA597" t="s">
        <v>233</v>
      </c>
      <c r="BB597" t="s">
        <v>234</v>
      </c>
      <c r="BC597" t="s">
        <v>142</v>
      </c>
      <c r="BD597" t="s">
        <v>1215</v>
      </c>
      <c r="BE597" t="s">
        <v>1084</v>
      </c>
      <c r="BF597" t="s">
        <v>1190</v>
      </c>
      <c r="BG597" t="s">
        <v>175</v>
      </c>
      <c r="BH597" t="s">
        <v>1017</v>
      </c>
      <c r="BI597" t="s">
        <v>1004</v>
      </c>
      <c r="BJ597" t="s">
        <v>1218</v>
      </c>
      <c r="BK597" t="s">
        <v>2367</v>
      </c>
      <c r="BL597" t="s">
        <v>239</v>
      </c>
      <c r="BM597" t="s">
        <v>241</v>
      </c>
      <c r="BN597" t="s">
        <v>805</v>
      </c>
      <c r="BO597" t="s">
        <v>806</v>
      </c>
    </row>
    <row r="598" spans="1:102">
      <c r="A598" s="40">
        <v>557</v>
      </c>
      <c r="B598" s="40" t="s">
        <v>2526</v>
      </c>
      <c r="C598" s="2" t="s">
        <v>2527</v>
      </c>
      <c r="D598" s="2" t="s">
        <v>14</v>
      </c>
      <c r="E598" s="2" t="s">
        <v>25</v>
      </c>
      <c r="F598" s="2">
        <v>50</v>
      </c>
      <c r="G598" s="2">
        <v>65</v>
      </c>
      <c r="H598" s="2">
        <v>85</v>
      </c>
      <c r="I598" s="2">
        <v>35</v>
      </c>
      <c r="J598" s="2">
        <v>35</v>
      </c>
      <c r="K598" s="2">
        <v>55</v>
      </c>
      <c r="L598" s="2">
        <v>325</v>
      </c>
      <c r="M598" s="2" t="s">
        <v>1089</v>
      </c>
      <c r="N598" s="2" t="s">
        <v>1061</v>
      </c>
      <c r="O598" t="s">
        <v>758</v>
      </c>
      <c r="P598" t="s">
        <v>1196</v>
      </c>
      <c r="Q598" t="s">
        <v>268</v>
      </c>
      <c r="R598" t="s">
        <v>309</v>
      </c>
      <c r="S598" t="s">
        <v>774</v>
      </c>
      <c r="T598" t="s">
        <v>1109</v>
      </c>
      <c r="U598" t="s">
        <v>1003</v>
      </c>
      <c r="V598" t="s">
        <v>1110</v>
      </c>
      <c r="W598" t="s">
        <v>1007</v>
      </c>
      <c r="X598" t="s">
        <v>143</v>
      </c>
      <c r="Y598" t="s">
        <v>253</v>
      </c>
      <c r="Z598" t="s">
        <v>1018</v>
      </c>
      <c r="AA598" t="s">
        <v>1213</v>
      </c>
      <c r="AB598" t="s">
        <v>770</v>
      </c>
      <c r="AC598" t="s">
        <v>1909</v>
      </c>
      <c r="AD598" t="s">
        <v>1062</v>
      </c>
      <c r="AE598" t="s">
        <v>226</v>
      </c>
      <c r="AF598" t="s">
        <v>227</v>
      </c>
      <c r="AG598" t="s">
        <v>1063</v>
      </c>
      <c r="AH598" t="s">
        <v>1030</v>
      </c>
      <c r="AI598" t="s">
        <v>148</v>
      </c>
      <c r="AJ598" t="s">
        <v>172</v>
      </c>
      <c r="AK598" t="s">
        <v>1078</v>
      </c>
      <c r="AL598" t="s">
        <v>1079</v>
      </c>
      <c r="AM598" t="s">
        <v>229</v>
      </c>
      <c r="AN598" t="s">
        <v>1109</v>
      </c>
      <c r="AO598" t="s">
        <v>136</v>
      </c>
      <c r="AP598" t="s">
        <v>1080</v>
      </c>
      <c r="AQ598" t="s">
        <v>256</v>
      </c>
      <c r="AR598" t="s">
        <v>230</v>
      </c>
      <c r="AS598" t="s">
        <v>765</v>
      </c>
      <c r="AT598" t="s">
        <v>1095</v>
      </c>
      <c r="AU598" t="s">
        <v>1096</v>
      </c>
      <c r="AV598" t="s">
        <v>917</v>
      </c>
      <c r="AW598" t="s">
        <v>231</v>
      </c>
      <c r="AX598" t="s">
        <v>1082</v>
      </c>
      <c r="AY598" t="s">
        <v>1037</v>
      </c>
      <c r="AZ598" t="s">
        <v>1005</v>
      </c>
      <c r="BA598" t="s">
        <v>1003</v>
      </c>
      <c r="BB598" t="s">
        <v>183</v>
      </c>
      <c r="BC598" t="s">
        <v>145</v>
      </c>
      <c r="BD598" t="s">
        <v>1042</v>
      </c>
      <c r="BE598" t="s">
        <v>1021</v>
      </c>
      <c r="BF598" t="s">
        <v>143</v>
      </c>
      <c r="BG598" t="s">
        <v>1018</v>
      </c>
      <c r="BH598" t="s">
        <v>997</v>
      </c>
      <c r="BI598" t="s">
        <v>756</v>
      </c>
      <c r="BJ598" t="s">
        <v>757</v>
      </c>
      <c r="BK598" t="s">
        <v>233</v>
      </c>
      <c r="BL598" t="s">
        <v>760</v>
      </c>
      <c r="BM598" t="s">
        <v>1087</v>
      </c>
      <c r="BN598" t="s">
        <v>2339</v>
      </c>
      <c r="BO598" t="s">
        <v>234</v>
      </c>
      <c r="BP598" t="s">
        <v>259</v>
      </c>
      <c r="BQ598" t="s">
        <v>751</v>
      </c>
      <c r="BR598" t="s">
        <v>1215</v>
      </c>
      <c r="BS598" t="s">
        <v>754</v>
      </c>
      <c r="BT598" t="s">
        <v>939</v>
      </c>
      <c r="BU598" t="s">
        <v>177</v>
      </c>
      <c r="BV598" t="s">
        <v>911</v>
      </c>
      <c r="BW598" t="s">
        <v>993</v>
      </c>
      <c r="BX598" t="s">
        <v>239</v>
      </c>
      <c r="BY598" t="s">
        <v>241</v>
      </c>
      <c r="BZ598" t="s">
        <v>805</v>
      </c>
      <c r="CA598" t="s">
        <v>806</v>
      </c>
    </row>
    <row r="599" spans="1:102">
      <c r="A599" s="40">
        <v>558</v>
      </c>
      <c r="B599" s="40" t="s">
        <v>2528</v>
      </c>
      <c r="C599" s="2" t="s">
        <v>2529</v>
      </c>
      <c r="D599" s="2" t="s">
        <v>14</v>
      </c>
      <c r="E599" s="2" t="s">
        <v>25</v>
      </c>
      <c r="F599" s="2">
        <v>70</v>
      </c>
      <c r="G599" s="2">
        <v>95</v>
      </c>
      <c r="H599" s="2">
        <v>125</v>
      </c>
      <c r="I599" s="2">
        <v>65</v>
      </c>
      <c r="J599" s="2">
        <v>75</v>
      </c>
      <c r="K599" s="2">
        <v>45</v>
      </c>
      <c r="L599" s="2">
        <v>475</v>
      </c>
      <c r="M599" s="2" t="s">
        <v>1137</v>
      </c>
      <c r="N599" s="2" t="s">
        <v>1061</v>
      </c>
      <c r="O599" t="s">
        <v>309</v>
      </c>
      <c r="P599" t="s">
        <v>268</v>
      </c>
      <c r="Q599" t="s">
        <v>1196</v>
      </c>
      <c r="R599" t="s">
        <v>1213</v>
      </c>
      <c r="S599" t="s">
        <v>1196</v>
      </c>
      <c r="T599" t="s">
        <v>268</v>
      </c>
      <c r="U599" t="s">
        <v>309</v>
      </c>
      <c r="V599" t="s">
        <v>774</v>
      </c>
      <c r="W599" t="s">
        <v>1109</v>
      </c>
      <c r="X599" t="s">
        <v>1003</v>
      </c>
      <c r="Y599" t="s">
        <v>1110</v>
      </c>
      <c r="Z599" t="s">
        <v>1007</v>
      </c>
      <c r="AA599" t="s">
        <v>143</v>
      </c>
      <c r="AB599" t="s">
        <v>253</v>
      </c>
      <c r="AC599" t="s">
        <v>1018</v>
      </c>
      <c r="AD599" t="s">
        <v>1213</v>
      </c>
      <c r="AE599" t="s">
        <v>770</v>
      </c>
      <c r="AF599" t="s">
        <v>1909</v>
      </c>
      <c r="AG599" t="s">
        <v>1062</v>
      </c>
      <c r="AH599" t="s">
        <v>226</v>
      </c>
      <c r="AI599" t="s">
        <v>227</v>
      </c>
      <c r="AJ599" t="s">
        <v>1063</v>
      </c>
      <c r="AK599" t="s">
        <v>1030</v>
      </c>
      <c r="AL599" t="s">
        <v>148</v>
      </c>
      <c r="AM599" t="s">
        <v>172</v>
      </c>
      <c r="AN599" t="s">
        <v>247</v>
      </c>
      <c r="AO599" t="s">
        <v>1078</v>
      </c>
      <c r="AP599" t="s">
        <v>1079</v>
      </c>
      <c r="AQ599" t="s">
        <v>229</v>
      </c>
      <c r="AR599" t="s">
        <v>1109</v>
      </c>
      <c r="AS599" t="s">
        <v>136</v>
      </c>
      <c r="AT599" t="s">
        <v>1080</v>
      </c>
      <c r="AU599" t="s">
        <v>256</v>
      </c>
      <c r="AV599" t="s">
        <v>230</v>
      </c>
      <c r="AW599" t="s">
        <v>765</v>
      </c>
      <c r="AX599" t="s">
        <v>1095</v>
      </c>
      <c r="AY599" t="s">
        <v>1096</v>
      </c>
      <c r="AZ599" t="s">
        <v>917</v>
      </c>
      <c r="BA599" t="s">
        <v>231</v>
      </c>
      <c r="BB599" t="s">
        <v>1082</v>
      </c>
      <c r="BC599" t="s">
        <v>1037</v>
      </c>
      <c r="BD599" t="s">
        <v>1005</v>
      </c>
      <c r="BE599" t="s">
        <v>976</v>
      </c>
      <c r="BF599" t="s">
        <v>1003</v>
      </c>
      <c r="BG599" t="s">
        <v>183</v>
      </c>
      <c r="BH599" t="s">
        <v>145</v>
      </c>
      <c r="BI599" t="s">
        <v>1042</v>
      </c>
      <c r="BJ599" t="s">
        <v>1021</v>
      </c>
      <c r="BK599" t="s">
        <v>143</v>
      </c>
      <c r="BL599" t="s">
        <v>1018</v>
      </c>
      <c r="BM599" t="s">
        <v>997</v>
      </c>
      <c r="BN599" t="s">
        <v>756</v>
      </c>
      <c r="BO599" t="s">
        <v>757</v>
      </c>
      <c r="BP599" t="s">
        <v>233</v>
      </c>
      <c r="BQ599" t="s">
        <v>760</v>
      </c>
      <c r="BR599" t="s">
        <v>1087</v>
      </c>
      <c r="BS599" t="s">
        <v>2339</v>
      </c>
      <c r="BT599" t="s">
        <v>234</v>
      </c>
      <c r="BU599" t="s">
        <v>259</v>
      </c>
      <c r="BV599" t="s">
        <v>751</v>
      </c>
      <c r="BW599" t="s">
        <v>1215</v>
      </c>
      <c r="BX599" t="s">
        <v>754</v>
      </c>
      <c r="BY599" t="s">
        <v>939</v>
      </c>
      <c r="BZ599" t="s">
        <v>177</v>
      </c>
      <c r="CA599" t="s">
        <v>911</v>
      </c>
      <c r="CB599" t="s">
        <v>993</v>
      </c>
      <c r="CC599" t="s">
        <v>239</v>
      </c>
      <c r="CD599" t="s">
        <v>241</v>
      </c>
      <c r="CE599" t="s">
        <v>758</v>
      </c>
      <c r="CF599" t="s">
        <v>805</v>
      </c>
      <c r="CG599" t="s">
        <v>806</v>
      </c>
    </row>
    <row r="600" spans="1:102">
      <c r="A600" s="40">
        <v>559</v>
      </c>
      <c r="B600" s="40" t="s">
        <v>2530</v>
      </c>
      <c r="C600" s="2" t="s">
        <v>2531</v>
      </c>
      <c r="D600" s="2" t="s">
        <v>15</v>
      </c>
      <c r="E600" s="2" t="s">
        <v>18</v>
      </c>
      <c r="F600" s="2">
        <v>50</v>
      </c>
      <c r="G600" s="2">
        <v>75</v>
      </c>
      <c r="H600" s="2">
        <v>70</v>
      </c>
      <c r="I600" s="2">
        <v>35</v>
      </c>
      <c r="J600" s="2">
        <v>70</v>
      </c>
      <c r="K600" s="2">
        <v>48</v>
      </c>
      <c r="L600" s="2">
        <v>348</v>
      </c>
      <c r="M600" s="2" t="s">
        <v>1159</v>
      </c>
      <c r="N600" s="2" t="s">
        <v>1061</v>
      </c>
      <c r="O600" t="s">
        <v>330</v>
      </c>
      <c r="P600" t="s">
        <v>432</v>
      </c>
      <c r="Q600" t="s">
        <v>309</v>
      </c>
      <c r="R600" t="s">
        <v>774</v>
      </c>
      <c r="S600" t="s">
        <v>420</v>
      </c>
      <c r="T600" t="s">
        <v>756</v>
      </c>
      <c r="U600" t="s">
        <v>1094</v>
      </c>
      <c r="V600" t="s">
        <v>995</v>
      </c>
      <c r="W600" t="s">
        <v>1142</v>
      </c>
      <c r="X600" t="s">
        <v>566</v>
      </c>
      <c r="Y600" t="s">
        <v>1092</v>
      </c>
      <c r="Z600" t="s">
        <v>777</v>
      </c>
      <c r="AA600" t="s">
        <v>917</v>
      </c>
      <c r="AB600" t="s">
        <v>1002</v>
      </c>
      <c r="AC600" t="s">
        <v>920</v>
      </c>
      <c r="AD600" t="s">
        <v>800</v>
      </c>
      <c r="AE600" t="s">
        <v>1062</v>
      </c>
      <c r="AF600" t="s">
        <v>227</v>
      </c>
      <c r="AG600" t="s">
        <v>1063</v>
      </c>
      <c r="AH600" t="s">
        <v>1093</v>
      </c>
      <c r="AI600" t="s">
        <v>246</v>
      </c>
      <c r="AJ600" t="s">
        <v>148</v>
      </c>
      <c r="AK600" t="s">
        <v>1175</v>
      </c>
      <c r="AL600" t="s">
        <v>172</v>
      </c>
      <c r="AM600" t="s">
        <v>752</v>
      </c>
      <c r="AN600" t="s">
        <v>1126</v>
      </c>
      <c r="AO600" t="s">
        <v>1078</v>
      </c>
      <c r="AP600" t="s">
        <v>766</v>
      </c>
      <c r="AQ600" t="s">
        <v>1079</v>
      </c>
      <c r="AR600" t="s">
        <v>1109</v>
      </c>
      <c r="AS600" t="s">
        <v>1080</v>
      </c>
      <c r="AT600" t="s">
        <v>256</v>
      </c>
      <c r="AU600" t="s">
        <v>1094</v>
      </c>
      <c r="AV600" t="s">
        <v>230</v>
      </c>
      <c r="AW600" t="s">
        <v>1081</v>
      </c>
      <c r="AX600" t="s">
        <v>1095</v>
      </c>
      <c r="AY600" t="s">
        <v>951</v>
      </c>
      <c r="AZ600" t="s">
        <v>917</v>
      </c>
      <c r="BA600" t="s">
        <v>231</v>
      </c>
      <c r="BB600" t="s">
        <v>1082</v>
      </c>
      <c r="BC600" t="s">
        <v>1172</v>
      </c>
      <c r="BD600" t="s">
        <v>1037</v>
      </c>
      <c r="BE600" t="s">
        <v>1102</v>
      </c>
      <c r="BF600" t="s">
        <v>974</v>
      </c>
      <c r="BG600" t="s">
        <v>1031</v>
      </c>
      <c r="BH600" t="s">
        <v>995</v>
      </c>
      <c r="BI600" t="s">
        <v>1036</v>
      </c>
      <c r="BJ600" t="s">
        <v>183</v>
      </c>
      <c r="BK600" t="s">
        <v>143</v>
      </c>
      <c r="BL600" t="s">
        <v>1022</v>
      </c>
      <c r="BM600" t="s">
        <v>997</v>
      </c>
      <c r="BN600" t="s">
        <v>977</v>
      </c>
      <c r="BO600" t="s">
        <v>756</v>
      </c>
      <c r="BP600" t="s">
        <v>757</v>
      </c>
      <c r="BQ600" t="s">
        <v>233</v>
      </c>
      <c r="BR600" t="s">
        <v>760</v>
      </c>
      <c r="BS600" t="s">
        <v>1040</v>
      </c>
      <c r="BT600" t="s">
        <v>1157</v>
      </c>
      <c r="BU600" t="s">
        <v>2398</v>
      </c>
      <c r="BV600" t="s">
        <v>2339</v>
      </c>
      <c r="BW600" t="s">
        <v>234</v>
      </c>
      <c r="BX600" t="s">
        <v>137</v>
      </c>
      <c r="BY600" t="s">
        <v>274</v>
      </c>
      <c r="BZ600" t="s">
        <v>147</v>
      </c>
      <c r="CA600" t="s">
        <v>259</v>
      </c>
      <c r="CB600" t="s">
        <v>235</v>
      </c>
      <c r="CC600" t="s">
        <v>774</v>
      </c>
      <c r="CD600" t="s">
        <v>1220</v>
      </c>
      <c r="CE600" t="s">
        <v>176</v>
      </c>
      <c r="CF600" t="s">
        <v>915</v>
      </c>
      <c r="CG600" t="s">
        <v>181</v>
      </c>
      <c r="CH600" t="s">
        <v>1019</v>
      </c>
      <c r="CI600" t="s">
        <v>1035</v>
      </c>
      <c r="CJ600" t="s">
        <v>239</v>
      </c>
      <c r="CK600" t="s">
        <v>241</v>
      </c>
      <c r="CL600" t="s">
        <v>805</v>
      </c>
      <c r="CM600" t="s">
        <v>806</v>
      </c>
    </row>
    <row r="601" spans="1:102">
      <c r="A601" s="40">
        <v>560</v>
      </c>
      <c r="B601" s="40" t="s">
        <v>2532</v>
      </c>
      <c r="C601" s="2" t="s">
        <v>2533</v>
      </c>
      <c r="D601" s="2" t="s">
        <v>15</v>
      </c>
      <c r="E601" s="2" t="s">
        <v>18</v>
      </c>
      <c r="F601" s="2">
        <v>65</v>
      </c>
      <c r="G601" s="2">
        <v>90</v>
      </c>
      <c r="H601" s="2">
        <v>115</v>
      </c>
      <c r="I601" s="2">
        <v>45</v>
      </c>
      <c r="J601" s="2">
        <v>115</v>
      </c>
      <c r="K601" s="2">
        <v>58</v>
      </c>
      <c r="L601" s="2">
        <v>488</v>
      </c>
      <c r="M601" s="2" t="s">
        <v>1752</v>
      </c>
      <c r="N601" s="2" t="s">
        <v>1061</v>
      </c>
      <c r="O601" t="s">
        <v>309</v>
      </c>
      <c r="P601" t="s">
        <v>330</v>
      </c>
      <c r="Q601" t="s">
        <v>432</v>
      </c>
      <c r="R601" t="s">
        <v>774</v>
      </c>
      <c r="S601" t="s">
        <v>309</v>
      </c>
      <c r="T601" t="s">
        <v>774</v>
      </c>
      <c r="U601" t="s">
        <v>420</v>
      </c>
      <c r="V601" t="s">
        <v>756</v>
      </c>
      <c r="W601" t="s">
        <v>1094</v>
      </c>
      <c r="X601" t="s">
        <v>995</v>
      </c>
      <c r="Y601" t="s">
        <v>1142</v>
      </c>
      <c r="Z601" t="s">
        <v>566</v>
      </c>
      <c r="AA601" t="s">
        <v>1092</v>
      </c>
      <c r="AB601" t="s">
        <v>777</v>
      </c>
      <c r="AC601" t="s">
        <v>917</v>
      </c>
      <c r="AD601" t="s">
        <v>1002</v>
      </c>
      <c r="AE601" t="s">
        <v>920</v>
      </c>
      <c r="AF601" t="s">
        <v>800</v>
      </c>
      <c r="AG601" t="s">
        <v>1062</v>
      </c>
      <c r="AH601" t="s">
        <v>227</v>
      </c>
      <c r="AI601" t="s">
        <v>1063</v>
      </c>
      <c r="AJ601" t="s">
        <v>1093</v>
      </c>
      <c r="AK601" t="s">
        <v>246</v>
      </c>
      <c r="AL601" t="s">
        <v>148</v>
      </c>
      <c r="AM601" t="s">
        <v>1175</v>
      </c>
      <c r="AN601" t="s">
        <v>172</v>
      </c>
      <c r="AO601" t="s">
        <v>752</v>
      </c>
      <c r="AP601" t="s">
        <v>1126</v>
      </c>
      <c r="AQ601" t="s">
        <v>247</v>
      </c>
      <c r="AR601" t="s">
        <v>1078</v>
      </c>
      <c r="AS601" t="s">
        <v>766</v>
      </c>
      <c r="AT601" t="s">
        <v>1079</v>
      </c>
      <c r="AU601" t="s">
        <v>1109</v>
      </c>
      <c r="AV601" t="s">
        <v>1080</v>
      </c>
      <c r="AW601" t="s">
        <v>256</v>
      </c>
      <c r="AX601" t="s">
        <v>1094</v>
      </c>
      <c r="AY601" t="s">
        <v>230</v>
      </c>
      <c r="AZ601" t="s">
        <v>1081</v>
      </c>
      <c r="BA601" t="s">
        <v>1095</v>
      </c>
      <c r="BB601" t="s">
        <v>951</v>
      </c>
      <c r="BC601" t="s">
        <v>917</v>
      </c>
      <c r="BD601" t="s">
        <v>231</v>
      </c>
      <c r="BE601" t="s">
        <v>1082</v>
      </c>
      <c r="BF601" t="s">
        <v>1117</v>
      </c>
      <c r="BG601" t="s">
        <v>1172</v>
      </c>
      <c r="BH601" t="s">
        <v>1037</v>
      </c>
      <c r="BI601" t="s">
        <v>1102</v>
      </c>
      <c r="BJ601" t="s">
        <v>974</v>
      </c>
      <c r="BK601" t="s">
        <v>1031</v>
      </c>
      <c r="BL601" t="s">
        <v>995</v>
      </c>
      <c r="BM601" t="s">
        <v>1036</v>
      </c>
      <c r="BN601" t="s">
        <v>976</v>
      </c>
      <c r="BO601" t="s">
        <v>183</v>
      </c>
      <c r="BP601" t="s">
        <v>143</v>
      </c>
      <c r="BQ601" t="s">
        <v>1022</v>
      </c>
      <c r="BR601" t="s">
        <v>997</v>
      </c>
      <c r="BS601" t="s">
        <v>977</v>
      </c>
      <c r="BT601" t="s">
        <v>756</v>
      </c>
      <c r="BU601" t="s">
        <v>757</v>
      </c>
      <c r="BV601" t="s">
        <v>233</v>
      </c>
      <c r="BW601" t="s">
        <v>760</v>
      </c>
      <c r="BX601" t="s">
        <v>1040</v>
      </c>
      <c r="BY601" t="s">
        <v>1157</v>
      </c>
      <c r="BZ601" t="s">
        <v>2398</v>
      </c>
      <c r="CA601" t="s">
        <v>2339</v>
      </c>
      <c r="CB601" t="s">
        <v>234</v>
      </c>
      <c r="CC601" t="s">
        <v>137</v>
      </c>
      <c r="CD601" t="s">
        <v>274</v>
      </c>
      <c r="CE601" t="s">
        <v>147</v>
      </c>
      <c r="CF601" t="s">
        <v>259</v>
      </c>
      <c r="CG601" t="s">
        <v>235</v>
      </c>
      <c r="CH601" t="s">
        <v>774</v>
      </c>
      <c r="CI601" t="s">
        <v>1220</v>
      </c>
      <c r="CJ601" t="s">
        <v>176</v>
      </c>
      <c r="CK601" t="s">
        <v>915</v>
      </c>
      <c r="CL601" t="s">
        <v>181</v>
      </c>
      <c r="CM601" t="s">
        <v>1019</v>
      </c>
      <c r="CN601" t="s">
        <v>1035</v>
      </c>
      <c r="CO601" t="s">
        <v>239</v>
      </c>
      <c r="CP601" t="s">
        <v>241</v>
      </c>
      <c r="CQ601" t="s">
        <v>805</v>
      </c>
      <c r="CR601" t="s">
        <v>806</v>
      </c>
    </row>
    <row r="602" spans="1:102">
      <c r="A602" s="40">
        <v>561</v>
      </c>
      <c r="B602" s="40" t="s">
        <v>2534</v>
      </c>
      <c r="C602" s="2" t="s">
        <v>2535</v>
      </c>
      <c r="D602" s="2" t="s">
        <v>9</v>
      </c>
      <c r="E602" s="2" t="s">
        <v>20</v>
      </c>
      <c r="F602" s="2">
        <v>72</v>
      </c>
      <c r="G602" s="2">
        <v>58</v>
      </c>
      <c r="H602" s="2">
        <v>80</v>
      </c>
      <c r="I602" s="2">
        <v>103</v>
      </c>
      <c r="J602" s="2">
        <v>80</v>
      </c>
      <c r="K602" s="2">
        <v>97</v>
      </c>
      <c r="L602" s="2">
        <v>490</v>
      </c>
      <c r="M602" s="2" t="s">
        <v>1137</v>
      </c>
      <c r="N602" s="2" t="s">
        <v>1061</v>
      </c>
      <c r="O602" t="s">
        <v>289</v>
      </c>
      <c r="P602" t="s">
        <v>1184</v>
      </c>
      <c r="Q602" t="s">
        <v>388</v>
      </c>
      <c r="R602" t="s">
        <v>529</v>
      </c>
      <c r="S602" t="s">
        <v>1009</v>
      </c>
      <c r="T602" t="s">
        <v>291</v>
      </c>
      <c r="U602" t="s">
        <v>292</v>
      </c>
      <c r="V602" t="s">
        <v>1118</v>
      </c>
      <c r="W602" t="s">
        <v>228</v>
      </c>
      <c r="X602" t="s">
        <v>380</v>
      </c>
      <c r="Y602" t="s">
        <v>1043</v>
      </c>
      <c r="Z602" t="s">
        <v>311</v>
      </c>
      <c r="AA602" t="s">
        <v>978</v>
      </c>
      <c r="AB602" t="s">
        <v>1101</v>
      </c>
      <c r="AC602" t="s">
        <v>9</v>
      </c>
      <c r="AD602" t="s">
        <v>1149</v>
      </c>
      <c r="AE602" t="s">
        <v>316</v>
      </c>
      <c r="AF602" t="s">
        <v>1062</v>
      </c>
      <c r="AG602" t="s">
        <v>138</v>
      </c>
      <c r="AH602" t="s">
        <v>1063</v>
      </c>
      <c r="AI602" t="s">
        <v>1151</v>
      </c>
      <c r="AJ602" t="s">
        <v>912</v>
      </c>
      <c r="AK602" t="s">
        <v>148</v>
      </c>
      <c r="AL602" t="s">
        <v>172</v>
      </c>
      <c r="AM602" t="s">
        <v>141</v>
      </c>
      <c r="AN602" t="s">
        <v>247</v>
      </c>
      <c r="AO602" t="s">
        <v>228</v>
      </c>
      <c r="AP602" t="s">
        <v>1078</v>
      </c>
      <c r="AQ602" t="s">
        <v>766</v>
      </c>
      <c r="AR602" t="s">
        <v>1119</v>
      </c>
      <c r="AS602" t="s">
        <v>759</v>
      </c>
      <c r="AT602" t="s">
        <v>1079</v>
      </c>
      <c r="AU602" t="s">
        <v>229</v>
      </c>
      <c r="AV602" t="s">
        <v>1109</v>
      </c>
      <c r="AW602" t="s">
        <v>1080</v>
      </c>
      <c r="AX602" t="s">
        <v>9</v>
      </c>
      <c r="AY602" t="s">
        <v>174</v>
      </c>
      <c r="AZ602" t="s">
        <v>230</v>
      </c>
      <c r="BA602" t="s">
        <v>380</v>
      </c>
      <c r="BB602" t="s">
        <v>1096</v>
      </c>
      <c r="BC602" t="s">
        <v>917</v>
      </c>
      <c r="BD602" t="s">
        <v>231</v>
      </c>
      <c r="BE602" t="s">
        <v>1082</v>
      </c>
      <c r="BF602" t="s">
        <v>1117</v>
      </c>
      <c r="BG602" t="s">
        <v>1037</v>
      </c>
      <c r="BH602" t="s">
        <v>1125</v>
      </c>
      <c r="BI602" t="s">
        <v>970</v>
      </c>
      <c r="BJ602" t="s">
        <v>963</v>
      </c>
      <c r="BK602" t="s">
        <v>232</v>
      </c>
      <c r="BL602" t="s">
        <v>322</v>
      </c>
      <c r="BM602" t="s">
        <v>785</v>
      </c>
      <c r="BN602" t="s">
        <v>293</v>
      </c>
      <c r="BO602" t="s">
        <v>756</v>
      </c>
      <c r="BP602" t="s">
        <v>757</v>
      </c>
      <c r="BQ602" t="s">
        <v>233</v>
      </c>
      <c r="BR602" t="s">
        <v>973</v>
      </c>
      <c r="BS602" t="s">
        <v>1012</v>
      </c>
      <c r="BT602" t="s">
        <v>1157</v>
      </c>
      <c r="BU602" t="s">
        <v>2342</v>
      </c>
      <c r="BV602" t="s">
        <v>2339</v>
      </c>
      <c r="BW602" t="s">
        <v>234</v>
      </c>
      <c r="BX602" t="s">
        <v>1125</v>
      </c>
      <c r="BY602" t="s">
        <v>170</v>
      </c>
      <c r="BZ602" t="s">
        <v>941</v>
      </c>
      <c r="CA602" t="s">
        <v>1119</v>
      </c>
      <c r="CB602" t="s">
        <v>1262</v>
      </c>
      <c r="CC602" t="s">
        <v>1041</v>
      </c>
      <c r="CD602" t="s">
        <v>239</v>
      </c>
      <c r="CE602" t="s">
        <v>241</v>
      </c>
      <c r="CF602" t="s">
        <v>805</v>
      </c>
      <c r="CG602" t="s">
        <v>806</v>
      </c>
    </row>
    <row r="603" spans="1:102">
      <c r="A603" s="40">
        <v>562</v>
      </c>
      <c r="B603" s="40" t="s">
        <v>2536</v>
      </c>
      <c r="C603" s="2" t="s">
        <v>2537</v>
      </c>
      <c r="D603" s="2" t="s">
        <v>10</v>
      </c>
      <c r="E603" s="2"/>
      <c r="F603" s="2">
        <v>38</v>
      </c>
      <c r="G603" s="2">
        <v>30</v>
      </c>
      <c r="H603" s="2">
        <v>85</v>
      </c>
      <c r="I603" s="2">
        <v>55</v>
      </c>
      <c r="J603" s="2">
        <v>65</v>
      </c>
      <c r="K603" s="2">
        <v>30</v>
      </c>
      <c r="L603" s="2">
        <v>303</v>
      </c>
      <c r="M603" s="2" t="s">
        <v>1199</v>
      </c>
      <c r="N603" s="2" t="s">
        <v>1061</v>
      </c>
      <c r="O603" t="s">
        <v>1078</v>
      </c>
      <c r="P603" t="s">
        <v>1130</v>
      </c>
      <c r="Q603" t="s">
        <v>340</v>
      </c>
      <c r="R603" t="s">
        <v>272</v>
      </c>
      <c r="S603" t="s">
        <v>528</v>
      </c>
      <c r="T603" t="s">
        <v>1029</v>
      </c>
      <c r="U603" t="s">
        <v>956</v>
      </c>
      <c r="V603" t="s">
        <v>994</v>
      </c>
      <c r="W603" t="s">
        <v>751</v>
      </c>
      <c r="X603" t="s">
        <v>1182</v>
      </c>
      <c r="Y603" t="s">
        <v>1033</v>
      </c>
      <c r="Z603" t="s">
        <v>174</v>
      </c>
      <c r="AA603" t="s">
        <v>923</v>
      </c>
      <c r="AB603" t="s">
        <v>787</v>
      </c>
      <c r="AC603" t="s">
        <v>793</v>
      </c>
      <c r="AD603" t="s">
        <v>1062</v>
      </c>
      <c r="AE603" t="s">
        <v>1063</v>
      </c>
      <c r="AF603" t="s">
        <v>912</v>
      </c>
      <c r="AG603" t="s">
        <v>148</v>
      </c>
      <c r="AH603" t="s">
        <v>172</v>
      </c>
      <c r="AI603" t="s">
        <v>1078</v>
      </c>
      <c r="AJ603" t="s">
        <v>766</v>
      </c>
      <c r="AK603" t="s">
        <v>759</v>
      </c>
      <c r="AL603" t="s">
        <v>1079</v>
      </c>
      <c r="AM603" t="s">
        <v>1080</v>
      </c>
      <c r="AN603" t="s">
        <v>9</v>
      </c>
      <c r="AO603" t="s">
        <v>174</v>
      </c>
      <c r="AP603" t="s">
        <v>230</v>
      </c>
      <c r="AQ603" t="s">
        <v>917</v>
      </c>
      <c r="AR603" t="s">
        <v>231</v>
      </c>
      <c r="AS603" t="s">
        <v>1082</v>
      </c>
      <c r="AT603" t="s">
        <v>1117</v>
      </c>
      <c r="AU603" t="s">
        <v>1037</v>
      </c>
      <c r="AV603" t="s">
        <v>970</v>
      </c>
      <c r="AW603" t="s">
        <v>956</v>
      </c>
      <c r="AX603" t="s">
        <v>969</v>
      </c>
      <c r="AY603" t="s">
        <v>995</v>
      </c>
      <c r="AZ603" t="s">
        <v>232</v>
      </c>
      <c r="BA603" t="s">
        <v>785</v>
      </c>
      <c r="BB603" t="s">
        <v>293</v>
      </c>
      <c r="BC603" t="s">
        <v>756</v>
      </c>
      <c r="BD603" t="s">
        <v>233</v>
      </c>
      <c r="BE603" t="s">
        <v>1012</v>
      </c>
      <c r="BF603" t="s">
        <v>234</v>
      </c>
      <c r="BG603" t="s">
        <v>340</v>
      </c>
      <c r="BH603" t="s">
        <v>1217</v>
      </c>
      <c r="BI603" t="s">
        <v>754</v>
      </c>
      <c r="BJ603" t="s">
        <v>931</v>
      </c>
      <c r="BK603" t="s">
        <v>927</v>
      </c>
      <c r="BL603" t="s">
        <v>918</v>
      </c>
      <c r="BM603" t="s">
        <v>1451</v>
      </c>
      <c r="BN603" t="s">
        <v>991</v>
      </c>
      <c r="BO603" t="s">
        <v>239</v>
      </c>
      <c r="BP603" t="s">
        <v>241</v>
      </c>
      <c r="BQ603" t="s">
        <v>805</v>
      </c>
      <c r="BR603" t="s">
        <v>806</v>
      </c>
    </row>
    <row r="604" spans="1:102">
      <c r="A604" s="40">
        <v>563</v>
      </c>
      <c r="B604" s="40" t="s">
        <v>2538</v>
      </c>
      <c r="C604" s="2" t="s">
        <v>2539</v>
      </c>
      <c r="D604" s="2" t="s">
        <v>10</v>
      </c>
      <c r="E604" s="2"/>
      <c r="F604" s="2">
        <v>58</v>
      </c>
      <c r="G604" s="2">
        <v>50</v>
      </c>
      <c r="H604" s="2">
        <v>145</v>
      </c>
      <c r="I604" s="2">
        <v>95</v>
      </c>
      <c r="J604" s="2">
        <v>105</v>
      </c>
      <c r="K604" s="2">
        <v>30</v>
      </c>
      <c r="L604" s="2">
        <v>483</v>
      </c>
      <c r="M604" s="2" t="s">
        <v>1075</v>
      </c>
      <c r="N604" s="2" t="s">
        <v>1061</v>
      </c>
      <c r="O604" t="s">
        <v>340</v>
      </c>
      <c r="P604" t="s">
        <v>272</v>
      </c>
      <c r="Q604" t="s">
        <v>1078</v>
      </c>
      <c r="R604" t="s">
        <v>1130</v>
      </c>
      <c r="S604" t="s">
        <v>340</v>
      </c>
      <c r="T604" t="s">
        <v>272</v>
      </c>
      <c r="U604" t="s">
        <v>528</v>
      </c>
      <c r="V604" t="s">
        <v>1029</v>
      </c>
      <c r="W604" t="s">
        <v>956</v>
      </c>
      <c r="X604" t="s">
        <v>994</v>
      </c>
      <c r="Y604" t="s">
        <v>751</v>
      </c>
      <c r="Z604" t="s">
        <v>1182</v>
      </c>
      <c r="AA604" t="s">
        <v>1033</v>
      </c>
      <c r="AB604" t="s">
        <v>1092</v>
      </c>
      <c r="AC604" t="s">
        <v>174</v>
      </c>
      <c r="AD604" t="s">
        <v>923</v>
      </c>
      <c r="AE604" t="s">
        <v>787</v>
      </c>
      <c r="AF604" t="s">
        <v>793</v>
      </c>
      <c r="AG604" t="s">
        <v>1062</v>
      </c>
      <c r="AH604" t="s">
        <v>1063</v>
      </c>
      <c r="AI604" t="s">
        <v>912</v>
      </c>
      <c r="AJ604" t="s">
        <v>148</v>
      </c>
      <c r="AK604" t="s">
        <v>172</v>
      </c>
      <c r="AL604" t="s">
        <v>247</v>
      </c>
      <c r="AM604" t="s">
        <v>1078</v>
      </c>
      <c r="AN604" t="s">
        <v>766</v>
      </c>
      <c r="AO604" t="s">
        <v>759</v>
      </c>
      <c r="AP604" t="s">
        <v>1079</v>
      </c>
      <c r="AQ604" t="s">
        <v>1080</v>
      </c>
      <c r="AR604" t="s">
        <v>9</v>
      </c>
      <c r="AS604" t="s">
        <v>174</v>
      </c>
      <c r="AT604" t="s">
        <v>230</v>
      </c>
      <c r="AU604" t="s">
        <v>917</v>
      </c>
      <c r="AV604" t="s">
        <v>231</v>
      </c>
      <c r="AW604" t="s">
        <v>1082</v>
      </c>
      <c r="AX604" t="s">
        <v>1117</v>
      </c>
      <c r="AY604" t="s">
        <v>1037</v>
      </c>
      <c r="AZ604" t="s">
        <v>970</v>
      </c>
      <c r="BA604" t="s">
        <v>956</v>
      </c>
      <c r="BB604" t="s">
        <v>969</v>
      </c>
      <c r="BC604" t="s">
        <v>995</v>
      </c>
      <c r="BD604" t="s">
        <v>976</v>
      </c>
      <c r="BE604" t="s">
        <v>232</v>
      </c>
      <c r="BF604" t="s">
        <v>785</v>
      </c>
      <c r="BG604" t="s">
        <v>293</v>
      </c>
      <c r="BH604" t="s">
        <v>977</v>
      </c>
      <c r="BI604" t="s">
        <v>756</v>
      </c>
      <c r="BJ604" t="s">
        <v>233</v>
      </c>
      <c r="BK604" t="s">
        <v>1012</v>
      </c>
      <c r="BL604" t="s">
        <v>234</v>
      </c>
      <c r="BM604" t="s">
        <v>340</v>
      </c>
      <c r="BN604" t="s">
        <v>1217</v>
      </c>
      <c r="BO604" t="s">
        <v>754</v>
      </c>
      <c r="BP604" t="s">
        <v>931</v>
      </c>
      <c r="BQ604" t="s">
        <v>927</v>
      </c>
      <c r="BR604" t="s">
        <v>918</v>
      </c>
      <c r="BS604" t="s">
        <v>1451</v>
      </c>
      <c r="BT604" t="s">
        <v>991</v>
      </c>
      <c r="BU604" t="s">
        <v>239</v>
      </c>
      <c r="BV604" t="s">
        <v>241</v>
      </c>
      <c r="BW604" t="s">
        <v>805</v>
      </c>
      <c r="BX604" t="s">
        <v>806</v>
      </c>
    </row>
    <row r="605" spans="1:102">
      <c r="A605" s="40">
        <v>564</v>
      </c>
      <c r="B605" s="40" t="s">
        <v>2540</v>
      </c>
      <c r="C605" s="2" t="s">
        <v>2541</v>
      </c>
      <c r="D605" s="2" t="s">
        <v>27</v>
      </c>
      <c r="E605" s="2" t="s">
        <v>25</v>
      </c>
      <c r="F605" s="2">
        <v>54</v>
      </c>
      <c r="G605" s="2">
        <v>78</v>
      </c>
      <c r="H605" s="2">
        <v>103</v>
      </c>
      <c r="I605" s="2">
        <v>53</v>
      </c>
      <c r="J605" s="2">
        <v>45</v>
      </c>
      <c r="K605" s="2">
        <v>22</v>
      </c>
      <c r="L605" s="2">
        <v>355</v>
      </c>
      <c r="M605" s="2" t="s">
        <v>1089</v>
      </c>
      <c r="N605" s="2" t="s">
        <v>1061</v>
      </c>
      <c r="O605" t="s">
        <v>269</v>
      </c>
      <c r="P605" t="s">
        <v>268</v>
      </c>
      <c r="Q605" t="s">
        <v>347</v>
      </c>
      <c r="R605" t="s">
        <v>768</v>
      </c>
      <c r="S605" t="s">
        <v>258</v>
      </c>
      <c r="T605" t="s">
        <v>1078</v>
      </c>
      <c r="U605" t="s">
        <v>959</v>
      </c>
      <c r="V605" t="s">
        <v>170</v>
      </c>
      <c r="W605" t="s">
        <v>777</v>
      </c>
      <c r="X605" t="s">
        <v>1187</v>
      </c>
      <c r="Y605" t="s">
        <v>961</v>
      </c>
      <c r="Z605" t="s">
        <v>1109</v>
      </c>
      <c r="AA605" t="s">
        <v>751</v>
      </c>
      <c r="AB605" t="s">
        <v>1213</v>
      </c>
      <c r="AC605" t="s">
        <v>179</v>
      </c>
      <c r="AD605" t="s">
        <v>143</v>
      </c>
      <c r="AE605" t="s">
        <v>766</v>
      </c>
      <c r="AF605" t="s">
        <v>140</v>
      </c>
      <c r="AG605" t="s">
        <v>1062</v>
      </c>
      <c r="AH605" t="s">
        <v>144</v>
      </c>
      <c r="AI605" t="s">
        <v>227</v>
      </c>
      <c r="AJ605" t="s">
        <v>270</v>
      </c>
      <c r="AK605" t="s">
        <v>914</v>
      </c>
      <c r="AL605" t="s">
        <v>1063</v>
      </c>
      <c r="AM605" t="s">
        <v>148</v>
      </c>
      <c r="AN605" t="s">
        <v>172</v>
      </c>
      <c r="AO605" t="s">
        <v>141</v>
      </c>
      <c r="AP605" t="s">
        <v>271</v>
      </c>
      <c r="AQ605" t="s">
        <v>1078</v>
      </c>
      <c r="AR605" t="s">
        <v>766</v>
      </c>
      <c r="AS605" t="s">
        <v>1079</v>
      </c>
      <c r="AT605" t="s">
        <v>1109</v>
      </c>
      <c r="AU605" t="s">
        <v>136</v>
      </c>
      <c r="AV605" t="s">
        <v>1080</v>
      </c>
      <c r="AW605" t="s">
        <v>256</v>
      </c>
      <c r="AX605" t="s">
        <v>230</v>
      </c>
      <c r="AY605" t="s">
        <v>765</v>
      </c>
      <c r="AZ605" t="s">
        <v>1095</v>
      </c>
      <c r="BA605" t="s">
        <v>917</v>
      </c>
      <c r="BB605" t="s">
        <v>231</v>
      </c>
      <c r="BC605" t="s">
        <v>1082</v>
      </c>
      <c r="BD605" t="s">
        <v>1037</v>
      </c>
      <c r="BE605" t="s">
        <v>1038</v>
      </c>
      <c r="BF605" t="s">
        <v>1003</v>
      </c>
      <c r="BG605" t="s">
        <v>183</v>
      </c>
      <c r="BH605" t="s">
        <v>1021</v>
      </c>
      <c r="BI605" t="s">
        <v>143</v>
      </c>
      <c r="BJ605" t="s">
        <v>756</v>
      </c>
      <c r="BK605" t="s">
        <v>233</v>
      </c>
      <c r="BL605" t="s">
        <v>760</v>
      </c>
      <c r="BM605" t="s">
        <v>234</v>
      </c>
      <c r="BN605" t="s">
        <v>341</v>
      </c>
      <c r="BO605" t="s">
        <v>364</v>
      </c>
      <c r="BP605" t="s">
        <v>483</v>
      </c>
      <c r="BQ605" t="s">
        <v>347</v>
      </c>
      <c r="BR605" t="s">
        <v>770</v>
      </c>
      <c r="BS605" t="s">
        <v>767</v>
      </c>
      <c r="BT605" t="s">
        <v>928</v>
      </c>
      <c r="BU605" t="s">
        <v>177</v>
      </c>
      <c r="BV605" t="s">
        <v>954</v>
      </c>
      <c r="BW605" t="s">
        <v>1183</v>
      </c>
      <c r="BX605" t="s">
        <v>239</v>
      </c>
      <c r="BY605" t="s">
        <v>241</v>
      </c>
      <c r="BZ605" t="s">
        <v>805</v>
      </c>
      <c r="CA605" t="s">
        <v>806</v>
      </c>
    </row>
    <row r="606" spans="1:102">
      <c r="A606" s="40">
        <v>565</v>
      </c>
      <c r="B606" s="40" t="s">
        <v>2542</v>
      </c>
      <c r="C606" s="2" t="s">
        <v>2543</v>
      </c>
      <c r="D606" s="2" t="s">
        <v>27</v>
      </c>
      <c r="E606" s="2" t="s">
        <v>25</v>
      </c>
      <c r="F606" s="2">
        <v>74</v>
      </c>
      <c r="G606" s="2">
        <v>108</v>
      </c>
      <c r="H606" s="2">
        <v>133</v>
      </c>
      <c r="I606" s="2">
        <v>83</v>
      </c>
      <c r="J606" s="2">
        <v>65</v>
      </c>
      <c r="K606" s="2">
        <v>32</v>
      </c>
      <c r="L606" s="2">
        <v>495</v>
      </c>
      <c r="M606" s="2" t="s">
        <v>1158</v>
      </c>
      <c r="N606" s="2" t="s">
        <v>1061</v>
      </c>
      <c r="O606" t="s">
        <v>269</v>
      </c>
      <c r="P606" t="s">
        <v>268</v>
      </c>
      <c r="Q606" t="s">
        <v>347</v>
      </c>
      <c r="R606" t="s">
        <v>768</v>
      </c>
      <c r="S606" t="s">
        <v>768</v>
      </c>
      <c r="T606" t="s">
        <v>258</v>
      </c>
      <c r="U606" t="s">
        <v>1078</v>
      </c>
      <c r="V606" t="s">
        <v>959</v>
      </c>
      <c r="W606" t="s">
        <v>170</v>
      </c>
      <c r="X606" t="s">
        <v>777</v>
      </c>
      <c r="Y606" t="s">
        <v>1187</v>
      </c>
      <c r="Z606" t="s">
        <v>961</v>
      </c>
      <c r="AA606" t="s">
        <v>1109</v>
      </c>
      <c r="AB606" t="s">
        <v>751</v>
      </c>
      <c r="AC606" t="s">
        <v>1213</v>
      </c>
      <c r="AD606" t="s">
        <v>179</v>
      </c>
      <c r="AE606" t="s">
        <v>143</v>
      </c>
      <c r="AF606" t="s">
        <v>766</v>
      </c>
      <c r="AG606" t="s">
        <v>140</v>
      </c>
      <c r="AH606" t="s">
        <v>1062</v>
      </c>
      <c r="AI606" t="s">
        <v>144</v>
      </c>
      <c r="AJ606" t="s">
        <v>227</v>
      </c>
      <c r="AK606" t="s">
        <v>270</v>
      </c>
      <c r="AL606" t="s">
        <v>914</v>
      </c>
      <c r="AM606" t="s">
        <v>1063</v>
      </c>
      <c r="AN606" t="s">
        <v>148</v>
      </c>
      <c r="AO606" t="s">
        <v>172</v>
      </c>
      <c r="AP606" t="s">
        <v>141</v>
      </c>
      <c r="AQ606" t="s">
        <v>271</v>
      </c>
      <c r="AR606" t="s">
        <v>247</v>
      </c>
      <c r="AS606" t="s">
        <v>1078</v>
      </c>
      <c r="AT606" t="s">
        <v>766</v>
      </c>
      <c r="AU606" t="s">
        <v>1079</v>
      </c>
      <c r="AV606" t="s">
        <v>1109</v>
      </c>
      <c r="AW606" t="s">
        <v>136</v>
      </c>
      <c r="AX606" t="s">
        <v>1080</v>
      </c>
      <c r="AY606" t="s">
        <v>256</v>
      </c>
      <c r="AZ606" t="s">
        <v>230</v>
      </c>
      <c r="BA606" t="s">
        <v>765</v>
      </c>
      <c r="BB606" t="s">
        <v>1095</v>
      </c>
      <c r="BC606" t="s">
        <v>917</v>
      </c>
      <c r="BD606" t="s">
        <v>231</v>
      </c>
      <c r="BE606" t="s">
        <v>1082</v>
      </c>
      <c r="BF606" t="s">
        <v>1037</v>
      </c>
      <c r="BG606" t="s">
        <v>1102</v>
      </c>
      <c r="BH606" t="s">
        <v>1038</v>
      </c>
      <c r="BI606" t="s">
        <v>976</v>
      </c>
      <c r="BJ606" t="s">
        <v>1003</v>
      </c>
      <c r="BK606" t="s">
        <v>183</v>
      </c>
      <c r="BL606" t="s">
        <v>1021</v>
      </c>
      <c r="BM606" t="s">
        <v>143</v>
      </c>
      <c r="BN606" t="s">
        <v>756</v>
      </c>
      <c r="BO606" t="s">
        <v>233</v>
      </c>
      <c r="BP606" t="s">
        <v>760</v>
      </c>
      <c r="BQ606" t="s">
        <v>234</v>
      </c>
      <c r="BR606" t="s">
        <v>341</v>
      </c>
      <c r="BS606" t="s">
        <v>364</v>
      </c>
      <c r="BT606" t="s">
        <v>483</v>
      </c>
      <c r="BU606" t="s">
        <v>347</v>
      </c>
      <c r="BV606" t="s">
        <v>770</v>
      </c>
      <c r="BW606" t="s">
        <v>767</v>
      </c>
      <c r="BX606" t="s">
        <v>928</v>
      </c>
      <c r="BY606" t="s">
        <v>177</v>
      </c>
      <c r="BZ606" t="s">
        <v>954</v>
      </c>
      <c r="CA606" t="s">
        <v>1183</v>
      </c>
      <c r="CB606" t="s">
        <v>239</v>
      </c>
      <c r="CC606" t="s">
        <v>241</v>
      </c>
      <c r="CD606" t="s">
        <v>805</v>
      </c>
      <c r="CE606" t="s">
        <v>806</v>
      </c>
    </row>
    <row r="607" spans="1:102">
      <c r="A607" s="40">
        <v>566</v>
      </c>
      <c r="B607" s="40" t="s">
        <v>2544</v>
      </c>
      <c r="C607" s="2" t="s">
        <v>2545</v>
      </c>
      <c r="D607" s="2" t="s">
        <v>25</v>
      </c>
      <c r="E607" s="2" t="s">
        <v>20</v>
      </c>
      <c r="F607" s="2">
        <v>55</v>
      </c>
      <c r="G607" s="2">
        <v>112</v>
      </c>
      <c r="H607" s="2">
        <v>45</v>
      </c>
      <c r="I607" s="2">
        <v>74</v>
      </c>
      <c r="J607" s="2">
        <v>45</v>
      </c>
      <c r="K607" s="2">
        <v>70</v>
      </c>
      <c r="L607" s="2">
        <v>401</v>
      </c>
      <c r="M607" s="2" t="s">
        <v>1089</v>
      </c>
      <c r="N607" s="2" t="s">
        <v>1061</v>
      </c>
      <c r="O607" t="s">
        <v>264</v>
      </c>
      <c r="P607" t="s">
        <v>330</v>
      </c>
      <c r="Q607" t="s">
        <v>310</v>
      </c>
      <c r="R607" t="s">
        <v>483</v>
      </c>
      <c r="S607" t="s">
        <v>230</v>
      </c>
      <c r="T607" t="s">
        <v>1092</v>
      </c>
      <c r="U607" t="s">
        <v>996</v>
      </c>
      <c r="V607" t="s">
        <v>170</v>
      </c>
      <c r="W607" t="s">
        <v>306</v>
      </c>
      <c r="X607" t="s">
        <v>1035</v>
      </c>
      <c r="Y607" t="s">
        <v>1020</v>
      </c>
      <c r="Z607" t="s">
        <v>762</v>
      </c>
      <c r="AA607" t="s">
        <v>777</v>
      </c>
      <c r="AB607" t="s">
        <v>916</v>
      </c>
      <c r="AC607" t="s">
        <v>1014</v>
      </c>
      <c r="AD607" t="s">
        <v>143</v>
      </c>
      <c r="AE607" t="s">
        <v>1093</v>
      </c>
      <c r="AF607" t="s">
        <v>373</v>
      </c>
      <c r="AG607" t="s">
        <v>1062</v>
      </c>
      <c r="AH607" t="s">
        <v>226</v>
      </c>
      <c r="AI607" t="s">
        <v>1063</v>
      </c>
      <c r="AJ607" t="s">
        <v>1030</v>
      </c>
      <c r="AK607" t="s">
        <v>1093</v>
      </c>
      <c r="AL607" t="s">
        <v>246</v>
      </c>
      <c r="AM607" t="s">
        <v>148</v>
      </c>
      <c r="AN607" t="s">
        <v>172</v>
      </c>
      <c r="AO607" t="s">
        <v>1126</v>
      </c>
      <c r="AP607" t="s">
        <v>1078</v>
      </c>
      <c r="AQ607" t="s">
        <v>1079</v>
      </c>
      <c r="AR607" t="s">
        <v>1109</v>
      </c>
      <c r="AS607" t="s">
        <v>136</v>
      </c>
      <c r="AT607" t="s">
        <v>1080</v>
      </c>
      <c r="AU607" t="s">
        <v>256</v>
      </c>
      <c r="AV607" t="s">
        <v>230</v>
      </c>
      <c r="AW607" t="s">
        <v>765</v>
      </c>
      <c r="AX607" t="s">
        <v>1095</v>
      </c>
      <c r="AY607" t="s">
        <v>1096</v>
      </c>
      <c r="AZ607" t="s">
        <v>951</v>
      </c>
      <c r="BA607" t="s">
        <v>917</v>
      </c>
      <c r="BB607" t="s">
        <v>231</v>
      </c>
      <c r="BC607" t="s">
        <v>1082</v>
      </c>
      <c r="BD607" t="s">
        <v>1037</v>
      </c>
      <c r="BE607" t="s">
        <v>1020</v>
      </c>
      <c r="BF607" t="s">
        <v>1005</v>
      </c>
      <c r="BG607" t="s">
        <v>1003</v>
      </c>
      <c r="BH607" t="s">
        <v>183</v>
      </c>
      <c r="BI607" t="s">
        <v>1021</v>
      </c>
      <c r="BJ607" t="s">
        <v>143</v>
      </c>
      <c r="BK607" t="s">
        <v>756</v>
      </c>
      <c r="BL607" t="s">
        <v>1014</v>
      </c>
      <c r="BM607" t="s">
        <v>233</v>
      </c>
      <c r="BN607" t="s">
        <v>760</v>
      </c>
      <c r="BO607" t="s">
        <v>234</v>
      </c>
      <c r="BP607" t="s">
        <v>258</v>
      </c>
      <c r="BQ607" t="s">
        <v>1125</v>
      </c>
      <c r="BR607" t="s">
        <v>928</v>
      </c>
      <c r="BS607" t="s">
        <v>967</v>
      </c>
      <c r="BT607" t="s">
        <v>968</v>
      </c>
      <c r="BU607" t="s">
        <v>1136</v>
      </c>
      <c r="BV607" t="s">
        <v>1124</v>
      </c>
      <c r="BW607" t="s">
        <v>800</v>
      </c>
      <c r="BX607" t="s">
        <v>239</v>
      </c>
      <c r="BY607" t="s">
        <v>241</v>
      </c>
      <c r="BZ607" t="s">
        <v>805</v>
      </c>
      <c r="CA607" t="s">
        <v>806</v>
      </c>
    </row>
    <row r="608" spans="1:102">
      <c r="A608" s="40">
        <v>567</v>
      </c>
      <c r="B608" s="40" t="s">
        <v>2546</v>
      </c>
      <c r="C608" s="2" t="s">
        <v>2547</v>
      </c>
      <c r="D608" s="2" t="s">
        <v>25</v>
      </c>
      <c r="E608" s="2" t="s">
        <v>20</v>
      </c>
      <c r="F608" s="2">
        <v>75</v>
      </c>
      <c r="G608" s="2">
        <v>140</v>
      </c>
      <c r="H608" s="2">
        <v>65</v>
      </c>
      <c r="I608" s="2">
        <v>112</v>
      </c>
      <c r="J608" s="2">
        <v>65</v>
      </c>
      <c r="K608" s="2">
        <v>110</v>
      </c>
      <c r="L608" s="2">
        <v>567</v>
      </c>
      <c r="M608" s="2" t="s">
        <v>1137</v>
      </c>
      <c r="N608" s="2" t="s">
        <v>1061</v>
      </c>
      <c r="O608" t="s">
        <v>264</v>
      </c>
      <c r="P608" t="s">
        <v>330</v>
      </c>
      <c r="Q608" t="s">
        <v>483</v>
      </c>
      <c r="R608" t="s">
        <v>310</v>
      </c>
      <c r="S608" t="s">
        <v>483</v>
      </c>
      <c r="T608" t="s">
        <v>230</v>
      </c>
      <c r="U608" t="s">
        <v>1092</v>
      </c>
      <c r="V608" t="s">
        <v>996</v>
      </c>
      <c r="W608" t="s">
        <v>170</v>
      </c>
      <c r="X608" t="s">
        <v>306</v>
      </c>
      <c r="Y608" t="s">
        <v>1035</v>
      </c>
      <c r="Z608" t="s">
        <v>1020</v>
      </c>
      <c r="AA608" t="s">
        <v>762</v>
      </c>
      <c r="AB608" t="s">
        <v>777</v>
      </c>
      <c r="AC608" t="s">
        <v>916</v>
      </c>
      <c r="AD608" t="s">
        <v>1014</v>
      </c>
      <c r="AE608" t="s">
        <v>143</v>
      </c>
      <c r="AF608" t="s">
        <v>1093</v>
      </c>
      <c r="AG608" t="s">
        <v>373</v>
      </c>
      <c r="AH608" t="s">
        <v>1062</v>
      </c>
      <c r="AI608" t="s">
        <v>226</v>
      </c>
      <c r="AJ608" t="s">
        <v>138</v>
      </c>
      <c r="AK608" t="s">
        <v>1063</v>
      </c>
      <c r="AL608" t="s">
        <v>1030</v>
      </c>
      <c r="AM608" t="s">
        <v>1093</v>
      </c>
      <c r="AN608" t="s">
        <v>246</v>
      </c>
      <c r="AO608" t="s">
        <v>148</v>
      </c>
      <c r="AP608" t="s">
        <v>172</v>
      </c>
      <c r="AQ608" t="s">
        <v>1126</v>
      </c>
      <c r="AR608" t="s">
        <v>247</v>
      </c>
      <c r="AS608" t="s">
        <v>1078</v>
      </c>
      <c r="AT608" t="s">
        <v>1079</v>
      </c>
      <c r="AU608" t="s">
        <v>1109</v>
      </c>
      <c r="AV608" t="s">
        <v>136</v>
      </c>
      <c r="AW608" t="s">
        <v>1080</v>
      </c>
      <c r="AX608" t="s">
        <v>256</v>
      </c>
      <c r="AY608" t="s">
        <v>230</v>
      </c>
      <c r="AZ608" t="s">
        <v>765</v>
      </c>
      <c r="BA608" t="s">
        <v>1095</v>
      </c>
      <c r="BB608" t="s">
        <v>1096</v>
      </c>
      <c r="BC608" t="s">
        <v>951</v>
      </c>
      <c r="BD608" t="s">
        <v>917</v>
      </c>
      <c r="BE608" t="s">
        <v>231</v>
      </c>
      <c r="BF608" t="s">
        <v>1082</v>
      </c>
      <c r="BG608" t="s">
        <v>1037</v>
      </c>
      <c r="BH608" t="s">
        <v>1102</v>
      </c>
      <c r="BI608" t="s">
        <v>1020</v>
      </c>
      <c r="BJ608" t="s">
        <v>1005</v>
      </c>
      <c r="BK608" t="s">
        <v>976</v>
      </c>
      <c r="BL608" t="s">
        <v>1003</v>
      </c>
      <c r="BM608" t="s">
        <v>183</v>
      </c>
      <c r="BN608" t="s">
        <v>1021</v>
      </c>
      <c r="BO608" t="s">
        <v>143</v>
      </c>
      <c r="BP608" t="s">
        <v>1022</v>
      </c>
      <c r="BQ608" t="s">
        <v>756</v>
      </c>
      <c r="BR608" t="s">
        <v>1014</v>
      </c>
      <c r="BS608" t="s">
        <v>233</v>
      </c>
      <c r="BT608" t="s">
        <v>760</v>
      </c>
      <c r="BU608" t="s">
        <v>234</v>
      </c>
      <c r="BV608" t="s">
        <v>258</v>
      </c>
      <c r="BW608" t="s">
        <v>1125</v>
      </c>
      <c r="BX608" t="s">
        <v>928</v>
      </c>
      <c r="BY608" t="s">
        <v>967</v>
      </c>
      <c r="BZ608" t="s">
        <v>968</v>
      </c>
      <c r="CA608" t="s">
        <v>1136</v>
      </c>
      <c r="CB608" t="s">
        <v>1124</v>
      </c>
      <c r="CC608" t="s">
        <v>800</v>
      </c>
      <c r="CD608" t="s">
        <v>239</v>
      </c>
      <c r="CE608" t="s">
        <v>241</v>
      </c>
      <c r="CF608" t="s">
        <v>805</v>
      </c>
      <c r="CG608" t="s">
        <v>806</v>
      </c>
    </row>
    <row r="609" spans="1:95">
      <c r="A609" s="40">
        <v>568</v>
      </c>
      <c r="B609" s="40" t="s">
        <v>2548</v>
      </c>
      <c r="C609" s="2" t="s">
        <v>2549</v>
      </c>
      <c r="D609" s="2" t="s">
        <v>11</v>
      </c>
      <c r="E609" s="2"/>
      <c r="F609" s="2">
        <v>50</v>
      </c>
      <c r="G609" s="2">
        <v>50</v>
      </c>
      <c r="H609" s="2">
        <v>62</v>
      </c>
      <c r="I609" s="2">
        <v>40</v>
      </c>
      <c r="J609" s="2">
        <v>62</v>
      </c>
      <c r="K609" s="2">
        <v>65</v>
      </c>
      <c r="L609" s="2">
        <v>329</v>
      </c>
      <c r="M609" s="2" t="s">
        <v>1199</v>
      </c>
      <c r="N609" s="2" t="s">
        <v>1061</v>
      </c>
      <c r="O609" t="s">
        <v>376</v>
      </c>
      <c r="P609" t="s">
        <v>516</v>
      </c>
      <c r="Q609" t="s">
        <v>937</v>
      </c>
      <c r="R609" t="s">
        <v>1011</v>
      </c>
      <c r="S609" t="s">
        <v>1134</v>
      </c>
      <c r="T609" t="s">
        <v>348</v>
      </c>
      <c r="U609" t="s">
        <v>238</v>
      </c>
      <c r="V609" t="s">
        <v>946</v>
      </c>
      <c r="W609" t="s">
        <v>948</v>
      </c>
      <c r="X609" t="s">
        <v>223</v>
      </c>
      <c r="Y609" t="s">
        <v>1081</v>
      </c>
      <c r="Z609" t="s">
        <v>1191</v>
      </c>
      <c r="AA609" t="s">
        <v>148</v>
      </c>
      <c r="AB609" t="s">
        <v>235</v>
      </c>
      <c r="AC609" t="s">
        <v>2335</v>
      </c>
      <c r="AD609" t="s">
        <v>979</v>
      </c>
      <c r="AE609" t="s">
        <v>485</v>
      </c>
      <c r="AF609" t="s">
        <v>1062</v>
      </c>
      <c r="AG609" t="s">
        <v>1063</v>
      </c>
      <c r="AH609" t="s">
        <v>148</v>
      </c>
      <c r="AI609" t="s">
        <v>1077</v>
      </c>
      <c r="AJ609" t="s">
        <v>172</v>
      </c>
      <c r="AK609" t="s">
        <v>752</v>
      </c>
      <c r="AL609" t="s">
        <v>1078</v>
      </c>
      <c r="AM609" t="s">
        <v>766</v>
      </c>
      <c r="AN609" t="s">
        <v>1079</v>
      </c>
      <c r="AO609" t="s">
        <v>1080</v>
      </c>
      <c r="AP609" t="s">
        <v>230</v>
      </c>
      <c r="AQ609" t="s">
        <v>186</v>
      </c>
      <c r="AR609" t="s">
        <v>1081</v>
      </c>
      <c r="AS609" t="s">
        <v>917</v>
      </c>
      <c r="AT609" t="s">
        <v>231</v>
      </c>
      <c r="AU609" t="s">
        <v>1082</v>
      </c>
      <c r="AV609" t="s">
        <v>1117</v>
      </c>
      <c r="AW609" t="s">
        <v>1037</v>
      </c>
      <c r="AX609" t="s">
        <v>485</v>
      </c>
      <c r="AY609" t="s">
        <v>995</v>
      </c>
      <c r="AZ609" t="s">
        <v>2369</v>
      </c>
      <c r="BA609" t="s">
        <v>756</v>
      </c>
      <c r="BB609" t="s">
        <v>757</v>
      </c>
      <c r="BC609" t="s">
        <v>233</v>
      </c>
      <c r="BD609" t="s">
        <v>1157</v>
      </c>
      <c r="BE609" t="s">
        <v>2339</v>
      </c>
      <c r="BF609" t="s">
        <v>234</v>
      </c>
      <c r="BG609" t="s">
        <v>309</v>
      </c>
      <c r="BH609" t="s">
        <v>272</v>
      </c>
      <c r="BI609" t="s">
        <v>484</v>
      </c>
      <c r="BJ609" t="s">
        <v>751</v>
      </c>
      <c r="BK609" t="s">
        <v>1215</v>
      </c>
      <c r="BL609" t="s">
        <v>768</v>
      </c>
      <c r="BM609" t="s">
        <v>933</v>
      </c>
      <c r="BN609" t="s">
        <v>1196</v>
      </c>
      <c r="BO609" t="s">
        <v>239</v>
      </c>
      <c r="BP609" t="s">
        <v>241</v>
      </c>
      <c r="BQ609" t="s">
        <v>805</v>
      </c>
      <c r="BR609" t="s">
        <v>806</v>
      </c>
    </row>
    <row r="610" spans="1:95">
      <c r="A610" s="40">
        <v>569</v>
      </c>
      <c r="B610" s="40" t="s">
        <v>2550</v>
      </c>
      <c r="C610" s="2" t="s">
        <v>2551</v>
      </c>
      <c r="D610" s="2" t="s">
        <v>11</v>
      </c>
      <c r="E610" s="2"/>
      <c r="F610" s="2">
        <v>80</v>
      </c>
      <c r="G610" s="2">
        <v>95</v>
      </c>
      <c r="H610" s="2">
        <v>82</v>
      </c>
      <c r="I610" s="2">
        <v>60</v>
      </c>
      <c r="J610" s="2">
        <v>82</v>
      </c>
      <c r="K610" s="2">
        <v>75</v>
      </c>
      <c r="L610" s="2">
        <v>474</v>
      </c>
      <c r="M610" s="2" t="s">
        <v>1177</v>
      </c>
      <c r="N610" s="2" t="s">
        <v>1061</v>
      </c>
      <c r="O610" t="s">
        <v>376</v>
      </c>
      <c r="P610" t="s">
        <v>516</v>
      </c>
      <c r="Q610" t="s">
        <v>937</v>
      </c>
      <c r="R610" t="s">
        <v>1011</v>
      </c>
      <c r="S610" t="s">
        <v>937</v>
      </c>
      <c r="T610" t="s">
        <v>1011</v>
      </c>
      <c r="U610" t="s">
        <v>1134</v>
      </c>
      <c r="V610" t="s">
        <v>348</v>
      </c>
      <c r="W610" t="s">
        <v>238</v>
      </c>
      <c r="X610" t="s">
        <v>946</v>
      </c>
      <c r="Y610" t="s">
        <v>948</v>
      </c>
      <c r="Z610" t="s">
        <v>364</v>
      </c>
      <c r="AA610" t="s">
        <v>1081</v>
      </c>
      <c r="AB610" t="s">
        <v>1191</v>
      </c>
      <c r="AC610" t="s">
        <v>148</v>
      </c>
      <c r="AD610" t="s">
        <v>235</v>
      </c>
      <c r="AE610" t="s">
        <v>2335</v>
      </c>
      <c r="AF610" t="s">
        <v>979</v>
      </c>
      <c r="AG610" t="s">
        <v>485</v>
      </c>
      <c r="AH610" t="s">
        <v>1062</v>
      </c>
      <c r="AI610" t="s">
        <v>1063</v>
      </c>
      <c r="AJ610" t="s">
        <v>148</v>
      </c>
      <c r="AK610" t="s">
        <v>1077</v>
      </c>
      <c r="AL610" t="s">
        <v>172</v>
      </c>
      <c r="AM610" t="s">
        <v>752</v>
      </c>
      <c r="AN610" t="s">
        <v>247</v>
      </c>
      <c r="AO610" t="s">
        <v>1078</v>
      </c>
      <c r="AP610" t="s">
        <v>766</v>
      </c>
      <c r="AQ610" t="s">
        <v>1079</v>
      </c>
      <c r="AR610" t="s">
        <v>229</v>
      </c>
      <c r="AS610" t="s">
        <v>1109</v>
      </c>
      <c r="AT610" t="s">
        <v>146</v>
      </c>
      <c r="AU610" t="s">
        <v>1080</v>
      </c>
      <c r="AV610" t="s">
        <v>9</v>
      </c>
      <c r="AW610" t="s">
        <v>230</v>
      </c>
      <c r="AX610" t="s">
        <v>186</v>
      </c>
      <c r="AY610" t="s">
        <v>1081</v>
      </c>
      <c r="AZ610" t="s">
        <v>917</v>
      </c>
      <c r="BA610" t="s">
        <v>231</v>
      </c>
      <c r="BB610" t="s">
        <v>1082</v>
      </c>
      <c r="BC610" t="s">
        <v>1117</v>
      </c>
      <c r="BD610" t="s">
        <v>1037</v>
      </c>
      <c r="BE610" t="s">
        <v>1102</v>
      </c>
      <c r="BF610" t="s">
        <v>974</v>
      </c>
      <c r="BG610" t="s">
        <v>485</v>
      </c>
      <c r="BH610" t="s">
        <v>995</v>
      </c>
      <c r="BI610" t="s">
        <v>976</v>
      </c>
      <c r="BJ610" t="s">
        <v>1003</v>
      </c>
      <c r="BK610" t="s">
        <v>2369</v>
      </c>
      <c r="BL610" t="s">
        <v>756</v>
      </c>
      <c r="BM610" t="s">
        <v>757</v>
      </c>
      <c r="BN610" t="s">
        <v>233</v>
      </c>
      <c r="BO610" t="s">
        <v>1157</v>
      </c>
      <c r="BP610" t="s">
        <v>2339</v>
      </c>
      <c r="BQ610" t="s">
        <v>234</v>
      </c>
      <c r="BR610" t="s">
        <v>309</v>
      </c>
      <c r="BS610" t="s">
        <v>272</v>
      </c>
      <c r="BT610" t="s">
        <v>484</v>
      </c>
      <c r="BU610" t="s">
        <v>751</v>
      </c>
      <c r="BV610" t="s">
        <v>1215</v>
      </c>
      <c r="BW610" t="s">
        <v>768</v>
      </c>
      <c r="BX610" t="s">
        <v>933</v>
      </c>
      <c r="BY610" t="s">
        <v>1196</v>
      </c>
      <c r="BZ610" t="s">
        <v>239</v>
      </c>
      <c r="CA610" t="s">
        <v>241</v>
      </c>
      <c r="CB610" t="s">
        <v>223</v>
      </c>
      <c r="CC610" t="s">
        <v>805</v>
      </c>
      <c r="CD610" t="s">
        <v>806</v>
      </c>
    </row>
    <row r="611" spans="1:95">
      <c r="A611" s="40">
        <v>570</v>
      </c>
      <c r="B611" s="40" t="s">
        <v>2552</v>
      </c>
      <c r="C611" s="2" t="s">
        <v>2553</v>
      </c>
      <c r="D611" s="2" t="s">
        <v>15</v>
      </c>
      <c r="E611" s="2"/>
      <c r="F611" s="2">
        <v>40</v>
      </c>
      <c r="G611" s="2">
        <v>65</v>
      </c>
      <c r="H611" s="2">
        <v>40</v>
      </c>
      <c r="I611" s="2">
        <v>80</v>
      </c>
      <c r="J611" s="2">
        <v>40</v>
      </c>
      <c r="K611" s="2">
        <v>65</v>
      </c>
      <c r="L611" s="2">
        <v>330</v>
      </c>
      <c r="M611" s="2" t="s">
        <v>1158</v>
      </c>
      <c r="N611" s="2" t="s">
        <v>1061</v>
      </c>
      <c r="O611" t="s">
        <v>249</v>
      </c>
      <c r="P611" t="s">
        <v>330</v>
      </c>
      <c r="Q611" t="s">
        <v>773</v>
      </c>
      <c r="R611" t="s">
        <v>918</v>
      </c>
      <c r="S611" t="s">
        <v>323</v>
      </c>
      <c r="T611" t="s">
        <v>774</v>
      </c>
      <c r="U611" t="s">
        <v>1092</v>
      </c>
      <c r="V611" t="s">
        <v>1126</v>
      </c>
      <c r="W611" t="s">
        <v>1167</v>
      </c>
      <c r="X611" t="s">
        <v>951</v>
      </c>
      <c r="Y611" t="s">
        <v>306</v>
      </c>
      <c r="Z611" t="s">
        <v>969</v>
      </c>
      <c r="AA611" t="s">
        <v>1001</v>
      </c>
      <c r="AB611" t="s">
        <v>991</v>
      </c>
      <c r="AC611" t="s">
        <v>927</v>
      </c>
      <c r="AD611" t="s">
        <v>2033</v>
      </c>
      <c r="AE611" t="s">
        <v>1062</v>
      </c>
      <c r="AF611" t="s">
        <v>226</v>
      </c>
      <c r="AG611" t="s">
        <v>1063</v>
      </c>
      <c r="AH611" t="s">
        <v>1030</v>
      </c>
      <c r="AI611" t="s">
        <v>912</v>
      </c>
      <c r="AJ611" t="s">
        <v>246</v>
      </c>
      <c r="AK611" t="s">
        <v>148</v>
      </c>
      <c r="AL611" t="s">
        <v>172</v>
      </c>
      <c r="AM611" t="s">
        <v>752</v>
      </c>
      <c r="AN611" t="s">
        <v>1126</v>
      </c>
      <c r="AO611" t="s">
        <v>1078</v>
      </c>
      <c r="AP611" t="s">
        <v>766</v>
      </c>
      <c r="AQ611" t="s">
        <v>1079</v>
      </c>
      <c r="AR611" t="s">
        <v>1080</v>
      </c>
      <c r="AS611" t="s">
        <v>256</v>
      </c>
      <c r="AT611" t="s">
        <v>174</v>
      </c>
      <c r="AU611" t="s">
        <v>230</v>
      </c>
      <c r="AV611" t="s">
        <v>1096</v>
      </c>
      <c r="AW611" t="s">
        <v>951</v>
      </c>
      <c r="AX611" t="s">
        <v>917</v>
      </c>
      <c r="AY611" t="s">
        <v>231</v>
      </c>
      <c r="AZ611" t="s">
        <v>1082</v>
      </c>
      <c r="BA611" t="s">
        <v>1117</v>
      </c>
      <c r="BB611" t="s">
        <v>1037</v>
      </c>
      <c r="BC611" t="s">
        <v>974</v>
      </c>
      <c r="BD611" t="s">
        <v>1031</v>
      </c>
      <c r="BE611" t="s">
        <v>969</v>
      </c>
      <c r="BF611" t="s">
        <v>995</v>
      </c>
      <c r="BG611" t="s">
        <v>1036</v>
      </c>
      <c r="BH611" t="s">
        <v>145</v>
      </c>
      <c r="BI611" t="s">
        <v>785</v>
      </c>
      <c r="BJ611" t="s">
        <v>977</v>
      </c>
      <c r="BK611" t="s">
        <v>756</v>
      </c>
      <c r="BL611" t="s">
        <v>757</v>
      </c>
      <c r="BM611" t="s">
        <v>1014</v>
      </c>
      <c r="BN611" t="s">
        <v>233</v>
      </c>
      <c r="BO611" t="s">
        <v>1040</v>
      </c>
      <c r="BP611" t="s">
        <v>1157</v>
      </c>
      <c r="BQ611" t="s">
        <v>2339</v>
      </c>
      <c r="BR611" t="s">
        <v>234</v>
      </c>
      <c r="BS611" t="s">
        <v>259</v>
      </c>
      <c r="BT611" t="s">
        <v>1220</v>
      </c>
      <c r="BU611" t="s">
        <v>931</v>
      </c>
      <c r="BV611" t="s">
        <v>945</v>
      </c>
      <c r="BW611" t="s">
        <v>1154</v>
      </c>
      <c r="BX611" t="s">
        <v>964</v>
      </c>
      <c r="BY611" t="s">
        <v>1008</v>
      </c>
      <c r="BZ611" t="s">
        <v>1157</v>
      </c>
      <c r="CA611" t="s">
        <v>962</v>
      </c>
      <c r="CB611" t="s">
        <v>239</v>
      </c>
      <c r="CC611" t="s">
        <v>241</v>
      </c>
      <c r="CD611" t="s">
        <v>805</v>
      </c>
      <c r="CE611" t="s">
        <v>806</v>
      </c>
    </row>
    <row r="612" spans="1:95">
      <c r="A612" s="40">
        <v>571</v>
      </c>
      <c r="B612" s="40" t="s">
        <v>2554</v>
      </c>
      <c r="C612" s="2" t="s">
        <v>2555</v>
      </c>
      <c r="D612" s="2" t="s">
        <v>15</v>
      </c>
      <c r="E612" s="2"/>
      <c r="F612" s="2">
        <v>60</v>
      </c>
      <c r="G612" s="2">
        <v>105</v>
      </c>
      <c r="H612" s="2">
        <v>60</v>
      </c>
      <c r="I612" s="2">
        <v>120</v>
      </c>
      <c r="J612" s="2">
        <v>60</v>
      </c>
      <c r="K612" s="2">
        <v>105</v>
      </c>
      <c r="L612" s="2">
        <v>510</v>
      </c>
      <c r="M612" s="2" t="s">
        <v>1255</v>
      </c>
      <c r="N612" s="2" t="s">
        <v>1061</v>
      </c>
      <c r="O612" t="s">
        <v>249</v>
      </c>
      <c r="P612" t="s">
        <v>330</v>
      </c>
      <c r="Q612" t="s">
        <v>773</v>
      </c>
      <c r="R612" t="s">
        <v>1014</v>
      </c>
      <c r="S612" t="s">
        <v>1030</v>
      </c>
      <c r="T612" t="s">
        <v>773</v>
      </c>
      <c r="U612" t="s">
        <v>1030</v>
      </c>
      <c r="V612" t="s">
        <v>323</v>
      </c>
      <c r="W612" t="s">
        <v>774</v>
      </c>
      <c r="X612" t="s">
        <v>1092</v>
      </c>
      <c r="Y612" t="s">
        <v>1126</v>
      </c>
      <c r="Z612" t="s">
        <v>1167</v>
      </c>
      <c r="AA612" t="s">
        <v>993</v>
      </c>
      <c r="AB612" t="s">
        <v>951</v>
      </c>
      <c r="AC612" t="s">
        <v>306</v>
      </c>
      <c r="AD612" t="s">
        <v>969</v>
      </c>
      <c r="AE612" t="s">
        <v>1001</v>
      </c>
      <c r="AF612" t="s">
        <v>991</v>
      </c>
      <c r="AG612" t="s">
        <v>927</v>
      </c>
      <c r="AH612" t="s">
        <v>2033</v>
      </c>
      <c r="AI612" t="s">
        <v>1062</v>
      </c>
      <c r="AJ612" t="s">
        <v>226</v>
      </c>
      <c r="AK612" t="s">
        <v>1063</v>
      </c>
      <c r="AL612" t="s">
        <v>1030</v>
      </c>
      <c r="AM612" t="s">
        <v>912</v>
      </c>
      <c r="AN612" t="s">
        <v>246</v>
      </c>
      <c r="AO612" t="s">
        <v>148</v>
      </c>
      <c r="AP612" t="s">
        <v>172</v>
      </c>
      <c r="AQ612" t="s">
        <v>752</v>
      </c>
      <c r="AR612" t="s">
        <v>1126</v>
      </c>
      <c r="AS612" t="s">
        <v>247</v>
      </c>
      <c r="AT612" t="s">
        <v>1078</v>
      </c>
      <c r="AU612" t="s">
        <v>766</v>
      </c>
      <c r="AV612" t="s">
        <v>1079</v>
      </c>
      <c r="AW612" t="s">
        <v>1080</v>
      </c>
      <c r="AX612" t="s">
        <v>256</v>
      </c>
      <c r="AY612" t="s">
        <v>174</v>
      </c>
      <c r="AZ612" t="s">
        <v>230</v>
      </c>
      <c r="BA612" t="s">
        <v>254</v>
      </c>
      <c r="BB612" t="s">
        <v>1096</v>
      </c>
      <c r="BC612" t="s">
        <v>951</v>
      </c>
      <c r="BD612" t="s">
        <v>917</v>
      </c>
      <c r="BE612" t="s">
        <v>231</v>
      </c>
      <c r="BF612" t="s">
        <v>1082</v>
      </c>
      <c r="BG612" t="s">
        <v>1117</v>
      </c>
      <c r="BH612" t="s">
        <v>1172</v>
      </c>
      <c r="BI612" t="s">
        <v>1037</v>
      </c>
      <c r="BJ612" t="s">
        <v>1102</v>
      </c>
      <c r="BK612" t="s">
        <v>974</v>
      </c>
      <c r="BL612" t="s">
        <v>1031</v>
      </c>
      <c r="BM612" t="s">
        <v>969</v>
      </c>
      <c r="BN612" t="s">
        <v>1005</v>
      </c>
      <c r="BO612" t="s">
        <v>995</v>
      </c>
      <c r="BP612" t="s">
        <v>1036</v>
      </c>
      <c r="BQ612" t="s">
        <v>976</v>
      </c>
      <c r="BR612" t="s">
        <v>145</v>
      </c>
      <c r="BS612" t="s">
        <v>785</v>
      </c>
      <c r="BT612" t="s">
        <v>977</v>
      </c>
      <c r="BU612" t="s">
        <v>756</v>
      </c>
      <c r="BV612" t="s">
        <v>757</v>
      </c>
      <c r="BW612" t="s">
        <v>1014</v>
      </c>
      <c r="BX612" t="s">
        <v>233</v>
      </c>
      <c r="BY612" t="s">
        <v>760</v>
      </c>
      <c r="BZ612" t="s">
        <v>1040</v>
      </c>
      <c r="CA612" t="s">
        <v>1157</v>
      </c>
      <c r="CB612" t="s">
        <v>2339</v>
      </c>
      <c r="CC612" t="s">
        <v>234</v>
      </c>
      <c r="CD612" t="s">
        <v>259</v>
      </c>
      <c r="CE612" t="s">
        <v>1220</v>
      </c>
      <c r="CF612" t="s">
        <v>931</v>
      </c>
      <c r="CG612" t="s">
        <v>945</v>
      </c>
      <c r="CH612" t="s">
        <v>1154</v>
      </c>
      <c r="CI612" t="s">
        <v>964</v>
      </c>
      <c r="CJ612" t="s">
        <v>1008</v>
      </c>
      <c r="CK612" t="s">
        <v>1157</v>
      </c>
      <c r="CL612" t="s">
        <v>962</v>
      </c>
      <c r="CM612" t="s">
        <v>239</v>
      </c>
      <c r="CN612" t="s">
        <v>241</v>
      </c>
      <c r="CO612" t="s">
        <v>918</v>
      </c>
      <c r="CP612" t="s">
        <v>805</v>
      </c>
      <c r="CQ612" t="s">
        <v>806</v>
      </c>
    </row>
    <row r="613" spans="1:95">
      <c r="A613" s="40">
        <v>572</v>
      </c>
      <c r="B613" s="40" t="s">
        <v>2556</v>
      </c>
      <c r="C613" s="2" t="s">
        <v>2557</v>
      </c>
      <c r="D613" s="2" t="s">
        <v>24</v>
      </c>
      <c r="E613" s="2"/>
      <c r="F613" s="2">
        <v>55</v>
      </c>
      <c r="G613" s="2">
        <v>50</v>
      </c>
      <c r="H613" s="2">
        <v>40</v>
      </c>
      <c r="I613" s="2">
        <v>40</v>
      </c>
      <c r="J613" s="2">
        <v>40</v>
      </c>
      <c r="K613" s="2">
        <v>75</v>
      </c>
      <c r="L613" s="2">
        <v>300</v>
      </c>
      <c r="M613" s="2" t="s">
        <v>1188</v>
      </c>
      <c r="N613" s="2" t="s">
        <v>1061</v>
      </c>
      <c r="O613" t="s">
        <v>376</v>
      </c>
      <c r="P613" t="s">
        <v>220</v>
      </c>
      <c r="Q613" t="s">
        <v>925</v>
      </c>
      <c r="R613" t="s">
        <v>950</v>
      </c>
      <c r="S613" t="s">
        <v>348</v>
      </c>
      <c r="T613" t="s">
        <v>779</v>
      </c>
      <c r="U613" t="s">
        <v>354</v>
      </c>
      <c r="V613" t="s">
        <v>377</v>
      </c>
      <c r="W613" t="s">
        <v>1156</v>
      </c>
      <c r="X613" t="s">
        <v>781</v>
      </c>
      <c r="Y613" t="s">
        <v>1016</v>
      </c>
      <c r="Z613" t="s">
        <v>1083</v>
      </c>
      <c r="AA613" t="s">
        <v>341</v>
      </c>
      <c r="AB613" t="s">
        <v>962</v>
      </c>
      <c r="AC613" t="s">
        <v>1160</v>
      </c>
      <c r="AD613" t="s">
        <v>986</v>
      </c>
      <c r="AE613" t="s">
        <v>1150</v>
      </c>
      <c r="AF613" t="s">
        <v>1062</v>
      </c>
      <c r="AG613" t="s">
        <v>1063</v>
      </c>
      <c r="AH613" t="s">
        <v>912</v>
      </c>
      <c r="AI613" t="s">
        <v>148</v>
      </c>
      <c r="AJ613" t="s">
        <v>172</v>
      </c>
      <c r="AK613" t="s">
        <v>752</v>
      </c>
      <c r="AL613" t="s">
        <v>1078</v>
      </c>
      <c r="AM613" t="s">
        <v>766</v>
      </c>
      <c r="AN613" t="s">
        <v>759</v>
      </c>
      <c r="AO613" t="s">
        <v>1079</v>
      </c>
      <c r="AP613" t="s">
        <v>146</v>
      </c>
      <c r="AQ613" t="s">
        <v>1080</v>
      </c>
      <c r="AR613" t="s">
        <v>256</v>
      </c>
      <c r="AS613" t="s">
        <v>230</v>
      </c>
      <c r="AT613" t="s">
        <v>917</v>
      </c>
      <c r="AU613" t="s">
        <v>231</v>
      </c>
      <c r="AV613" t="s">
        <v>1082</v>
      </c>
      <c r="AW613" t="s">
        <v>1117</v>
      </c>
      <c r="AX613" t="s">
        <v>1037</v>
      </c>
      <c r="AY613" t="s">
        <v>1083</v>
      </c>
      <c r="AZ613" t="s">
        <v>974</v>
      </c>
      <c r="BA613" t="s">
        <v>1036</v>
      </c>
      <c r="BB613" t="s">
        <v>322</v>
      </c>
      <c r="BC613" t="s">
        <v>977</v>
      </c>
      <c r="BD613" t="s">
        <v>756</v>
      </c>
      <c r="BE613" t="s">
        <v>1014</v>
      </c>
      <c r="BF613" t="s">
        <v>233</v>
      </c>
      <c r="BG613" t="s">
        <v>234</v>
      </c>
      <c r="BH613" t="s">
        <v>266</v>
      </c>
      <c r="BI613" t="s">
        <v>770</v>
      </c>
      <c r="BJ613" t="s">
        <v>755</v>
      </c>
      <c r="BK613" t="s">
        <v>754</v>
      </c>
      <c r="BL613" t="s">
        <v>757</v>
      </c>
      <c r="BM613" t="s">
        <v>761</v>
      </c>
      <c r="BN613" t="s">
        <v>928</v>
      </c>
      <c r="BO613" t="s">
        <v>918</v>
      </c>
      <c r="BP613" t="s">
        <v>179</v>
      </c>
      <c r="BQ613" t="s">
        <v>239</v>
      </c>
      <c r="BR613" t="s">
        <v>241</v>
      </c>
      <c r="BS613" t="s">
        <v>805</v>
      </c>
      <c r="BT613" t="s">
        <v>806</v>
      </c>
    </row>
    <row r="614" spans="1:95">
      <c r="A614" s="40">
        <v>573</v>
      </c>
      <c r="B614" s="40" t="s">
        <v>2558</v>
      </c>
      <c r="C614" s="2" t="s">
        <v>2559</v>
      </c>
      <c r="D614" s="2" t="s">
        <v>24</v>
      </c>
      <c r="E614" s="2"/>
      <c r="F614" s="2">
        <v>75</v>
      </c>
      <c r="G614" s="2">
        <v>95</v>
      </c>
      <c r="H614" s="2">
        <v>60</v>
      </c>
      <c r="I614" s="2">
        <v>65</v>
      </c>
      <c r="J614" s="2">
        <v>60</v>
      </c>
      <c r="K614" s="2">
        <v>115</v>
      </c>
      <c r="L614" s="2">
        <v>470</v>
      </c>
      <c r="M614" s="2" t="s">
        <v>1089</v>
      </c>
      <c r="N614" s="2" t="s">
        <v>1061</v>
      </c>
      <c r="O614" t="s">
        <v>377</v>
      </c>
      <c r="P614" t="s">
        <v>925</v>
      </c>
      <c r="Q614" t="s">
        <v>950</v>
      </c>
      <c r="R614" t="s">
        <v>1190</v>
      </c>
      <c r="S614" t="s">
        <v>1196</v>
      </c>
      <c r="T614" t="s">
        <v>1156</v>
      </c>
      <c r="U614" t="s">
        <v>1062</v>
      </c>
      <c r="V614" t="s">
        <v>1063</v>
      </c>
      <c r="W614" t="s">
        <v>912</v>
      </c>
      <c r="X614" t="s">
        <v>148</v>
      </c>
      <c r="Y614" t="s">
        <v>172</v>
      </c>
      <c r="Z614" t="s">
        <v>752</v>
      </c>
      <c r="AA614" t="s">
        <v>247</v>
      </c>
      <c r="AB614" t="s">
        <v>228</v>
      </c>
      <c r="AC614" t="s">
        <v>1078</v>
      </c>
      <c r="AD614" t="s">
        <v>766</v>
      </c>
      <c r="AE614" t="s">
        <v>759</v>
      </c>
      <c r="AF614" t="s">
        <v>1079</v>
      </c>
      <c r="AG614" t="s">
        <v>146</v>
      </c>
      <c r="AH614" t="s">
        <v>321</v>
      </c>
      <c r="AI614" t="s">
        <v>1080</v>
      </c>
      <c r="AJ614" t="s">
        <v>256</v>
      </c>
      <c r="AK614" t="s">
        <v>230</v>
      </c>
      <c r="AL614" t="s">
        <v>917</v>
      </c>
      <c r="AM614" t="s">
        <v>231</v>
      </c>
      <c r="AN614" t="s">
        <v>1082</v>
      </c>
      <c r="AO614" t="s">
        <v>1117</v>
      </c>
      <c r="AP614" t="s">
        <v>1037</v>
      </c>
      <c r="AQ614" t="s">
        <v>1083</v>
      </c>
      <c r="AR614" t="s">
        <v>1102</v>
      </c>
      <c r="AS614" t="s">
        <v>974</v>
      </c>
      <c r="AT614" t="s">
        <v>1036</v>
      </c>
      <c r="AU614" t="s">
        <v>976</v>
      </c>
      <c r="AV614" t="s">
        <v>322</v>
      </c>
      <c r="AW614" t="s">
        <v>977</v>
      </c>
      <c r="AX614" t="s">
        <v>756</v>
      </c>
      <c r="AY614" t="s">
        <v>1014</v>
      </c>
      <c r="AZ614" t="s">
        <v>233</v>
      </c>
      <c r="BA614" t="s">
        <v>234</v>
      </c>
      <c r="BB614" t="s">
        <v>266</v>
      </c>
      <c r="BC614" t="s">
        <v>770</v>
      </c>
      <c r="BD614" t="s">
        <v>755</v>
      </c>
      <c r="BE614" t="s">
        <v>754</v>
      </c>
      <c r="BF614" t="s">
        <v>757</v>
      </c>
      <c r="BG614" t="s">
        <v>761</v>
      </c>
      <c r="BH614" t="s">
        <v>928</v>
      </c>
      <c r="BI614" t="s">
        <v>918</v>
      </c>
      <c r="BJ614" t="s">
        <v>179</v>
      </c>
      <c r="BK614" t="s">
        <v>239</v>
      </c>
      <c r="BL614" t="s">
        <v>241</v>
      </c>
      <c r="BM614" t="s">
        <v>376</v>
      </c>
      <c r="BN614" t="s">
        <v>220</v>
      </c>
      <c r="BO614" t="s">
        <v>348</v>
      </c>
      <c r="BP614" t="s">
        <v>779</v>
      </c>
      <c r="BQ614" t="s">
        <v>354</v>
      </c>
      <c r="BR614" t="s">
        <v>781</v>
      </c>
      <c r="BS614" t="s">
        <v>1016</v>
      </c>
      <c r="BT614" t="s">
        <v>1083</v>
      </c>
      <c r="BU614" t="s">
        <v>341</v>
      </c>
      <c r="BV614" t="s">
        <v>962</v>
      </c>
      <c r="BW614" t="s">
        <v>1160</v>
      </c>
      <c r="BX614" t="s">
        <v>986</v>
      </c>
      <c r="BY614" t="s">
        <v>1150</v>
      </c>
      <c r="BZ614" t="s">
        <v>805</v>
      </c>
      <c r="CA614" t="s">
        <v>806</v>
      </c>
    </row>
    <row r="615" spans="1:95">
      <c r="A615" s="40">
        <v>574</v>
      </c>
      <c r="B615" s="40" t="s">
        <v>2560</v>
      </c>
      <c r="C615" s="2" t="s">
        <v>2561</v>
      </c>
      <c r="D615" s="2" t="s">
        <v>9</v>
      </c>
      <c r="E615" s="2"/>
      <c r="F615" s="2">
        <v>45</v>
      </c>
      <c r="G615" s="2">
        <v>30</v>
      </c>
      <c r="H615" s="2">
        <v>50</v>
      </c>
      <c r="I615" s="2">
        <v>55</v>
      </c>
      <c r="J615" s="2">
        <v>65</v>
      </c>
      <c r="K615" s="2">
        <v>45</v>
      </c>
      <c r="L615" s="2">
        <v>290</v>
      </c>
      <c r="M615" s="2" t="s">
        <v>1141</v>
      </c>
      <c r="N615" s="2" t="s">
        <v>1061</v>
      </c>
      <c r="O615" t="s">
        <v>376</v>
      </c>
      <c r="P615" t="s">
        <v>287</v>
      </c>
      <c r="Q615" t="s">
        <v>950</v>
      </c>
      <c r="R615" t="s">
        <v>2393</v>
      </c>
      <c r="S615" t="s">
        <v>918</v>
      </c>
      <c r="T615" t="s">
        <v>348</v>
      </c>
      <c r="U615" t="s">
        <v>292</v>
      </c>
      <c r="V615" t="s">
        <v>969</v>
      </c>
      <c r="W615" t="s">
        <v>774</v>
      </c>
      <c r="X615" t="s">
        <v>1151</v>
      </c>
      <c r="Y615" t="s">
        <v>919</v>
      </c>
      <c r="Z615" t="s">
        <v>790</v>
      </c>
      <c r="AA615" t="s">
        <v>1451</v>
      </c>
      <c r="AB615" t="s">
        <v>9</v>
      </c>
      <c r="AC615" t="s">
        <v>1152</v>
      </c>
      <c r="AD615" t="s">
        <v>781</v>
      </c>
      <c r="AE615" t="s">
        <v>1032</v>
      </c>
      <c r="AF615" t="s">
        <v>1062</v>
      </c>
      <c r="AG615" t="s">
        <v>1063</v>
      </c>
      <c r="AH615" t="s">
        <v>1151</v>
      </c>
      <c r="AI615" t="s">
        <v>912</v>
      </c>
      <c r="AJ615" t="s">
        <v>148</v>
      </c>
      <c r="AK615" t="s">
        <v>172</v>
      </c>
      <c r="AL615" t="s">
        <v>1126</v>
      </c>
      <c r="AM615" t="s">
        <v>228</v>
      </c>
      <c r="AN615" t="s">
        <v>1078</v>
      </c>
      <c r="AO615" t="s">
        <v>766</v>
      </c>
      <c r="AP615" t="s">
        <v>759</v>
      </c>
      <c r="AQ615" t="s">
        <v>1079</v>
      </c>
      <c r="AR615" t="s">
        <v>146</v>
      </c>
      <c r="AS615" t="s">
        <v>1080</v>
      </c>
      <c r="AT615" t="s">
        <v>9</v>
      </c>
      <c r="AU615" t="s">
        <v>174</v>
      </c>
      <c r="AV615" t="s">
        <v>230</v>
      </c>
      <c r="AW615" t="s">
        <v>380</v>
      </c>
      <c r="AX615" t="s">
        <v>1095</v>
      </c>
      <c r="AY615" t="s">
        <v>951</v>
      </c>
      <c r="AZ615" t="s">
        <v>917</v>
      </c>
      <c r="BA615" t="s">
        <v>231</v>
      </c>
      <c r="BB615" t="s">
        <v>1082</v>
      </c>
      <c r="BC615" t="s">
        <v>1117</v>
      </c>
      <c r="BD615" t="s">
        <v>1037</v>
      </c>
      <c r="BE615" t="s">
        <v>970</v>
      </c>
      <c r="BF615" t="s">
        <v>974</v>
      </c>
      <c r="BG615" t="s">
        <v>963</v>
      </c>
      <c r="BH615" t="s">
        <v>969</v>
      </c>
      <c r="BI615" t="s">
        <v>995</v>
      </c>
      <c r="BJ615" t="s">
        <v>232</v>
      </c>
      <c r="BK615" t="s">
        <v>322</v>
      </c>
      <c r="BL615" t="s">
        <v>785</v>
      </c>
      <c r="BM615" t="s">
        <v>143</v>
      </c>
      <c r="BN615" t="s">
        <v>293</v>
      </c>
      <c r="BO615" t="s">
        <v>977</v>
      </c>
      <c r="BP615" t="s">
        <v>756</v>
      </c>
      <c r="BQ615" t="s">
        <v>757</v>
      </c>
      <c r="BR615" t="s">
        <v>233</v>
      </c>
      <c r="BS615" t="s">
        <v>1012</v>
      </c>
      <c r="BT615" t="s">
        <v>2339</v>
      </c>
      <c r="BU615" t="s">
        <v>234</v>
      </c>
      <c r="BV615" t="s">
        <v>787</v>
      </c>
      <c r="BW615" t="s">
        <v>772</v>
      </c>
      <c r="BX615" t="s">
        <v>953</v>
      </c>
      <c r="BY615" t="s">
        <v>1184</v>
      </c>
      <c r="BZ615" t="s">
        <v>1157</v>
      </c>
      <c r="CA615" t="s">
        <v>962</v>
      </c>
      <c r="CB615" t="s">
        <v>1200</v>
      </c>
      <c r="CC615" t="s">
        <v>239</v>
      </c>
      <c r="CD615" t="s">
        <v>241</v>
      </c>
      <c r="CE615" t="s">
        <v>805</v>
      </c>
      <c r="CF615" t="s">
        <v>806</v>
      </c>
    </row>
    <row r="616" spans="1:95">
      <c r="A616" s="40">
        <v>575</v>
      </c>
      <c r="B616" s="40" t="s">
        <v>2562</v>
      </c>
      <c r="C616" s="2" t="s">
        <v>2563</v>
      </c>
      <c r="D616" s="2" t="s">
        <v>9</v>
      </c>
      <c r="E616" s="2"/>
      <c r="F616" s="2">
        <v>60</v>
      </c>
      <c r="G616" s="2">
        <v>45</v>
      </c>
      <c r="H616" s="2">
        <v>70</v>
      </c>
      <c r="I616" s="2">
        <v>75</v>
      </c>
      <c r="J616" s="2">
        <v>85</v>
      </c>
      <c r="K616" s="2">
        <v>55</v>
      </c>
      <c r="L616" s="2">
        <v>390</v>
      </c>
      <c r="M616" s="2" t="s">
        <v>1090</v>
      </c>
      <c r="N616" s="2" t="s">
        <v>1061</v>
      </c>
      <c r="O616" t="s">
        <v>376</v>
      </c>
      <c r="P616" t="s">
        <v>287</v>
      </c>
      <c r="Q616" t="s">
        <v>918</v>
      </c>
      <c r="R616" t="s">
        <v>950</v>
      </c>
      <c r="S616" t="s">
        <v>2393</v>
      </c>
      <c r="T616" t="s">
        <v>287</v>
      </c>
      <c r="U616" t="s">
        <v>950</v>
      </c>
      <c r="V616" t="s">
        <v>918</v>
      </c>
      <c r="W616" t="s">
        <v>348</v>
      </c>
      <c r="X616" t="s">
        <v>292</v>
      </c>
      <c r="Y616" t="s">
        <v>969</v>
      </c>
      <c r="Z616" t="s">
        <v>774</v>
      </c>
      <c r="AA616" t="s">
        <v>1151</v>
      </c>
      <c r="AB616" t="s">
        <v>919</v>
      </c>
      <c r="AC616" t="s">
        <v>790</v>
      </c>
      <c r="AD616" t="s">
        <v>1451</v>
      </c>
      <c r="AE616" t="s">
        <v>9</v>
      </c>
      <c r="AF616" t="s">
        <v>1152</v>
      </c>
      <c r="AG616" t="s">
        <v>781</v>
      </c>
      <c r="AH616" t="s">
        <v>1032</v>
      </c>
      <c r="AI616" t="s">
        <v>1062</v>
      </c>
      <c r="AJ616" t="s">
        <v>1063</v>
      </c>
      <c r="AK616" t="s">
        <v>1151</v>
      </c>
      <c r="AL616" t="s">
        <v>912</v>
      </c>
      <c r="AM616" t="s">
        <v>148</v>
      </c>
      <c r="AN616" t="s">
        <v>172</v>
      </c>
      <c r="AO616" t="s">
        <v>1126</v>
      </c>
      <c r="AP616" t="s">
        <v>228</v>
      </c>
      <c r="AQ616" t="s">
        <v>1078</v>
      </c>
      <c r="AR616" t="s">
        <v>766</v>
      </c>
      <c r="AS616" t="s">
        <v>759</v>
      </c>
      <c r="AT616" t="s">
        <v>1079</v>
      </c>
      <c r="AU616" t="s">
        <v>146</v>
      </c>
      <c r="AV616" t="s">
        <v>1080</v>
      </c>
      <c r="AW616" t="s">
        <v>9</v>
      </c>
      <c r="AX616" t="s">
        <v>174</v>
      </c>
      <c r="AY616" t="s">
        <v>230</v>
      </c>
      <c r="AZ616" t="s">
        <v>380</v>
      </c>
      <c r="BA616" t="s">
        <v>1095</v>
      </c>
      <c r="BB616" t="s">
        <v>951</v>
      </c>
      <c r="BC616" t="s">
        <v>917</v>
      </c>
      <c r="BD616" t="s">
        <v>231</v>
      </c>
      <c r="BE616" t="s">
        <v>1082</v>
      </c>
      <c r="BF616" t="s">
        <v>1117</v>
      </c>
      <c r="BG616" t="s">
        <v>1037</v>
      </c>
      <c r="BH616" t="s">
        <v>970</v>
      </c>
      <c r="BI616" t="s">
        <v>974</v>
      </c>
      <c r="BJ616" t="s">
        <v>963</v>
      </c>
      <c r="BK616" t="s">
        <v>969</v>
      </c>
      <c r="BL616" t="s">
        <v>995</v>
      </c>
      <c r="BM616" t="s">
        <v>232</v>
      </c>
      <c r="BN616" t="s">
        <v>322</v>
      </c>
      <c r="BO616" t="s">
        <v>785</v>
      </c>
      <c r="BP616" t="s">
        <v>143</v>
      </c>
      <c r="BQ616" t="s">
        <v>293</v>
      </c>
      <c r="BR616" t="s">
        <v>977</v>
      </c>
      <c r="BS616" t="s">
        <v>756</v>
      </c>
      <c r="BT616" t="s">
        <v>757</v>
      </c>
      <c r="BU616" t="s">
        <v>233</v>
      </c>
      <c r="BV616" t="s">
        <v>1012</v>
      </c>
      <c r="BW616" t="s">
        <v>2339</v>
      </c>
      <c r="BX616" t="s">
        <v>234</v>
      </c>
      <c r="BY616" t="s">
        <v>787</v>
      </c>
      <c r="BZ616" t="s">
        <v>772</v>
      </c>
      <c r="CA616" t="s">
        <v>953</v>
      </c>
      <c r="CB616" t="s">
        <v>1184</v>
      </c>
      <c r="CC616" t="s">
        <v>1157</v>
      </c>
      <c r="CD616" t="s">
        <v>962</v>
      </c>
      <c r="CE616" t="s">
        <v>1200</v>
      </c>
      <c r="CF616" t="s">
        <v>239</v>
      </c>
      <c r="CG616" t="s">
        <v>241</v>
      </c>
      <c r="CH616" t="s">
        <v>805</v>
      </c>
      <c r="CI616" t="s">
        <v>806</v>
      </c>
    </row>
    <row r="617" spans="1:95">
      <c r="A617" s="40">
        <v>576</v>
      </c>
      <c r="B617" s="40" t="s">
        <v>2564</v>
      </c>
      <c r="C617" s="2" t="s">
        <v>2565</v>
      </c>
      <c r="D617" s="2" t="s">
        <v>9</v>
      </c>
      <c r="E617" s="2"/>
      <c r="F617" s="2">
        <v>70</v>
      </c>
      <c r="G617" s="2">
        <v>55</v>
      </c>
      <c r="H617" s="2">
        <v>95</v>
      </c>
      <c r="I617" s="2">
        <v>95</v>
      </c>
      <c r="J617" s="2">
        <v>110</v>
      </c>
      <c r="K617" s="2">
        <v>65</v>
      </c>
      <c r="L617" s="2">
        <v>490</v>
      </c>
      <c r="M617" s="2" t="s">
        <v>1108</v>
      </c>
      <c r="N617" s="2" t="s">
        <v>1061</v>
      </c>
      <c r="O617" t="s">
        <v>376</v>
      </c>
      <c r="P617" t="s">
        <v>287</v>
      </c>
      <c r="Q617" t="s">
        <v>918</v>
      </c>
      <c r="R617" t="s">
        <v>950</v>
      </c>
      <c r="S617" t="s">
        <v>2393</v>
      </c>
      <c r="T617" t="s">
        <v>287</v>
      </c>
      <c r="U617" t="s">
        <v>950</v>
      </c>
      <c r="V617" t="s">
        <v>918</v>
      </c>
      <c r="W617" t="s">
        <v>348</v>
      </c>
      <c r="X617" t="s">
        <v>292</v>
      </c>
      <c r="Y617" t="s">
        <v>969</v>
      </c>
      <c r="Z617" t="s">
        <v>774</v>
      </c>
      <c r="AA617" t="s">
        <v>1151</v>
      </c>
      <c r="AB617" t="s">
        <v>919</v>
      </c>
      <c r="AC617" t="s">
        <v>790</v>
      </c>
      <c r="AD617" t="s">
        <v>1451</v>
      </c>
      <c r="AE617" t="s">
        <v>9</v>
      </c>
      <c r="AF617" t="s">
        <v>1152</v>
      </c>
      <c r="AG617" t="s">
        <v>781</v>
      </c>
      <c r="AH617" t="s">
        <v>1032</v>
      </c>
      <c r="AI617" t="s">
        <v>1062</v>
      </c>
      <c r="AJ617" t="s">
        <v>1063</v>
      </c>
      <c r="AK617" t="s">
        <v>1151</v>
      </c>
      <c r="AL617" t="s">
        <v>912</v>
      </c>
      <c r="AM617" t="s">
        <v>148</v>
      </c>
      <c r="AN617" t="s">
        <v>172</v>
      </c>
      <c r="AO617" t="s">
        <v>1126</v>
      </c>
      <c r="AP617" t="s">
        <v>247</v>
      </c>
      <c r="AQ617" t="s">
        <v>228</v>
      </c>
      <c r="AR617" t="s">
        <v>1078</v>
      </c>
      <c r="AS617" t="s">
        <v>766</v>
      </c>
      <c r="AT617" t="s">
        <v>759</v>
      </c>
      <c r="AU617" t="s">
        <v>1079</v>
      </c>
      <c r="AV617" t="s">
        <v>146</v>
      </c>
      <c r="AW617" t="s">
        <v>1080</v>
      </c>
      <c r="AX617" t="s">
        <v>9</v>
      </c>
      <c r="AY617" t="s">
        <v>174</v>
      </c>
      <c r="AZ617" t="s">
        <v>1094</v>
      </c>
      <c r="BA617" t="s">
        <v>230</v>
      </c>
      <c r="BB617" t="s">
        <v>380</v>
      </c>
      <c r="BC617" t="s">
        <v>1095</v>
      </c>
      <c r="BD617" t="s">
        <v>951</v>
      </c>
      <c r="BE617" t="s">
        <v>917</v>
      </c>
      <c r="BF617" t="s">
        <v>231</v>
      </c>
      <c r="BG617" t="s">
        <v>1082</v>
      </c>
      <c r="BH617" t="s">
        <v>1117</v>
      </c>
      <c r="BI617" t="s">
        <v>1172</v>
      </c>
      <c r="BJ617" t="s">
        <v>1037</v>
      </c>
      <c r="BK617" t="s">
        <v>970</v>
      </c>
      <c r="BL617" t="s">
        <v>974</v>
      </c>
      <c r="BM617" t="s">
        <v>963</v>
      </c>
      <c r="BN617" t="s">
        <v>969</v>
      </c>
      <c r="BO617" t="s">
        <v>995</v>
      </c>
      <c r="BP617" t="s">
        <v>976</v>
      </c>
      <c r="BQ617" t="s">
        <v>232</v>
      </c>
      <c r="BR617" t="s">
        <v>322</v>
      </c>
      <c r="BS617" t="s">
        <v>785</v>
      </c>
      <c r="BT617" t="s">
        <v>143</v>
      </c>
      <c r="BU617" t="s">
        <v>293</v>
      </c>
      <c r="BV617" t="s">
        <v>977</v>
      </c>
      <c r="BW617" t="s">
        <v>756</v>
      </c>
      <c r="BX617" t="s">
        <v>757</v>
      </c>
      <c r="BY617" t="s">
        <v>233</v>
      </c>
      <c r="BZ617" t="s">
        <v>1012</v>
      </c>
      <c r="CA617" t="s">
        <v>2398</v>
      </c>
      <c r="CB617" t="s">
        <v>2339</v>
      </c>
      <c r="CC617" t="s">
        <v>234</v>
      </c>
      <c r="CD617" t="s">
        <v>787</v>
      </c>
      <c r="CE617" t="s">
        <v>772</v>
      </c>
      <c r="CF617" t="s">
        <v>953</v>
      </c>
      <c r="CG617" t="s">
        <v>1184</v>
      </c>
      <c r="CH617" t="s">
        <v>1157</v>
      </c>
      <c r="CI617" t="s">
        <v>962</v>
      </c>
      <c r="CJ617" t="s">
        <v>1200</v>
      </c>
      <c r="CK617" t="s">
        <v>239</v>
      </c>
      <c r="CL617" t="s">
        <v>241</v>
      </c>
      <c r="CM617" t="s">
        <v>805</v>
      </c>
      <c r="CN617" t="s">
        <v>806</v>
      </c>
    </row>
    <row r="618" spans="1:95">
      <c r="A618" s="40">
        <v>577</v>
      </c>
      <c r="B618" s="40" t="s">
        <v>2566</v>
      </c>
      <c r="C618" s="2" t="s">
        <v>2567</v>
      </c>
      <c r="D618" s="2" t="s">
        <v>9</v>
      </c>
      <c r="E618" s="2"/>
      <c r="F618" s="2">
        <v>45</v>
      </c>
      <c r="G618" s="2">
        <v>30</v>
      </c>
      <c r="H618" s="2">
        <v>40</v>
      </c>
      <c r="I618" s="2">
        <v>105</v>
      </c>
      <c r="J618" s="2">
        <v>50</v>
      </c>
      <c r="K618" s="2">
        <v>20</v>
      </c>
      <c r="L618" s="2">
        <v>290</v>
      </c>
      <c r="M618" s="2" t="s">
        <v>1091</v>
      </c>
      <c r="N618" s="2" t="s">
        <v>1061</v>
      </c>
      <c r="O618" t="s">
        <v>529</v>
      </c>
      <c r="P618" t="s">
        <v>380</v>
      </c>
      <c r="Q618" t="s">
        <v>768</v>
      </c>
      <c r="R618" t="s">
        <v>945</v>
      </c>
      <c r="S618" t="s">
        <v>172</v>
      </c>
      <c r="T618" t="s">
        <v>228</v>
      </c>
      <c r="U618" t="s">
        <v>781</v>
      </c>
      <c r="V618" t="s">
        <v>459</v>
      </c>
      <c r="W618" t="s">
        <v>1151</v>
      </c>
      <c r="X618" t="s">
        <v>916</v>
      </c>
      <c r="Y618" t="s">
        <v>790</v>
      </c>
      <c r="Z618" t="s">
        <v>794</v>
      </c>
      <c r="AA618" t="s">
        <v>9</v>
      </c>
      <c r="AB618" t="s">
        <v>941</v>
      </c>
      <c r="AC618" t="s">
        <v>1451</v>
      </c>
      <c r="AD618" t="s">
        <v>1048</v>
      </c>
      <c r="AE618" t="s">
        <v>1062</v>
      </c>
      <c r="AF618" t="s">
        <v>1063</v>
      </c>
      <c r="AG618" t="s">
        <v>1151</v>
      </c>
      <c r="AH618" t="s">
        <v>912</v>
      </c>
      <c r="AI618" t="s">
        <v>148</v>
      </c>
      <c r="AJ618" t="s">
        <v>172</v>
      </c>
      <c r="AK618" t="s">
        <v>228</v>
      </c>
      <c r="AL618" t="s">
        <v>1078</v>
      </c>
      <c r="AM618" t="s">
        <v>766</v>
      </c>
      <c r="AN618" t="s">
        <v>759</v>
      </c>
      <c r="AO618" t="s">
        <v>1079</v>
      </c>
      <c r="AP618" t="s">
        <v>321</v>
      </c>
      <c r="AQ618" t="s">
        <v>1080</v>
      </c>
      <c r="AR618" t="s">
        <v>9</v>
      </c>
      <c r="AS618" t="s">
        <v>174</v>
      </c>
      <c r="AT618" t="s">
        <v>230</v>
      </c>
      <c r="AU618" t="s">
        <v>380</v>
      </c>
      <c r="AV618" t="s">
        <v>1095</v>
      </c>
      <c r="AW618" t="s">
        <v>917</v>
      </c>
      <c r="AX618" t="s">
        <v>231</v>
      </c>
      <c r="AY618" t="s">
        <v>1082</v>
      </c>
      <c r="AZ618" t="s">
        <v>1037</v>
      </c>
      <c r="BA618" t="s">
        <v>970</v>
      </c>
      <c r="BB618" t="s">
        <v>969</v>
      </c>
      <c r="BC618" t="s">
        <v>485</v>
      </c>
      <c r="BD618" t="s">
        <v>232</v>
      </c>
      <c r="BE618" t="s">
        <v>322</v>
      </c>
      <c r="BF618" t="s">
        <v>980</v>
      </c>
      <c r="BG618" t="s">
        <v>785</v>
      </c>
      <c r="BH618" t="s">
        <v>143</v>
      </c>
      <c r="BI618" t="s">
        <v>2369</v>
      </c>
      <c r="BJ618" t="s">
        <v>293</v>
      </c>
      <c r="BK618" t="s">
        <v>756</v>
      </c>
      <c r="BL618" t="s">
        <v>757</v>
      </c>
      <c r="BM618" t="s">
        <v>233</v>
      </c>
      <c r="BN618" t="s">
        <v>973</v>
      </c>
      <c r="BO618" t="s">
        <v>1012</v>
      </c>
      <c r="BP618" t="s">
        <v>2339</v>
      </c>
      <c r="BQ618" t="s">
        <v>234</v>
      </c>
      <c r="BR618" t="s">
        <v>528</v>
      </c>
      <c r="BS618" t="s">
        <v>387</v>
      </c>
      <c r="BT618" t="s">
        <v>517</v>
      </c>
      <c r="BU618" t="s">
        <v>952</v>
      </c>
      <c r="BV618" t="s">
        <v>927</v>
      </c>
      <c r="BW618" t="s">
        <v>940</v>
      </c>
      <c r="BX618" t="s">
        <v>1130</v>
      </c>
      <c r="BY618" t="s">
        <v>239</v>
      </c>
      <c r="BZ618" t="s">
        <v>241</v>
      </c>
      <c r="CA618" t="s">
        <v>805</v>
      </c>
      <c r="CB618" t="s">
        <v>806</v>
      </c>
    </row>
    <row r="619" spans="1:95">
      <c r="A619" s="40">
        <v>578</v>
      </c>
      <c r="B619" s="40" t="s">
        <v>2568</v>
      </c>
      <c r="C619" s="2" t="s">
        <v>2569</v>
      </c>
      <c r="D619" s="2" t="s">
        <v>9</v>
      </c>
      <c r="E619" s="2"/>
      <c r="F619" s="2">
        <v>65</v>
      </c>
      <c r="G619" s="2">
        <v>40</v>
      </c>
      <c r="H619" s="2">
        <v>50</v>
      </c>
      <c r="I619" s="2">
        <v>125</v>
      </c>
      <c r="J619" s="2">
        <v>60</v>
      </c>
      <c r="K619" s="2">
        <v>30</v>
      </c>
      <c r="L619" s="2">
        <v>370</v>
      </c>
      <c r="M619" s="2" t="s">
        <v>1158</v>
      </c>
      <c r="N619" s="2" t="s">
        <v>1061</v>
      </c>
      <c r="O619" t="s">
        <v>380</v>
      </c>
      <c r="P619" t="s">
        <v>529</v>
      </c>
      <c r="Q619" t="s">
        <v>768</v>
      </c>
      <c r="R619" t="s">
        <v>945</v>
      </c>
      <c r="S619" t="s">
        <v>380</v>
      </c>
      <c r="T619" t="s">
        <v>768</v>
      </c>
      <c r="U619" t="s">
        <v>945</v>
      </c>
      <c r="V619" t="s">
        <v>172</v>
      </c>
      <c r="W619" t="s">
        <v>228</v>
      </c>
      <c r="X619" t="s">
        <v>781</v>
      </c>
      <c r="Y619" t="s">
        <v>459</v>
      </c>
      <c r="Z619" t="s">
        <v>1151</v>
      </c>
      <c r="AA619" t="s">
        <v>916</v>
      </c>
      <c r="AB619" t="s">
        <v>790</v>
      </c>
      <c r="AC619" t="s">
        <v>794</v>
      </c>
      <c r="AD619" t="s">
        <v>9</v>
      </c>
      <c r="AE619" t="s">
        <v>941</v>
      </c>
      <c r="AF619" t="s">
        <v>1451</v>
      </c>
      <c r="AG619" t="s">
        <v>1048</v>
      </c>
      <c r="AH619" t="s">
        <v>1062</v>
      </c>
      <c r="AI619" t="s">
        <v>1063</v>
      </c>
      <c r="AJ619" t="s">
        <v>1151</v>
      </c>
      <c r="AK619" t="s">
        <v>912</v>
      </c>
      <c r="AL619" t="s">
        <v>148</v>
      </c>
      <c r="AM619" t="s">
        <v>172</v>
      </c>
      <c r="AN619" t="s">
        <v>228</v>
      </c>
      <c r="AO619" t="s">
        <v>1078</v>
      </c>
      <c r="AP619" t="s">
        <v>766</v>
      </c>
      <c r="AQ619" t="s">
        <v>759</v>
      </c>
      <c r="AR619" t="s">
        <v>1079</v>
      </c>
      <c r="AS619" t="s">
        <v>321</v>
      </c>
      <c r="AT619" t="s">
        <v>1080</v>
      </c>
      <c r="AU619" t="s">
        <v>9</v>
      </c>
      <c r="AV619" t="s">
        <v>174</v>
      </c>
      <c r="AW619" t="s">
        <v>230</v>
      </c>
      <c r="AX619" t="s">
        <v>380</v>
      </c>
      <c r="AY619" t="s">
        <v>1095</v>
      </c>
      <c r="AZ619" t="s">
        <v>917</v>
      </c>
      <c r="BA619" t="s">
        <v>231</v>
      </c>
      <c r="BB619" t="s">
        <v>1082</v>
      </c>
      <c r="BC619" t="s">
        <v>1037</v>
      </c>
      <c r="BD619" t="s">
        <v>970</v>
      </c>
      <c r="BE619" t="s">
        <v>969</v>
      </c>
      <c r="BF619" t="s">
        <v>485</v>
      </c>
      <c r="BG619" t="s">
        <v>232</v>
      </c>
      <c r="BH619" t="s">
        <v>322</v>
      </c>
      <c r="BI619" t="s">
        <v>980</v>
      </c>
      <c r="BJ619" t="s">
        <v>785</v>
      </c>
      <c r="BK619" t="s">
        <v>143</v>
      </c>
      <c r="BL619" t="s">
        <v>2369</v>
      </c>
      <c r="BM619" t="s">
        <v>293</v>
      </c>
      <c r="BN619" t="s">
        <v>756</v>
      </c>
      <c r="BO619" t="s">
        <v>757</v>
      </c>
      <c r="BP619" t="s">
        <v>233</v>
      </c>
      <c r="BQ619" t="s">
        <v>973</v>
      </c>
      <c r="BR619" t="s">
        <v>1012</v>
      </c>
      <c r="BS619" t="s">
        <v>2339</v>
      </c>
      <c r="BT619" t="s">
        <v>234</v>
      </c>
      <c r="BU619" t="s">
        <v>528</v>
      </c>
      <c r="BV619" t="s">
        <v>387</v>
      </c>
      <c r="BW619" t="s">
        <v>517</v>
      </c>
      <c r="BX619" t="s">
        <v>952</v>
      </c>
      <c r="BY619" t="s">
        <v>927</v>
      </c>
      <c r="BZ619" t="s">
        <v>940</v>
      </c>
      <c r="CA619" t="s">
        <v>1130</v>
      </c>
      <c r="CB619" t="s">
        <v>239</v>
      </c>
      <c r="CC619" t="s">
        <v>241</v>
      </c>
      <c r="CD619" t="s">
        <v>805</v>
      </c>
      <c r="CE619" t="s">
        <v>806</v>
      </c>
    </row>
    <row r="620" spans="1:95">
      <c r="A620" s="40">
        <v>579</v>
      </c>
      <c r="B620" s="40" t="s">
        <v>2570</v>
      </c>
      <c r="C620" s="2" t="s">
        <v>2571</v>
      </c>
      <c r="D620" s="2" t="s">
        <v>9</v>
      </c>
      <c r="E620" s="2"/>
      <c r="F620" s="2">
        <v>110</v>
      </c>
      <c r="G620" s="2">
        <v>65</v>
      </c>
      <c r="H620" s="2">
        <v>75</v>
      </c>
      <c r="I620" s="2">
        <v>125</v>
      </c>
      <c r="J620" s="2">
        <v>85</v>
      </c>
      <c r="K620" s="2">
        <v>30</v>
      </c>
      <c r="L620" s="2">
        <v>490</v>
      </c>
      <c r="M620" s="2" t="s">
        <v>1108</v>
      </c>
      <c r="N620" s="2" t="s">
        <v>1061</v>
      </c>
      <c r="O620" t="s">
        <v>380</v>
      </c>
      <c r="P620" t="s">
        <v>529</v>
      </c>
      <c r="Q620" t="s">
        <v>768</v>
      </c>
      <c r="R620" t="s">
        <v>945</v>
      </c>
      <c r="S620" t="s">
        <v>380</v>
      </c>
      <c r="T620" t="s">
        <v>768</v>
      </c>
      <c r="U620" t="s">
        <v>945</v>
      </c>
      <c r="V620" t="s">
        <v>172</v>
      </c>
      <c r="W620" t="s">
        <v>228</v>
      </c>
      <c r="X620" t="s">
        <v>781</v>
      </c>
      <c r="Y620" t="s">
        <v>459</v>
      </c>
      <c r="Z620" t="s">
        <v>1151</v>
      </c>
      <c r="AA620" t="s">
        <v>916</v>
      </c>
      <c r="AB620" t="s">
        <v>790</v>
      </c>
      <c r="AC620" t="s">
        <v>794</v>
      </c>
      <c r="AD620" t="s">
        <v>9</v>
      </c>
      <c r="AE620" t="s">
        <v>588</v>
      </c>
      <c r="AF620" t="s">
        <v>941</v>
      </c>
      <c r="AG620" t="s">
        <v>1451</v>
      </c>
      <c r="AH620" t="s">
        <v>1048</v>
      </c>
      <c r="AI620" t="s">
        <v>1062</v>
      </c>
      <c r="AJ620" t="s">
        <v>227</v>
      </c>
      <c r="AK620" t="s">
        <v>1063</v>
      </c>
      <c r="AL620" t="s">
        <v>1151</v>
      </c>
      <c r="AM620" t="s">
        <v>912</v>
      </c>
      <c r="AN620" t="s">
        <v>148</v>
      </c>
      <c r="AO620" t="s">
        <v>172</v>
      </c>
      <c r="AP620" t="s">
        <v>247</v>
      </c>
      <c r="AQ620" t="s">
        <v>228</v>
      </c>
      <c r="AR620" t="s">
        <v>1078</v>
      </c>
      <c r="AS620" t="s">
        <v>766</v>
      </c>
      <c r="AT620" t="s">
        <v>759</v>
      </c>
      <c r="AU620" t="s">
        <v>1079</v>
      </c>
      <c r="AV620" t="s">
        <v>321</v>
      </c>
      <c r="AW620" t="s">
        <v>1080</v>
      </c>
      <c r="AX620" t="s">
        <v>9</v>
      </c>
      <c r="AY620" t="s">
        <v>174</v>
      </c>
      <c r="AZ620" t="s">
        <v>230</v>
      </c>
      <c r="BA620" t="s">
        <v>380</v>
      </c>
      <c r="BB620" t="s">
        <v>1095</v>
      </c>
      <c r="BC620" t="s">
        <v>917</v>
      </c>
      <c r="BD620" t="s">
        <v>231</v>
      </c>
      <c r="BE620" t="s">
        <v>1082</v>
      </c>
      <c r="BF620" t="s">
        <v>1037</v>
      </c>
      <c r="BG620" t="s">
        <v>1102</v>
      </c>
      <c r="BH620" t="s">
        <v>970</v>
      </c>
      <c r="BI620" t="s">
        <v>974</v>
      </c>
      <c r="BJ620" t="s">
        <v>969</v>
      </c>
      <c r="BK620" t="s">
        <v>485</v>
      </c>
      <c r="BL620" t="s">
        <v>976</v>
      </c>
      <c r="BM620" t="s">
        <v>232</v>
      </c>
      <c r="BN620" t="s">
        <v>322</v>
      </c>
      <c r="BO620" t="s">
        <v>980</v>
      </c>
      <c r="BP620" t="s">
        <v>785</v>
      </c>
      <c r="BQ620" t="s">
        <v>143</v>
      </c>
      <c r="BR620" t="s">
        <v>2369</v>
      </c>
      <c r="BS620" t="s">
        <v>293</v>
      </c>
      <c r="BT620" t="s">
        <v>977</v>
      </c>
      <c r="BU620" t="s">
        <v>756</v>
      </c>
      <c r="BV620" t="s">
        <v>757</v>
      </c>
      <c r="BW620" t="s">
        <v>233</v>
      </c>
      <c r="BX620" t="s">
        <v>973</v>
      </c>
      <c r="BY620" t="s">
        <v>1012</v>
      </c>
      <c r="BZ620" t="s">
        <v>760</v>
      </c>
      <c r="CA620" t="s">
        <v>2398</v>
      </c>
      <c r="CB620" t="s">
        <v>2339</v>
      </c>
      <c r="CC620" t="s">
        <v>234</v>
      </c>
      <c r="CD620" t="s">
        <v>528</v>
      </c>
      <c r="CE620" t="s">
        <v>387</v>
      </c>
      <c r="CF620" t="s">
        <v>517</v>
      </c>
      <c r="CG620" t="s">
        <v>952</v>
      </c>
      <c r="CH620" t="s">
        <v>927</v>
      </c>
      <c r="CI620" t="s">
        <v>940</v>
      </c>
      <c r="CJ620" t="s">
        <v>1130</v>
      </c>
      <c r="CK620" t="s">
        <v>239</v>
      </c>
      <c r="CL620" t="s">
        <v>241</v>
      </c>
      <c r="CM620" t="s">
        <v>805</v>
      </c>
      <c r="CN620" t="s">
        <v>806</v>
      </c>
    </row>
    <row r="621" spans="1:95">
      <c r="A621" s="40">
        <v>580</v>
      </c>
      <c r="B621" s="40" t="s">
        <v>2572</v>
      </c>
      <c r="C621" s="2" t="s">
        <v>2573</v>
      </c>
      <c r="D621" s="2" t="s">
        <v>27</v>
      </c>
      <c r="E621" s="2" t="s">
        <v>20</v>
      </c>
      <c r="F621" s="2">
        <v>62</v>
      </c>
      <c r="G621" s="2">
        <v>44</v>
      </c>
      <c r="H621" s="2">
        <v>50</v>
      </c>
      <c r="I621" s="2">
        <v>44</v>
      </c>
      <c r="J621" s="2">
        <v>50</v>
      </c>
      <c r="K621" s="2">
        <v>55</v>
      </c>
      <c r="L621" s="2">
        <v>305</v>
      </c>
      <c r="M621" s="2" t="s">
        <v>1208</v>
      </c>
      <c r="N621" s="2" t="s">
        <v>1061</v>
      </c>
      <c r="O621" t="s">
        <v>269</v>
      </c>
      <c r="P621" t="s">
        <v>955</v>
      </c>
      <c r="Q621" t="s">
        <v>1124</v>
      </c>
      <c r="R621" t="s">
        <v>264</v>
      </c>
      <c r="S621" t="s">
        <v>954</v>
      </c>
      <c r="T621" t="s">
        <v>1096</v>
      </c>
      <c r="U621" t="s">
        <v>446</v>
      </c>
      <c r="V621" t="s">
        <v>1121</v>
      </c>
      <c r="W621" t="s">
        <v>178</v>
      </c>
      <c r="X621" t="s">
        <v>1101</v>
      </c>
      <c r="Y621" t="s">
        <v>1119</v>
      </c>
      <c r="Z621" t="s">
        <v>766</v>
      </c>
      <c r="AA621" t="s">
        <v>1009</v>
      </c>
      <c r="AB621" t="s">
        <v>1123</v>
      </c>
      <c r="AC621" t="s">
        <v>1122</v>
      </c>
      <c r="AD621" t="s">
        <v>1062</v>
      </c>
      <c r="AE621" t="s">
        <v>138</v>
      </c>
      <c r="AF621" t="s">
        <v>144</v>
      </c>
      <c r="AG621" t="s">
        <v>914</v>
      </c>
      <c r="AH621" t="s">
        <v>1063</v>
      </c>
      <c r="AI621" t="s">
        <v>148</v>
      </c>
      <c r="AJ621" t="s">
        <v>1104</v>
      </c>
      <c r="AK621" t="s">
        <v>172</v>
      </c>
      <c r="AL621" t="s">
        <v>141</v>
      </c>
      <c r="AM621" t="s">
        <v>1078</v>
      </c>
      <c r="AN621" t="s">
        <v>766</v>
      </c>
      <c r="AO621" t="s">
        <v>1119</v>
      </c>
      <c r="AP621" t="s">
        <v>1079</v>
      </c>
      <c r="AQ621" t="s">
        <v>1080</v>
      </c>
      <c r="AR621" t="s">
        <v>230</v>
      </c>
      <c r="AS621" t="s">
        <v>1096</v>
      </c>
      <c r="AT621" t="s">
        <v>917</v>
      </c>
      <c r="AU621" t="s">
        <v>231</v>
      </c>
      <c r="AV621" t="s">
        <v>1082</v>
      </c>
      <c r="AW621" t="s">
        <v>1037</v>
      </c>
      <c r="AX621" t="s">
        <v>1125</v>
      </c>
      <c r="AY621" t="s">
        <v>1038</v>
      </c>
      <c r="AZ621" t="s">
        <v>756</v>
      </c>
      <c r="BA621" t="s">
        <v>757</v>
      </c>
      <c r="BB621" t="s">
        <v>233</v>
      </c>
      <c r="BC621" t="s">
        <v>2339</v>
      </c>
      <c r="BD621" t="s">
        <v>234</v>
      </c>
      <c r="BE621" t="s">
        <v>289</v>
      </c>
      <c r="BF621" t="s">
        <v>311</v>
      </c>
      <c r="BG621" t="s">
        <v>1125</v>
      </c>
      <c r="BH621" t="s">
        <v>933</v>
      </c>
      <c r="BI621" t="s">
        <v>1118</v>
      </c>
      <c r="BJ621" t="s">
        <v>961</v>
      </c>
      <c r="BK621" t="s">
        <v>987</v>
      </c>
      <c r="BL621" t="s">
        <v>989</v>
      </c>
      <c r="BM621" t="s">
        <v>239</v>
      </c>
      <c r="BN621" t="s">
        <v>241</v>
      </c>
      <c r="BO621" t="s">
        <v>805</v>
      </c>
      <c r="BP621" t="s">
        <v>806</v>
      </c>
    </row>
    <row r="622" spans="1:95">
      <c r="A622" s="40">
        <v>581</v>
      </c>
      <c r="B622" s="40" t="s">
        <v>2574</v>
      </c>
      <c r="C622" s="2" t="s">
        <v>2575</v>
      </c>
      <c r="D622" s="2" t="s">
        <v>27</v>
      </c>
      <c r="E622" s="2" t="s">
        <v>20</v>
      </c>
      <c r="F622" s="2">
        <v>75</v>
      </c>
      <c r="G622" s="2">
        <v>87</v>
      </c>
      <c r="H622" s="2">
        <v>63</v>
      </c>
      <c r="I622" s="2">
        <v>87</v>
      </c>
      <c r="J622" s="2">
        <v>63</v>
      </c>
      <c r="K622" s="2">
        <v>98</v>
      </c>
      <c r="L622" s="2">
        <v>473</v>
      </c>
      <c r="M622" s="2" t="s">
        <v>1112</v>
      </c>
      <c r="N622" s="2" t="s">
        <v>1061</v>
      </c>
      <c r="O622" t="s">
        <v>264</v>
      </c>
      <c r="P622" t="s">
        <v>269</v>
      </c>
      <c r="Q622" t="s">
        <v>955</v>
      </c>
      <c r="R622" t="s">
        <v>1124</v>
      </c>
      <c r="S622" t="s">
        <v>955</v>
      </c>
      <c r="T622" t="s">
        <v>1124</v>
      </c>
      <c r="U622" t="s">
        <v>264</v>
      </c>
      <c r="V622" t="s">
        <v>954</v>
      </c>
      <c r="W622" t="s">
        <v>1096</v>
      </c>
      <c r="X622" t="s">
        <v>446</v>
      </c>
      <c r="Y622" t="s">
        <v>1121</v>
      </c>
      <c r="Z622" t="s">
        <v>178</v>
      </c>
      <c r="AA622" t="s">
        <v>1101</v>
      </c>
      <c r="AB622" t="s">
        <v>1119</v>
      </c>
      <c r="AC622" t="s">
        <v>766</v>
      </c>
      <c r="AD622" t="s">
        <v>1009</v>
      </c>
      <c r="AE622" t="s">
        <v>1123</v>
      </c>
      <c r="AF622" t="s">
        <v>1122</v>
      </c>
      <c r="AG622" t="s">
        <v>1062</v>
      </c>
      <c r="AH622" t="s">
        <v>138</v>
      </c>
      <c r="AI622" t="s">
        <v>144</v>
      </c>
      <c r="AJ622" t="s">
        <v>914</v>
      </c>
      <c r="AK622" t="s">
        <v>1063</v>
      </c>
      <c r="AL622" t="s">
        <v>148</v>
      </c>
      <c r="AM622" t="s">
        <v>1104</v>
      </c>
      <c r="AN622" t="s">
        <v>172</v>
      </c>
      <c r="AO622" t="s">
        <v>141</v>
      </c>
      <c r="AP622" t="s">
        <v>247</v>
      </c>
      <c r="AQ622" t="s">
        <v>1078</v>
      </c>
      <c r="AR622" t="s">
        <v>766</v>
      </c>
      <c r="AS622" t="s">
        <v>1119</v>
      </c>
      <c r="AT622" t="s">
        <v>1079</v>
      </c>
      <c r="AU622" t="s">
        <v>1080</v>
      </c>
      <c r="AV622" t="s">
        <v>230</v>
      </c>
      <c r="AW622" t="s">
        <v>1096</v>
      </c>
      <c r="AX622" t="s">
        <v>917</v>
      </c>
      <c r="AY622" t="s">
        <v>231</v>
      </c>
      <c r="AZ622" t="s">
        <v>1082</v>
      </c>
      <c r="BA622" t="s">
        <v>1037</v>
      </c>
      <c r="BB622" t="s">
        <v>1125</v>
      </c>
      <c r="BC622" t="s">
        <v>1038</v>
      </c>
      <c r="BD622" t="s">
        <v>976</v>
      </c>
      <c r="BE622" t="s">
        <v>756</v>
      </c>
      <c r="BF622" t="s">
        <v>757</v>
      </c>
      <c r="BG622" t="s">
        <v>233</v>
      </c>
      <c r="BH622" t="s">
        <v>2339</v>
      </c>
      <c r="BI622" t="s">
        <v>234</v>
      </c>
      <c r="BJ622" t="s">
        <v>289</v>
      </c>
      <c r="BK622" t="s">
        <v>311</v>
      </c>
      <c r="BL622" t="s">
        <v>1125</v>
      </c>
      <c r="BM622" t="s">
        <v>933</v>
      </c>
      <c r="BN622" t="s">
        <v>1118</v>
      </c>
      <c r="BO622" t="s">
        <v>961</v>
      </c>
      <c r="BP622" t="s">
        <v>987</v>
      </c>
      <c r="BQ622" t="s">
        <v>989</v>
      </c>
      <c r="BR622" t="s">
        <v>239</v>
      </c>
      <c r="BS622" t="s">
        <v>241</v>
      </c>
      <c r="BT622" t="s">
        <v>805</v>
      </c>
      <c r="BU622" t="s">
        <v>806</v>
      </c>
    </row>
    <row r="623" spans="1:95">
      <c r="A623" s="40">
        <v>582</v>
      </c>
      <c r="B623" s="40" t="s">
        <v>2576</v>
      </c>
      <c r="C623" s="2" t="s">
        <v>2577</v>
      </c>
      <c r="D623" s="2" t="s">
        <v>23</v>
      </c>
      <c r="E623" s="2"/>
      <c r="F623" s="2">
        <v>36</v>
      </c>
      <c r="G623" s="2">
        <v>50</v>
      </c>
      <c r="H623" s="2">
        <v>50</v>
      </c>
      <c r="I623" s="2">
        <v>65</v>
      </c>
      <c r="J623" s="2">
        <v>60</v>
      </c>
      <c r="K623" s="2">
        <v>44</v>
      </c>
      <c r="L623" s="2">
        <v>305</v>
      </c>
      <c r="M623" s="2" t="s">
        <v>1071</v>
      </c>
      <c r="N623" s="2" t="s">
        <v>1061</v>
      </c>
      <c r="O623" t="s">
        <v>1209</v>
      </c>
      <c r="P623" t="s">
        <v>284</v>
      </c>
      <c r="Q623" t="s">
        <v>1130</v>
      </c>
      <c r="R623" t="s">
        <v>953</v>
      </c>
      <c r="S623" t="s">
        <v>769</v>
      </c>
      <c r="T623" t="s">
        <v>273</v>
      </c>
      <c r="U623" t="s">
        <v>1214</v>
      </c>
      <c r="V623" t="s">
        <v>1126</v>
      </c>
      <c r="W623" t="s">
        <v>1206</v>
      </c>
      <c r="X623" t="s">
        <v>517</v>
      </c>
      <c r="Y623" t="s">
        <v>141</v>
      </c>
      <c r="Z623" t="s">
        <v>1104</v>
      </c>
      <c r="AA623" t="s">
        <v>772</v>
      </c>
      <c r="AB623" t="s">
        <v>271</v>
      </c>
      <c r="AC623" t="s">
        <v>1210</v>
      </c>
      <c r="AD623" t="s">
        <v>1062</v>
      </c>
      <c r="AE623" t="s">
        <v>1063</v>
      </c>
      <c r="AF623" t="s">
        <v>148</v>
      </c>
      <c r="AG623" t="s">
        <v>1104</v>
      </c>
      <c r="AH623" t="s">
        <v>172</v>
      </c>
      <c r="AI623" t="s">
        <v>1126</v>
      </c>
      <c r="AJ623" t="s">
        <v>141</v>
      </c>
      <c r="AK623" t="s">
        <v>271</v>
      </c>
      <c r="AL623" t="s">
        <v>228</v>
      </c>
      <c r="AM623" t="s">
        <v>1078</v>
      </c>
      <c r="AN623" t="s">
        <v>766</v>
      </c>
      <c r="AO623" t="s">
        <v>1079</v>
      </c>
      <c r="AP623" t="s">
        <v>1080</v>
      </c>
      <c r="AQ623" t="s">
        <v>230</v>
      </c>
      <c r="AR623" t="s">
        <v>917</v>
      </c>
      <c r="AS623" t="s">
        <v>231</v>
      </c>
      <c r="AT623" t="s">
        <v>1082</v>
      </c>
      <c r="AU623" t="s">
        <v>1037</v>
      </c>
      <c r="AV623" t="s">
        <v>485</v>
      </c>
      <c r="AW623" t="s">
        <v>1027</v>
      </c>
      <c r="AX623" t="s">
        <v>756</v>
      </c>
      <c r="AY623" t="s">
        <v>757</v>
      </c>
      <c r="AZ623" t="s">
        <v>233</v>
      </c>
      <c r="BA623" t="s">
        <v>973</v>
      </c>
      <c r="BB623" t="s">
        <v>2339</v>
      </c>
      <c r="BC623" t="s">
        <v>234</v>
      </c>
      <c r="BD623" t="s">
        <v>1228</v>
      </c>
      <c r="BE623" t="s">
        <v>927</v>
      </c>
      <c r="BF623" t="s">
        <v>177</v>
      </c>
      <c r="BG623" t="s">
        <v>954</v>
      </c>
      <c r="BH623" t="s">
        <v>992</v>
      </c>
      <c r="BI623" t="s">
        <v>988</v>
      </c>
      <c r="BJ623" t="s">
        <v>984</v>
      </c>
      <c r="BK623" t="s">
        <v>1197</v>
      </c>
      <c r="BL623" t="s">
        <v>239</v>
      </c>
      <c r="BM623" t="s">
        <v>241</v>
      </c>
      <c r="BN623" t="s">
        <v>805</v>
      </c>
      <c r="BO623" t="s">
        <v>806</v>
      </c>
    </row>
    <row r="624" spans="1:95">
      <c r="A624" s="40">
        <v>583</v>
      </c>
      <c r="B624" s="40" t="s">
        <v>2578</v>
      </c>
      <c r="C624" s="2" t="s">
        <v>2579</v>
      </c>
      <c r="D624" s="2" t="s">
        <v>23</v>
      </c>
      <c r="E624" s="2"/>
      <c r="F624" s="2">
        <v>51</v>
      </c>
      <c r="G624" s="2">
        <v>65</v>
      </c>
      <c r="H624" s="2">
        <v>65</v>
      </c>
      <c r="I624" s="2">
        <v>80</v>
      </c>
      <c r="J624" s="2">
        <v>75</v>
      </c>
      <c r="K624" s="2">
        <v>59</v>
      </c>
      <c r="L624" s="2">
        <v>395</v>
      </c>
      <c r="M624" s="2" t="s">
        <v>1199</v>
      </c>
      <c r="N624" s="2" t="s">
        <v>1061</v>
      </c>
      <c r="O624" t="s">
        <v>284</v>
      </c>
      <c r="P624" t="s">
        <v>953</v>
      </c>
      <c r="Q624" t="s">
        <v>1130</v>
      </c>
      <c r="R624" t="s">
        <v>1209</v>
      </c>
      <c r="S624" t="s">
        <v>284</v>
      </c>
      <c r="T624" t="s">
        <v>1130</v>
      </c>
      <c r="U624" t="s">
        <v>953</v>
      </c>
      <c r="V624" t="s">
        <v>769</v>
      </c>
      <c r="W624" t="s">
        <v>273</v>
      </c>
      <c r="X624" t="s">
        <v>1214</v>
      </c>
      <c r="Y624" t="s">
        <v>1126</v>
      </c>
      <c r="Z624" t="s">
        <v>1206</v>
      </c>
      <c r="AA624" t="s">
        <v>517</v>
      </c>
      <c r="AB624" t="s">
        <v>141</v>
      </c>
      <c r="AC624" t="s">
        <v>1104</v>
      </c>
      <c r="AD624" t="s">
        <v>772</v>
      </c>
      <c r="AE624" t="s">
        <v>271</v>
      </c>
      <c r="AF624" t="s">
        <v>1210</v>
      </c>
      <c r="AG624" t="s">
        <v>1062</v>
      </c>
      <c r="AH624" t="s">
        <v>1063</v>
      </c>
      <c r="AI624" t="s">
        <v>148</v>
      </c>
      <c r="AJ624" t="s">
        <v>1104</v>
      </c>
      <c r="AK624" t="s">
        <v>172</v>
      </c>
      <c r="AL624" t="s">
        <v>1126</v>
      </c>
      <c r="AM624" t="s">
        <v>141</v>
      </c>
      <c r="AN624" t="s">
        <v>271</v>
      </c>
      <c r="AO624" t="s">
        <v>228</v>
      </c>
      <c r="AP624" t="s">
        <v>1078</v>
      </c>
      <c r="AQ624" t="s">
        <v>766</v>
      </c>
      <c r="AR624" t="s">
        <v>1079</v>
      </c>
      <c r="AS624" t="s">
        <v>1080</v>
      </c>
      <c r="AT624" t="s">
        <v>230</v>
      </c>
      <c r="AU624" t="s">
        <v>917</v>
      </c>
      <c r="AV624" t="s">
        <v>231</v>
      </c>
      <c r="AW624" t="s">
        <v>1082</v>
      </c>
      <c r="AX624" t="s">
        <v>1037</v>
      </c>
      <c r="AY624" t="s">
        <v>485</v>
      </c>
      <c r="AZ624" t="s">
        <v>1027</v>
      </c>
      <c r="BA624" t="s">
        <v>756</v>
      </c>
      <c r="BB624" t="s">
        <v>757</v>
      </c>
      <c r="BC624" t="s">
        <v>233</v>
      </c>
      <c r="BD624" t="s">
        <v>973</v>
      </c>
      <c r="BE624" t="s">
        <v>2339</v>
      </c>
      <c r="BF624" t="s">
        <v>234</v>
      </c>
      <c r="BG624" t="s">
        <v>1228</v>
      </c>
      <c r="BH624" t="s">
        <v>927</v>
      </c>
      <c r="BI624" t="s">
        <v>177</v>
      </c>
      <c r="BJ624" t="s">
        <v>954</v>
      </c>
      <c r="BK624" t="s">
        <v>992</v>
      </c>
      <c r="BL624" t="s">
        <v>988</v>
      </c>
      <c r="BM624" t="s">
        <v>984</v>
      </c>
      <c r="BN624" t="s">
        <v>1197</v>
      </c>
      <c r="BO624" t="s">
        <v>239</v>
      </c>
      <c r="BP624" t="s">
        <v>241</v>
      </c>
      <c r="BQ624" t="s">
        <v>805</v>
      </c>
      <c r="BR624" t="s">
        <v>806</v>
      </c>
    </row>
    <row r="625" spans="1:88">
      <c r="A625" s="40">
        <v>584</v>
      </c>
      <c r="B625" s="40" t="s">
        <v>2580</v>
      </c>
      <c r="C625" s="2" t="s">
        <v>2581</v>
      </c>
      <c r="D625" s="2" t="s">
        <v>23</v>
      </c>
      <c r="E625" s="2"/>
      <c r="F625" s="2">
        <v>71</v>
      </c>
      <c r="G625" s="2">
        <v>95</v>
      </c>
      <c r="H625" s="2">
        <v>85</v>
      </c>
      <c r="I625" s="2">
        <v>110</v>
      </c>
      <c r="J625" s="2">
        <v>95</v>
      </c>
      <c r="K625" s="2">
        <v>79</v>
      </c>
      <c r="L625" s="2">
        <v>535</v>
      </c>
      <c r="M625" s="2" t="s">
        <v>1162</v>
      </c>
      <c r="N625" s="2" t="s">
        <v>1061</v>
      </c>
      <c r="O625" t="s">
        <v>284</v>
      </c>
      <c r="P625" t="s">
        <v>953</v>
      </c>
      <c r="Q625" t="s">
        <v>1130</v>
      </c>
      <c r="R625" t="s">
        <v>1192</v>
      </c>
      <c r="S625" t="s">
        <v>1209</v>
      </c>
      <c r="T625" t="s">
        <v>2363</v>
      </c>
      <c r="U625" t="s">
        <v>284</v>
      </c>
      <c r="V625" t="s">
        <v>1130</v>
      </c>
      <c r="W625" t="s">
        <v>953</v>
      </c>
      <c r="X625" t="s">
        <v>769</v>
      </c>
      <c r="Y625" t="s">
        <v>273</v>
      </c>
      <c r="Z625" t="s">
        <v>1214</v>
      </c>
      <c r="AA625" t="s">
        <v>1126</v>
      </c>
      <c r="AB625" t="s">
        <v>1206</v>
      </c>
      <c r="AC625" t="s">
        <v>517</v>
      </c>
      <c r="AD625" t="s">
        <v>141</v>
      </c>
      <c r="AE625" t="s">
        <v>1104</v>
      </c>
      <c r="AF625" t="s">
        <v>772</v>
      </c>
      <c r="AG625" t="s">
        <v>271</v>
      </c>
      <c r="AH625" t="s">
        <v>1210</v>
      </c>
      <c r="AI625" t="s">
        <v>1062</v>
      </c>
      <c r="AJ625" t="s">
        <v>1063</v>
      </c>
      <c r="AK625" t="s">
        <v>148</v>
      </c>
      <c r="AL625" t="s">
        <v>1104</v>
      </c>
      <c r="AM625" t="s">
        <v>172</v>
      </c>
      <c r="AN625" t="s">
        <v>1126</v>
      </c>
      <c r="AO625" t="s">
        <v>141</v>
      </c>
      <c r="AP625" t="s">
        <v>271</v>
      </c>
      <c r="AQ625" t="s">
        <v>247</v>
      </c>
      <c r="AR625" t="s">
        <v>228</v>
      </c>
      <c r="AS625" t="s">
        <v>1078</v>
      </c>
      <c r="AT625" t="s">
        <v>766</v>
      </c>
      <c r="AU625" t="s">
        <v>1079</v>
      </c>
      <c r="AV625" t="s">
        <v>1080</v>
      </c>
      <c r="AW625" t="s">
        <v>230</v>
      </c>
      <c r="AX625" t="s">
        <v>917</v>
      </c>
      <c r="AY625" t="s">
        <v>231</v>
      </c>
      <c r="AZ625" t="s">
        <v>1082</v>
      </c>
      <c r="BA625" t="s">
        <v>1037</v>
      </c>
      <c r="BB625" t="s">
        <v>485</v>
      </c>
      <c r="BC625" t="s">
        <v>976</v>
      </c>
      <c r="BD625" t="s">
        <v>1027</v>
      </c>
      <c r="BE625" t="s">
        <v>756</v>
      </c>
      <c r="BF625" t="s">
        <v>757</v>
      </c>
      <c r="BG625" t="s">
        <v>233</v>
      </c>
      <c r="BH625" t="s">
        <v>973</v>
      </c>
      <c r="BI625" t="s">
        <v>2339</v>
      </c>
      <c r="BJ625" t="s">
        <v>234</v>
      </c>
      <c r="BK625" t="s">
        <v>1228</v>
      </c>
      <c r="BL625" t="s">
        <v>927</v>
      </c>
      <c r="BM625" t="s">
        <v>177</v>
      </c>
      <c r="BN625" t="s">
        <v>954</v>
      </c>
      <c r="BO625" t="s">
        <v>992</v>
      </c>
      <c r="BP625" t="s">
        <v>988</v>
      </c>
      <c r="BQ625" t="s">
        <v>984</v>
      </c>
      <c r="BR625" t="s">
        <v>1197</v>
      </c>
      <c r="BS625" t="s">
        <v>239</v>
      </c>
      <c r="BT625" t="s">
        <v>241</v>
      </c>
      <c r="BU625" t="s">
        <v>805</v>
      </c>
      <c r="BV625" t="s">
        <v>806</v>
      </c>
    </row>
    <row r="626" spans="1:88">
      <c r="A626" s="40">
        <v>585</v>
      </c>
      <c r="B626" s="40" t="s">
        <v>2582</v>
      </c>
      <c r="C626" s="2" t="s">
        <v>2583</v>
      </c>
      <c r="D626" s="2" t="s">
        <v>24</v>
      </c>
      <c r="E626" s="2" t="s">
        <v>21</v>
      </c>
      <c r="F626" s="2">
        <v>60</v>
      </c>
      <c r="G626" s="2">
        <v>60</v>
      </c>
      <c r="H626" s="2">
        <v>50</v>
      </c>
      <c r="I626" s="2">
        <v>40</v>
      </c>
      <c r="J626" s="2">
        <v>50</v>
      </c>
      <c r="K626" s="2">
        <v>75</v>
      </c>
      <c r="L626" s="2">
        <v>335</v>
      </c>
      <c r="M626" s="2" t="s">
        <v>1199</v>
      </c>
      <c r="N626" s="2" t="s">
        <v>1061</v>
      </c>
      <c r="O626" t="s">
        <v>219</v>
      </c>
      <c r="P626" t="s">
        <v>1226</v>
      </c>
      <c r="Q626" t="s">
        <v>220</v>
      </c>
      <c r="R626" t="s">
        <v>309</v>
      </c>
      <c r="S626" t="s">
        <v>359</v>
      </c>
      <c r="T626" t="s">
        <v>142</v>
      </c>
      <c r="U626" t="s">
        <v>774</v>
      </c>
      <c r="V626" t="s">
        <v>223</v>
      </c>
      <c r="W626" t="s">
        <v>565</v>
      </c>
      <c r="X626" t="s">
        <v>1153</v>
      </c>
      <c r="Y626" t="s">
        <v>970</v>
      </c>
      <c r="Z626" t="s">
        <v>781</v>
      </c>
      <c r="AA626" t="s">
        <v>1087</v>
      </c>
      <c r="AB626" t="s">
        <v>225</v>
      </c>
      <c r="AC626" t="s">
        <v>229</v>
      </c>
      <c r="AD626" t="s">
        <v>1062</v>
      </c>
      <c r="AE626" t="s">
        <v>1063</v>
      </c>
      <c r="AF626" t="s">
        <v>148</v>
      </c>
      <c r="AG626" t="s">
        <v>172</v>
      </c>
      <c r="AH626" t="s">
        <v>752</v>
      </c>
      <c r="AI626" t="s">
        <v>228</v>
      </c>
      <c r="AJ626" t="s">
        <v>1078</v>
      </c>
      <c r="AK626" t="s">
        <v>766</v>
      </c>
      <c r="AL626" t="s">
        <v>759</v>
      </c>
      <c r="AM626" t="s">
        <v>1079</v>
      </c>
      <c r="AN626" t="s">
        <v>229</v>
      </c>
      <c r="AO626" t="s">
        <v>1080</v>
      </c>
      <c r="AP626" t="s">
        <v>174</v>
      </c>
      <c r="AQ626" t="s">
        <v>230</v>
      </c>
      <c r="AR626" t="s">
        <v>917</v>
      </c>
      <c r="AS626" t="s">
        <v>231</v>
      </c>
      <c r="AT626" t="s">
        <v>1082</v>
      </c>
      <c r="AU626" t="s">
        <v>1037</v>
      </c>
      <c r="AV626" t="s">
        <v>1083</v>
      </c>
      <c r="AW626" t="s">
        <v>970</v>
      </c>
      <c r="AX626" t="s">
        <v>1036</v>
      </c>
      <c r="AY626" t="s">
        <v>232</v>
      </c>
      <c r="AZ626" t="s">
        <v>322</v>
      </c>
      <c r="BA626" t="s">
        <v>977</v>
      </c>
      <c r="BB626" t="s">
        <v>756</v>
      </c>
      <c r="BC626" t="s">
        <v>233</v>
      </c>
      <c r="BD626" t="s">
        <v>1047</v>
      </c>
      <c r="BE626" t="s">
        <v>234</v>
      </c>
      <c r="BF626" t="s">
        <v>306</v>
      </c>
      <c r="BG626" t="s">
        <v>757</v>
      </c>
      <c r="BH626" t="s">
        <v>788</v>
      </c>
      <c r="BI626" t="s">
        <v>750</v>
      </c>
      <c r="BJ626" t="s">
        <v>918</v>
      </c>
      <c r="BK626" t="s">
        <v>934</v>
      </c>
      <c r="BL626" t="s">
        <v>1084</v>
      </c>
      <c r="BM626" t="s">
        <v>992</v>
      </c>
      <c r="BN626" t="s">
        <v>1017</v>
      </c>
      <c r="BO626" t="s">
        <v>239</v>
      </c>
      <c r="BP626" t="s">
        <v>241</v>
      </c>
      <c r="BQ626" t="s">
        <v>805</v>
      </c>
      <c r="BR626" t="s">
        <v>806</v>
      </c>
    </row>
    <row r="627" spans="1:88">
      <c r="A627" s="40">
        <v>586</v>
      </c>
      <c r="B627" s="40" t="s">
        <v>2584</v>
      </c>
      <c r="C627" s="2" t="s">
        <v>2585</v>
      </c>
      <c r="D627" s="2" t="s">
        <v>24</v>
      </c>
      <c r="E627" s="2" t="s">
        <v>21</v>
      </c>
      <c r="F627" s="2">
        <v>80</v>
      </c>
      <c r="G627" s="2">
        <v>100</v>
      </c>
      <c r="H627" s="2">
        <v>70</v>
      </c>
      <c r="I627" s="2">
        <v>60</v>
      </c>
      <c r="J627" s="2">
        <v>70</v>
      </c>
      <c r="K627" s="2">
        <v>95</v>
      </c>
      <c r="L627" s="2">
        <v>475</v>
      </c>
      <c r="M627" s="2" t="s">
        <v>1089</v>
      </c>
      <c r="N627" s="2" t="s">
        <v>1061</v>
      </c>
      <c r="O627" t="s">
        <v>309</v>
      </c>
      <c r="P627" t="s">
        <v>219</v>
      </c>
      <c r="Q627" t="s">
        <v>220</v>
      </c>
      <c r="R627" t="s">
        <v>797</v>
      </c>
      <c r="S627" t="s">
        <v>1226</v>
      </c>
      <c r="T627" t="s">
        <v>220</v>
      </c>
      <c r="U627" t="s">
        <v>309</v>
      </c>
      <c r="V627" t="s">
        <v>359</v>
      </c>
      <c r="W627" t="s">
        <v>142</v>
      </c>
      <c r="X627" t="s">
        <v>774</v>
      </c>
      <c r="Y627" t="s">
        <v>223</v>
      </c>
      <c r="Z627" t="s">
        <v>565</v>
      </c>
      <c r="AA627" t="s">
        <v>1153</v>
      </c>
      <c r="AB627" t="s">
        <v>970</v>
      </c>
      <c r="AC627" t="s">
        <v>781</v>
      </c>
      <c r="AD627" t="s">
        <v>2034</v>
      </c>
      <c r="AE627" t="s">
        <v>1087</v>
      </c>
      <c r="AF627" t="s">
        <v>225</v>
      </c>
      <c r="AG627" t="s">
        <v>229</v>
      </c>
      <c r="AH627" t="s">
        <v>1062</v>
      </c>
      <c r="AI627" t="s">
        <v>226</v>
      </c>
      <c r="AJ627" t="s">
        <v>1063</v>
      </c>
      <c r="AK627" t="s">
        <v>148</v>
      </c>
      <c r="AL627" t="s">
        <v>172</v>
      </c>
      <c r="AM627" t="s">
        <v>752</v>
      </c>
      <c r="AN627" t="s">
        <v>247</v>
      </c>
      <c r="AO627" t="s">
        <v>228</v>
      </c>
      <c r="AP627" t="s">
        <v>1078</v>
      </c>
      <c r="AQ627" t="s">
        <v>766</v>
      </c>
      <c r="AR627" t="s">
        <v>759</v>
      </c>
      <c r="AS627" t="s">
        <v>1079</v>
      </c>
      <c r="AT627" t="s">
        <v>229</v>
      </c>
      <c r="AU627" t="s">
        <v>1080</v>
      </c>
      <c r="AV627" t="s">
        <v>174</v>
      </c>
      <c r="AW627" t="s">
        <v>230</v>
      </c>
      <c r="AX627" t="s">
        <v>917</v>
      </c>
      <c r="AY627" t="s">
        <v>231</v>
      </c>
      <c r="AZ627" t="s">
        <v>1082</v>
      </c>
      <c r="BA627" t="s">
        <v>1037</v>
      </c>
      <c r="BB627" t="s">
        <v>1083</v>
      </c>
      <c r="BC627" t="s">
        <v>970</v>
      </c>
      <c r="BD627" t="s">
        <v>1036</v>
      </c>
      <c r="BE627" t="s">
        <v>976</v>
      </c>
      <c r="BF627" t="s">
        <v>232</v>
      </c>
      <c r="BG627" t="s">
        <v>322</v>
      </c>
      <c r="BH627" t="s">
        <v>145</v>
      </c>
      <c r="BI627" t="s">
        <v>977</v>
      </c>
      <c r="BJ627" t="s">
        <v>756</v>
      </c>
      <c r="BK627" t="s">
        <v>233</v>
      </c>
      <c r="BL627" t="s">
        <v>1047</v>
      </c>
      <c r="BM627" t="s">
        <v>760</v>
      </c>
      <c r="BN627" t="s">
        <v>234</v>
      </c>
      <c r="BO627" t="s">
        <v>306</v>
      </c>
      <c r="BP627" t="s">
        <v>757</v>
      </c>
      <c r="BQ627" t="s">
        <v>788</v>
      </c>
      <c r="BR627" t="s">
        <v>750</v>
      </c>
      <c r="BS627" t="s">
        <v>918</v>
      </c>
      <c r="BT627" t="s">
        <v>934</v>
      </c>
      <c r="BU627" t="s">
        <v>1084</v>
      </c>
      <c r="BV627" t="s">
        <v>992</v>
      </c>
      <c r="BW627" t="s">
        <v>1017</v>
      </c>
      <c r="BX627" t="s">
        <v>239</v>
      </c>
      <c r="BY627" t="s">
        <v>241</v>
      </c>
      <c r="BZ627" t="s">
        <v>805</v>
      </c>
      <c r="CA627" t="s">
        <v>806</v>
      </c>
    </row>
    <row r="628" spans="1:88">
      <c r="A628" s="40">
        <v>587</v>
      </c>
      <c r="B628" s="40" t="s">
        <v>2586</v>
      </c>
      <c r="C628" s="2" t="s">
        <v>2587</v>
      </c>
      <c r="D628" s="2" t="s">
        <v>17</v>
      </c>
      <c r="E628" s="2" t="s">
        <v>20</v>
      </c>
      <c r="F628" s="2">
        <v>55</v>
      </c>
      <c r="G628" s="2">
        <v>75</v>
      </c>
      <c r="H628" s="2">
        <v>60</v>
      </c>
      <c r="I628" s="2">
        <v>75</v>
      </c>
      <c r="J628" s="2">
        <v>60</v>
      </c>
      <c r="K628" s="2">
        <v>103</v>
      </c>
      <c r="L628" s="2">
        <v>428</v>
      </c>
      <c r="M628" s="2" t="s">
        <v>1103</v>
      </c>
      <c r="N628" s="2" t="s">
        <v>1061</v>
      </c>
      <c r="O628" t="s">
        <v>346</v>
      </c>
      <c r="P628" t="s">
        <v>310</v>
      </c>
      <c r="Q628" t="s">
        <v>266</v>
      </c>
      <c r="R628" t="s">
        <v>1140</v>
      </c>
      <c r="S628" t="s">
        <v>1203</v>
      </c>
      <c r="T628" t="s">
        <v>2385</v>
      </c>
      <c r="U628" t="s">
        <v>773</v>
      </c>
      <c r="V628" t="s">
        <v>230</v>
      </c>
      <c r="W628" t="s">
        <v>1230</v>
      </c>
      <c r="X628" t="s">
        <v>1023</v>
      </c>
      <c r="Y628" t="s">
        <v>1020</v>
      </c>
      <c r="Z628" t="s">
        <v>228</v>
      </c>
      <c r="AA628" t="s">
        <v>779</v>
      </c>
      <c r="AB628" t="s">
        <v>1045</v>
      </c>
      <c r="AC628" t="s">
        <v>306</v>
      </c>
      <c r="AD628" t="s">
        <v>1138</v>
      </c>
      <c r="AE628" t="s">
        <v>1062</v>
      </c>
      <c r="AF628" t="s">
        <v>226</v>
      </c>
      <c r="AG628" t="s">
        <v>1063</v>
      </c>
      <c r="AH628" t="s">
        <v>148</v>
      </c>
      <c r="AI628" t="s">
        <v>172</v>
      </c>
      <c r="AJ628" t="s">
        <v>1126</v>
      </c>
      <c r="AK628" t="s">
        <v>228</v>
      </c>
      <c r="AL628" t="s">
        <v>1078</v>
      </c>
      <c r="AM628" t="s">
        <v>766</v>
      </c>
      <c r="AN628" t="s">
        <v>1119</v>
      </c>
      <c r="AO628" t="s">
        <v>1079</v>
      </c>
      <c r="AP628" t="s">
        <v>146</v>
      </c>
      <c r="AQ628" t="s">
        <v>321</v>
      </c>
      <c r="AR628" t="s">
        <v>1080</v>
      </c>
      <c r="AS628" t="s">
        <v>230</v>
      </c>
      <c r="AT628" t="s">
        <v>1096</v>
      </c>
      <c r="AU628" t="s">
        <v>917</v>
      </c>
      <c r="AV628" t="s">
        <v>231</v>
      </c>
      <c r="AW628" t="s">
        <v>1082</v>
      </c>
      <c r="AX628" t="s">
        <v>1037</v>
      </c>
      <c r="AY628" t="s">
        <v>974</v>
      </c>
      <c r="AZ628" t="s">
        <v>963</v>
      </c>
      <c r="BA628" t="s">
        <v>1020</v>
      </c>
      <c r="BB628" t="s">
        <v>232</v>
      </c>
      <c r="BC628" t="s">
        <v>1045</v>
      </c>
      <c r="BD628" t="s">
        <v>322</v>
      </c>
      <c r="BE628" t="s">
        <v>756</v>
      </c>
      <c r="BF628" t="s">
        <v>757</v>
      </c>
      <c r="BG628" t="s">
        <v>1014</v>
      </c>
      <c r="BH628" t="s">
        <v>233</v>
      </c>
      <c r="BI628" t="s">
        <v>1047</v>
      </c>
      <c r="BJ628" t="s">
        <v>2339</v>
      </c>
      <c r="BK628" t="s">
        <v>234</v>
      </c>
      <c r="BL628" t="s">
        <v>781</v>
      </c>
      <c r="BM628" t="s">
        <v>788</v>
      </c>
      <c r="BN628" t="s">
        <v>761</v>
      </c>
      <c r="BO628" t="s">
        <v>1130</v>
      </c>
      <c r="BP628" t="s">
        <v>950</v>
      </c>
      <c r="BQ628" t="s">
        <v>913</v>
      </c>
      <c r="BR628" t="s">
        <v>1230</v>
      </c>
      <c r="BS628" t="s">
        <v>1119</v>
      </c>
      <c r="BT628" t="s">
        <v>1101</v>
      </c>
      <c r="BU628" t="s">
        <v>2370</v>
      </c>
      <c r="BV628" t="s">
        <v>239</v>
      </c>
      <c r="BW628" t="s">
        <v>241</v>
      </c>
      <c r="BX628" t="s">
        <v>805</v>
      </c>
      <c r="BY628" t="s">
        <v>806</v>
      </c>
    </row>
    <row r="629" spans="1:88">
      <c r="A629" s="40">
        <v>588</v>
      </c>
      <c r="B629" s="40" t="s">
        <v>2588</v>
      </c>
      <c r="C629" s="2" t="s">
        <v>2589</v>
      </c>
      <c r="D629" s="2" t="s">
        <v>14</v>
      </c>
      <c r="E629" s="2"/>
      <c r="F629" s="2">
        <v>50</v>
      </c>
      <c r="G629" s="2">
        <v>75</v>
      </c>
      <c r="H629" s="2">
        <v>45</v>
      </c>
      <c r="I629" s="2">
        <v>40</v>
      </c>
      <c r="J629" s="2">
        <v>45</v>
      </c>
      <c r="K629" s="2">
        <v>60</v>
      </c>
      <c r="L629" s="2">
        <v>315</v>
      </c>
      <c r="M629" s="2" t="s">
        <v>1208</v>
      </c>
      <c r="N629" s="2" t="s">
        <v>1061</v>
      </c>
      <c r="O629" t="s">
        <v>329</v>
      </c>
      <c r="P629" t="s">
        <v>330</v>
      </c>
      <c r="Q629" t="s">
        <v>754</v>
      </c>
      <c r="R629" t="s">
        <v>758</v>
      </c>
      <c r="S629" t="s">
        <v>301</v>
      </c>
      <c r="T629" t="s">
        <v>420</v>
      </c>
      <c r="U629" t="s">
        <v>776</v>
      </c>
      <c r="V629" t="s">
        <v>1115</v>
      </c>
      <c r="W629" t="s">
        <v>253</v>
      </c>
      <c r="X629" t="s">
        <v>223</v>
      </c>
      <c r="Y629" t="s">
        <v>1092</v>
      </c>
      <c r="Z629" t="s">
        <v>1018</v>
      </c>
      <c r="AA629" t="s">
        <v>770</v>
      </c>
      <c r="AB629" t="s">
        <v>145</v>
      </c>
      <c r="AC629" t="s">
        <v>225</v>
      </c>
      <c r="AD629" t="s">
        <v>1062</v>
      </c>
      <c r="AE629" t="s">
        <v>226</v>
      </c>
      <c r="AF629" t="s">
        <v>1063</v>
      </c>
      <c r="AG629" t="s">
        <v>148</v>
      </c>
      <c r="AH629" t="s">
        <v>172</v>
      </c>
      <c r="AI629" t="s">
        <v>1078</v>
      </c>
      <c r="AJ629" t="s">
        <v>766</v>
      </c>
      <c r="AK629" t="s">
        <v>1079</v>
      </c>
      <c r="AL629" t="s">
        <v>1080</v>
      </c>
      <c r="AM629" t="s">
        <v>230</v>
      </c>
      <c r="AN629" t="s">
        <v>1096</v>
      </c>
      <c r="AO629" t="s">
        <v>917</v>
      </c>
      <c r="AP629" t="s">
        <v>231</v>
      </c>
      <c r="AQ629" t="s">
        <v>1082</v>
      </c>
      <c r="AR629" t="s">
        <v>1037</v>
      </c>
      <c r="AS629" t="s">
        <v>970</v>
      </c>
      <c r="AT629" t="s">
        <v>776</v>
      </c>
      <c r="AU629" t="s">
        <v>145</v>
      </c>
      <c r="AV629" t="s">
        <v>1042</v>
      </c>
      <c r="AW629" t="s">
        <v>1018</v>
      </c>
      <c r="AX629" t="s">
        <v>2369</v>
      </c>
      <c r="AY629" t="s">
        <v>997</v>
      </c>
      <c r="AZ629" t="s">
        <v>756</v>
      </c>
      <c r="BA629" t="s">
        <v>757</v>
      </c>
      <c r="BB629" t="s">
        <v>233</v>
      </c>
      <c r="BC629" t="s">
        <v>2339</v>
      </c>
      <c r="BD629" t="s">
        <v>234</v>
      </c>
      <c r="BE629" t="s">
        <v>367</v>
      </c>
      <c r="BF629" t="s">
        <v>259</v>
      </c>
      <c r="BG629" t="s">
        <v>324</v>
      </c>
      <c r="BH629" t="s">
        <v>774</v>
      </c>
      <c r="BI629" t="s">
        <v>797</v>
      </c>
      <c r="BJ629" t="s">
        <v>773</v>
      </c>
      <c r="BK629" t="s">
        <v>928</v>
      </c>
      <c r="BL629" t="s">
        <v>1110</v>
      </c>
      <c r="BM629" t="s">
        <v>239</v>
      </c>
      <c r="BN629" t="s">
        <v>241</v>
      </c>
      <c r="BO629" t="s">
        <v>805</v>
      </c>
      <c r="BP629" t="s">
        <v>806</v>
      </c>
    </row>
    <row r="630" spans="1:88">
      <c r="A630" s="40">
        <v>589</v>
      </c>
      <c r="B630" s="40" t="s">
        <v>2590</v>
      </c>
      <c r="C630" s="2" t="s">
        <v>2591</v>
      </c>
      <c r="D630" s="2" t="s">
        <v>14</v>
      </c>
      <c r="E630" s="2" t="s">
        <v>26</v>
      </c>
      <c r="F630" s="2">
        <v>70</v>
      </c>
      <c r="G630" s="2">
        <v>135</v>
      </c>
      <c r="H630" s="2">
        <v>105</v>
      </c>
      <c r="I630" s="2">
        <v>60</v>
      </c>
      <c r="J630" s="2">
        <v>105</v>
      </c>
      <c r="K630" s="2">
        <v>20</v>
      </c>
      <c r="L630" s="2">
        <v>495</v>
      </c>
      <c r="M630" s="2" t="s">
        <v>1177</v>
      </c>
      <c r="N630" s="2" t="s">
        <v>1061</v>
      </c>
      <c r="O630" t="s">
        <v>303</v>
      </c>
      <c r="P630" t="s">
        <v>330</v>
      </c>
      <c r="Q630" t="s">
        <v>329</v>
      </c>
      <c r="R630" t="s">
        <v>1035</v>
      </c>
      <c r="S630" t="s">
        <v>330</v>
      </c>
      <c r="T630" t="s">
        <v>1035</v>
      </c>
      <c r="U630" t="s">
        <v>303</v>
      </c>
      <c r="V630" t="s">
        <v>301</v>
      </c>
      <c r="W630" t="s">
        <v>420</v>
      </c>
      <c r="X630" t="s">
        <v>776</v>
      </c>
      <c r="Y630" t="s">
        <v>1115</v>
      </c>
      <c r="Z630" t="s">
        <v>253</v>
      </c>
      <c r="AA630" t="s">
        <v>985</v>
      </c>
      <c r="AB630" t="s">
        <v>177</v>
      </c>
      <c r="AC630" t="s">
        <v>1018</v>
      </c>
      <c r="AD630" t="s">
        <v>775</v>
      </c>
      <c r="AE630" t="s">
        <v>145</v>
      </c>
      <c r="AF630" t="s">
        <v>976</v>
      </c>
      <c r="AG630" t="s">
        <v>2355</v>
      </c>
      <c r="AH630" t="s">
        <v>1062</v>
      </c>
      <c r="AI630" t="s">
        <v>226</v>
      </c>
      <c r="AJ630" t="s">
        <v>1063</v>
      </c>
      <c r="AK630" t="s">
        <v>148</v>
      </c>
      <c r="AL630" t="s">
        <v>172</v>
      </c>
      <c r="AM630" t="s">
        <v>247</v>
      </c>
      <c r="AN630" t="s">
        <v>1078</v>
      </c>
      <c r="AO630" t="s">
        <v>766</v>
      </c>
      <c r="AP630" t="s">
        <v>1079</v>
      </c>
      <c r="AQ630" t="s">
        <v>1080</v>
      </c>
      <c r="AR630" t="s">
        <v>230</v>
      </c>
      <c r="AS630" t="s">
        <v>1096</v>
      </c>
      <c r="AT630" t="s">
        <v>917</v>
      </c>
      <c r="AU630" t="s">
        <v>231</v>
      </c>
      <c r="AV630" t="s">
        <v>1082</v>
      </c>
      <c r="AW630" t="s">
        <v>1037</v>
      </c>
      <c r="AX630" t="s">
        <v>1102</v>
      </c>
      <c r="AY630" t="s">
        <v>970</v>
      </c>
      <c r="AZ630" t="s">
        <v>776</v>
      </c>
      <c r="BA630" t="s">
        <v>976</v>
      </c>
      <c r="BB630" t="s">
        <v>145</v>
      </c>
      <c r="BC630" t="s">
        <v>1042</v>
      </c>
      <c r="BD630" t="s">
        <v>1018</v>
      </c>
      <c r="BE630" t="s">
        <v>2369</v>
      </c>
      <c r="BF630" t="s">
        <v>997</v>
      </c>
      <c r="BG630" t="s">
        <v>756</v>
      </c>
      <c r="BH630" t="s">
        <v>757</v>
      </c>
      <c r="BI630" t="s">
        <v>233</v>
      </c>
      <c r="BJ630" t="s">
        <v>760</v>
      </c>
      <c r="BK630" t="s">
        <v>2339</v>
      </c>
      <c r="BL630" t="s">
        <v>234</v>
      </c>
      <c r="BM630" t="s">
        <v>367</v>
      </c>
      <c r="BN630" t="s">
        <v>259</v>
      </c>
      <c r="BO630" t="s">
        <v>324</v>
      </c>
      <c r="BP630" t="s">
        <v>774</v>
      </c>
      <c r="BQ630" t="s">
        <v>797</v>
      </c>
      <c r="BR630" t="s">
        <v>773</v>
      </c>
      <c r="BS630" t="s">
        <v>928</v>
      </c>
      <c r="BT630" t="s">
        <v>1110</v>
      </c>
      <c r="BU630" t="s">
        <v>239</v>
      </c>
      <c r="BV630" t="s">
        <v>241</v>
      </c>
      <c r="BW630" t="s">
        <v>754</v>
      </c>
      <c r="BX630" t="s">
        <v>758</v>
      </c>
      <c r="BY630" t="s">
        <v>223</v>
      </c>
      <c r="BZ630" t="s">
        <v>1092</v>
      </c>
      <c r="CA630" t="s">
        <v>770</v>
      </c>
      <c r="CB630" t="s">
        <v>225</v>
      </c>
      <c r="CC630" t="s">
        <v>805</v>
      </c>
      <c r="CD630" t="s">
        <v>806</v>
      </c>
    </row>
    <row r="631" spans="1:88">
      <c r="A631" s="40">
        <v>590</v>
      </c>
      <c r="B631" s="40" t="s">
        <v>2592</v>
      </c>
      <c r="C631" s="2" t="s">
        <v>2593</v>
      </c>
      <c r="D631" s="2" t="s">
        <v>21</v>
      </c>
      <c r="E631" s="2" t="s">
        <v>11</v>
      </c>
      <c r="F631" s="2">
        <v>69</v>
      </c>
      <c r="G631" s="2">
        <v>55</v>
      </c>
      <c r="H631" s="2">
        <v>45</v>
      </c>
      <c r="I631" s="2">
        <v>55</v>
      </c>
      <c r="J631" s="2">
        <v>55</v>
      </c>
      <c r="K631" s="2">
        <v>15</v>
      </c>
      <c r="L631" s="2">
        <v>294</v>
      </c>
      <c r="M631" s="2" t="s">
        <v>1208</v>
      </c>
      <c r="N631" s="2" t="s">
        <v>1061</v>
      </c>
      <c r="O631" t="s">
        <v>402</v>
      </c>
      <c r="P631" t="s">
        <v>215</v>
      </c>
      <c r="Q631" t="s">
        <v>1130</v>
      </c>
      <c r="R631" t="s">
        <v>347</v>
      </c>
      <c r="S631" t="s">
        <v>403</v>
      </c>
      <c r="T631" t="s">
        <v>1085</v>
      </c>
      <c r="U631" t="s">
        <v>774</v>
      </c>
      <c r="V631" t="s">
        <v>1076</v>
      </c>
      <c r="W631" t="s">
        <v>171</v>
      </c>
      <c r="X631" t="s">
        <v>148</v>
      </c>
      <c r="Y631" t="s">
        <v>750</v>
      </c>
      <c r="Z631" t="s">
        <v>1191</v>
      </c>
      <c r="AA631" t="s">
        <v>229</v>
      </c>
      <c r="AB631" t="s">
        <v>1114</v>
      </c>
      <c r="AC631" t="s">
        <v>410</v>
      </c>
      <c r="AD631" t="s">
        <v>1062</v>
      </c>
      <c r="AE631" t="s">
        <v>1063</v>
      </c>
      <c r="AF631" t="s">
        <v>148</v>
      </c>
      <c r="AG631" t="s">
        <v>1077</v>
      </c>
      <c r="AH631" t="s">
        <v>172</v>
      </c>
      <c r="AI631" t="s">
        <v>752</v>
      </c>
      <c r="AJ631" t="s">
        <v>1078</v>
      </c>
      <c r="AK631" t="s">
        <v>766</v>
      </c>
      <c r="AL631" t="s">
        <v>1079</v>
      </c>
      <c r="AM631" t="s">
        <v>229</v>
      </c>
      <c r="AN631" t="s">
        <v>1080</v>
      </c>
      <c r="AO631" t="s">
        <v>230</v>
      </c>
      <c r="AP631" t="s">
        <v>1081</v>
      </c>
      <c r="AQ631" t="s">
        <v>917</v>
      </c>
      <c r="AR631" t="s">
        <v>231</v>
      </c>
      <c r="AS631" t="s">
        <v>1082</v>
      </c>
      <c r="AT631" t="s">
        <v>1037</v>
      </c>
      <c r="AU631" t="s">
        <v>970</v>
      </c>
      <c r="AV631" t="s">
        <v>995</v>
      </c>
      <c r="AW631" t="s">
        <v>232</v>
      </c>
      <c r="AX631" t="s">
        <v>977</v>
      </c>
      <c r="AY631" t="s">
        <v>756</v>
      </c>
      <c r="AZ631" t="s">
        <v>757</v>
      </c>
      <c r="BA631" t="s">
        <v>233</v>
      </c>
      <c r="BB631" t="s">
        <v>1087</v>
      </c>
      <c r="BC631" t="s">
        <v>2339</v>
      </c>
      <c r="BD631" t="s">
        <v>234</v>
      </c>
      <c r="BE631" t="s">
        <v>364</v>
      </c>
      <c r="BF631" t="s">
        <v>215</v>
      </c>
      <c r="BG631" t="s">
        <v>221</v>
      </c>
      <c r="BH631" t="s">
        <v>288</v>
      </c>
      <c r="BI631" t="s">
        <v>353</v>
      </c>
      <c r="BJ631" t="s">
        <v>754</v>
      </c>
      <c r="BK631" t="s">
        <v>768</v>
      </c>
      <c r="BL631" t="s">
        <v>975</v>
      </c>
      <c r="BM631" t="s">
        <v>239</v>
      </c>
      <c r="BN631" t="s">
        <v>241</v>
      </c>
      <c r="BO631" t="s">
        <v>805</v>
      </c>
      <c r="BP631" t="s">
        <v>806</v>
      </c>
    </row>
    <row r="632" spans="1:88">
      <c r="A632" s="40">
        <v>591</v>
      </c>
      <c r="B632" s="40" t="s">
        <v>2594</v>
      </c>
      <c r="C632" s="2" t="s">
        <v>2595</v>
      </c>
      <c r="D632" s="2" t="s">
        <v>21</v>
      </c>
      <c r="E632" s="2" t="s">
        <v>11</v>
      </c>
      <c r="F632" s="2">
        <v>114</v>
      </c>
      <c r="G632" s="2">
        <v>85</v>
      </c>
      <c r="H632" s="2">
        <v>70</v>
      </c>
      <c r="I632" s="2">
        <v>85</v>
      </c>
      <c r="J632" s="2">
        <v>80</v>
      </c>
      <c r="K632" s="2">
        <v>30</v>
      </c>
      <c r="L632" s="2">
        <v>464</v>
      </c>
      <c r="M632" s="2" t="s">
        <v>1112</v>
      </c>
      <c r="N632" s="2" t="s">
        <v>1061</v>
      </c>
      <c r="O632" t="s">
        <v>402</v>
      </c>
      <c r="P632" t="s">
        <v>215</v>
      </c>
      <c r="Q632" t="s">
        <v>347</v>
      </c>
      <c r="R632" t="s">
        <v>1130</v>
      </c>
      <c r="S632" t="s">
        <v>215</v>
      </c>
      <c r="T632" t="s">
        <v>1130</v>
      </c>
      <c r="U632" t="s">
        <v>347</v>
      </c>
      <c r="V632" t="s">
        <v>403</v>
      </c>
      <c r="W632" t="s">
        <v>1085</v>
      </c>
      <c r="X632" t="s">
        <v>774</v>
      </c>
      <c r="Y632" t="s">
        <v>1076</v>
      </c>
      <c r="Z632" t="s">
        <v>171</v>
      </c>
      <c r="AA632" t="s">
        <v>148</v>
      </c>
      <c r="AB632" t="s">
        <v>750</v>
      </c>
      <c r="AC632" t="s">
        <v>1191</v>
      </c>
      <c r="AD632" t="s">
        <v>229</v>
      </c>
      <c r="AE632" t="s">
        <v>1114</v>
      </c>
      <c r="AF632" t="s">
        <v>410</v>
      </c>
      <c r="AG632" t="s">
        <v>1062</v>
      </c>
      <c r="AH632" t="s">
        <v>1063</v>
      </c>
      <c r="AI632" t="s">
        <v>148</v>
      </c>
      <c r="AJ632" t="s">
        <v>1077</v>
      </c>
      <c r="AK632" t="s">
        <v>172</v>
      </c>
      <c r="AL632" t="s">
        <v>752</v>
      </c>
      <c r="AM632" t="s">
        <v>247</v>
      </c>
      <c r="AN632" t="s">
        <v>1078</v>
      </c>
      <c r="AO632" t="s">
        <v>766</v>
      </c>
      <c r="AP632" t="s">
        <v>1079</v>
      </c>
      <c r="AQ632" t="s">
        <v>229</v>
      </c>
      <c r="AR632" t="s">
        <v>1080</v>
      </c>
      <c r="AS632" t="s">
        <v>230</v>
      </c>
      <c r="AT632" t="s">
        <v>1081</v>
      </c>
      <c r="AU632" t="s">
        <v>917</v>
      </c>
      <c r="AV632" t="s">
        <v>231</v>
      </c>
      <c r="AW632" t="s">
        <v>1082</v>
      </c>
      <c r="AX632" t="s">
        <v>1037</v>
      </c>
      <c r="AY632" t="s">
        <v>970</v>
      </c>
      <c r="AZ632" t="s">
        <v>995</v>
      </c>
      <c r="BA632" t="s">
        <v>976</v>
      </c>
      <c r="BB632" t="s">
        <v>232</v>
      </c>
      <c r="BC632" t="s">
        <v>977</v>
      </c>
      <c r="BD632" t="s">
        <v>756</v>
      </c>
      <c r="BE632" t="s">
        <v>757</v>
      </c>
      <c r="BF632" t="s">
        <v>233</v>
      </c>
      <c r="BG632" t="s">
        <v>1087</v>
      </c>
      <c r="BH632" t="s">
        <v>2339</v>
      </c>
      <c r="BI632" t="s">
        <v>234</v>
      </c>
      <c r="BJ632" t="s">
        <v>364</v>
      </c>
      <c r="BK632" t="s">
        <v>215</v>
      </c>
      <c r="BL632" t="s">
        <v>221</v>
      </c>
      <c r="BM632" t="s">
        <v>288</v>
      </c>
      <c r="BN632" t="s">
        <v>353</v>
      </c>
      <c r="BO632" t="s">
        <v>754</v>
      </c>
      <c r="BP632" t="s">
        <v>768</v>
      </c>
      <c r="BQ632" t="s">
        <v>975</v>
      </c>
      <c r="BR632" t="s">
        <v>239</v>
      </c>
      <c r="BS632" t="s">
        <v>241</v>
      </c>
      <c r="BT632" t="s">
        <v>805</v>
      </c>
      <c r="BU632" t="s">
        <v>806</v>
      </c>
    </row>
    <row r="633" spans="1:88">
      <c r="A633" s="40">
        <v>592</v>
      </c>
      <c r="B633" s="40" t="s">
        <v>2596</v>
      </c>
      <c r="C633" s="2" t="s">
        <v>2597</v>
      </c>
      <c r="D633" s="2" t="s">
        <v>27</v>
      </c>
      <c r="E633" s="2" t="s">
        <v>10</v>
      </c>
      <c r="F633" s="2">
        <v>55</v>
      </c>
      <c r="G633" s="2">
        <v>40</v>
      </c>
      <c r="H633" s="2">
        <v>50</v>
      </c>
      <c r="I633" s="2">
        <v>65</v>
      </c>
      <c r="J633" s="2">
        <v>85</v>
      </c>
      <c r="K633" s="2">
        <v>40</v>
      </c>
      <c r="L633" s="2">
        <v>335</v>
      </c>
      <c r="M633" s="2" t="s">
        <v>1112</v>
      </c>
      <c r="N633" s="2" t="s">
        <v>1061</v>
      </c>
      <c r="O633" t="s">
        <v>267</v>
      </c>
      <c r="P633" t="s">
        <v>955</v>
      </c>
      <c r="Q633" t="s">
        <v>402</v>
      </c>
      <c r="R633" t="s">
        <v>528</v>
      </c>
      <c r="S633" t="s">
        <v>446</v>
      </c>
      <c r="T633" t="s">
        <v>459</v>
      </c>
      <c r="U633" t="s">
        <v>954</v>
      </c>
      <c r="V633" t="s">
        <v>994</v>
      </c>
      <c r="W633" t="s">
        <v>961</v>
      </c>
      <c r="X633" t="s">
        <v>766</v>
      </c>
      <c r="Y633" t="s">
        <v>1029</v>
      </c>
      <c r="Z633" t="s">
        <v>140</v>
      </c>
      <c r="AA633" t="s">
        <v>1189</v>
      </c>
      <c r="AB633" t="s">
        <v>1107</v>
      </c>
      <c r="AC633" t="s">
        <v>1062</v>
      </c>
      <c r="AD633" t="s">
        <v>144</v>
      </c>
      <c r="AE633" t="s">
        <v>270</v>
      </c>
      <c r="AF633" t="s">
        <v>914</v>
      </c>
      <c r="AG633" t="s">
        <v>1063</v>
      </c>
      <c r="AH633" t="s">
        <v>148</v>
      </c>
      <c r="AI633" t="s">
        <v>1104</v>
      </c>
      <c r="AJ633" t="s">
        <v>172</v>
      </c>
      <c r="AK633" t="s">
        <v>1126</v>
      </c>
      <c r="AL633" t="s">
        <v>141</v>
      </c>
      <c r="AM633" t="s">
        <v>271</v>
      </c>
      <c r="AN633" t="s">
        <v>1078</v>
      </c>
      <c r="AO633" t="s">
        <v>766</v>
      </c>
      <c r="AP633" t="s">
        <v>759</v>
      </c>
      <c r="AQ633" t="s">
        <v>1079</v>
      </c>
      <c r="AR633" t="s">
        <v>1080</v>
      </c>
      <c r="AS633" t="s">
        <v>9</v>
      </c>
      <c r="AT633" t="s">
        <v>174</v>
      </c>
      <c r="AU633" t="s">
        <v>230</v>
      </c>
      <c r="AV633" t="s">
        <v>186</v>
      </c>
      <c r="AW633" t="s">
        <v>1081</v>
      </c>
      <c r="AX633" t="s">
        <v>917</v>
      </c>
      <c r="AY633" t="s">
        <v>231</v>
      </c>
      <c r="AZ633" t="s">
        <v>1082</v>
      </c>
      <c r="BA633" t="s">
        <v>1037</v>
      </c>
      <c r="BB633" t="s">
        <v>970</v>
      </c>
      <c r="BC633" t="s">
        <v>1038</v>
      </c>
      <c r="BD633" t="s">
        <v>956</v>
      </c>
      <c r="BE633" t="s">
        <v>232</v>
      </c>
      <c r="BF633" t="s">
        <v>785</v>
      </c>
      <c r="BG633" t="s">
        <v>293</v>
      </c>
      <c r="BH633" t="s">
        <v>756</v>
      </c>
      <c r="BI633" t="s">
        <v>233</v>
      </c>
      <c r="BJ633" t="s">
        <v>1012</v>
      </c>
      <c r="BK633" t="s">
        <v>234</v>
      </c>
      <c r="BL633" t="s">
        <v>273</v>
      </c>
      <c r="BM633" t="s">
        <v>459</v>
      </c>
      <c r="BN633" t="s">
        <v>387</v>
      </c>
      <c r="BO633" t="s">
        <v>477</v>
      </c>
      <c r="BP633" t="s">
        <v>517</v>
      </c>
      <c r="BQ633" t="s">
        <v>794</v>
      </c>
      <c r="BR633" t="s">
        <v>239</v>
      </c>
      <c r="BS633" t="s">
        <v>241</v>
      </c>
      <c r="BT633" t="s">
        <v>805</v>
      </c>
      <c r="BU633" t="s">
        <v>806</v>
      </c>
    </row>
    <row r="634" spans="1:88">
      <c r="A634" s="40">
        <v>593</v>
      </c>
      <c r="B634" s="40" t="s">
        <v>2598</v>
      </c>
      <c r="C634" s="2" t="s">
        <v>2599</v>
      </c>
      <c r="D634" s="2" t="s">
        <v>27</v>
      </c>
      <c r="E634" s="2" t="s">
        <v>10</v>
      </c>
      <c r="F634" s="2">
        <v>100</v>
      </c>
      <c r="G634" s="2">
        <v>60</v>
      </c>
      <c r="H634" s="2">
        <v>70</v>
      </c>
      <c r="I634" s="2">
        <v>85</v>
      </c>
      <c r="J634" s="2">
        <v>105</v>
      </c>
      <c r="K634" s="2">
        <v>60</v>
      </c>
      <c r="L634" s="2">
        <v>480</v>
      </c>
      <c r="M634" s="2" t="s">
        <v>1103</v>
      </c>
      <c r="N634" s="2" t="s">
        <v>1061</v>
      </c>
      <c r="O634" t="s">
        <v>402</v>
      </c>
      <c r="P634" t="s">
        <v>528</v>
      </c>
      <c r="Q634" t="s">
        <v>267</v>
      </c>
      <c r="R634" t="s">
        <v>955</v>
      </c>
      <c r="S634" t="s">
        <v>402</v>
      </c>
      <c r="T634" t="s">
        <v>528</v>
      </c>
      <c r="U634" t="s">
        <v>446</v>
      </c>
      <c r="V634" t="s">
        <v>459</v>
      </c>
      <c r="W634" t="s">
        <v>954</v>
      </c>
      <c r="X634" t="s">
        <v>994</v>
      </c>
      <c r="Y634" t="s">
        <v>961</v>
      </c>
      <c r="Z634" t="s">
        <v>766</v>
      </c>
      <c r="AA634" t="s">
        <v>1029</v>
      </c>
      <c r="AB634" t="s">
        <v>140</v>
      </c>
      <c r="AC634" t="s">
        <v>1189</v>
      </c>
      <c r="AD634" t="s">
        <v>1107</v>
      </c>
      <c r="AE634" t="s">
        <v>1062</v>
      </c>
      <c r="AF634" t="s">
        <v>144</v>
      </c>
      <c r="AG634" t="s">
        <v>270</v>
      </c>
      <c r="AH634" t="s">
        <v>914</v>
      </c>
      <c r="AI634" t="s">
        <v>1063</v>
      </c>
      <c r="AJ634" t="s">
        <v>148</v>
      </c>
      <c r="AK634" t="s">
        <v>1104</v>
      </c>
      <c r="AL634" t="s">
        <v>172</v>
      </c>
      <c r="AM634" t="s">
        <v>1126</v>
      </c>
      <c r="AN634" t="s">
        <v>141</v>
      </c>
      <c r="AO634" t="s">
        <v>271</v>
      </c>
      <c r="AP634" t="s">
        <v>247</v>
      </c>
      <c r="AQ634" t="s">
        <v>1078</v>
      </c>
      <c r="AR634" t="s">
        <v>766</v>
      </c>
      <c r="AS634" t="s">
        <v>759</v>
      </c>
      <c r="AT634" t="s">
        <v>1079</v>
      </c>
      <c r="AU634" t="s">
        <v>1080</v>
      </c>
      <c r="AV634" t="s">
        <v>9</v>
      </c>
      <c r="AW634" t="s">
        <v>174</v>
      </c>
      <c r="AX634" t="s">
        <v>230</v>
      </c>
      <c r="AY634" t="s">
        <v>186</v>
      </c>
      <c r="AZ634" t="s">
        <v>1081</v>
      </c>
      <c r="BA634" t="s">
        <v>917</v>
      </c>
      <c r="BB634" t="s">
        <v>231</v>
      </c>
      <c r="BC634" t="s">
        <v>1082</v>
      </c>
      <c r="BD634" t="s">
        <v>1037</v>
      </c>
      <c r="BE634" t="s">
        <v>970</v>
      </c>
      <c r="BF634" t="s">
        <v>1038</v>
      </c>
      <c r="BG634" t="s">
        <v>956</v>
      </c>
      <c r="BH634" t="s">
        <v>976</v>
      </c>
      <c r="BI634" t="s">
        <v>232</v>
      </c>
      <c r="BJ634" t="s">
        <v>785</v>
      </c>
      <c r="BK634" t="s">
        <v>293</v>
      </c>
      <c r="BL634" t="s">
        <v>756</v>
      </c>
      <c r="BM634" t="s">
        <v>233</v>
      </c>
      <c r="BN634" t="s">
        <v>1012</v>
      </c>
      <c r="BO634" t="s">
        <v>234</v>
      </c>
      <c r="BP634" t="s">
        <v>273</v>
      </c>
      <c r="BQ634" t="s">
        <v>459</v>
      </c>
      <c r="BR634" t="s">
        <v>387</v>
      </c>
      <c r="BS634" t="s">
        <v>477</v>
      </c>
      <c r="BT634" t="s">
        <v>517</v>
      </c>
      <c r="BU634" t="s">
        <v>794</v>
      </c>
      <c r="BV634" t="s">
        <v>239</v>
      </c>
      <c r="BW634" t="s">
        <v>241</v>
      </c>
      <c r="BX634" t="s">
        <v>805</v>
      </c>
      <c r="BY634" t="s">
        <v>806</v>
      </c>
    </row>
    <row r="635" spans="1:88">
      <c r="A635" s="40">
        <v>594</v>
      </c>
      <c r="B635" s="40" t="s">
        <v>2600</v>
      </c>
      <c r="C635" s="2" t="s">
        <v>2601</v>
      </c>
      <c r="D635" s="2" t="s">
        <v>27</v>
      </c>
      <c r="E635" s="2"/>
      <c r="F635" s="2">
        <v>165</v>
      </c>
      <c r="G635" s="2">
        <v>75</v>
      </c>
      <c r="H635" s="2">
        <v>80</v>
      </c>
      <c r="I635" s="2">
        <v>40</v>
      </c>
      <c r="J635" s="2">
        <v>45</v>
      </c>
      <c r="K635" s="2">
        <v>65</v>
      </c>
      <c r="L635" s="2">
        <v>470</v>
      </c>
      <c r="M635" s="2" t="s">
        <v>1188</v>
      </c>
      <c r="N635" s="2" t="s">
        <v>1061</v>
      </c>
      <c r="O635" t="s">
        <v>376</v>
      </c>
      <c r="P635" t="s">
        <v>955</v>
      </c>
      <c r="Q635" t="s">
        <v>178</v>
      </c>
      <c r="R635" t="s">
        <v>959</v>
      </c>
      <c r="S635" t="s">
        <v>348</v>
      </c>
      <c r="T635" t="s">
        <v>1200</v>
      </c>
      <c r="U635" t="s">
        <v>1078</v>
      </c>
      <c r="V635" t="s">
        <v>954</v>
      </c>
      <c r="W635" t="s">
        <v>1016</v>
      </c>
      <c r="X635" t="s">
        <v>1170</v>
      </c>
      <c r="Y635" t="s">
        <v>957</v>
      </c>
      <c r="Z635" t="s">
        <v>961</v>
      </c>
      <c r="AA635" t="s">
        <v>759</v>
      </c>
      <c r="AB635" t="s">
        <v>925</v>
      </c>
      <c r="AC635" t="s">
        <v>1187</v>
      </c>
      <c r="AD635" t="s">
        <v>982</v>
      </c>
      <c r="AE635" t="s">
        <v>140</v>
      </c>
      <c r="AF635" t="s">
        <v>1062</v>
      </c>
      <c r="AG635" t="s">
        <v>144</v>
      </c>
      <c r="AH635" t="s">
        <v>270</v>
      </c>
      <c r="AI635" t="s">
        <v>914</v>
      </c>
      <c r="AJ635" t="s">
        <v>1063</v>
      </c>
      <c r="AK635" t="s">
        <v>912</v>
      </c>
      <c r="AL635" t="s">
        <v>148</v>
      </c>
      <c r="AM635" t="s">
        <v>1104</v>
      </c>
      <c r="AN635" t="s">
        <v>172</v>
      </c>
      <c r="AO635" t="s">
        <v>141</v>
      </c>
      <c r="AP635" t="s">
        <v>271</v>
      </c>
      <c r="AQ635" t="s">
        <v>228</v>
      </c>
      <c r="AR635" t="s">
        <v>1078</v>
      </c>
      <c r="AS635" t="s">
        <v>766</v>
      </c>
      <c r="AT635" t="s">
        <v>759</v>
      </c>
      <c r="AU635" t="s">
        <v>1079</v>
      </c>
      <c r="AV635" t="s">
        <v>1080</v>
      </c>
      <c r="AW635" t="s">
        <v>9</v>
      </c>
      <c r="AX635" t="s">
        <v>174</v>
      </c>
      <c r="AY635" t="s">
        <v>230</v>
      </c>
      <c r="AZ635" t="s">
        <v>917</v>
      </c>
      <c r="BA635" t="s">
        <v>231</v>
      </c>
      <c r="BB635" t="s">
        <v>1082</v>
      </c>
      <c r="BC635" t="s">
        <v>1037</v>
      </c>
      <c r="BD635" t="s">
        <v>1038</v>
      </c>
      <c r="BE635" t="s">
        <v>785</v>
      </c>
      <c r="BF635" t="s">
        <v>756</v>
      </c>
      <c r="BG635" t="s">
        <v>757</v>
      </c>
      <c r="BH635" t="s">
        <v>233</v>
      </c>
      <c r="BI635" t="s">
        <v>2339</v>
      </c>
      <c r="BJ635" t="s">
        <v>234</v>
      </c>
      <c r="BK635" t="s">
        <v>273</v>
      </c>
      <c r="BL635" t="s">
        <v>754</v>
      </c>
      <c r="BM635" t="s">
        <v>794</v>
      </c>
      <c r="BN635" t="s">
        <v>772</v>
      </c>
      <c r="BO635" t="s">
        <v>1106</v>
      </c>
      <c r="BP635" t="s">
        <v>950</v>
      </c>
      <c r="BQ635" t="s">
        <v>239</v>
      </c>
      <c r="BR635" t="s">
        <v>241</v>
      </c>
      <c r="BS635" t="s">
        <v>805</v>
      </c>
      <c r="BT635" t="s">
        <v>806</v>
      </c>
    </row>
    <row r="636" spans="1:88">
      <c r="A636" s="40">
        <v>595</v>
      </c>
      <c r="B636" s="40" t="s">
        <v>2602</v>
      </c>
      <c r="C636" s="2" t="s">
        <v>2603</v>
      </c>
      <c r="D636" s="2" t="s">
        <v>14</v>
      </c>
      <c r="E636" s="2" t="s">
        <v>17</v>
      </c>
      <c r="F636" s="2">
        <v>50</v>
      </c>
      <c r="G636" s="2">
        <v>47</v>
      </c>
      <c r="H636" s="2">
        <v>50</v>
      </c>
      <c r="I636" s="2">
        <v>57</v>
      </c>
      <c r="J636" s="2">
        <v>50</v>
      </c>
      <c r="K636" s="2">
        <v>65</v>
      </c>
      <c r="L636" s="2">
        <v>319</v>
      </c>
      <c r="M636" s="2" t="s">
        <v>1065</v>
      </c>
      <c r="N636" s="2" t="s">
        <v>1061</v>
      </c>
      <c r="O636" t="s">
        <v>281</v>
      </c>
      <c r="P636" t="s">
        <v>397</v>
      </c>
      <c r="Q636" t="s">
        <v>1271</v>
      </c>
      <c r="R636" t="s">
        <v>322</v>
      </c>
      <c r="S636" t="s">
        <v>324</v>
      </c>
      <c r="T636" t="s">
        <v>758</v>
      </c>
      <c r="U636" t="s">
        <v>1272</v>
      </c>
      <c r="V636" t="s">
        <v>1110</v>
      </c>
      <c r="W636" t="s">
        <v>975</v>
      </c>
      <c r="X636" t="s">
        <v>253</v>
      </c>
      <c r="Y636" t="s">
        <v>1023</v>
      </c>
      <c r="Z636" t="s">
        <v>216</v>
      </c>
      <c r="AA636" t="s">
        <v>306</v>
      </c>
      <c r="AB636" t="s">
        <v>1008</v>
      </c>
      <c r="AC636" t="s">
        <v>1138</v>
      </c>
      <c r="AD636" t="s">
        <v>1115</v>
      </c>
      <c r="AE636" t="s">
        <v>1062</v>
      </c>
      <c r="AF636" t="s">
        <v>226</v>
      </c>
      <c r="AG636" t="s">
        <v>1063</v>
      </c>
      <c r="AH636" t="s">
        <v>148</v>
      </c>
      <c r="AI636" t="s">
        <v>172</v>
      </c>
      <c r="AJ636" t="s">
        <v>228</v>
      </c>
      <c r="AK636" t="s">
        <v>1078</v>
      </c>
      <c r="AL636" t="s">
        <v>766</v>
      </c>
      <c r="AM636" t="s">
        <v>1079</v>
      </c>
      <c r="AN636" t="s">
        <v>146</v>
      </c>
      <c r="AO636" t="s">
        <v>1080</v>
      </c>
      <c r="AP636" t="s">
        <v>230</v>
      </c>
      <c r="AQ636" t="s">
        <v>917</v>
      </c>
      <c r="AR636" t="s">
        <v>231</v>
      </c>
      <c r="AS636" t="s">
        <v>1082</v>
      </c>
      <c r="AT636" t="s">
        <v>1117</v>
      </c>
      <c r="AU636" t="s">
        <v>1037</v>
      </c>
      <c r="AV636" t="s">
        <v>970</v>
      </c>
      <c r="AW636" t="s">
        <v>963</v>
      </c>
      <c r="AX636" t="s">
        <v>232</v>
      </c>
      <c r="AY636" t="s">
        <v>1045</v>
      </c>
      <c r="AZ636" t="s">
        <v>322</v>
      </c>
      <c r="BA636" t="s">
        <v>1042</v>
      </c>
      <c r="BB636" t="s">
        <v>1018</v>
      </c>
      <c r="BC636" t="s">
        <v>997</v>
      </c>
      <c r="BD636" t="s">
        <v>756</v>
      </c>
      <c r="BE636" t="s">
        <v>233</v>
      </c>
      <c r="BF636" t="s">
        <v>1047</v>
      </c>
      <c r="BG636" t="s">
        <v>234</v>
      </c>
      <c r="BH636" t="s">
        <v>1226</v>
      </c>
      <c r="BI636" t="s">
        <v>239</v>
      </c>
      <c r="BJ636" t="s">
        <v>241</v>
      </c>
      <c r="BK636" t="s">
        <v>805</v>
      </c>
      <c r="BL636" t="s">
        <v>806</v>
      </c>
    </row>
    <row r="637" spans="1:88">
      <c r="A637" s="40">
        <v>596</v>
      </c>
      <c r="B637" s="40" t="s">
        <v>2604</v>
      </c>
      <c r="C637" s="2" t="s">
        <v>2605</v>
      </c>
      <c r="D637" s="2" t="s">
        <v>14</v>
      </c>
      <c r="E637" s="2" t="s">
        <v>17</v>
      </c>
      <c r="F637" s="2">
        <v>70</v>
      </c>
      <c r="G637" s="2">
        <v>77</v>
      </c>
      <c r="H637" s="2">
        <v>60</v>
      </c>
      <c r="I637" s="2">
        <v>97</v>
      </c>
      <c r="J637" s="2">
        <v>60</v>
      </c>
      <c r="K637" s="2">
        <v>108</v>
      </c>
      <c r="L637" s="2">
        <v>472</v>
      </c>
      <c r="M637" s="2" t="s">
        <v>1208</v>
      </c>
      <c r="N637" s="2" t="s">
        <v>1061</v>
      </c>
      <c r="O637" t="s">
        <v>281</v>
      </c>
      <c r="P637" t="s">
        <v>322</v>
      </c>
      <c r="Q637" t="s">
        <v>397</v>
      </c>
      <c r="R637" t="s">
        <v>1271</v>
      </c>
      <c r="S637" t="s">
        <v>322</v>
      </c>
      <c r="T637" t="s">
        <v>324</v>
      </c>
      <c r="U637" t="s">
        <v>758</v>
      </c>
      <c r="V637" t="s">
        <v>1272</v>
      </c>
      <c r="W637" t="s">
        <v>1110</v>
      </c>
      <c r="X637" t="s">
        <v>975</v>
      </c>
      <c r="Y637" t="s">
        <v>253</v>
      </c>
      <c r="Z637" t="s">
        <v>1023</v>
      </c>
      <c r="AA637" t="s">
        <v>216</v>
      </c>
      <c r="AB637" t="s">
        <v>306</v>
      </c>
      <c r="AC637" t="s">
        <v>1008</v>
      </c>
      <c r="AD637" t="s">
        <v>1138</v>
      </c>
      <c r="AE637" t="s">
        <v>1115</v>
      </c>
      <c r="AF637" t="s">
        <v>1062</v>
      </c>
      <c r="AG637" t="s">
        <v>226</v>
      </c>
      <c r="AH637" t="s">
        <v>1063</v>
      </c>
      <c r="AI637" t="s">
        <v>148</v>
      </c>
      <c r="AJ637" t="s">
        <v>172</v>
      </c>
      <c r="AK637" t="s">
        <v>247</v>
      </c>
      <c r="AL637" t="s">
        <v>228</v>
      </c>
      <c r="AM637" t="s">
        <v>1078</v>
      </c>
      <c r="AN637" t="s">
        <v>766</v>
      </c>
      <c r="AO637" t="s">
        <v>1079</v>
      </c>
      <c r="AP637" t="s">
        <v>146</v>
      </c>
      <c r="AQ637" t="s">
        <v>321</v>
      </c>
      <c r="AR637" t="s">
        <v>1080</v>
      </c>
      <c r="AS637" t="s">
        <v>230</v>
      </c>
      <c r="AT637" t="s">
        <v>917</v>
      </c>
      <c r="AU637" t="s">
        <v>231</v>
      </c>
      <c r="AV637" t="s">
        <v>1082</v>
      </c>
      <c r="AW637" t="s">
        <v>1117</v>
      </c>
      <c r="AX637" t="s">
        <v>1037</v>
      </c>
      <c r="AY637" t="s">
        <v>970</v>
      </c>
      <c r="AZ637" t="s">
        <v>963</v>
      </c>
      <c r="BA637" t="s">
        <v>976</v>
      </c>
      <c r="BB637" t="s">
        <v>232</v>
      </c>
      <c r="BC637" t="s">
        <v>1045</v>
      </c>
      <c r="BD637" t="s">
        <v>322</v>
      </c>
      <c r="BE637" t="s">
        <v>1042</v>
      </c>
      <c r="BF637" t="s">
        <v>1018</v>
      </c>
      <c r="BG637" t="s">
        <v>997</v>
      </c>
      <c r="BH637" t="s">
        <v>756</v>
      </c>
      <c r="BI637" t="s">
        <v>233</v>
      </c>
      <c r="BJ637" t="s">
        <v>1047</v>
      </c>
      <c r="BK637" t="s">
        <v>234</v>
      </c>
      <c r="BL637" t="s">
        <v>1226</v>
      </c>
      <c r="BM637" t="s">
        <v>239</v>
      </c>
      <c r="BN637" t="s">
        <v>241</v>
      </c>
      <c r="BO637" t="s">
        <v>805</v>
      </c>
      <c r="BP637" t="s">
        <v>806</v>
      </c>
    </row>
    <row r="638" spans="1:88">
      <c r="A638" s="40">
        <v>597</v>
      </c>
      <c r="B638" s="40" t="s">
        <v>2606</v>
      </c>
      <c r="C638" s="2" t="s">
        <v>2607</v>
      </c>
      <c r="D638" s="2" t="s">
        <v>21</v>
      </c>
      <c r="E638" s="2" t="s">
        <v>26</v>
      </c>
      <c r="F638" s="2">
        <v>44</v>
      </c>
      <c r="G638" s="2">
        <v>50</v>
      </c>
      <c r="H638" s="2">
        <v>91</v>
      </c>
      <c r="I638" s="2">
        <v>24</v>
      </c>
      <c r="J638" s="2">
        <v>86</v>
      </c>
      <c r="K638" s="2">
        <v>10</v>
      </c>
      <c r="L638" s="2">
        <v>305</v>
      </c>
      <c r="M638" s="2" t="s">
        <v>1112</v>
      </c>
      <c r="N638" s="2" t="s">
        <v>1061</v>
      </c>
      <c r="O638" t="s">
        <v>219</v>
      </c>
      <c r="P638" t="s">
        <v>284</v>
      </c>
      <c r="Q638" t="s">
        <v>768</v>
      </c>
      <c r="R638" t="s">
        <v>751</v>
      </c>
      <c r="S638" t="s">
        <v>783</v>
      </c>
      <c r="T638" t="s">
        <v>305</v>
      </c>
      <c r="U638" t="s">
        <v>980</v>
      </c>
      <c r="V638" t="s">
        <v>177</v>
      </c>
      <c r="W638" t="s">
        <v>1206</v>
      </c>
      <c r="X638" t="s">
        <v>1085</v>
      </c>
      <c r="Y638" t="s">
        <v>484</v>
      </c>
      <c r="Z638" t="s">
        <v>985</v>
      </c>
      <c r="AA638" t="s">
        <v>995</v>
      </c>
      <c r="AB638" t="s">
        <v>973</v>
      </c>
      <c r="AC638" t="s">
        <v>485</v>
      </c>
      <c r="AD638" t="s">
        <v>1062</v>
      </c>
      <c r="AE638" t="s">
        <v>1063</v>
      </c>
      <c r="AF638" t="s">
        <v>1030</v>
      </c>
      <c r="AG638" t="s">
        <v>148</v>
      </c>
      <c r="AH638" t="s">
        <v>172</v>
      </c>
      <c r="AI638" t="s">
        <v>752</v>
      </c>
      <c r="AJ638" t="s">
        <v>1078</v>
      </c>
      <c r="AK638" t="s">
        <v>1079</v>
      </c>
      <c r="AL638" t="s">
        <v>229</v>
      </c>
      <c r="AM638" t="s">
        <v>146</v>
      </c>
      <c r="AN638" t="s">
        <v>1080</v>
      </c>
      <c r="AO638" t="s">
        <v>230</v>
      </c>
      <c r="AP638" t="s">
        <v>917</v>
      </c>
      <c r="AQ638" t="s">
        <v>231</v>
      </c>
      <c r="AR638" t="s">
        <v>1037</v>
      </c>
      <c r="AS638" t="s">
        <v>970</v>
      </c>
      <c r="AT638" t="s">
        <v>485</v>
      </c>
      <c r="AU638" t="s">
        <v>995</v>
      </c>
      <c r="AV638" t="s">
        <v>1003</v>
      </c>
      <c r="AW638" t="s">
        <v>232</v>
      </c>
      <c r="AX638" t="s">
        <v>322</v>
      </c>
      <c r="AY638" t="s">
        <v>980</v>
      </c>
      <c r="AZ638" t="s">
        <v>997</v>
      </c>
      <c r="BA638" t="s">
        <v>756</v>
      </c>
      <c r="BB638" t="s">
        <v>757</v>
      </c>
      <c r="BC638" t="s">
        <v>233</v>
      </c>
      <c r="BD638" t="s">
        <v>973</v>
      </c>
      <c r="BE638" t="s">
        <v>760</v>
      </c>
      <c r="BF638" t="s">
        <v>1087</v>
      </c>
      <c r="BG638" t="s">
        <v>2339</v>
      </c>
      <c r="BH638" t="s">
        <v>234</v>
      </c>
      <c r="BI638" t="s">
        <v>142</v>
      </c>
      <c r="BJ638" t="s">
        <v>1215</v>
      </c>
      <c r="BK638" t="s">
        <v>1190</v>
      </c>
      <c r="BL638" t="s">
        <v>978</v>
      </c>
      <c r="BM638" t="s">
        <v>1017</v>
      </c>
      <c r="BN638" t="s">
        <v>1004</v>
      </c>
      <c r="BO638" t="s">
        <v>1002</v>
      </c>
      <c r="BP638" t="s">
        <v>1007</v>
      </c>
      <c r="BQ638" t="s">
        <v>1134</v>
      </c>
      <c r="BR638" t="s">
        <v>239</v>
      </c>
      <c r="BS638" t="s">
        <v>241</v>
      </c>
      <c r="BT638" t="s">
        <v>805</v>
      </c>
      <c r="BU638" t="s">
        <v>806</v>
      </c>
    </row>
    <row r="639" spans="1:88">
      <c r="A639" s="40">
        <v>598</v>
      </c>
      <c r="B639" s="40" t="s">
        <v>2608</v>
      </c>
      <c r="C639" s="2" t="s">
        <v>2609</v>
      </c>
      <c r="D639" s="2" t="s">
        <v>21</v>
      </c>
      <c r="E639" s="2" t="s">
        <v>26</v>
      </c>
      <c r="F639" s="2">
        <v>74</v>
      </c>
      <c r="G639" s="2">
        <v>94</v>
      </c>
      <c r="H639" s="2">
        <v>131</v>
      </c>
      <c r="I639" s="2">
        <v>54</v>
      </c>
      <c r="J639" s="2">
        <v>116</v>
      </c>
      <c r="K639" s="2">
        <v>20</v>
      </c>
      <c r="L639" s="2">
        <v>489</v>
      </c>
      <c r="M639" s="2" t="s">
        <v>1221</v>
      </c>
      <c r="N639" s="2" t="s">
        <v>1061</v>
      </c>
      <c r="O639" t="s">
        <v>219</v>
      </c>
      <c r="P639" t="s">
        <v>284</v>
      </c>
      <c r="Q639" t="s">
        <v>751</v>
      </c>
      <c r="R639" t="s">
        <v>768</v>
      </c>
      <c r="S639" t="s">
        <v>1002</v>
      </c>
      <c r="T639" t="s">
        <v>768</v>
      </c>
      <c r="U639" t="s">
        <v>751</v>
      </c>
      <c r="V639" t="s">
        <v>783</v>
      </c>
      <c r="W639" t="s">
        <v>305</v>
      </c>
      <c r="X639" t="s">
        <v>980</v>
      </c>
      <c r="Y639" t="s">
        <v>177</v>
      </c>
      <c r="Z639" t="s">
        <v>1206</v>
      </c>
      <c r="AA639" t="s">
        <v>1085</v>
      </c>
      <c r="AB639" t="s">
        <v>484</v>
      </c>
      <c r="AC639" t="s">
        <v>1088</v>
      </c>
      <c r="AD639" t="s">
        <v>985</v>
      </c>
      <c r="AE639" t="s">
        <v>995</v>
      </c>
      <c r="AF639" t="s">
        <v>973</v>
      </c>
      <c r="AG639" t="s">
        <v>485</v>
      </c>
      <c r="AH639" t="s">
        <v>1062</v>
      </c>
      <c r="AI639" t="s">
        <v>226</v>
      </c>
      <c r="AJ639" t="s">
        <v>227</v>
      </c>
      <c r="AK639" t="s">
        <v>1063</v>
      </c>
      <c r="AL639" t="s">
        <v>1030</v>
      </c>
      <c r="AM639" t="s">
        <v>148</v>
      </c>
      <c r="AN639" t="s">
        <v>172</v>
      </c>
      <c r="AO639" t="s">
        <v>752</v>
      </c>
      <c r="AP639" t="s">
        <v>247</v>
      </c>
      <c r="AQ639" t="s">
        <v>1078</v>
      </c>
      <c r="AR639" t="s">
        <v>1079</v>
      </c>
      <c r="AS639" t="s">
        <v>229</v>
      </c>
      <c r="AT639" t="s">
        <v>146</v>
      </c>
      <c r="AU639" t="s">
        <v>321</v>
      </c>
      <c r="AV639" t="s">
        <v>1080</v>
      </c>
      <c r="AW639" t="s">
        <v>230</v>
      </c>
      <c r="AX639" t="s">
        <v>765</v>
      </c>
      <c r="AY639" t="s">
        <v>1096</v>
      </c>
      <c r="AZ639" t="s">
        <v>917</v>
      </c>
      <c r="BA639" t="s">
        <v>231</v>
      </c>
      <c r="BB639" t="s">
        <v>1037</v>
      </c>
      <c r="BC639" t="s">
        <v>970</v>
      </c>
      <c r="BD639" t="s">
        <v>485</v>
      </c>
      <c r="BE639" t="s">
        <v>1005</v>
      </c>
      <c r="BF639" t="s">
        <v>995</v>
      </c>
      <c r="BG639" t="s">
        <v>976</v>
      </c>
      <c r="BH639" t="s">
        <v>1003</v>
      </c>
      <c r="BI639" t="s">
        <v>232</v>
      </c>
      <c r="BJ639" t="s">
        <v>322</v>
      </c>
      <c r="BK639" t="s">
        <v>980</v>
      </c>
      <c r="BL639" t="s">
        <v>145</v>
      </c>
      <c r="BM639" t="s">
        <v>1021</v>
      </c>
      <c r="BN639" t="s">
        <v>997</v>
      </c>
      <c r="BO639" t="s">
        <v>977</v>
      </c>
      <c r="BP639" t="s">
        <v>756</v>
      </c>
      <c r="BQ639" t="s">
        <v>757</v>
      </c>
      <c r="BR639" t="s">
        <v>233</v>
      </c>
      <c r="BS639" t="s">
        <v>973</v>
      </c>
      <c r="BT639" t="s">
        <v>760</v>
      </c>
      <c r="BU639" t="s">
        <v>1087</v>
      </c>
      <c r="BV639" t="s">
        <v>2339</v>
      </c>
      <c r="BW639" t="s">
        <v>234</v>
      </c>
      <c r="BX639" t="s">
        <v>142</v>
      </c>
      <c r="BY639" t="s">
        <v>1215</v>
      </c>
      <c r="BZ639" t="s">
        <v>1190</v>
      </c>
      <c r="CA639" t="s">
        <v>978</v>
      </c>
      <c r="CB639" t="s">
        <v>1017</v>
      </c>
      <c r="CC639" t="s">
        <v>1004</v>
      </c>
      <c r="CD639" t="s">
        <v>1002</v>
      </c>
      <c r="CE639" t="s">
        <v>1007</v>
      </c>
      <c r="CF639" t="s">
        <v>1134</v>
      </c>
      <c r="CG639" t="s">
        <v>239</v>
      </c>
      <c r="CH639" t="s">
        <v>241</v>
      </c>
      <c r="CI639" t="s">
        <v>805</v>
      </c>
      <c r="CJ639" t="s">
        <v>806</v>
      </c>
    </row>
    <row r="640" spans="1:88">
      <c r="A640" s="40">
        <v>599</v>
      </c>
      <c r="B640" s="40" t="s">
        <v>2610</v>
      </c>
      <c r="C640" s="2" t="s">
        <v>2611</v>
      </c>
      <c r="D640" s="2" t="s">
        <v>26</v>
      </c>
      <c r="E640" s="2"/>
      <c r="F640" s="2">
        <v>40</v>
      </c>
      <c r="G640" s="2">
        <v>55</v>
      </c>
      <c r="H640" s="2">
        <v>70</v>
      </c>
      <c r="I640" s="2">
        <v>45</v>
      </c>
      <c r="J640" s="2">
        <v>60</v>
      </c>
      <c r="K640" s="2">
        <v>30</v>
      </c>
      <c r="L640" s="2">
        <v>300</v>
      </c>
      <c r="M640" s="2" t="s">
        <v>2424</v>
      </c>
      <c r="N640" s="2" t="s">
        <v>1061</v>
      </c>
      <c r="O640" t="s">
        <v>542</v>
      </c>
      <c r="P640" t="s">
        <v>1140</v>
      </c>
      <c r="Q640" t="s">
        <v>346</v>
      </c>
      <c r="R640" t="s">
        <v>2035</v>
      </c>
      <c r="S640" t="s">
        <v>240</v>
      </c>
      <c r="T640" t="s">
        <v>963</v>
      </c>
      <c r="U640" t="s">
        <v>1197</v>
      </c>
      <c r="V640" t="s">
        <v>1206</v>
      </c>
      <c r="W640" t="s">
        <v>324</v>
      </c>
      <c r="X640" t="s">
        <v>1138</v>
      </c>
      <c r="Y640" t="s">
        <v>1202</v>
      </c>
      <c r="Z640" t="s">
        <v>2036</v>
      </c>
      <c r="AA640" t="s">
        <v>1204</v>
      </c>
      <c r="AB640" t="s">
        <v>1207</v>
      </c>
      <c r="AC640" t="s">
        <v>247</v>
      </c>
      <c r="AD640" t="s">
        <v>1062</v>
      </c>
      <c r="AE640" t="s">
        <v>1063</v>
      </c>
      <c r="AF640" t="s">
        <v>148</v>
      </c>
      <c r="AG640" t="s">
        <v>172</v>
      </c>
      <c r="AH640" t="s">
        <v>247</v>
      </c>
      <c r="AI640" t="s">
        <v>1078</v>
      </c>
      <c r="AJ640" t="s">
        <v>1079</v>
      </c>
      <c r="AK640" t="s">
        <v>146</v>
      </c>
      <c r="AL640" t="s">
        <v>1080</v>
      </c>
      <c r="AM640" t="s">
        <v>230</v>
      </c>
      <c r="AN640" t="s">
        <v>765</v>
      </c>
      <c r="AO640" t="s">
        <v>917</v>
      </c>
      <c r="AP640" t="s">
        <v>231</v>
      </c>
      <c r="AQ640" t="s">
        <v>1037</v>
      </c>
      <c r="AR640" t="s">
        <v>963</v>
      </c>
      <c r="AS640" t="s">
        <v>1003</v>
      </c>
      <c r="AT640" t="s">
        <v>1045</v>
      </c>
      <c r="AU640" t="s">
        <v>322</v>
      </c>
      <c r="AV640" t="s">
        <v>756</v>
      </c>
      <c r="AW640" t="s">
        <v>233</v>
      </c>
      <c r="AX640" t="s">
        <v>973</v>
      </c>
      <c r="AY640" t="s">
        <v>1047</v>
      </c>
      <c r="AZ640" t="s">
        <v>760</v>
      </c>
      <c r="BA640" t="s">
        <v>234</v>
      </c>
      <c r="BB640" t="s">
        <v>239</v>
      </c>
      <c r="BC640" t="s">
        <v>241</v>
      </c>
      <c r="BD640" t="s">
        <v>805</v>
      </c>
      <c r="BE640" t="s">
        <v>806</v>
      </c>
    </row>
    <row r="641" spans="1:96">
      <c r="A641" s="40">
        <v>600</v>
      </c>
      <c r="B641" s="40" t="s">
        <v>2612</v>
      </c>
      <c r="C641" s="2" t="s">
        <v>2613</v>
      </c>
      <c r="D641" s="2" t="s">
        <v>26</v>
      </c>
      <c r="E641" s="2"/>
      <c r="F641" s="2">
        <v>60</v>
      </c>
      <c r="G641" s="2">
        <v>80</v>
      </c>
      <c r="H641" s="2">
        <v>95</v>
      </c>
      <c r="I641" s="2">
        <v>70</v>
      </c>
      <c r="J641" s="2">
        <v>85</v>
      </c>
      <c r="K641" s="2">
        <v>50</v>
      </c>
      <c r="L641" s="2">
        <v>440</v>
      </c>
      <c r="M641" s="2" t="s">
        <v>2614</v>
      </c>
      <c r="N641" s="2" t="s">
        <v>1061</v>
      </c>
      <c r="O641" t="s">
        <v>542</v>
      </c>
      <c r="P641" t="s">
        <v>346</v>
      </c>
      <c r="Q641" t="s">
        <v>1140</v>
      </c>
      <c r="R641" t="s">
        <v>2035</v>
      </c>
      <c r="S641" t="s">
        <v>1140</v>
      </c>
      <c r="T641" t="s">
        <v>346</v>
      </c>
      <c r="U641" t="s">
        <v>2035</v>
      </c>
      <c r="V641" t="s">
        <v>240</v>
      </c>
      <c r="W641" t="s">
        <v>963</v>
      </c>
      <c r="X641" t="s">
        <v>1197</v>
      </c>
      <c r="Y641" t="s">
        <v>1206</v>
      </c>
      <c r="Z641" t="s">
        <v>324</v>
      </c>
      <c r="AA641" t="s">
        <v>1138</v>
      </c>
      <c r="AB641" t="s">
        <v>1202</v>
      </c>
      <c r="AC641" t="s">
        <v>2036</v>
      </c>
      <c r="AD641" t="s">
        <v>1204</v>
      </c>
      <c r="AE641" t="s">
        <v>1207</v>
      </c>
      <c r="AF641" t="s">
        <v>247</v>
      </c>
      <c r="AG641" t="s">
        <v>1062</v>
      </c>
      <c r="AH641" t="s">
        <v>1063</v>
      </c>
      <c r="AI641" t="s">
        <v>148</v>
      </c>
      <c r="AJ641" t="s">
        <v>172</v>
      </c>
      <c r="AK641" t="s">
        <v>247</v>
      </c>
      <c r="AL641" t="s">
        <v>1078</v>
      </c>
      <c r="AM641" t="s">
        <v>1079</v>
      </c>
      <c r="AN641" t="s">
        <v>146</v>
      </c>
      <c r="AO641" t="s">
        <v>1080</v>
      </c>
      <c r="AP641" t="s">
        <v>230</v>
      </c>
      <c r="AQ641" t="s">
        <v>765</v>
      </c>
      <c r="AR641" t="s">
        <v>917</v>
      </c>
      <c r="AS641" t="s">
        <v>231</v>
      </c>
      <c r="AT641" t="s">
        <v>1037</v>
      </c>
      <c r="AU641" t="s">
        <v>963</v>
      </c>
      <c r="AV641" t="s">
        <v>1003</v>
      </c>
      <c r="AW641" t="s">
        <v>1045</v>
      </c>
      <c r="AX641" t="s">
        <v>322</v>
      </c>
      <c r="AY641" t="s">
        <v>756</v>
      </c>
      <c r="AZ641" t="s">
        <v>233</v>
      </c>
      <c r="BA641" t="s">
        <v>973</v>
      </c>
      <c r="BB641" t="s">
        <v>1047</v>
      </c>
      <c r="BC641" t="s">
        <v>760</v>
      </c>
      <c r="BD641" t="s">
        <v>234</v>
      </c>
      <c r="BE641" t="s">
        <v>239</v>
      </c>
      <c r="BF641" t="s">
        <v>241</v>
      </c>
      <c r="BG641" t="s">
        <v>805</v>
      </c>
      <c r="BH641" t="s">
        <v>806</v>
      </c>
    </row>
    <row r="642" spans="1:96">
      <c r="A642" s="40">
        <v>601</v>
      </c>
      <c r="B642" s="40" t="s">
        <v>2615</v>
      </c>
      <c r="C642" s="2" t="s">
        <v>2616</v>
      </c>
      <c r="D642" s="2" t="s">
        <v>26</v>
      </c>
      <c r="E642" s="2"/>
      <c r="F642" s="2">
        <v>60</v>
      </c>
      <c r="G642" s="2">
        <v>100</v>
      </c>
      <c r="H642" s="2">
        <v>115</v>
      </c>
      <c r="I642" s="2">
        <v>70</v>
      </c>
      <c r="J642" s="2">
        <v>85</v>
      </c>
      <c r="K642" s="2">
        <v>90</v>
      </c>
      <c r="L642" s="2">
        <v>520</v>
      </c>
      <c r="M642" s="2" t="s">
        <v>2449</v>
      </c>
      <c r="N642" s="2" t="s">
        <v>1061</v>
      </c>
      <c r="O642" t="s">
        <v>542</v>
      </c>
      <c r="P642" t="s">
        <v>346</v>
      </c>
      <c r="Q642" t="s">
        <v>1140</v>
      </c>
      <c r="R642" t="s">
        <v>2035</v>
      </c>
      <c r="S642" t="s">
        <v>1140</v>
      </c>
      <c r="T642" t="s">
        <v>346</v>
      </c>
      <c r="U642" t="s">
        <v>2035</v>
      </c>
      <c r="V642" t="s">
        <v>240</v>
      </c>
      <c r="W642" t="s">
        <v>963</v>
      </c>
      <c r="X642" t="s">
        <v>1197</v>
      </c>
      <c r="Y642" t="s">
        <v>1206</v>
      </c>
      <c r="Z642" t="s">
        <v>324</v>
      </c>
      <c r="AA642" t="s">
        <v>1138</v>
      </c>
      <c r="AB642" t="s">
        <v>1202</v>
      </c>
      <c r="AC642" t="s">
        <v>2036</v>
      </c>
      <c r="AD642" t="s">
        <v>1204</v>
      </c>
      <c r="AE642" t="s">
        <v>1207</v>
      </c>
      <c r="AF642" t="s">
        <v>247</v>
      </c>
      <c r="AG642" t="s">
        <v>1062</v>
      </c>
      <c r="AH642" t="s">
        <v>1063</v>
      </c>
      <c r="AI642" t="s">
        <v>148</v>
      </c>
      <c r="AJ642" t="s">
        <v>172</v>
      </c>
      <c r="AK642" t="s">
        <v>247</v>
      </c>
      <c r="AL642" t="s">
        <v>1078</v>
      </c>
      <c r="AM642" t="s">
        <v>1079</v>
      </c>
      <c r="AN642" t="s">
        <v>146</v>
      </c>
      <c r="AO642" t="s">
        <v>321</v>
      </c>
      <c r="AP642" t="s">
        <v>1080</v>
      </c>
      <c r="AQ642" t="s">
        <v>230</v>
      </c>
      <c r="AR642" t="s">
        <v>765</v>
      </c>
      <c r="AS642" t="s">
        <v>917</v>
      </c>
      <c r="AT642" t="s">
        <v>231</v>
      </c>
      <c r="AU642" t="s">
        <v>1037</v>
      </c>
      <c r="AV642" t="s">
        <v>963</v>
      </c>
      <c r="AW642" t="s">
        <v>976</v>
      </c>
      <c r="AX642" t="s">
        <v>1003</v>
      </c>
      <c r="AY642" t="s">
        <v>1045</v>
      </c>
      <c r="AZ642" t="s">
        <v>322</v>
      </c>
      <c r="BA642" t="s">
        <v>756</v>
      </c>
      <c r="BB642" t="s">
        <v>233</v>
      </c>
      <c r="BC642" t="s">
        <v>973</v>
      </c>
      <c r="BD642" t="s">
        <v>1012</v>
      </c>
      <c r="BE642" t="s">
        <v>1047</v>
      </c>
      <c r="BF642" t="s">
        <v>760</v>
      </c>
      <c r="BG642" t="s">
        <v>234</v>
      </c>
      <c r="BH642" t="s">
        <v>239</v>
      </c>
      <c r="BI642" t="s">
        <v>241</v>
      </c>
      <c r="BJ642" t="s">
        <v>805</v>
      </c>
      <c r="BK642" t="s">
        <v>806</v>
      </c>
    </row>
    <row r="643" spans="1:96">
      <c r="A643" s="40">
        <v>602</v>
      </c>
      <c r="B643" s="40" t="s">
        <v>2617</v>
      </c>
      <c r="C643" s="2" t="s">
        <v>2618</v>
      </c>
      <c r="D643" s="2" t="s">
        <v>17</v>
      </c>
      <c r="E643" s="2"/>
      <c r="F643" s="2">
        <v>35</v>
      </c>
      <c r="G643" s="2">
        <v>55</v>
      </c>
      <c r="H643" s="2">
        <v>40</v>
      </c>
      <c r="I643" s="2">
        <v>45</v>
      </c>
      <c r="J643" s="2">
        <v>40</v>
      </c>
      <c r="K643" s="2">
        <v>60</v>
      </c>
      <c r="L643" s="2">
        <v>275</v>
      </c>
      <c r="M643" s="2" t="s">
        <v>1232</v>
      </c>
      <c r="N643" s="2" t="s">
        <v>1061</v>
      </c>
      <c r="O643" t="s">
        <v>219</v>
      </c>
      <c r="P643" t="s">
        <v>322</v>
      </c>
      <c r="Q643" t="s">
        <v>1203</v>
      </c>
      <c r="R643" t="s">
        <v>963</v>
      </c>
      <c r="S643" t="s">
        <v>1062</v>
      </c>
      <c r="T643" t="s">
        <v>1063</v>
      </c>
      <c r="U643" t="s">
        <v>234</v>
      </c>
      <c r="V643" t="s">
        <v>239</v>
      </c>
      <c r="W643" t="s">
        <v>241</v>
      </c>
      <c r="X643" t="s">
        <v>805</v>
      </c>
      <c r="Y643" t="s">
        <v>806</v>
      </c>
    </row>
    <row r="644" spans="1:96">
      <c r="A644" s="40">
        <v>603</v>
      </c>
      <c r="B644" s="40" t="s">
        <v>2619</v>
      </c>
      <c r="C644" s="2" t="s">
        <v>2620</v>
      </c>
      <c r="D644" s="2" t="s">
        <v>17</v>
      </c>
      <c r="E644" s="2"/>
      <c r="F644" s="2">
        <v>65</v>
      </c>
      <c r="G644" s="2">
        <v>85</v>
      </c>
      <c r="H644" s="2">
        <v>70</v>
      </c>
      <c r="I644" s="2">
        <v>75</v>
      </c>
      <c r="J644" s="2">
        <v>70</v>
      </c>
      <c r="K644" s="2">
        <v>40</v>
      </c>
      <c r="L644" s="2">
        <v>405</v>
      </c>
      <c r="M644" s="2" t="s">
        <v>1068</v>
      </c>
      <c r="N644" s="2" t="s">
        <v>1061</v>
      </c>
      <c r="O644" t="s">
        <v>420</v>
      </c>
      <c r="P644" t="s">
        <v>322</v>
      </c>
      <c r="Q644" t="s">
        <v>1203</v>
      </c>
      <c r="R644" t="s">
        <v>963</v>
      </c>
      <c r="S644" t="s">
        <v>240</v>
      </c>
      <c r="T644" t="s">
        <v>339</v>
      </c>
      <c r="U644" t="s">
        <v>1138</v>
      </c>
      <c r="V644" t="s">
        <v>777</v>
      </c>
      <c r="W644" t="s">
        <v>146</v>
      </c>
      <c r="X644" t="s">
        <v>1134</v>
      </c>
      <c r="Y644" t="s">
        <v>1135</v>
      </c>
      <c r="Z644" t="s">
        <v>1047</v>
      </c>
      <c r="AA644" t="s">
        <v>975</v>
      </c>
      <c r="AB644" t="s">
        <v>1207</v>
      </c>
      <c r="AC644" t="s">
        <v>373</v>
      </c>
      <c r="AD644" t="s">
        <v>1062</v>
      </c>
      <c r="AE644" t="s">
        <v>1063</v>
      </c>
      <c r="AF644" t="s">
        <v>148</v>
      </c>
      <c r="AG644" t="s">
        <v>172</v>
      </c>
      <c r="AH644" t="s">
        <v>228</v>
      </c>
      <c r="AI644" t="s">
        <v>1078</v>
      </c>
      <c r="AJ644" t="s">
        <v>766</v>
      </c>
      <c r="AK644" t="s">
        <v>1079</v>
      </c>
      <c r="AL644" t="s">
        <v>146</v>
      </c>
      <c r="AM644" t="s">
        <v>321</v>
      </c>
      <c r="AN644" t="s">
        <v>1080</v>
      </c>
      <c r="AO644" t="s">
        <v>230</v>
      </c>
      <c r="AP644" t="s">
        <v>917</v>
      </c>
      <c r="AQ644" t="s">
        <v>231</v>
      </c>
      <c r="AR644" t="s">
        <v>1082</v>
      </c>
      <c r="AS644" t="s">
        <v>1037</v>
      </c>
      <c r="AT644" t="s">
        <v>963</v>
      </c>
      <c r="AU644" t="s">
        <v>1020</v>
      </c>
      <c r="AV644" t="s">
        <v>232</v>
      </c>
      <c r="AW644" t="s">
        <v>1045</v>
      </c>
      <c r="AX644" t="s">
        <v>322</v>
      </c>
      <c r="AY644" t="s">
        <v>756</v>
      </c>
      <c r="AZ644" t="s">
        <v>1014</v>
      </c>
      <c r="BA644" t="s">
        <v>233</v>
      </c>
      <c r="BB644" t="s">
        <v>973</v>
      </c>
      <c r="BC644" t="s">
        <v>1047</v>
      </c>
      <c r="BD644" t="s">
        <v>234</v>
      </c>
      <c r="BE644" t="s">
        <v>239</v>
      </c>
      <c r="BF644" t="s">
        <v>241</v>
      </c>
      <c r="BG644" t="s">
        <v>219</v>
      </c>
      <c r="BH644" t="s">
        <v>805</v>
      </c>
      <c r="BI644" t="s">
        <v>806</v>
      </c>
    </row>
    <row r="645" spans="1:96">
      <c r="A645" s="40">
        <v>604</v>
      </c>
      <c r="B645" s="40" t="s">
        <v>2621</v>
      </c>
      <c r="C645" s="2" t="s">
        <v>2622</v>
      </c>
      <c r="D645" s="2" t="s">
        <v>17</v>
      </c>
      <c r="E645" s="2"/>
      <c r="F645" s="2">
        <v>85</v>
      </c>
      <c r="G645" s="2">
        <v>115</v>
      </c>
      <c r="H645" s="2">
        <v>80</v>
      </c>
      <c r="I645" s="2">
        <v>105</v>
      </c>
      <c r="J645" s="2">
        <v>80</v>
      </c>
      <c r="K645" s="2">
        <v>50</v>
      </c>
      <c r="L645" s="2">
        <v>515</v>
      </c>
      <c r="M645" s="2" t="s">
        <v>1075</v>
      </c>
      <c r="N645" s="2" t="s">
        <v>1061</v>
      </c>
      <c r="O645" t="s">
        <v>420</v>
      </c>
      <c r="P645" t="s">
        <v>339</v>
      </c>
      <c r="Q645" t="s">
        <v>777</v>
      </c>
      <c r="R645" t="s">
        <v>1143</v>
      </c>
      <c r="S645" t="s">
        <v>1138</v>
      </c>
      <c r="T645" t="s">
        <v>1062</v>
      </c>
      <c r="U645" t="s">
        <v>226</v>
      </c>
      <c r="V645" t="s">
        <v>227</v>
      </c>
      <c r="W645" t="s">
        <v>1063</v>
      </c>
      <c r="X645" t="s">
        <v>1030</v>
      </c>
      <c r="Y645" t="s">
        <v>1093</v>
      </c>
      <c r="Z645" t="s">
        <v>246</v>
      </c>
      <c r="AA645" t="s">
        <v>148</v>
      </c>
      <c r="AB645" t="s">
        <v>172</v>
      </c>
      <c r="AC645" t="s">
        <v>247</v>
      </c>
      <c r="AD645" t="s">
        <v>228</v>
      </c>
      <c r="AE645" t="s">
        <v>1078</v>
      </c>
      <c r="AF645" t="s">
        <v>766</v>
      </c>
      <c r="AG645" t="s">
        <v>1079</v>
      </c>
      <c r="AH645" t="s">
        <v>146</v>
      </c>
      <c r="AI645" t="s">
        <v>321</v>
      </c>
      <c r="AJ645" t="s">
        <v>1080</v>
      </c>
      <c r="AK645" t="s">
        <v>1094</v>
      </c>
      <c r="AL645" t="s">
        <v>230</v>
      </c>
      <c r="AM645" t="s">
        <v>254</v>
      </c>
      <c r="AN645" t="s">
        <v>1095</v>
      </c>
      <c r="AO645" t="s">
        <v>917</v>
      </c>
      <c r="AP645" t="s">
        <v>231</v>
      </c>
      <c r="AQ645" t="s">
        <v>1082</v>
      </c>
      <c r="AR645" t="s">
        <v>1037</v>
      </c>
      <c r="AS645" t="s">
        <v>963</v>
      </c>
      <c r="AT645" t="s">
        <v>1020</v>
      </c>
      <c r="AU645" t="s">
        <v>976</v>
      </c>
      <c r="AV645" t="s">
        <v>232</v>
      </c>
      <c r="AW645" t="s">
        <v>1045</v>
      </c>
      <c r="AX645" t="s">
        <v>322</v>
      </c>
      <c r="AY645" t="s">
        <v>143</v>
      </c>
      <c r="AZ645" t="s">
        <v>1022</v>
      </c>
      <c r="BA645" t="s">
        <v>977</v>
      </c>
      <c r="BB645" t="s">
        <v>756</v>
      </c>
      <c r="BC645" t="s">
        <v>1014</v>
      </c>
      <c r="BD645" t="s">
        <v>233</v>
      </c>
      <c r="BE645" t="s">
        <v>973</v>
      </c>
      <c r="BF645" t="s">
        <v>1047</v>
      </c>
      <c r="BG645" t="s">
        <v>760</v>
      </c>
      <c r="BH645" t="s">
        <v>234</v>
      </c>
      <c r="BI645" t="s">
        <v>239</v>
      </c>
      <c r="BJ645" t="s">
        <v>241</v>
      </c>
      <c r="BK645" t="s">
        <v>219</v>
      </c>
      <c r="BL645" t="s">
        <v>322</v>
      </c>
      <c r="BM645" t="s">
        <v>1203</v>
      </c>
      <c r="BN645" t="s">
        <v>963</v>
      </c>
      <c r="BO645" t="s">
        <v>240</v>
      </c>
      <c r="BP645" t="s">
        <v>146</v>
      </c>
      <c r="BQ645" t="s">
        <v>1134</v>
      </c>
      <c r="BR645" t="s">
        <v>1135</v>
      </c>
      <c r="BS645" t="s">
        <v>1047</v>
      </c>
      <c r="BT645" t="s">
        <v>975</v>
      </c>
      <c r="BU645" t="s">
        <v>1207</v>
      </c>
      <c r="BV645" t="s">
        <v>373</v>
      </c>
      <c r="BW645" t="s">
        <v>805</v>
      </c>
      <c r="BX645" t="s">
        <v>806</v>
      </c>
    </row>
    <row r="646" spans="1:96">
      <c r="A646" s="40">
        <v>605</v>
      </c>
      <c r="B646" s="40" t="s">
        <v>2623</v>
      </c>
      <c r="C646" s="2" t="s">
        <v>2624</v>
      </c>
      <c r="D646" s="2" t="s">
        <v>9</v>
      </c>
      <c r="E646" s="2"/>
      <c r="F646" s="2">
        <v>55</v>
      </c>
      <c r="G646" s="2">
        <v>55</v>
      </c>
      <c r="H646" s="2">
        <v>55</v>
      </c>
      <c r="I646" s="2">
        <v>85</v>
      </c>
      <c r="J646" s="2">
        <v>55</v>
      </c>
      <c r="K646" s="2">
        <v>30</v>
      </c>
      <c r="L646" s="2">
        <v>335</v>
      </c>
      <c r="M646" s="2" t="s">
        <v>1091</v>
      </c>
      <c r="N646" s="2" t="s">
        <v>1061</v>
      </c>
      <c r="O646" t="s">
        <v>287</v>
      </c>
      <c r="P646" t="s">
        <v>220</v>
      </c>
      <c r="Q646" t="s">
        <v>1451</v>
      </c>
      <c r="R646" t="s">
        <v>1184</v>
      </c>
      <c r="S646" t="s">
        <v>292</v>
      </c>
      <c r="T646" t="s">
        <v>420</v>
      </c>
      <c r="U646" t="s">
        <v>172</v>
      </c>
      <c r="V646" t="s">
        <v>927</v>
      </c>
      <c r="W646" t="s">
        <v>1477</v>
      </c>
      <c r="X646" t="s">
        <v>1019</v>
      </c>
      <c r="Y646" t="s">
        <v>785</v>
      </c>
      <c r="Z646" t="s">
        <v>9</v>
      </c>
      <c r="AA646" t="s">
        <v>912</v>
      </c>
      <c r="AB646" t="s">
        <v>459</v>
      </c>
      <c r="AC646" t="s">
        <v>1182</v>
      </c>
      <c r="AD646" t="s">
        <v>1033</v>
      </c>
      <c r="AE646" t="s">
        <v>1043</v>
      </c>
      <c r="AF646" t="s">
        <v>1048</v>
      </c>
      <c r="AG646" t="s">
        <v>1062</v>
      </c>
      <c r="AH646" t="s">
        <v>1063</v>
      </c>
      <c r="AI646" t="s">
        <v>1151</v>
      </c>
      <c r="AJ646" t="s">
        <v>912</v>
      </c>
      <c r="AK646" t="s">
        <v>148</v>
      </c>
      <c r="AL646" t="s">
        <v>172</v>
      </c>
      <c r="AM646" t="s">
        <v>228</v>
      </c>
      <c r="AN646" t="s">
        <v>1078</v>
      </c>
      <c r="AO646" t="s">
        <v>766</v>
      </c>
      <c r="AP646" t="s">
        <v>759</v>
      </c>
      <c r="AQ646" t="s">
        <v>1079</v>
      </c>
      <c r="AR646" t="s">
        <v>146</v>
      </c>
      <c r="AS646" t="s">
        <v>1080</v>
      </c>
      <c r="AT646" t="s">
        <v>9</v>
      </c>
      <c r="AU646" t="s">
        <v>174</v>
      </c>
      <c r="AV646" t="s">
        <v>230</v>
      </c>
      <c r="AW646" t="s">
        <v>380</v>
      </c>
      <c r="AX646" t="s">
        <v>1095</v>
      </c>
      <c r="AY646" t="s">
        <v>917</v>
      </c>
      <c r="AZ646" t="s">
        <v>231</v>
      </c>
      <c r="BA646" t="s">
        <v>1082</v>
      </c>
      <c r="BB646" t="s">
        <v>1117</v>
      </c>
      <c r="BC646" t="s">
        <v>1037</v>
      </c>
      <c r="BD646" t="s">
        <v>1083</v>
      </c>
      <c r="BE646" t="s">
        <v>970</v>
      </c>
      <c r="BF646" t="s">
        <v>963</v>
      </c>
      <c r="BG646" t="s">
        <v>969</v>
      </c>
      <c r="BH646" t="s">
        <v>232</v>
      </c>
      <c r="BI646" t="s">
        <v>322</v>
      </c>
      <c r="BJ646" t="s">
        <v>785</v>
      </c>
      <c r="BK646" t="s">
        <v>143</v>
      </c>
      <c r="BL646" t="s">
        <v>293</v>
      </c>
      <c r="BM646" t="s">
        <v>756</v>
      </c>
      <c r="BN646" t="s">
        <v>233</v>
      </c>
      <c r="BO646" t="s">
        <v>1012</v>
      </c>
      <c r="BP646" t="s">
        <v>234</v>
      </c>
      <c r="BQ646" t="s">
        <v>340</v>
      </c>
      <c r="BR646" t="s">
        <v>454</v>
      </c>
      <c r="BS646" t="s">
        <v>455</v>
      </c>
      <c r="BT646" t="s">
        <v>941</v>
      </c>
      <c r="BU646" t="s">
        <v>1130</v>
      </c>
      <c r="BV646" t="s">
        <v>998</v>
      </c>
      <c r="BW646" t="s">
        <v>1183</v>
      </c>
      <c r="BX646" t="s">
        <v>991</v>
      </c>
      <c r="BY646" t="s">
        <v>239</v>
      </c>
      <c r="BZ646" t="s">
        <v>241</v>
      </c>
      <c r="CA646" t="s">
        <v>805</v>
      </c>
      <c r="CB646" t="s">
        <v>806</v>
      </c>
    </row>
    <row r="647" spans="1:96">
      <c r="A647" s="40">
        <v>606</v>
      </c>
      <c r="B647" s="40" t="s">
        <v>2625</v>
      </c>
      <c r="C647" s="2" t="s">
        <v>2626</v>
      </c>
      <c r="D647" s="2" t="s">
        <v>9</v>
      </c>
      <c r="E647" s="2"/>
      <c r="F647" s="2">
        <v>75</v>
      </c>
      <c r="G647" s="2">
        <v>75</v>
      </c>
      <c r="H647" s="2">
        <v>75</v>
      </c>
      <c r="I647" s="2">
        <v>125</v>
      </c>
      <c r="J647" s="2">
        <v>95</v>
      </c>
      <c r="K647" s="2">
        <v>40</v>
      </c>
      <c r="L647" s="2">
        <v>485</v>
      </c>
      <c r="M647" s="2" t="s">
        <v>1137</v>
      </c>
      <c r="N647" s="2" t="s">
        <v>1061</v>
      </c>
      <c r="O647" t="s">
        <v>220</v>
      </c>
      <c r="P647" t="s">
        <v>287</v>
      </c>
      <c r="Q647" t="s">
        <v>1184</v>
      </c>
      <c r="R647" t="s">
        <v>1451</v>
      </c>
      <c r="S647" t="s">
        <v>220</v>
      </c>
      <c r="T647" t="s">
        <v>1451</v>
      </c>
      <c r="U647" t="s">
        <v>1184</v>
      </c>
      <c r="V647" t="s">
        <v>292</v>
      </c>
      <c r="W647" t="s">
        <v>420</v>
      </c>
      <c r="X647" t="s">
        <v>172</v>
      </c>
      <c r="Y647" t="s">
        <v>927</v>
      </c>
      <c r="Z647" t="s">
        <v>1477</v>
      </c>
      <c r="AA647" t="s">
        <v>1019</v>
      </c>
      <c r="AB647" t="s">
        <v>785</v>
      </c>
      <c r="AC647" t="s">
        <v>9</v>
      </c>
      <c r="AD647" t="s">
        <v>912</v>
      </c>
      <c r="AE647" t="s">
        <v>459</v>
      </c>
      <c r="AF647" t="s">
        <v>1182</v>
      </c>
      <c r="AG647" t="s">
        <v>1033</v>
      </c>
      <c r="AH647" t="s">
        <v>1043</v>
      </c>
      <c r="AI647" t="s">
        <v>1048</v>
      </c>
      <c r="AJ647" t="s">
        <v>1062</v>
      </c>
      <c r="AK647" t="s">
        <v>1063</v>
      </c>
      <c r="AL647" t="s">
        <v>1151</v>
      </c>
      <c r="AM647" t="s">
        <v>912</v>
      </c>
      <c r="AN647" t="s">
        <v>148</v>
      </c>
      <c r="AO647" t="s">
        <v>172</v>
      </c>
      <c r="AP647" t="s">
        <v>247</v>
      </c>
      <c r="AQ647" t="s">
        <v>228</v>
      </c>
      <c r="AR647" t="s">
        <v>1078</v>
      </c>
      <c r="AS647" t="s">
        <v>766</v>
      </c>
      <c r="AT647" t="s">
        <v>759</v>
      </c>
      <c r="AU647" t="s">
        <v>1079</v>
      </c>
      <c r="AV647" t="s">
        <v>146</v>
      </c>
      <c r="AW647" t="s">
        <v>1080</v>
      </c>
      <c r="AX647" t="s">
        <v>9</v>
      </c>
      <c r="AY647" t="s">
        <v>174</v>
      </c>
      <c r="AZ647" t="s">
        <v>230</v>
      </c>
      <c r="BA647" t="s">
        <v>380</v>
      </c>
      <c r="BB647" t="s">
        <v>1095</v>
      </c>
      <c r="BC647" t="s">
        <v>917</v>
      </c>
      <c r="BD647" t="s">
        <v>231</v>
      </c>
      <c r="BE647" t="s">
        <v>1082</v>
      </c>
      <c r="BF647" t="s">
        <v>1117</v>
      </c>
      <c r="BG647" t="s">
        <v>1037</v>
      </c>
      <c r="BH647" t="s">
        <v>1083</v>
      </c>
      <c r="BI647" t="s">
        <v>970</v>
      </c>
      <c r="BJ647" t="s">
        <v>963</v>
      </c>
      <c r="BK647" t="s">
        <v>969</v>
      </c>
      <c r="BL647" t="s">
        <v>976</v>
      </c>
      <c r="BM647" t="s">
        <v>232</v>
      </c>
      <c r="BN647" t="s">
        <v>322</v>
      </c>
      <c r="BO647" t="s">
        <v>785</v>
      </c>
      <c r="BP647" t="s">
        <v>143</v>
      </c>
      <c r="BQ647" t="s">
        <v>293</v>
      </c>
      <c r="BR647" t="s">
        <v>756</v>
      </c>
      <c r="BS647" t="s">
        <v>233</v>
      </c>
      <c r="BT647" t="s">
        <v>1012</v>
      </c>
      <c r="BU647" t="s">
        <v>234</v>
      </c>
      <c r="BV647" t="s">
        <v>340</v>
      </c>
      <c r="BW647" t="s">
        <v>454</v>
      </c>
      <c r="BX647" t="s">
        <v>455</v>
      </c>
      <c r="BY647" t="s">
        <v>941</v>
      </c>
      <c r="BZ647" t="s">
        <v>1130</v>
      </c>
      <c r="CA647" t="s">
        <v>998</v>
      </c>
      <c r="CB647" t="s">
        <v>1183</v>
      </c>
      <c r="CC647" t="s">
        <v>991</v>
      </c>
      <c r="CD647" t="s">
        <v>239</v>
      </c>
      <c r="CE647" t="s">
        <v>241</v>
      </c>
      <c r="CF647" t="s">
        <v>805</v>
      </c>
      <c r="CG647" t="s">
        <v>806</v>
      </c>
    </row>
    <row r="648" spans="1:96">
      <c r="A648" s="40">
        <v>607</v>
      </c>
      <c r="B648" s="40" t="s">
        <v>2627</v>
      </c>
      <c r="C648" s="2" t="s">
        <v>2628</v>
      </c>
      <c r="D648" s="2" t="s">
        <v>10</v>
      </c>
      <c r="E648" s="2" t="s">
        <v>19</v>
      </c>
      <c r="F648" s="2">
        <v>50</v>
      </c>
      <c r="G648" s="2">
        <v>30</v>
      </c>
      <c r="H648" s="2">
        <v>55</v>
      </c>
      <c r="I648" s="2">
        <v>65</v>
      </c>
      <c r="J648" s="2">
        <v>55</v>
      </c>
      <c r="K648" s="2">
        <v>20</v>
      </c>
      <c r="L648" s="2">
        <v>275</v>
      </c>
      <c r="M648" s="2" t="s">
        <v>1074</v>
      </c>
      <c r="N648" s="2" t="s">
        <v>1061</v>
      </c>
      <c r="O648" t="s">
        <v>250</v>
      </c>
      <c r="P648" t="s">
        <v>1130</v>
      </c>
      <c r="Q648" t="s">
        <v>378</v>
      </c>
      <c r="R648" t="s">
        <v>530</v>
      </c>
      <c r="S648" t="s">
        <v>255</v>
      </c>
      <c r="T648" t="s">
        <v>387</v>
      </c>
      <c r="U648" t="s">
        <v>528</v>
      </c>
      <c r="V648" t="s">
        <v>956</v>
      </c>
      <c r="W648" t="s">
        <v>1026</v>
      </c>
      <c r="X648" t="s">
        <v>927</v>
      </c>
      <c r="Y648" t="s">
        <v>1029</v>
      </c>
      <c r="Z648" t="s">
        <v>931</v>
      </c>
      <c r="AA648" t="s">
        <v>185</v>
      </c>
      <c r="AB648" t="s">
        <v>751</v>
      </c>
      <c r="AC648" t="s">
        <v>174</v>
      </c>
      <c r="AD648" t="s">
        <v>794</v>
      </c>
      <c r="AE648" t="s">
        <v>1098</v>
      </c>
      <c r="AF648" t="s">
        <v>1062</v>
      </c>
      <c r="AG648" t="s">
        <v>1063</v>
      </c>
      <c r="AH648" t="s">
        <v>912</v>
      </c>
      <c r="AI648" t="s">
        <v>148</v>
      </c>
      <c r="AJ648" t="s">
        <v>172</v>
      </c>
      <c r="AK648" t="s">
        <v>752</v>
      </c>
      <c r="AL648" t="s">
        <v>1126</v>
      </c>
      <c r="AM648" t="s">
        <v>1078</v>
      </c>
      <c r="AN648" t="s">
        <v>759</v>
      </c>
      <c r="AO648" t="s">
        <v>1079</v>
      </c>
      <c r="AP648" t="s">
        <v>229</v>
      </c>
      <c r="AQ648" t="s">
        <v>1080</v>
      </c>
      <c r="AR648" t="s">
        <v>9</v>
      </c>
      <c r="AS648" t="s">
        <v>174</v>
      </c>
      <c r="AT648" t="s">
        <v>230</v>
      </c>
      <c r="AU648" t="s">
        <v>254</v>
      </c>
      <c r="AV648" t="s">
        <v>257</v>
      </c>
      <c r="AW648" t="s">
        <v>917</v>
      </c>
      <c r="AX648" t="s">
        <v>1097</v>
      </c>
      <c r="AY648" t="s">
        <v>231</v>
      </c>
      <c r="AZ648" t="s">
        <v>1082</v>
      </c>
      <c r="BA648" t="s">
        <v>1117</v>
      </c>
      <c r="BB648" t="s">
        <v>1037</v>
      </c>
      <c r="BC648" t="s">
        <v>1098</v>
      </c>
      <c r="BD648" t="s">
        <v>970</v>
      </c>
      <c r="BE648" t="s">
        <v>1031</v>
      </c>
      <c r="BF648" t="s">
        <v>956</v>
      </c>
      <c r="BG648" t="s">
        <v>969</v>
      </c>
      <c r="BH648" t="s">
        <v>995</v>
      </c>
      <c r="BI648" t="s">
        <v>232</v>
      </c>
      <c r="BJ648" t="s">
        <v>785</v>
      </c>
      <c r="BK648" t="s">
        <v>293</v>
      </c>
      <c r="BL648" t="s">
        <v>756</v>
      </c>
      <c r="BM648" t="s">
        <v>757</v>
      </c>
      <c r="BN648" t="s">
        <v>233</v>
      </c>
      <c r="BO648" t="s">
        <v>1012</v>
      </c>
      <c r="BP648" t="s">
        <v>1157</v>
      </c>
      <c r="BQ648" t="s">
        <v>2339</v>
      </c>
      <c r="BR648" t="s">
        <v>234</v>
      </c>
      <c r="BS648" t="s">
        <v>339</v>
      </c>
      <c r="BT648" t="s">
        <v>272</v>
      </c>
      <c r="BU648" t="s">
        <v>517</v>
      </c>
      <c r="BV648" t="s">
        <v>754</v>
      </c>
      <c r="BW648" t="s">
        <v>924</v>
      </c>
      <c r="BX648" t="s">
        <v>962</v>
      </c>
      <c r="BY648" t="s">
        <v>1191</v>
      </c>
      <c r="BZ648" t="s">
        <v>239</v>
      </c>
      <c r="CA648" t="s">
        <v>241</v>
      </c>
      <c r="CB648" t="s">
        <v>805</v>
      </c>
      <c r="CC648" t="s">
        <v>806</v>
      </c>
    </row>
    <row r="649" spans="1:96">
      <c r="A649" s="40">
        <v>608</v>
      </c>
      <c r="B649" s="40" t="s">
        <v>2629</v>
      </c>
      <c r="C649" s="2" t="s">
        <v>2630</v>
      </c>
      <c r="D649" s="2" t="s">
        <v>10</v>
      </c>
      <c r="E649" s="2" t="s">
        <v>19</v>
      </c>
      <c r="F649" s="2">
        <v>60</v>
      </c>
      <c r="G649" s="2">
        <v>40</v>
      </c>
      <c r="H649" s="2">
        <v>60</v>
      </c>
      <c r="I649" s="2">
        <v>95</v>
      </c>
      <c r="J649" s="2">
        <v>60</v>
      </c>
      <c r="K649" s="2">
        <v>55</v>
      </c>
      <c r="L649" s="2">
        <v>370</v>
      </c>
      <c r="M649" s="2" t="s">
        <v>1158</v>
      </c>
      <c r="N649" s="2" t="s">
        <v>1061</v>
      </c>
      <c r="O649" t="s">
        <v>250</v>
      </c>
      <c r="P649" t="s">
        <v>378</v>
      </c>
      <c r="Q649" t="s">
        <v>530</v>
      </c>
      <c r="R649" t="s">
        <v>1130</v>
      </c>
      <c r="S649" t="s">
        <v>378</v>
      </c>
      <c r="T649" t="s">
        <v>530</v>
      </c>
      <c r="U649" t="s">
        <v>255</v>
      </c>
      <c r="V649" t="s">
        <v>387</v>
      </c>
      <c r="W649" t="s">
        <v>528</v>
      </c>
      <c r="X649" t="s">
        <v>956</v>
      </c>
      <c r="Y649" t="s">
        <v>1026</v>
      </c>
      <c r="Z649" t="s">
        <v>927</v>
      </c>
      <c r="AA649" t="s">
        <v>1029</v>
      </c>
      <c r="AB649" t="s">
        <v>931</v>
      </c>
      <c r="AC649" t="s">
        <v>185</v>
      </c>
      <c r="AD649" t="s">
        <v>751</v>
      </c>
      <c r="AE649" t="s">
        <v>174</v>
      </c>
      <c r="AF649" t="s">
        <v>794</v>
      </c>
      <c r="AG649" t="s">
        <v>1098</v>
      </c>
      <c r="AH649" t="s">
        <v>1062</v>
      </c>
      <c r="AI649" t="s">
        <v>1063</v>
      </c>
      <c r="AJ649" t="s">
        <v>912</v>
      </c>
      <c r="AK649" t="s">
        <v>148</v>
      </c>
      <c r="AL649" t="s">
        <v>172</v>
      </c>
      <c r="AM649" t="s">
        <v>752</v>
      </c>
      <c r="AN649" t="s">
        <v>1126</v>
      </c>
      <c r="AO649" t="s">
        <v>1078</v>
      </c>
      <c r="AP649" t="s">
        <v>759</v>
      </c>
      <c r="AQ649" t="s">
        <v>1079</v>
      </c>
      <c r="AR649" t="s">
        <v>229</v>
      </c>
      <c r="AS649" t="s">
        <v>1080</v>
      </c>
      <c r="AT649" t="s">
        <v>9</v>
      </c>
      <c r="AU649" t="s">
        <v>174</v>
      </c>
      <c r="AV649" t="s">
        <v>230</v>
      </c>
      <c r="AW649" t="s">
        <v>254</v>
      </c>
      <c r="AX649" t="s">
        <v>257</v>
      </c>
      <c r="AY649" t="s">
        <v>917</v>
      </c>
      <c r="AZ649" t="s">
        <v>1097</v>
      </c>
      <c r="BA649" t="s">
        <v>231</v>
      </c>
      <c r="BB649" t="s">
        <v>1082</v>
      </c>
      <c r="BC649" t="s">
        <v>1117</v>
      </c>
      <c r="BD649" t="s">
        <v>1037</v>
      </c>
      <c r="BE649" t="s">
        <v>1098</v>
      </c>
      <c r="BF649" t="s">
        <v>970</v>
      </c>
      <c r="BG649" t="s">
        <v>1031</v>
      </c>
      <c r="BH649" t="s">
        <v>956</v>
      </c>
      <c r="BI649" t="s">
        <v>969</v>
      </c>
      <c r="BJ649" t="s">
        <v>995</v>
      </c>
      <c r="BK649" t="s">
        <v>232</v>
      </c>
      <c r="BL649" t="s">
        <v>785</v>
      </c>
      <c r="BM649" t="s">
        <v>293</v>
      </c>
      <c r="BN649" t="s">
        <v>756</v>
      </c>
      <c r="BO649" t="s">
        <v>757</v>
      </c>
      <c r="BP649" t="s">
        <v>233</v>
      </c>
      <c r="BQ649" t="s">
        <v>1012</v>
      </c>
      <c r="BR649" t="s">
        <v>1157</v>
      </c>
      <c r="BS649" t="s">
        <v>2339</v>
      </c>
      <c r="BT649" t="s">
        <v>234</v>
      </c>
      <c r="BU649" t="s">
        <v>339</v>
      </c>
      <c r="BV649" t="s">
        <v>272</v>
      </c>
      <c r="BW649" t="s">
        <v>517</v>
      </c>
      <c r="BX649" t="s">
        <v>754</v>
      </c>
      <c r="BY649" t="s">
        <v>924</v>
      </c>
      <c r="BZ649" t="s">
        <v>962</v>
      </c>
      <c r="CA649" t="s">
        <v>1191</v>
      </c>
      <c r="CB649" t="s">
        <v>239</v>
      </c>
      <c r="CC649" t="s">
        <v>241</v>
      </c>
      <c r="CD649" t="s">
        <v>805</v>
      </c>
      <c r="CE649" t="s">
        <v>806</v>
      </c>
    </row>
    <row r="650" spans="1:96">
      <c r="A650" s="40">
        <v>609</v>
      </c>
      <c r="B650" s="40" t="s">
        <v>2631</v>
      </c>
      <c r="C650" s="2" t="s">
        <v>2632</v>
      </c>
      <c r="D650" s="2" t="s">
        <v>10</v>
      </c>
      <c r="E650" s="2" t="s">
        <v>19</v>
      </c>
      <c r="F650" s="2">
        <v>60</v>
      </c>
      <c r="G650" s="2">
        <v>55</v>
      </c>
      <c r="H650" s="2">
        <v>90</v>
      </c>
      <c r="I650" s="2">
        <v>145</v>
      </c>
      <c r="J650" s="2">
        <v>90</v>
      </c>
      <c r="K650" s="2">
        <v>80</v>
      </c>
      <c r="L650" s="2">
        <v>520</v>
      </c>
      <c r="M650" s="2" t="s">
        <v>1158</v>
      </c>
      <c r="N650" s="2" t="s">
        <v>1061</v>
      </c>
      <c r="O650" t="s">
        <v>387</v>
      </c>
      <c r="P650" t="s">
        <v>530</v>
      </c>
      <c r="Q650" t="s">
        <v>1026</v>
      </c>
      <c r="R650" t="s">
        <v>1029</v>
      </c>
      <c r="S650" t="s">
        <v>1062</v>
      </c>
      <c r="T650" t="s">
        <v>1063</v>
      </c>
      <c r="U650" t="s">
        <v>912</v>
      </c>
      <c r="V650" t="s">
        <v>148</v>
      </c>
      <c r="W650" t="s">
        <v>172</v>
      </c>
      <c r="X650" t="s">
        <v>752</v>
      </c>
      <c r="Y650" t="s">
        <v>1126</v>
      </c>
      <c r="Z650" t="s">
        <v>247</v>
      </c>
      <c r="AA650" t="s">
        <v>1078</v>
      </c>
      <c r="AB650" t="s">
        <v>759</v>
      </c>
      <c r="AC650" t="s">
        <v>1079</v>
      </c>
      <c r="AD650" t="s">
        <v>229</v>
      </c>
      <c r="AE650" t="s">
        <v>1080</v>
      </c>
      <c r="AF650" t="s">
        <v>9</v>
      </c>
      <c r="AG650" t="s">
        <v>174</v>
      </c>
      <c r="AH650" t="s">
        <v>230</v>
      </c>
      <c r="AI650" t="s">
        <v>254</v>
      </c>
      <c r="AJ650" t="s">
        <v>257</v>
      </c>
      <c r="AK650" t="s">
        <v>917</v>
      </c>
      <c r="AL650" t="s">
        <v>1097</v>
      </c>
      <c r="AM650" t="s">
        <v>231</v>
      </c>
      <c r="AN650" t="s">
        <v>1082</v>
      </c>
      <c r="AO650" t="s">
        <v>1117</v>
      </c>
      <c r="AP650" t="s">
        <v>1037</v>
      </c>
      <c r="AQ650" t="s">
        <v>1098</v>
      </c>
      <c r="AR650" t="s">
        <v>970</v>
      </c>
      <c r="AS650" t="s">
        <v>1031</v>
      </c>
      <c r="AT650" t="s">
        <v>956</v>
      </c>
      <c r="AU650" t="s">
        <v>969</v>
      </c>
      <c r="AV650" t="s">
        <v>995</v>
      </c>
      <c r="AW650" t="s">
        <v>976</v>
      </c>
      <c r="AX650" t="s">
        <v>232</v>
      </c>
      <c r="AY650" t="s">
        <v>785</v>
      </c>
      <c r="AZ650" t="s">
        <v>293</v>
      </c>
      <c r="BA650" t="s">
        <v>756</v>
      </c>
      <c r="BB650" t="s">
        <v>757</v>
      </c>
      <c r="BC650" t="s">
        <v>233</v>
      </c>
      <c r="BD650" t="s">
        <v>1012</v>
      </c>
      <c r="BE650" t="s">
        <v>1157</v>
      </c>
      <c r="BF650" t="s">
        <v>2339</v>
      </c>
      <c r="BG650" t="s">
        <v>234</v>
      </c>
      <c r="BH650" t="s">
        <v>339</v>
      </c>
      <c r="BI650" t="s">
        <v>272</v>
      </c>
      <c r="BJ650" t="s">
        <v>517</v>
      </c>
      <c r="BK650" t="s">
        <v>754</v>
      </c>
      <c r="BL650" t="s">
        <v>924</v>
      </c>
      <c r="BM650" t="s">
        <v>962</v>
      </c>
      <c r="BN650" t="s">
        <v>1191</v>
      </c>
      <c r="BO650" t="s">
        <v>239</v>
      </c>
      <c r="BP650" t="s">
        <v>241</v>
      </c>
      <c r="BQ650" t="s">
        <v>250</v>
      </c>
      <c r="BR650" t="s">
        <v>378</v>
      </c>
      <c r="BS650" t="s">
        <v>1130</v>
      </c>
      <c r="BT650" t="s">
        <v>255</v>
      </c>
      <c r="BU650" t="s">
        <v>528</v>
      </c>
      <c r="BV650" t="s">
        <v>956</v>
      </c>
      <c r="BW650" t="s">
        <v>927</v>
      </c>
      <c r="BX650" t="s">
        <v>931</v>
      </c>
      <c r="BY650" t="s">
        <v>185</v>
      </c>
      <c r="BZ650" t="s">
        <v>751</v>
      </c>
      <c r="CA650" t="s">
        <v>174</v>
      </c>
      <c r="CB650" t="s">
        <v>794</v>
      </c>
      <c r="CC650" t="s">
        <v>1098</v>
      </c>
      <c r="CD650" t="s">
        <v>805</v>
      </c>
      <c r="CE650" t="s">
        <v>806</v>
      </c>
    </row>
    <row r="651" spans="1:96">
      <c r="A651" s="40">
        <v>610</v>
      </c>
      <c r="B651" s="40" t="s">
        <v>2633</v>
      </c>
      <c r="C651" s="2" t="s">
        <v>2634</v>
      </c>
      <c r="D651" s="2" t="s">
        <v>16</v>
      </c>
      <c r="E651" s="2"/>
      <c r="F651" s="2">
        <v>46</v>
      </c>
      <c r="G651" s="2">
        <v>87</v>
      </c>
      <c r="H651" s="2">
        <v>60</v>
      </c>
      <c r="I651" s="2">
        <v>30</v>
      </c>
      <c r="J651" s="2">
        <v>40</v>
      </c>
      <c r="K651" s="2">
        <v>57</v>
      </c>
      <c r="L651" s="2">
        <v>320</v>
      </c>
      <c r="M651" s="2" t="s">
        <v>1074</v>
      </c>
      <c r="N651" s="2" t="s">
        <v>1061</v>
      </c>
      <c r="O651" t="s">
        <v>249</v>
      </c>
      <c r="P651" t="s">
        <v>330</v>
      </c>
      <c r="Q651" t="s">
        <v>960</v>
      </c>
      <c r="R651" t="s">
        <v>252</v>
      </c>
      <c r="S651" t="s">
        <v>1868</v>
      </c>
      <c r="T651" t="s">
        <v>1092</v>
      </c>
      <c r="U651" t="s">
        <v>253</v>
      </c>
      <c r="V651" t="s">
        <v>776</v>
      </c>
      <c r="W651" t="s">
        <v>1093</v>
      </c>
      <c r="X651" t="s">
        <v>915</v>
      </c>
      <c r="Y651" t="s">
        <v>1126</v>
      </c>
      <c r="Z651" t="s">
        <v>967</v>
      </c>
      <c r="AA651" t="s">
        <v>145</v>
      </c>
      <c r="AB651" t="s">
        <v>543</v>
      </c>
      <c r="AC651" t="s">
        <v>764</v>
      </c>
      <c r="AD651" t="s">
        <v>976</v>
      </c>
      <c r="AE651" t="s">
        <v>1062</v>
      </c>
      <c r="AF651" t="s">
        <v>226</v>
      </c>
      <c r="AG651" t="s">
        <v>227</v>
      </c>
      <c r="AH651" t="s">
        <v>1063</v>
      </c>
      <c r="AI651" t="s">
        <v>1030</v>
      </c>
      <c r="AJ651" t="s">
        <v>1093</v>
      </c>
      <c r="AK651" t="s">
        <v>246</v>
      </c>
      <c r="AL651" t="s">
        <v>148</v>
      </c>
      <c r="AM651" t="s">
        <v>172</v>
      </c>
      <c r="AN651" t="s">
        <v>752</v>
      </c>
      <c r="AO651" t="s">
        <v>1126</v>
      </c>
      <c r="AP651" t="s">
        <v>1078</v>
      </c>
      <c r="AQ651" t="s">
        <v>766</v>
      </c>
      <c r="AR651" t="s">
        <v>1079</v>
      </c>
      <c r="AS651" t="s">
        <v>1080</v>
      </c>
      <c r="AT651" t="s">
        <v>256</v>
      </c>
      <c r="AU651" t="s">
        <v>230</v>
      </c>
      <c r="AV651" t="s">
        <v>1095</v>
      </c>
      <c r="AW651" t="s">
        <v>1096</v>
      </c>
      <c r="AX651" t="s">
        <v>917</v>
      </c>
      <c r="AY651" t="s">
        <v>231</v>
      </c>
      <c r="AZ651" t="s">
        <v>1082</v>
      </c>
      <c r="BA651" t="s">
        <v>1037</v>
      </c>
      <c r="BB651" t="s">
        <v>776</v>
      </c>
      <c r="BC651" t="s">
        <v>974</v>
      </c>
      <c r="BD651" t="s">
        <v>1031</v>
      </c>
      <c r="BE651" t="s">
        <v>995</v>
      </c>
      <c r="BF651" t="s">
        <v>976</v>
      </c>
      <c r="BG651" t="s">
        <v>145</v>
      </c>
      <c r="BH651" t="s">
        <v>1018</v>
      </c>
      <c r="BI651" t="s">
        <v>997</v>
      </c>
      <c r="BJ651" t="s">
        <v>756</v>
      </c>
      <c r="BK651" t="s">
        <v>757</v>
      </c>
      <c r="BL651" t="s">
        <v>233</v>
      </c>
      <c r="BM651" t="s">
        <v>760</v>
      </c>
      <c r="BN651" t="s">
        <v>2339</v>
      </c>
      <c r="BO651" t="s">
        <v>234</v>
      </c>
      <c r="BP651" t="s">
        <v>332</v>
      </c>
      <c r="BQ651" t="s">
        <v>259</v>
      </c>
      <c r="BR651" t="s">
        <v>284</v>
      </c>
      <c r="BS651" t="s">
        <v>302</v>
      </c>
      <c r="BT651" t="s">
        <v>775</v>
      </c>
      <c r="BU651" t="s">
        <v>754</v>
      </c>
      <c r="BV651" t="s">
        <v>761</v>
      </c>
      <c r="BW651" t="s">
        <v>916</v>
      </c>
      <c r="BX651" t="s">
        <v>993</v>
      </c>
      <c r="BY651" t="s">
        <v>967</v>
      </c>
      <c r="BZ651" t="s">
        <v>239</v>
      </c>
      <c r="CA651" t="s">
        <v>241</v>
      </c>
      <c r="CB651" t="s">
        <v>805</v>
      </c>
      <c r="CC651" t="s">
        <v>806</v>
      </c>
    </row>
    <row r="652" spans="1:96">
      <c r="A652" s="40">
        <v>611</v>
      </c>
      <c r="B652" s="40" t="s">
        <v>2635</v>
      </c>
      <c r="C652" s="2" t="s">
        <v>2636</v>
      </c>
      <c r="D652" s="2" t="s">
        <v>16</v>
      </c>
      <c r="E652" s="2"/>
      <c r="F652" s="2">
        <v>66</v>
      </c>
      <c r="G652" s="2">
        <v>117</v>
      </c>
      <c r="H652" s="2">
        <v>70</v>
      </c>
      <c r="I652" s="2">
        <v>40</v>
      </c>
      <c r="J652" s="2">
        <v>50</v>
      </c>
      <c r="K652" s="2">
        <v>67</v>
      </c>
      <c r="L652" s="2">
        <v>410</v>
      </c>
      <c r="M652" s="2" t="s">
        <v>1129</v>
      </c>
      <c r="N652" s="2" t="s">
        <v>1061</v>
      </c>
      <c r="O652" t="s">
        <v>249</v>
      </c>
      <c r="P652" t="s">
        <v>330</v>
      </c>
      <c r="Q652" t="s">
        <v>252</v>
      </c>
      <c r="R652" t="s">
        <v>960</v>
      </c>
      <c r="S652" t="s">
        <v>330</v>
      </c>
      <c r="T652" t="s">
        <v>960</v>
      </c>
      <c r="U652" t="s">
        <v>252</v>
      </c>
      <c r="V652" t="s">
        <v>1868</v>
      </c>
      <c r="W652" t="s">
        <v>1092</v>
      </c>
      <c r="X652" t="s">
        <v>253</v>
      </c>
      <c r="Y652" t="s">
        <v>776</v>
      </c>
      <c r="Z652" t="s">
        <v>1093</v>
      </c>
      <c r="AA652" t="s">
        <v>915</v>
      </c>
      <c r="AB652" t="s">
        <v>1126</v>
      </c>
      <c r="AC652" t="s">
        <v>967</v>
      </c>
      <c r="AD652" t="s">
        <v>145</v>
      </c>
      <c r="AE652" t="s">
        <v>543</v>
      </c>
      <c r="AF652" t="s">
        <v>764</v>
      </c>
      <c r="AG652" t="s">
        <v>976</v>
      </c>
      <c r="AH652" t="s">
        <v>1062</v>
      </c>
      <c r="AI652" t="s">
        <v>226</v>
      </c>
      <c r="AJ652" t="s">
        <v>227</v>
      </c>
      <c r="AK652" t="s">
        <v>1063</v>
      </c>
      <c r="AL652" t="s">
        <v>1030</v>
      </c>
      <c r="AM652" t="s">
        <v>1093</v>
      </c>
      <c r="AN652" t="s">
        <v>246</v>
      </c>
      <c r="AO652" t="s">
        <v>148</v>
      </c>
      <c r="AP652" t="s">
        <v>172</v>
      </c>
      <c r="AQ652" t="s">
        <v>752</v>
      </c>
      <c r="AR652" t="s">
        <v>1126</v>
      </c>
      <c r="AS652" t="s">
        <v>1078</v>
      </c>
      <c r="AT652" t="s">
        <v>766</v>
      </c>
      <c r="AU652" t="s">
        <v>1079</v>
      </c>
      <c r="AV652" t="s">
        <v>1080</v>
      </c>
      <c r="AW652" t="s">
        <v>256</v>
      </c>
      <c r="AX652" t="s">
        <v>230</v>
      </c>
      <c r="AY652" t="s">
        <v>1095</v>
      </c>
      <c r="AZ652" t="s">
        <v>1096</v>
      </c>
      <c r="BA652" t="s">
        <v>917</v>
      </c>
      <c r="BB652" t="s">
        <v>231</v>
      </c>
      <c r="BC652" t="s">
        <v>1082</v>
      </c>
      <c r="BD652" t="s">
        <v>1037</v>
      </c>
      <c r="BE652" t="s">
        <v>776</v>
      </c>
      <c r="BF652" t="s">
        <v>974</v>
      </c>
      <c r="BG652" t="s">
        <v>1031</v>
      </c>
      <c r="BH652" t="s">
        <v>1005</v>
      </c>
      <c r="BI652" t="s">
        <v>995</v>
      </c>
      <c r="BJ652" t="s">
        <v>976</v>
      </c>
      <c r="BK652" t="s">
        <v>145</v>
      </c>
      <c r="BL652" t="s">
        <v>1018</v>
      </c>
      <c r="BM652" t="s">
        <v>1022</v>
      </c>
      <c r="BN652" t="s">
        <v>997</v>
      </c>
      <c r="BO652" t="s">
        <v>756</v>
      </c>
      <c r="BP652" t="s">
        <v>757</v>
      </c>
      <c r="BQ652" t="s">
        <v>233</v>
      </c>
      <c r="BR652" t="s">
        <v>760</v>
      </c>
      <c r="BS652" t="s">
        <v>2339</v>
      </c>
      <c r="BT652" t="s">
        <v>234</v>
      </c>
      <c r="BU652" t="s">
        <v>332</v>
      </c>
      <c r="BV652" t="s">
        <v>259</v>
      </c>
      <c r="BW652" t="s">
        <v>284</v>
      </c>
      <c r="BX652" t="s">
        <v>302</v>
      </c>
      <c r="BY652" t="s">
        <v>775</v>
      </c>
      <c r="BZ652" t="s">
        <v>754</v>
      </c>
      <c r="CA652" t="s">
        <v>761</v>
      </c>
      <c r="CB652" t="s">
        <v>916</v>
      </c>
      <c r="CC652" t="s">
        <v>993</v>
      </c>
      <c r="CD652" t="s">
        <v>967</v>
      </c>
      <c r="CE652" t="s">
        <v>239</v>
      </c>
      <c r="CF652" t="s">
        <v>241</v>
      </c>
      <c r="CG652" t="s">
        <v>805</v>
      </c>
      <c r="CH652" t="s">
        <v>806</v>
      </c>
    </row>
    <row r="653" spans="1:96">
      <c r="A653" s="40">
        <v>612</v>
      </c>
      <c r="B653" s="40" t="s">
        <v>2637</v>
      </c>
      <c r="C653" s="2" t="s">
        <v>2638</v>
      </c>
      <c r="D653" s="2" t="s">
        <v>16</v>
      </c>
      <c r="E653" s="2"/>
      <c r="F653" s="2">
        <v>76</v>
      </c>
      <c r="G653" s="2">
        <v>147</v>
      </c>
      <c r="H653" s="2">
        <v>90</v>
      </c>
      <c r="I653" s="2">
        <v>60</v>
      </c>
      <c r="J653" s="2">
        <v>70</v>
      </c>
      <c r="K653" s="2">
        <v>97</v>
      </c>
      <c r="L653" s="2">
        <v>540</v>
      </c>
      <c r="M653" s="2" t="s">
        <v>1161</v>
      </c>
      <c r="N653" s="2" t="s">
        <v>1061</v>
      </c>
      <c r="O653" t="s">
        <v>249</v>
      </c>
      <c r="P653" t="s">
        <v>330</v>
      </c>
      <c r="Q653" t="s">
        <v>252</v>
      </c>
      <c r="R653" t="s">
        <v>960</v>
      </c>
      <c r="S653" t="s">
        <v>330</v>
      </c>
      <c r="T653" t="s">
        <v>960</v>
      </c>
      <c r="U653" t="s">
        <v>252</v>
      </c>
      <c r="V653" t="s">
        <v>1868</v>
      </c>
      <c r="W653" t="s">
        <v>1092</v>
      </c>
      <c r="X653" t="s">
        <v>253</v>
      </c>
      <c r="Y653" t="s">
        <v>776</v>
      </c>
      <c r="Z653" t="s">
        <v>1093</v>
      </c>
      <c r="AA653" t="s">
        <v>915</v>
      </c>
      <c r="AB653" t="s">
        <v>1126</v>
      </c>
      <c r="AC653" t="s">
        <v>967</v>
      </c>
      <c r="AD653" t="s">
        <v>145</v>
      </c>
      <c r="AE653" t="s">
        <v>543</v>
      </c>
      <c r="AF653" t="s">
        <v>764</v>
      </c>
      <c r="AG653" t="s">
        <v>976</v>
      </c>
      <c r="AH653" t="s">
        <v>1062</v>
      </c>
      <c r="AI653" t="s">
        <v>226</v>
      </c>
      <c r="AJ653" t="s">
        <v>144</v>
      </c>
      <c r="AK653" t="s">
        <v>227</v>
      </c>
      <c r="AL653" t="s">
        <v>1063</v>
      </c>
      <c r="AM653" t="s">
        <v>1030</v>
      </c>
      <c r="AN653" t="s">
        <v>1093</v>
      </c>
      <c r="AO653" t="s">
        <v>246</v>
      </c>
      <c r="AP653" t="s">
        <v>148</v>
      </c>
      <c r="AQ653" t="s">
        <v>172</v>
      </c>
      <c r="AR653" t="s">
        <v>752</v>
      </c>
      <c r="AS653" t="s">
        <v>1126</v>
      </c>
      <c r="AT653" t="s">
        <v>247</v>
      </c>
      <c r="AU653" t="s">
        <v>1078</v>
      </c>
      <c r="AV653" t="s">
        <v>766</v>
      </c>
      <c r="AW653" t="s">
        <v>1079</v>
      </c>
      <c r="AX653" t="s">
        <v>136</v>
      </c>
      <c r="AY653" t="s">
        <v>1080</v>
      </c>
      <c r="AZ653" t="s">
        <v>256</v>
      </c>
      <c r="BA653" t="s">
        <v>1094</v>
      </c>
      <c r="BB653" t="s">
        <v>230</v>
      </c>
      <c r="BC653" t="s">
        <v>1095</v>
      </c>
      <c r="BD653" t="s">
        <v>1096</v>
      </c>
      <c r="BE653" t="s">
        <v>917</v>
      </c>
      <c r="BF653" t="s">
        <v>231</v>
      </c>
      <c r="BG653" t="s">
        <v>1082</v>
      </c>
      <c r="BH653" t="s">
        <v>1037</v>
      </c>
      <c r="BI653" t="s">
        <v>1102</v>
      </c>
      <c r="BJ653" t="s">
        <v>776</v>
      </c>
      <c r="BK653" t="s">
        <v>974</v>
      </c>
      <c r="BL653" t="s">
        <v>1031</v>
      </c>
      <c r="BM653" t="s">
        <v>1005</v>
      </c>
      <c r="BN653" t="s">
        <v>995</v>
      </c>
      <c r="BO653" t="s">
        <v>976</v>
      </c>
      <c r="BP653" t="s">
        <v>145</v>
      </c>
      <c r="BQ653" t="s">
        <v>1021</v>
      </c>
      <c r="BR653" t="s">
        <v>143</v>
      </c>
      <c r="BS653" t="s">
        <v>1018</v>
      </c>
      <c r="BT653" t="s">
        <v>1022</v>
      </c>
      <c r="BU653" t="s">
        <v>997</v>
      </c>
      <c r="BV653" t="s">
        <v>977</v>
      </c>
      <c r="BW653" t="s">
        <v>756</v>
      </c>
      <c r="BX653" t="s">
        <v>757</v>
      </c>
      <c r="BY653" t="s">
        <v>233</v>
      </c>
      <c r="BZ653" t="s">
        <v>760</v>
      </c>
      <c r="CA653" t="s">
        <v>2339</v>
      </c>
      <c r="CB653" t="s">
        <v>234</v>
      </c>
      <c r="CC653" t="s">
        <v>332</v>
      </c>
      <c r="CD653" t="s">
        <v>259</v>
      </c>
      <c r="CE653" t="s">
        <v>284</v>
      </c>
      <c r="CF653" t="s">
        <v>302</v>
      </c>
      <c r="CG653" t="s">
        <v>775</v>
      </c>
      <c r="CH653" t="s">
        <v>754</v>
      </c>
      <c r="CI653" t="s">
        <v>761</v>
      </c>
      <c r="CJ653" t="s">
        <v>916</v>
      </c>
      <c r="CK653" t="s">
        <v>993</v>
      </c>
      <c r="CL653" t="s">
        <v>967</v>
      </c>
      <c r="CM653" t="s">
        <v>239</v>
      </c>
      <c r="CN653" t="s">
        <v>241</v>
      </c>
      <c r="CO653" t="s">
        <v>805</v>
      </c>
      <c r="CP653" t="s">
        <v>806</v>
      </c>
    </row>
    <row r="654" spans="1:96">
      <c r="A654" s="40">
        <v>613</v>
      </c>
      <c r="B654" s="40" t="s">
        <v>2639</v>
      </c>
      <c r="C654" s="2" t="s">
        <v>2640</v>
      </c>
      <c r="D654" s="2" t="s">
        <v>23</v>
      </c>
      <c r="E654" s="2"/>
      <c r="F654" s="2">
        <v>55</v>
      </c>
      <c r="G654" s="2">
        <v>70</v>
      </c>
      <c r="H654" s="2">
        <v>40</v>
      </c>
      <c r="I654" s="2">
        <v>60</v>
      </c>
      <c r="J654" s="2">
        <v>40</v>
      </c>
      <c r="K654" s="2">
        <v>40</v>
      </c>
      <c r="L654" s="2">
        <v>305</v>
      </c>
      <c r="M654" s="2" t="s">
        <v>1103</v>
      </c>
      <c r="N654" s="2" t="s">
        <v>1061</v>
      </c>
      <c r="O654" t="s">
        <v>1228</v>
      </c>
      <c r="P654" t="s">
        <v>220</v>
      </c>
      <c r="Q654" t="s">
        <v>347</v>
      </c>
      <c r="R654" t="s">
        <v>769</v>
      </c>
      <c r="S654" t="s">
        <v>2393</v>
      </c>
      <c r="T654" t="s">
        <v>323</v>
      </c>
      <c r="U654" t="s">
        <v>961</v>
      </c>
      <c r="V654" t="s">
        <v>754</v>
      </c>
      <c r="W654" t="s">
        <v>781</v>
      </c>
      <c r="X654" t="s">
        <v>253</v>
      </c>
      <c r="Y654" t="s">
        <v>770</v>
      </c>
      <c r="Z654" t="s">
        <v>231</v>
      </c>
      <c r="AA654" t="s">
        <v>271</v>
      </c>
      <c r="AB654" t="s">
        <v>1104</v>
      </c>
      <c r="AC654" t="s">
        <v>373</v>
      </c>
      <c r="AD654" t="s">
        <v>1210</v>
      </c>
      <c r="AE654" t="s">
        <v>1062</v>
      </c>
      <c r="AF654" t="s">
        <v>226</v>
      </c>
      <c r="AG654" t="s">
        <v>144</v>
      </c>
      <c r="AH654" t="s">
        <v>227</v>
      </c>
      <c r="AI654" t="s">
        <v>1063</v>
      </c>
      <c r="AJ654" t="s">
        <v>1030</v>
      </c>
      <c r="AK654" t="s">
        <v>148</v>
      </c>
      <c r="AL654" t="s">
        <v>1104</v>
      </c>
      <c r="AM654" t="s">
        <v>172</v>
      </c>
      <c r="AN654" t="s">
        <v>141</v>
      </c>
      <c r="AO654" t="s">
        <v>271</v>
      </c>
      <c r="AP654" t="s">
        <v>1078</v>
      </c>
      <c r="AQ654" t="s">
        <v>766</v>
      </c>
      <c r="AR654" t="s">
        <v>1079</v>
      </c>
      <c r="AS654" t="s">
        <v>1080</v>
      </c>
      <c r="AT654" t="s">
        <v>256</v>
      </c>
      <c r="AU654" t="s">
        <v>230</v>
      </c>
      <c r="AV654" t="s">
        <v>1095</v>
      </c>
      <c r="AW654" t="s">
        <v>1096</v>
      </c>
      <c r="AX654" t="s">
        <v>917</v>
      </c>
      <c r="AY654" t="s">
        <v>231</v>
      </c>
      <c r="AZ654" t="s">
        <v>1082</v>
      </c>
      <c r="BA654" t="s">
        <v>1037</v>
      </c>
      <c r="BB654" t="s">
        <v>1083</v>
      </c>
      <c r="BC654" t="s">
        <v>974</v>
      </c>
      <c r="BD654" t="s">
        <v>1005</v>
      </c>
      <c r="BE654" t="s">
        <v>1027</v>
      </c>
      <c r="BF654" t="s">
        <v>977</v>
      </c>
      <c r="BG654" t="s">
        <v>756</v>
      </c>
      <c r="BH654" t="s">
        <v>757</v>
      </c>
      <c r="BI654" t="s">
        <v>233</v>
      </c>
      <c r="BJ654" t="s">
        <v>760</v>
      </c>
      <c r="BK654" t="s">
        <v>2398</v>
      </c>
      <c r="BL654" t="s">
        <v>2339</v>
      </c>
      <c r="BM654" t="s">
        <v>234</v>
      </c>
      <c r="BN654" t="s">
        <v>274</v>
      </c>
      <c r="BO654" t="s">
        <v>757</v>
      </c>
      <c r="BP654" t="s">
        <v>779</v>
      </c>
      <c r="BQ654" t="s">
        <v>920</v>
      </c>
      <c r="BR654" t="s">
        <v>958</v>
      </c>
      <c r="BS654" t="s">
        <v>960</v>
      </c>
      <c r="BT654" t="s">
        <v>993</v>
      </c>
      <c r="BU654" t="s">
        <v>1214</v>
      </c>
      <c r="BV654" t="s">
        <v>239</v>
      </c>
      <c r="BW654" t="s">
        <v>241</v>
      </c>
      <c r="BX654" t="s">
        <v>805</v>
      </c>
      <c r="BY654" t="s">
        <v>806</v>
      </c>
    </row>
    <row r="655" spans="1:96">
      <c r="A655" s="40">
        <v>614</v>
      </c>
      <c r="B655" s="40" t="s">
        <v>2641</v>
      </c>
      <c r="C655" s="2" t="s">
        <v>2642</v>
      </c>
      <c r="D655" s="2" t="s">
        <v>23</v>
      </c>
      <c r="E655" s="2"/>
      <c r="F655" s="2">
        <v>95</v>
      </c>
      <c r="G655" s="2">
        <v>110</v>
      </c>
      <c r="H655" s="2">
        <v>80</v>
      </c>
      <c r="I655" s="2">
        <v>70</v>
      </c>
      <c r="J655" s="2">
        <v>80</v>
      </c>
      <c r="K655" s="2">
        <v>50</v>
      </c>
      <c r="L655" s="2">
        <v>485</v>
      </c>
      <c r="M655" s="2" t="s">
        <v>1752</v>
      </c>
      <c r="N655" s="2" t="s">
        <v>1061</v>
      </c>
      <c r="O655" t="s">
        <v>220</v>
      </c>
      <c r="P655" t="s">
        <v>347</v>
      </c>
      <c r="Q655" t="s">
        <v>1228</v>
      </c>
      <c r="R655" t="s">
        <v>769</v>
      </c>
      <c r="S655" t="s">
        <v>947</v>
      </c>
      <c r="T655" t="s">
        <v>959</v>
      </c>
      <c r="U655" t="s">
        <v>220</v>
      </c>
      <c r="V655" t="s">
        <v>347</v>
      </c>
      <c r="W655" t="s">
        <v>2393</v>
      </c>
      <c r="X655" t="s">
        <v>769</v>
      </c>
      <c r="Y655" t="s">
        <v>323</v>
      </c>
      <c r="Z655" t="s">
        <v>961</v>
      </c>
      <c r="AA655" t="s">
        <v>754</v>
      </c>
      <c r="AB655" t="s">
        <v>756</v>
      </c>
      <c r="AC655" t="s">
        <v>253</v>
      </c>
      <c r="AD655" t="s">
        <v>770</v>
      </c>
      <c r="AE655" t="s">
        <v>1216</v>
      </c>
      <c r="AF655" t="s">
        <v>231</v>
      </c>
      <c r="AG655" t="s">
        <v>271</v>
      </c>
      <c r="AH655" t="s">
        <v>1104</v>
      </c>
      <c r="AI655" t="s">
        <v>373</v>
      </c>
      <c r="AJ655" t="s">
        <v>1210</v>
      </c>
      <c r="AK655" t="s">
        <v>1062</v>
      </c>
      <c r="AL655" t="s">
        <v>226</v>
      </c>
      <c r="AM655" t="s">
        <v>144</v>
      </c>
      <c r="AN655" t="s">
        <v>227</v>
      </c>
      <c r="AO655" t="s">
        <v>914</v>
      </c>
      <c r="AP655" t="s">
        <v>1063</v>
      </c>
      <c r="AQ655" t="s">
        <v>1030</v>
      </c>
      <c r="AR655" t="s">
        <v>246</v>
      </c>
      <c r="AS655" t="s">
        <v>148</v>
      </c>
      <c r="AT655" t="s">
        <v>1104</v>
      </c>
      <c r="AU655" t="s">
        <v>1175</v>
      </c>
      <c r="AV655" t="s">
        <v>172</v>
      </c>
      <c r="AW655" t="s">
        <v>1126</v>
      </c>
      <c r="AX655" t="s">
        <v>141</v>
      </c>
      <c r="AY655" t="s">
        <v>271</v>
      </c>
      <c r="AZ655" t="s">
        <v>247</v>
      </c>
      <c r="BA655" t="s">
        <v>1078</v>
      </c>
      <c r="BB655" t="s">
        <v>766</v>
      </c>
      <c r="BC655" t="s">
        <v>1079</v>
      </c>
      <c r="BD655" t="s">
        <v>1080</v>
      </c>
      <c r="BE655" t="s">
        <v>256</v>
      </c>
      <c r="BF655" t="s">
        <v>1094</v>
      </c>
      <c r="BG655" t="s">
        <v>230</v>
      </c>
      <c r="BH655" t="s">
        <v>1095</v>
      </c>
      <c r="BI655" t="s">
        <v>1096</v>
      </c>
      <c r="BJ655" t="s">
        <v>917</v>
      </c>
      <c r="BK655" t="s">
        <v>231</v>
      </c>
      <c r="BL655" t="s">
        <v>1082</v>
      </c>
      <c r="BM655" t="s">
        <v>1037</v>
      </c>
      <c r="BN655" t="s">
        <v>1083</v>
      </c>
      <c r="BO655" t="s">
        <v>1102</v>
      </c>
      <c r="BP655" t="s">
        <v>974</v>
      </c>
      <c r="BQ655" t="s">
        <v>1005</v>
      </c>
      <c r="BR655" t="s">
        <v>976</v>
      </c>
      <c r="BS655" t="s">
        <v>183</v>
      </c>
      <c r="BT655" t="s">
        <v>145</v>
      </c>
      <c r="BU655" t="s">
        <v>1021</v>
      </c>
      <c r="BV655" t="s">
        <v>1027</v>
      </c>
      <c r="BW655" t="s">
        <v>143</v>
      </c>
      <c r="BX655" t="s">
        <v>977</v>
      </c>
      <c r="BY655" t="s">
        <v>756</v>
      </c>
      <c r="BZ655" t="s">
        <v>757</v>
      </c>
      <c r="CA655" t="s">
        <v>233</v>
      </c>
      <c r="CB655" t="s">
        <v>760</v>
      </c>
      <c r="CC655" t="s">
        <v>2398</v>
      </c>
      <c r="CD655" t="s">
        <v>2339</v>
      </c>
      <c r="CE655" t="s">
        <v>234</v>
      </c>
      <c r="CF655" t="s">
        <v>274</v>
      </c>
      <c r="CG655" t="s">
        <v>757</v>
      </c>
      <c r="CH655" t="s">
        <v>779</v>
      </c>
      <c r="CI655" t="s">
        <v>920</v>
      </c>
      <c r="CJ655" t="s">
        <v>958</v>
      </c>
      <c r="CK655" t="s">
        <v>960</v>
      </c>
      <c r="CL655" t="s">
        <v>993</v>
      </c>
      <c r="CM655" t="s">
        <v>1214</v>
      </c>
      <c r="CN655" t="s">
        <v>239</v>
      </c>
      <c r="CO655" t="s">
        <v>241</v>
      </c>
      <c r="CP655" t="s">
        <v>781</v>
      </c>
      <c r="CQ655" t="s">
        <v>805</v>
      </c>
      <c r="CR655" t="s">
        <v>806</v>
      </c>
    </row>
    <row r="656" spans="1:96">
      <c r="A656" s="40">
        <v>615</v>
      </c>
      <c r="B656" s="40" t="s">
        <v>2643</v>
      </c>
      <c r="C656" s="2" t="s">
        <v>2644</v>
      </c>
      <c r="D656" s="2" t="s">
        <v>23</v>
      </c>
      <c r="E656" s="2"/>
      <c r="F656" s="2">
        <v>70</v>
      </c>
      <c r="G656" s="2">
        <v>50</v>
      </c>
      <c r="H656" s="2">
        <v>30</v>
      </c>
      <c r="I656" s="2">
        <v>95</v>
      </c>
      <c r="J656" s="2">
        <v>135</v>
      </c>
      <c r="K656" s="2">
        <v>105</v>
      </c>
      <c r="L656" s="2">
        <v>485</v>
      </c>
      <c r="M656" s="2" t="s">
        <v>1071</v>
      </c>
      <c r="N656" s="2" t="s">
        <v>1061</v>
      </c>
      <c r="O656" t="s">
        <v>240</v>
      </c>
      <c r="P656" t="s">
        <v>984</v>
      </c>
      <c r="Q656" t="s">
        <v>632</v>
      </c>
      <c r="R656" t="s">
        <v>173</v>
      </c>
      <c r="S656" t="s">
        <v>769</v>
      </c>
      <c r="T656" t="s">
        <v>273</v>
      </c>
      <c r="U656" t="s">
        <v>272</v>
      </c>
      <c r="V656" t="s">
        <v>478</v>
      </c>
      <c r="W656" t="s">
        <v>517</v>
      </c>
      <c r="X656" t="s">
        <v>141</v>
      </c>
      <c r="Y656" t="s">
        <v>228</v>
      </c>
      <c r="Z656" t="s">
        <v>380</v>
      </c>
      <c r="AA656" t="s">
        <v>253</v>
      </c>
      <c r="AB656" t="s">
        <v>387</v>
      </c>
      <c r="AC656" t="s">
        <v>459</v>
      </c>
      <c r="AD656" t="s">
        <v>2363</v>
      </c>
      <c r="AE656" t="s">
        <v>229</v>
      </c>
      <c r="AF656" t="s">
        <v>993</v>
      </c>
      <c r="AG656" t="s">
        <v>1210</v>
      </c>
      <c r="AH656" t="s">
        <v>1062</v>
      </c>
      <c r="AI656" t="s">
        <v>1063</v>
      </c>
      <c r="AJ656" t="s">
        <v>148</v>
      </c>
      <c r="AK656" t="s">
        <v>1104</v>
      </c>
      <c r="AL656" t="s">
        <v>172</v>
      </c>
      <c r="AM656" t="s">
        <v>141</v>
      </c>
      <c r="AN656" t="s">
        <v>271</v>
      </c>
      <c r="AO656" t="s">
        <v>247</v>
      </c>
      <c r="AP656" t="s">
        <v>228</v>
      </c>
      <c r="AQ656" t="s">
        <v>1078</v>
      </c>
      <c r="AR656" t="s">
        <v>766</v>
      </c>
      <c r="AS656" t="s">
        <v>1079</v>
      </c>
      <c r="AT656" t="s">
        <v>229</v>
      </c>
      <c r="AU656" t="s">
        <v>1080</v>
      </c>
      <c r="AV656" t="s">
        <v>230</v>
      </c>
      <c r="AW656" t="s">
        <v>380</v>
      </c>
      <c r="AX656" t="s">
        <v>917</v>
      </c>
      <c r="AY656" t="s">
        <v>231</v>
      </c>
      <c r="AZ656" t="s">
        <v>1082</v>
      </c>
      <c r="BA656" t="s">
        <v>1037</v>
      </c>
      <c r="BB656" t="s">
        <v>1020</v>
      </c>
      <c r="BC656" t="s">
        <v>485</v>
      </c>
      <c r="BD656" t="s">
        <v>1027</v>
      </c>
      <c r="BE656" t="s">
        <v>997</v>
      </c>
      <c r="BF656" t="s">
        <v>756</v>
      </c>
      <c r="BG656" t="s">
        <v>757</v>
      </c>
      <c r="BH656" t="s">
        <v>233</v>
      </c>
      <c r="BI656" t="s">
        <v>973</v>
      </c>
      <c r="BJ656" t="s">
        <v>2339</v>
      </c>
      <c r="BK656" t="s">
        <v>234</v>
      </c>
      <c r="BL656" t="s">
        <v>239</v>
      </c>
      <c r="BM656" t="s">
        <v>241</v>
      </c>
      <c r="BN656" t="s">
        <v>805</v>
      </c>
      <c r="BO656" t="s">
        <v>806</v>
      </c>
    </row>
    <row r="657" spans="1:96">
      <c r="A657" s="40">
        <v>616</v>
      </c>
      <c r="B657" s="40" t="s">
        <v>2645</v>
      </c>
      <c r="C657" s="2" t="s">
        <v>2646</v>
      </c>
      <c r="D657" s="2" t="s">
        <v>14</v>
      </c>
      <c r="E657" s="2"/>
      <c r="F657" s="2">
        <v>50</v>
      </c>
      <c r="G657" s="2">
        <v>40</v>
      </c>
      <c r="H657" s="2">
        <v>85</v>
      </c>
      <c r="I657" s="2">
        <v>40</v>
      </c>
      <c r="J657" s="2">
        <v>65</v>
      </c>
      <c r="K657" s="2">
        <v>25</v>
      </c>
      <c r="L657" s="2">
        <v>305</v>
      </c>
      <c r="M657" s="2" t="s">
        <v>1073</v>
      </c>
      <c r="N657" s="2" t="s">
        <v>1061</v>
      </c>
      <c r="O657" t="s">
        <v>397</v>
      </c>
      <c r="P657" t="s">
        <v>339</v>
      </c>
      <c r="Q657" t="s">
        <v>347</v>
      </c>
      <c r="R657" t="s">
        <v>751</v>
      </c>
      <c r="S657" t="s">
        <v>1042</v>
      </c>
      <c r="T657" t="s">
        <v>403</v>
      </c>
      <c r="U657" t="s">
        <v>958</v>
      </c>
      <c r="V657" t="s">
        <v>1078</v>
      </c>
      <c r="W657" t="s">
        <v>517</v>
      </c>
      <c r="X657" t="s">
        <v>171</v>
      </c>
      <c r="Y657" t="s">
        <v>364</v>
      </c>
      <c r="Z657" t="s">
        <v>1115</v>
      </c>
      <c r="AA657" t="s">
        <v>459</v>
      </c>
      <c r="AB657" t="s">
        <v>1183</v>
      </c>
      <c r="AC657" t="s">
        <v>1024</v>
      </c>
      <c r="AD657" t="s">
        <v>1062</v>
      </c>
      <c r="AE657" t="s">
        <v>1063</v>
      </c>
      <c r="AF657" t="s">
        <v>148</v>
      </c>
      <c r="AG657" t="s">
        <v>1077</v>
      </c>
      <c r="AH657" t="s">
        <v>172</v>
      </c>
      <c r="AI657" t="s">
        <v>1078</v>
      </c>
      <c r="AJ657" t="s">
        <v>766</v>
      </c>
      <c r="AK657" t="s">
        <v>1079</v>
      </c>
      <c r="AL657" t="s">
        <v>1080</v>
      </c>
      <c r="AM657" t="s">
        <v>230</v>
      </c>
      <c r="AN657" t="s">
        <v>1081</v>
      </c>
      <c r="AO657" t="s">
        <v>917</v>
      </c>
      <c r="AP657" t="s">
        <v>231</v>
      </c>
      <c r="AQ657" t="s">
        <v>1082</v>
      </c>
      <c r="AR657" t="s">
        <v>1037</v>
      </c>
      <c r="AS657" t="s">
        <v>970</v>
      </c>
      <c r="AT657" t="s">
        <v>1042</v>
      </c>
      <c r="AU657" t="s">
        <v>2369</v>
      </c>
      <c r="AV657" t="s">
        <v>756</v>
      </c>
      <c r="AW657" t="s">
        <v>757</v>
      </c>
      <c r="AX657" t="s">
        <v>233</v>
      </c>
      <c r="AY657" t="s">
        <v>2339</v>
      </c>
      <c r="AZ657" t="s">
        <v>234</v>
      </c>
      <c r="BA657" t="s">
        <v>225</v>
      </c>
      <c r="BB657" t="s">
        <v>792</v>
      </c>
      <c r="BC657" t="s">
        <v>755</v>
      </c>
      <c r="BD657" t="s">
        <v>1215</v>
      </c>
      <c r="BE657" t="s">
        <v>754</v>
      </c>
      <c r="BF657" t="s">
        <v>788</v>
      </c>
      <c r="BG657" t="s">
        <v>779</v>
      </c>
      <c r="BH657" t="s">
        <v>773</v>
      </c>
      <c r="BI657" t="s">
        <v>971</v>
      </c>
      <c r="BJ657" t="s">
        <v>1182</v>
      </c>
      <c r="BK657" t="s">
        <v>239</v>
      </c>
      <c r="BL657" t="s">
        <v>241</v>
      </c>
      <c r="BM657" t="s">
        <v>805</v>
      </c>
      <c r="BN657" t="s">
        <v>806</v>
      </c>
    </row>
    <row r="658" spans="1:96">
      <c r="A658" s="40">
        <v>617</v>
      </c>
      <c r="B658" s="40" t="s">
        <v>2647</v>
      </c>
      <c r="C658" s="2" t="s">
        <v>2648</v>
      </c>
      <c r="D658" s="2" t="s">
        <v>14</v>
      </c>
      <c r="E658" s="2"/>
      <c r="F658" s="2">
        <v>80</v>
      </c>
      <c r="G658" s="2">
        <v>70</v>
      </c>
      <c r="H658" s="2">
        <v>40</v>
      </c>
      <c r="I658" s="2">
        <v>100</v>
      </c>
      <c r="J658" s="2">
        <v>60</v>
      </c>
      <c r="K658" s="2">
        <v>145</v>
      </c>
      <c r="L658" s="2">
        <v>495</v>
      </c>
      <c r="M658" s="2" t="s">
        <v>1177</v>
      </c>
      <c r="N658" s="2" t="s">
        <v>1061</v>
      </c>
      <c r="O658" t="s">
        <v>310</v>
      </c>
      <c r="P658" t="s">
        <v>230</v>
      </c>
      <c r="Q658" t="s">
        <v>397</v>
      </c>
      <c r="R658" t="s">
        <v>1134</v>
      </c>
      <c r="S658" t="s">
        <v>1134</v>
      </c>
      <c r="T658" t="s">
        <v>230</v>
      </c>
      <c r="U658" t="s">
        <v>310</v>
      </c>
      <c r="V658" t="s">
        <v>1042</v>
      </c>
      <c r="W658" t="s">
        <v>403</v>
      </c>
      <c r="X658" t="s">
        <v>354</v>
      </c>
      <c r="Y658" t="s">
        <v>989</v>
      </c>
      <c r="Z658" t="s">
        <v>306</v>
      </c>
      <c r="AA658" t="s">
        <v>171</v>
      </c>
      <c r="AB658" t="s">
        <v>1014</v>
      </c>
      <c r="AC658" t="s">
        <v>1115</v>
      </c>
      <c r="AD658" t="s">
        <v>459</v>
      </c>
      <c r="AE658" t="s">
        <v>998</v>
      </c>
      <c r="AF658" t="s">
        <v>1024</v>
      </c>
      <c r="AG658" t="s">
        <v>1062</v>
      </c>
      <c r="AH658" t="s">
        <v>1063</v>
      </c>
      <c r="AI658" t="s">
        <v>148</v>
      </c>
      <c r="AJ658" t="s">
        <v>1077</v>
      </c>
      <c r="AK658" t="s">
        <v>172</v>
      </c>
      <c r="AL658" t="s">
        <v>247</v>
      </c>
      <c r="AM658" t="s">
        <v>1078</v>
      </c>
      <c r="AN658" t="s">
        <v>766</v>
      </c>
      <c r="AO658" t="s">
        <v>1079</v>
      </c>
      <c r="AP658" t="s">
        <v>1080</v>
      </c>
      <c r="AQ658" t="s">
        <v>230</v>
      </c>
      <c r="AR658" t="s">
        <v>1081</v>
      </c>
      <c r="AS658" t="s">
        <v>765</v>
      </c>
      <c r="AT658" t="s">
        <v>917</v>
      </c>
      <c r="AU658" t="s">
        <v>231</v>
      </c>
      <c r="AV658" t="s">
        <v>1082</v>
      </c>
      <c r="AW658" t="s">
        <v>1037</v>
      </c>
      <c r="AX658" t="s">
        <v>1102</v>
      </c>
      <c r="AY658" t="s">
        <v>970</v>
      </c>
      <c r="AZ658" t="s">
        <v>976</v>
      </c>
      <c r="BA658" t="s">
        <v>1042</v>
      </c>
      <c r="BB658" t="s">
        <v>2369</v>
      </c>
      <c r="BC658" t="s">
        <v>756</v>
      </c>
      <c r="BD658" t="s">
        <v>757</v>
      </c>
      <c r="BE658" t="s">
        <v>1014</v>
      </c>
      <c r="BF658" t="s">
        <v>233</v>
      </c>
      <c r="BG658" t="s">
        <v>2339</v>
      </c>
      <c r="BH658" t="s">
        <v>234</v>
      </c>
      <c r="BI658" t="s">
        <v>225</v>
      </c>
      <c r="BJ658" t="s">
        <v>792</v>
      </c>
      <c r="BK658" t="s">
        <v>755</v>
      </c>
      <c r="BL658" t="s">
        <v>1215</v>
      </c>
      <c r="BM658" t="s">
        <v>754</v>
      </c>
      <c r="BN658" t="s">
        <v>788</v>
      </c>
      <c r="BO658" t="s">
        <v>779</v>
      </c>
      <c r="BP658" t="s">
        <v>773</v>
      </c>
      <c r="BQ658" t="s">
        <v>971</v>
      </c>
      <c r="BR658" t="s">
        <v>1182</v>
      </c>
      <c r="BS658" t="s">
        <v>239</v>
      </c>
      <c r="BT658" t="s">
        <v>241</v>
      </c>
      <c r="BU658" t="s">
        <v>339</v>
      </c>
      <c r="BV658" t="s">
        <v>347</v>
      </c>
      <c r="BW658" t="s">
        <v>751</v>
      </c>
      <c r="BX658" t="s">
        <v>958</v>
      </c>
      <c r="BY658" t="s">
        <v>1078</v>
      </c>
      <c r="BZ658" t="s">
        <v>517</v>
      </c>
      <c r="CA658" t="s">
        <v>364</v>
      </c>
      <c r="CB658" t="s">
        <v>1183</v>
      </c>
      <c r="CC658" t="s">
        <v>805</v>
      </c>
      <c r="CD658" t="s">
        <v>806</v>
      </c>
    </row>
    <row r="659" spans="1:96">
      <c r="A659" s="40">
        <v>618</v>
      </c>
      <c r="B659" s="40" t="s">
        <v>2649</v>
      </c>
      <c r="C659" s="2" t="s">
        <v>2650</v>
      </c>
      <c r="D659" s="2" t="s">
        <v>17</v>
      </c>
      <c r="E659" s="2" t="s">
        <v>22</v>
      </c>
      <c r="F659" s="2">
        <v>109</v>
      </c>
      <c r="G659" s="2">
        <v>66</v>
      </c>
      <c r="H659" s="2">
        <v>84</v>
      </c>
      <c r="I659" s="2">
        <v>81</v>
      </c>
      <c r="J659" s="2">
        <v>99</v>
      </c>
      <c r="K659" s="2">
        <v>32</v>
      </c>
      <c r="L659" s="2">
        <v>471</v>
      </c>
      <c r="M659" s="2" t="s">
        <v>1091</v>
      </c>
      <c r="N659" s="2" t="s">
        <v>1061</v>
      </c>
      <c r="O659" t="s">
        <v>755</v>
      </c>
      <c r="P659" t="s">
        <v>933</v>
      </c>
      <c r="Q659" t="s">
        <v>347</v>
      </c>
      <c r="R659" t="s">
        <v>346</v>
      </c>
      <c r="S659" t="s">
        <v>1144</v>
      </c>
      <c r="T659" t="s">
        <v>1226</v>
      </c>
      <c r="U659" t="s">
        <v>990</v>
      </c>
      <c r="V659" t="s">
        <v>1138</v>
      </c>
      <c r="W659" t="s">
        <v>754</v>
      </c>
      <c r="X659" t="s">
        <v>175</v>
      </c>
      <c r="Y659" t="s">
        <v>1105</v>
      </c>
      <c r="Z659" t="s">
        <v>146</v>
      </c>
      <c r="AA659" t="s">
        <v>1128</v>
      </c>
      <c r="AB659" t="s">
        <v>770</v>
      </c>
      <c r="AC659" t="s">
        <v>419</v>
      </c>
      <c r="AD659" t="s">
        <v>1062</v>
      </c>
      <c r="AE659" t="s">
        <v>144</v>
      </c>
      <c r="AF659" t="s">
        <v>1063</v>
      </c>
      <c r="AG659" t="s">
        <v>148</v>
      </c>
      <c r="AH659" t="s">
        <v>172</v>
      </c>
      <c r="AI659" t="s">
        <v>1078</v>
      </c>
      <c r="AJ659" t="s">
        <v>766</v>
      </c>
      <c r="AK659" t="s">
        <v>1079</v>
      </c>
      <c r="AL659" t="s">
        <v>146</v>
      </c>
      <c r="AM659" t="s">
        <v>321</v>
      </c>
      <c r="AN659" t="s">
        <v>136</v>
      </c>
      <c r="AO659" t="s">
        <v>1080</v>
      </c>
      <c r="AP659" t="s">
        <v>256</v>
      </c>
      <c r="AQ659" t="s">
        <v>230</v>
      </c>
      <c r="AR659" t="s">
        <v>186</v>
      </c>
      <c r="AS659" t="s">
        <v>1081</v>
      </c>
      <c r="AT659" t="s">
        <v>765</v>
      </c>
      <c r="AU659" t="s">
        <v>1095</v>
      </c>
      <c r="AV659" t="s">
        <v>917</v>
      </c>
      <c r="AW659" t="s">
        <v>231</v>
      </c>
      <c r="AX659" t="s">
        <v>1082</v>
      </c>
      <c r="AY659" t="s">
        <v>1037</v>
      </c>
      <c r="AZ659" t="s">
        <v>1038</v>
      </c>
      <c r="BA659" t="s">
        <v>995</v>
      </c>
      <c r="BB659" t="s">
        <v>232</v>
      </c>
      <c r="BC659" t="s">
        <v>183</v>
      </c>
      <c r="BD659" t="s">
        <v>322</v>
      </c>
      <c r="BE659" t="s">
        <v>1021</v>
      </c>
      <c r="BF659" t="s">
        <v>143</v>
      </c>
      <c r="BG659" t="s">
        <v>2369</v>
      </c>
      <c r="BH659" t="s">
        <v>756</v>
      </c>
      <c r="BI659" t="s">
        <v>757</v>
      </c>
      <c r="BJ659" t="s">
        <v>233</v>
      </c>
      <c r="BK659" t="s">
        <v>2339</v>
      </c>
      <c r="BL659" t="s">
        <v>234</v>
      </c>
      <c r="BM659" t="s">
        <v>751</v>
      </c>
      <c r="BN659" t="s">
        <v>778</v>
      </c>
      <c r="BO659" t="s">
        <v>1203</v>
      </c>
      <c r="BP659" t="s">
        <v>757</v>
      </c>
      <c r="BQ659" t="s">
        <v>794</v>
      </c>
      <c r="BR659" t="s">
        <v>958</v>
      </c>
      <c r="BS659" t="s">
        <v>1130</v>
      </c>
      <c r="BT659" t="s">
        <v>1230</v>
      </c>
      <c r="BU659" t="s">
        <v>989</v>
      </c>
      <c r="BV659" t="s">
        <v>968</v>
      </c>
      <c r="BW659" t="s">
        <v>1227</v>
      </c>
      <c r="BX659" t="s">
        <v>2346</v>
      </c>
      <c r="BY659" t="s">
        <v>239</v>
      </c>
      <c r="BZ659" t="s">
        <v>241</v>
      </c>
      <c r="CA659" t="s">
        <v>805</v>
      </c>
      <c r="CB659" t="s">
        <v>806</v>
      </c>
    </row>
    <row r="660" spans="1:96">
      <c r="A660" s="40">
        <v>619</v>
      </c>
      <c r="B660" s="40" t="s">
        <v>2651</v>
      </c>
      <c r="C660" s="2" t="s">
        <v>2652</v>
      </c>
      <c r="D660" s="2" t="s">
        <v>18</v>
      </c>
      <c r="E660" s="2"/>
      <c r="F660" s="2">
        <v>45</v>
      </c>
      <c r="G660" s="2">
        <v>85</v>
      </c>
      <c r="H660" s="2">
        <v>50</v>
      </c>
      <c r="I660" s="2">
        <v>55</v>
      </c>
      <c r="J660" s="2">
        <v>50</v>
      </c>
      <c r="K660" s="2">
        <v>65</v>
      </c>
      <c r="L660" s="2">
        <v>350</v>
      </c>
      <c r="M660" s="2" t="s">
        <v>1129</v>
      </c>
      <c r="N660" s="2" t="s">
        <v>1061</v>
      </c>
      <c r="O660" t="s">
        <v>376</v>
      </c>
      <c r="P660" t="s">
        <v>437</v>
      </c>
      <c r="Q660" t="s">
        <v>1220</v>
      </c>
      <c r="R660" t="s">
        <v>176</v>
      </c>
      <c r="S660" t="s">
        <v>348</v>
      </c>
      <c r="T660" t="s">
        <v>354</v>
      </c>
      <c r="U660" t="s">
        <v>912</v>
      </c>
      <c r="V660" t="s">
        <v>1525</v>
      </c>
      <c r="W660" t="s">
        <v>181</v>
      </c>
      <c r="X660" t="s">
        <v>565</v>
      </c>
      <c r="Y660" t="s">
        <v>1014</v>
      </c>
      <c r="Z660" t="s">
        <v>1035</v>
      </c>
      <c r="AA660" t="s">
        <v>175</v>
      </c>
      <c r="AB660" t="s">
        <v>566</v>
      </c>
      <c r="AC660" t="s">
        <v>775</v>
      </c>
      <c r="AD660" t="s">
        <v>1234</v>
      </c>
      <c r="AE660" t="s">
        <v>1062</v>
      </c>
      <c r="AF660" t="s">
        <v>227</v>
      </c>
      <c r="AG660" t="s">
        <v>1063</v>
      </c>
      <c r="AH660" t="s">
        <v>912</v>
      </c>
      <c r="AI660" t="s">
        <v>148</v>
      </c>
      <c r="AJ660" t="s">
        <v>1175</v>
      </c>
      <c r="AK660" t="s">
        <v>172</v>
      </c>
      <c r="AL660" t="s">
        <v>752</v>
      </c>
      <c r="AM660" t="s">
        <v>1126</v>
      </c>
      <c r="AN660" t="s">
        <v>1078</v>
      </c>
      <c r="AO660" t="s">
        <v>766</v>
      </c>
      <c r="AP660" t="s">
        <v>1079</v>
      </c>
      <c r="AQ660" t="s">
        <v>1080</v>
      </c>
      <c r="AR660" t="s">
        <v>256</v>
      </c>
      <c r="AS660" t="s">
        <v>1094</v>
      </c>
      <c r="AT660" t="s">
        <v>230</v>
      </c>
      <c r="AU660" t="s">
        <v>380</v>
      </c>
      <c r="AV660" t="s">
        <v>1095</v>
      </c>
      <c r="AW660" t="s">
        <v>1096</v>
      </c>
      <c r="AX660" t="s">
        <v>917</v>
      </c>
      <c r="AY660" t="s">
        <v>231</v>
      </c>
      <c r="AZ660" t="s">
        <v>1082</v>
      </c>
      <c r="BA660" t="s">
        <v>1172</v>
      </c>
      <c r="BB660" t="s">
        <v>1037</v>
      </c>
      <c r="BC660" t="s">
        <v>1102</v>
      </c>
      <c r="BD660" t="s">
        <v>974</v>
      </c>
      <c r="BE660" t="s">
        <v>1020</v>
      </c>
      <c r="BF660" t="s">
        <v>995</v>
      </c>
      <c r="BG660" t="s">
        <v>1036</v>
      </c>
      <c r="BH660" t="s">
        <v>183</v>
      </c>
      <c r="BI660" t="s">
        <v>145</v>
      </c>
      <c r="BJ660" t="s">
        <v>785</v>
      </c>
      <c r="BK660" t="s">
        <v>143</v>
      </c>
      <c r="BL660" t="s">
        <v>997</v>
      </c>
      <c r="BM660" t="s">
        <v>977</v>
      </c>
      <c r="BN660" t="s">
        <v>756</v>
      </c>
      <c r="BO660" t="s">
        <v>757</v>
      </c>
      <c r="BP660" t="s">
        <v>1014</v>
      </c>
      <c r="BQ660" t="s">
        <v>233</v>
      </c>
      <c r="BR660" t="s">
        <v>760</v>
      </c>
      <c r="BS660" t="s">
        <v>2398</v>
      </c>
      <c r="BT660" t="s">
        <v>2339</v>
      </c>
      <c r="BU660" t="s">
        <v>234</v>
      </c>
      <c r="BV660" t="s">
        <v>432</v>
      </c>
      <c r="BW660" t="s">
        <v>754</v>
      </c>
      <c r="BX660" t="s">
        <v>788</v>
      </c>
      <c r="BY660" t="s">
        <v>1185</v>
      </c>
      <c r="BZ660" t="s">
        <v>944</v>
      </c>
      <c r="CA660" t="s">
        <v>928</v>
      </c>
      <c r="CB660" t="s">
        <v>971</v>
      </c>
      <c r="CC660" t="s">
        <v>989</v>
      </c>
      <c r="CD660" t="s">
        <v>1181</v>
      </c>
      <c r="CE660" t="s">
        <v>239</v>
      </c>
      <c r="CF660" t="s">
        <v>241</v>
      </c>
      <c r="CG660" t="s">
        <v>805</v>
      </c>
      <c r="CH660" t="s">
        <v>806</v>
      </c>
    </row>
    <row r="661" spans="1:96">
      <c r="A661" s="40">
        <v>620</v>
      </c>
      <c r="B661" s="40" t="s">
        <v>2653</v>
      </c>
      <c r="C661" s="2" t="s">
        <v>2654</v>
      </c>
      <c r="D661" s="2" t="s">
        <v>18</v>
      </c>
      <c r="E661" s="2"/>
      <c r="F661" s="2">
        <v>65</v>
      </c>
      <c r="G661" s="2">
        <v>125</v>
      </c>
      <c r="H661" s="2">
        <v>60</v>
      </c>
      <c r="I661" s="2">
        <v>95</v>
      </c>
      <c r="J661" s="2">
        <v>60</v>
      </c>
      <c r="K661" s="2">
        <v>105</v>
      </c>
      <c r="L661" s="2">
        <v>510</v>
      </c>
      <c r="M661" s="2" t="s">
        <v>1108</v>
      </c>
      <c r="N661" s="2" t="s">
        <v>1061</v>
      </c>
      <c r="O661" t="s">
        <v>376</v>
      </c>
      <c r="P661" t="s">
        <v>437</v>
      </c>
      <c r="Q661" t="s">
        <v>1220</v>
      </c>
      <c r="R661" t="s">
        <v>176</v>
      </c>
      <c r="S661" t="s">
        <v>437</v>
      </c>
      <c r="T661" t="s">
        <v>1220</v>
      </c>
      <c r="U661" t="s">
        <v>176</v>
      </c>
      <c r="V661" t="s">
        <v>348</v>
      </c>
      <c r="W661" t="s">
        <v>354</v>
      </c>
      <c r="X661" t="s">
        <v>912</v>
      </c>
      <c r="Y661" t="s">
        <v>1525</v>
      </c>
      <c r="Z661" t="s">
        <v>181</v>
      </c>
      <c r="AA661" t="s">
        <v>565</v>
      </c>
      <c r="AB661" t="s">
        <v>1014</v>
      </c>
      <c r="AC661" t="s">
        <v>1187</v>
      </c>
      <c r="AD661" t="s">
        <v>175</v>
      </c>
      <c r="AE661" t="s">
        <v>566</v>
      </c>
      <c r="AF661" t="s">
        <v>775</v>
      </c>
      <c r="AG661" t="s">
        <v>1234</v>
      </c>
      <c r="AH661" t="s">
        <v>1062</v>
      </c>
      <c r="AI661" t="s">
        <v>227</v>
      </c>
      <c r="AJ661" t="s">
        <v>1063</v>
      </c>
      <c r="AK661" t="s">
        <v>912</v>
      </c>
      <c r="AL661" t="s">
        <v>148</v>
      </c>
      <c r="AM661" t="s">
        <v>1175</v>
      </c>
      <c r="AN661" t="s">
        <v>172</v>
      </c>
      <c r="AO661" t="s">
        <v>752</v>
      </c>
      <c r="AP661" t="s">
        <v>1126</v>
      </c>
      <c r="AQ661" t="s">
        <v>247</v>
      </c>
      <c r="AR661" t="s">
        <v>1078</v>
      </c>
      <c r="AS661" t="s">
        <v>766</v>
      </c>
      <c r="AT661" t="s">
        <v>1079</v>
      </c>
      <c r="AU661" t="s">
        <v>1080</v>
      </c>
      <c r="AV661" t="s">
        <v>256</v>
      </c>
      <c r="AW661" t="s">
        <v>1094</v>
      </c>
      <c r="AX661" t="s">
        <v>230</v>
      </c>
      <c r="AY661" t="s">
        <v>380</v>
      </c>
      <c r="AZ661" t="s">
        <v>1095</v>
      </c>
      <c r="BA661" t="s">
        <v>1096</v>
      </c>
      <c r="BB661" t="s">
        <v>917</v>
      </c>
      <c r="BC661" t="s">
        <v>231</v>
      </c>
      <c r="BD661" t="s">
        <v>1082</v>
      </c>
      <c r="BE661" t="s">
        <v>1172</v>
      </c>
      <c r="BF661" t="s">
        <v>1037</v>
      </c>
      <c r="BG661" t="s">
        <v>1102</v>
      </c>
      <c r="BH661" t="s">
        <v>974</v>
      </c>
      <c r="BI661" t="s">
        <v>1020</v>
      </c>
      <c r="BJ661" t="s">
        <v>995</v>
      </c>
      <c r="BK661" t="s">
        <v>1036</v>
      </c>
      <c r="BL661" t="s">
        <v>976</v>
      </c>
      <c r="BM661" t="s">
        <v>183</v>
      </c>
      <c r="BN661" t="s">
        <v>145</v>
      </c>
      <c r="BO661" t="s">
        <v>785</v>
      </c>
      <c r="BP661" t="s">
        <v>143</v>
      </c>
      <c r="BQ661" t="s">
        <v>997</v>
      </c>
      <c r="BR661" t="s">
        <v>977</v>
      </c>
      <c r="BS661" t="s">
        <v>756</v>
      </c>
      <c r="BT661" t="s">
        <v>757</v>
      </c>
      <c r="BU661" t="s">
        <v>1014</v>
      </c>
      <c r="BV661" t="s">
        <v>233</v>
      </c>
      <c r="BW661" t="s">
        <v>760</v>
      </c>
      <c r="BX661" t="s">
        <v>2398</v>
      </c>
      <c r="BY661" t="s">
        <v>2339</v>
      </c>
      <c r="BZ661" t="s">
        <v>234</v>
      </c>
      <c r="CA661" t="s">
        <v>432</v>
      </c>
      <c r="CB661" t="s">
        <v>754</v>
      </c>
      <c r="CC661" t="s">
        <v>788</v>
      </c>
      <c r="CD661" t="s">
        <v>1185</v>
      </c>
      <c r="CE661" t="s">
        <v>944</v>
      </c>
      <c r="CF661" t="s">
        <v>928</v>
      </c>
      <c r="CG661" t="s">
        <v>971</v>
      </c>
      <c r="CH661" t="s">
        <v>989</v>
      </c>
      <c r="CI661" t="s">
        <v>1181</v>
      </c>
      <c r="CJ661" t="s">
        <v>239</v>
      </c>
      <c r="CK661" t="s">
        <v>241</v>
      </c>
      <c r="CL661" t="s">
        <v>1035</v>
      </c>
      <c r="CM661" t="s">
        <v>805</v>
      </c>
      <c r="CN661" t="s">
        <v>806</v>
      </c>
    </row>
    <row r="662" spans="1:96">
      <c r="A662" s="40">
        <v>621</v>
      </c>
      <c r="B662" s="40" t="s">
        <v>2655</v>
      </c>
      <c r="C662" s="2" t="s">
        <v>2656</v>
      </c>
      <c r="D662" s="2" t="s">
        <v>16</v>
      </c>
      <c r="E662" s="2"/>
      <c r="F662" s="2">
        <v>77</v>
      </c>
      <c r="G662" s="2">
        <v>120</v>
      </c>
      <c r="H662" s="2">
        <v>90</v>
      </c>
      <c r="I662" s="2">
        <v>60</v>
      </c>
      <c r="J662" s="2">
        <v>90</v>
      </c>
      <c r="K662" s="2">
        <v>48</v>
      </c>
      <c r="L662" s="2">
        <v>485</v>
      </c>
      <c r="M662" s="2" t="s">
        <v>1752</v>
      </c>
      <c r="N662" s="2" t="s">
        <v>1061</v>
      </c>
      <c r="O662" t="s">
        <v>249</v>
      </c>
      <c r="P662" t="s">
        <v>330</v>
      </c>
      <c r="Q662" t="s">
        <v>1030</v>
      </c>
      <c r="R662" t="s">
        <v>258</v>
      </c>
      <c r="S662" t="s">
        <v>1092</v>
      </c>
      <c r="T662" t="s">
        <v>252</v>
      </c>
      <c r="U662" t="s">
        <v>253</v>
      </c>
      <c r="V662" t="s">
        <v>777</v>
      </c>
      <c r="W662" t="s">
        <v>1093</v>
      </c>
      <c r="X662" t="s">
        <v>1142</v>
      </c>
      <c r="Y662" t="s">
        <v>1128</v>
      </c>
      <c r="Z662" t="s">
        <v>993</v>
      </c>
      <c r="AA662" t="s">
        <v>1022</v>
      </c>
      <c r="AB662" t="s">
        <v>1002</v>
      </c>
      <c r="AC662" t="s">
        <v>947</v>
      </c>
      <c r="AD662" t="s">
        <v>764</v>
      </c>
      <c r="AE662" t="s">
        <v>1062</v>
      </c>
      <c r="AF662" t="s">
        <v>226</v>
      </c>
      <c r="AG662" t="s">
        <v>144</v>
      </c>
      <c r="AH662" t="s">
        <v>227</v>
      </c>
      <c r="AI662" t="s">
        <v>1063</v>
      </c>
      <c r="AJ662" t="s">
        <v>1030</v>
      </c>
      <c r="AK662" t="s">
        <v>1093</v>
      </c>
      <c r="AL662" t="s">
        <v>246</v>
      </c>
      <c r="AM662" t="s">
        <v>148</v>
      </c>
      <c r="AN662" t="s">
        <v>172</v>
      </c>
      <c r="AO662" t="s">
        <v>752</v>
      </c>
      <c r="AP662" t="s">
        <v>1126</v>
      </c>
      <c r="AQ662" t="s">
        <v>247</v>
      </c>
      <c r="AR662" t="s">
        <v>1078</v>
      </c>
      <c r="AS662" t="s">
        <v>766</v>
      </c>
      <c r="AT662" t="s">
        <v>1079</v>
      </c>
      <c r="AU662" t="s">
        <v>1109</v>
      </c>
      <c r="AV662" t="s">
        <v>136</v>
      </c>
      <c r="AW662" t="s">
        <v>1080</v>
      </c>
      <c r="AX662" t="s">
        <v>256</v>
      </c>
      <c r="AY662" t="s">
        <v>230</v>
      </c>
      <c r="AZ662" t="s">
        <v>254</v>
      </c>
      <c r="BA662" t="s">
        <v>1081</v>
      </c>
      <c r="BB662" t="s">
        <v>1095</v>
      </c>
      <c r="BC662" t="s">
        <v>1096</v>
      </c>
      <c r="BD662" t="s">
        <v>951</v>
      </c>
      <c r="BE662" t="s">
        <v>917</v>
      </c>
      <c r="BF662" t="s">
        <v>231</v>
      </c>
      <c r="BG662" t="s">
        <v>1082</v>
      </c>
      <c r="BH662" t="s">
        <v>1037</v>
      </c>
      <c r="BI662" t="s">
        <v>1102</v>
      </c>
      <c r="BJ662" t="s">
        <v>974</v>
      </c>
      <c r="BK662" t="s">
        <v>963</v>
      </c>
      <c r="BL662" t="s">
        <v>1031</v>
      </c>
      <c r="BM662" t="s">
        <v>1005</v>
      </c>
      <c r="BN662" t="s">
        <v>995</v>
      </c>
      <c r="BO662" t="s">
        <v>1036</v>
      </c>
      <c r="BP662" t="s">
        <v>976</v>
      </c>
      <c r="BQ662" t="s">
        <v>1021</v>
      </c>
      <c r="BR662" t="s">
        <v>143</v>
      </c>
      <c r="BS662" t="s">
        <v>1022</v>
      </c>
      <c r="BT662" t="s">
        <v>756</v>
      </c>
      <c r="BU662" t="s">
        <v>757</v>
      </c>
      <c r="BV662" t="s">
        <v>233</v>
      </c>
      <c r="BW662" t="s">
        <v>973</v>
      </c>
      <c r="BX662" t="s">
        <v>760</v>
      </c>
      <c r="BY662" t="s">
        <v>1040</v>
      </c>
      <c r="BZ662" t="s">
        <v>1157</v>
      </c>
      <c r="CA662" t="s">
        <v>2398</v>
      </c>
      <c r="CB662" t="s">
        <v>2339</v>
      </c>
      <c r="CC662" t="s">
        <v>234</v>
      </c>
      <c r="CD662" t="s">
        <v>139</v>
      </c>
      <c r="CE662" t="s">
        <v>774</v>
      </c>
      <c r="CF662" t="s">
        <v>773</v>
      </c>
      <c r="CG662" t="s">
        <v>761</v>
      </c>
      <c r="CH662" t="s">
        <v>783</v>
      </c>
      <c r="CI662" t="s">
        <v>945</v>
      </c>
      <c r="CJ662" t="s">
        <v>1143</v>
      </c>
      <c r="CK662" t="s">
        <v>936</v>
      </c>
      <c r="CL662" t="s">
        <v>1008</v>
      </c>
      <c r="CM662" t="s">
        <v>1010</v>
      </c>
      <c r="CN662" t="s">
        <v>182</v>
      </c>
      <c r="CO662" t="s">
        <v>239</v>
      </c>
      <c r="CP662" t="s">
        <v>241</v>
      </c>
      <c r="CQ662" t="s">
        <v>805</v>
      </c>
      <c r="CR662" t="s">
        <v>806</v>
      </c>
    </row>
    <row r="663" spans="1:96">
      <c r="A663" s="40">
        <v>622</v>
      </c>
      <c r="B663" s="40" t="s">
        <v>2657</v>
      </c>
      <c r="C663" s="2" t="s">
        <v>2658</v>
      </c>
      <c r="D663" s="2" t="s">
        <v>22</v>
      </c>
      <c r="E663" s="2" t="s">
        <v>10</v>
      </c>
      <c r="F663" s="2">
        <v>59</v>
      </c>
      <c r="G663" s="2">
        <v>74</v>
      </c>
      <c r="H663" s="2">
        <v>50</v>
      </c>
      <c r="I663" s="2">
        <v>35</v>
      </c>
      <c r="J663" s="2">
        <v>50</v>
      </c>
      <c r="K663" s="2">
        <v>35</v>
      </c>
      <c r="L663" s="2">
        <v>303</v>
      </c>
      <c r="M663" s="2" t="s">
        <v>1199</v>
      </c>
      <c r="N663" s="2" t="s">
        <v>1061</v>
      </c>
      <c r="O663" t="s">
        <v>376</v>
      </c>
      <c r="P663" t="s">
        <v>353</v>
      </c>
      <c r="Q663" t="s">
        <v>1130</v>
      </c>
      <c r="R663" t="s">
        <v>755</v>
      </c>
      <c r="S663" t="s">
        <v>768</v>
      </c>
      <c r="T663" t="s">
        <v>1211</v>
      </c>
      <c r="U663" t="s">
        <v>177</v>
      </c>
      <c r="V663" t="s">
        <v>486</v>
      </c>
      <c r="W663" t="s">
        <v>789</v>
      </c>
      <c r="X663" t="s">
        <v>1179</v>
      </c>
      <c r="Y663" t="s">
        <v>528</v>
      </c>
      <c r="Z663" t="s">
        <v>751</v>
      </c>
      <c r="AA663" t="s">
        <v>136</v>
      </c>
      <c r="AB663" t="s">
        <v>981</v>
      </c>
      <c r="AC663" t="s">
        <v>920</v>
      </c>
      <c r="AD663" t="s">
        <v>1062</v>
      </c>
      <c r="AE663" t="s">
        <v>227</v>
      </c>
      <c r="AF663" t="s">
        <v>1063</v>
      </c>
      <c r="AG663" t="s">
        <v>148</v>
      </c>
      <c r="AH663" t="s">
        <v>172</v>
      </c>
      <c r="AI663" t="s">
        <v>141</v>
      </c>
      <c r="AJ663" t="s">
        <v>1078</v>
      </c>
      <c r="AK663" t="s">
        <v>766</v>
      </c>
      <c r="AL663" t="s">
        <v>759</v>
      </c>
      <c r="AM663" t="s">
        <v>1079</v>
      </c>
      <c r="AN663" t="s">
        <v>136</v>
      </c>
      <c r="AO663" t="s">
        <v>1080</v>
      </c>
      <c r="AP663" t="s">
        <v>9</v>
      </c>
      <c r="AQ663" t="s">
        <v>174</v>
      </c>
      <c r="AR663" t="s">
        <v>1094</v>
      </c>
      <c r="AS663" t="s">
        <v>230</v>
      </c>
      <c r="AT663" t="s">
        <v>1095</v>
      </c>
      <c r="AU663" t="s">
        <v>917</v>
      </c>
      <c r="AV663" t="s">
        <v>231</v>
      </c>
      <c r="AW663" t="s">
        <v>1117</v>
      </c>
      <c r="AX663" t="s">
        <v>1172</v>
      </c>
      <c r="AY663" t="s">
        <v>1037</v>
      </c>
      <c r="AZ663" t="s">
        <v>1102</v>
      </c>
      <c r="BA663" t="s">
        <v>974</v>
      </c>
      <c r="BB663" t="s">
        <v>1003</v>
      </c>
      <c r="BC663" t="s">
        <v>232</v>
      </c>
      <c r="BD663" t="s">
        <v>980</v>
      </c>
      <c r="BE663" t="s">
        <v>1021</v>
      </c>
      <c r="BF663" t="s">
        <v>143</v>
      </c>
      <c r="BG663" t="s">
        <v>977</v>
      </c>
      <c r="BH663" t="s">
        <v>756</v>
      </c>
      <c r="BI663" t="s">
        <v>757</v>
      </c>
      <c r="BJ663" t="s">
        <v>233</v>
      </c>
      <c r="BK663" t="s">
        <v>760</v>
      </c>
      <c r="BL663" t="s">
        <v>2398</v>
      </c>
      <c r="BM663" t="s">
        <v>2339</v>
      </c>
      <c r="BN663" t="s">
        <v>234</v>
      </c>
      <c r="BO663" t="s">
        <v>239</v>
      </c>
      <c r="BP663" t="s">
        <v>241</v>
      </c>
      <c r="BQ663" t="s">
        <v>805</v>
      </c>
      <c r="BR663" t="s">
        <v>806</v>
      </c>
    </row>
    <row r="664" spans="1:96">
      <c r="A664" s="40">
        <v>623</v>
      </c>
      <c r="B664" s="40" t="s">
        <v>2659</v>
      </c>
      <c r="C664" s="2" t="s">
        <v>2660</v>
      </c>
      <c r="D664" s="2" t="s">
        <v>22</v>
      </c>
      <c r="E664" s="2" t="s">
        <v>10</v>
      </c>
      <c r="F664" s="2">
        <v>89</v>
      </c>
      <c r="G664" s="2">
        <v>124</v>
      </c>
      <c r="H664" s="2">
        <v>80</v>
      </c>
      <c r="I664" s="2">
        <v>55</v>
      </c>
      <c r="J664" s="2">
        <v>80</v>
      </c>
      <c r="K664" s="2">
        <v>55</v>
      </c>
      <c r="L664" s="2">
        <v>483</v>
      </c>
      <c r="M664" s="2" t="s">
        <v>1074</v>
      </c>
      <c r="N664" s="2" t="s">
        <v>1061</v>
      </c>
      <c r="O664" t="s">
        <v>376</v>
      </c>
      <c r="P664" t="s">
        <v>353</v>
      </c>
      <c r="Q664" t="s">
        <v>755</v>
      </c>
      <c r="R664" t="s">
        <v>1130</v>
      </c>
      <c r="S664" t="s">
        <v>755</v>
      </c>
      <c r="T664" t="s">
        <v>768</v>
      </c>
      <c r="U664" t="s">
        <v>1211</v>
      </c>
      <c r="V664" t="s">
        <v>177</v>
      </c>
      <c r="W664" t="s">
        <v>486</v>
      </c>
      <c r="X664" t="s">
        <v>789</v>
      </c>
      <c r="Y664" t="s">
        <v>1179</v>
      </c>
      <c r="Z664" t="s">
        <v>528</v>
      </c>
      <c r="AA664" t="s">
        <v>751</v>
      </c>
      <c r="AB664" t="s">
        <v>184</v>
      </c>
      <c r="AC664" t="s">
        <v>136</v>
      </c>
      <c r="AD664" t="s">
        <v>981</v>
      </c>
      <c r="AE664" t="s">
        <v>920</v>
      </c>
      <c r="AF664" t="s">
        <v>2392</v>
      </c>
      <c r="AG664" t="s">
        <v>1062</v>
      </c>
      <c r="AH664" t="s">
        <v>138</v>
      </c>
      <c r="AI664" t="s">
        <v>227</v>
      </c>
      <c r="AJ664" t="s">
        <v>1063</v>
      </c>
      <c r="AK664" t="s">
        <v>148</v>
      </c>
      <c r="AL664" t="s">
        <v>172</v>
      </c>
      <c r="AM664" t="s">
        <v>141</v>
      </c>
      <c r="AN664" t="s">
        <v>247</v>
      </c>
      <c r="AO664" t="s">
        <v>1078</v>
      </c>
      <c r="AP664" t="s">
        <v>766</v>
      </c>
      <c r="AQ664" t="s">
        <v>759</v>
      </c>
      <c r="AR664" t="s">
        <v>1079</v>
      </c>
      <c r="AS664" t="s">
        <v>229</v>
      </c>
      <c r="AT664" t="s">
        <v>146</v>
      </c>
      <c r="AU664" t="s">
        <v>136</v>
      </c>
      <c r="AV664" t="s">
        <v>1080</v>
      </c>
      <c r="AW664" t="s">
        <v>9</v>
      </c>
      <c r="AX664" t="s">
        <v>174</v>
      </c>
      <c r="AY664" t="s">
        <v>1094</v>
      </c>
      <c r="AZ664" t="s">
        <v>230</v>
      </c>
      <c r="BA664" t="s">
        <v>1095</v>
      </c>
      <c r="BB664" t="s">
        <v>917</v>
      </c>
      <c r="BC664" t="s">
        <v>231</v>
      </c>
      <c r="BD664" t="s">
        <v>1117</v>
      </c>
      <c r="BE664" t="s">
        <v>1172</v>
      </c>
      <c r="BF664" t="s">
        <v>1037</v>
      </c>
      <c r="BG664" t="s">
        <v>1102</v>
      </c>
      <c r="BH664" t="s">
        <v>974</v>
      </c>
      <c r="BI664" t="s">
        <v>963</v>
      </c>
      <c r="BJ664" t="s">
        <v>976</v>
      </c>
      <c r="BK664" t="s">
        <v>1003</v>
      </c>
      <c r="BL664" t="s">
        <v>232</v>
      </c>
      <c r="BM664" t="s">
        <v>183</v>
      </c>
      <c r="BN664" t="s">
        <v>980</v>
      </c>
      <c r="BO664" t="s">
        <v>1021</v>
      </c>
      <c r="BP664" t="s">
        <v>143</v>
      </c>
      <c r="BQ664" t="s">
        <v>977</v>
      </c>
      <c r="BR664" t="s">
        <v>756</v>
      </c>
      <c r="BS664" t="s">
        <v>757</v>
      </c>
      <c r="BT664" t="s">
        <v>233</v>
      </c>
      <c r="BU664" t="s">
        <v>973</v>
      </c>
      <c r="BV664" t="s">
        <v>760</v>
      </c>
      <c r="BW664" t="s">
        <v>2398</v>
      </c>
      <c r="BX664" t="s">
        <v>2339</v>
      </c>
      <c r="BY664" t="s">
        <v>234</v>
      </c>
      <c r="BZ664" t="s">
        <v>239</v>
      </c>
      <c r="CA664" t="s">
        <v>241</v>
      </c>
      <c r="CB664" t="s">
        <v>805</v>
      </c>
      <c r="CC664" t="s">
        <v>806</v>
      </c>
    </row>
    <row r="665" spans="1:96">
      <c r="A665" s="40">
        <v>624</v>
      </c>
      <c r="B665" s="40" t="s">
        <v>2661</v>
      </c>
      <c r="C665" s="2" t="s">
        <v>2662</v>
      </c>
      <c r="D665" s="2" t="s">
        <v>15</v>
      </c>
      <c r="E665" s="2" t="s">
        <v>26</v>
      </c>
      <c r="F665" s="2">
        <v>45</v>
      </c>
      <c r="G665" s="2">
        <v>85</v>
      </c>
      <c r="H665" s="2">
        <v>70</v>
      </c>
      <c r="I665" s="2">
        <v>40</v>
      </c>
      <c r="J665" s="2">
        <v>40</v>
      </c>
      <c r="K665" s="2">
        <v>60</v>
      </c>
      <c r="L665" s="2">
        <v>340</v>
      </c>
      <c r="M665" s="2" t="s">
        <v>1090</v>
      </c>
      <c r="N665" s="2" t="s">
        <v>1061</v>
      </c>
      <c r="O665" t="s">
        <v>249</v>
      </c>
      <c r="P665" t="s">
        <v>330</v>
      </c>
      <c r="Q665" t="s">
        <v>758</v>
      </c>
      <c r="R665" t="s">
        <v>951</v>
      </c>
      <c r="S665" t="s">
        <v>774</v>
      </c>
      <c r="T665" t="s">
        <v>1092</v>
      </c>
      <c r="U665" t="s">
        <v>783</v>
      </c>
      <c r="V665" t="s">
        <v>253</v>
      </c>
      <c r="W665" t="s">
        <v>960</v>
      </c>
      <c r="X665" t="s">
        <v>1202</v>
      </c>
      <c r="Y665" t="s">
        <v>969</v>
      </c>
      <c r="Z665" t="s">
        <v>177</v>
      </c>
      <c r="AA665" t="s">
        <v>993</v>
      </c>
      <c r="AB665" t="s">
        <v>985</v>
      </c>
      <c r="AC665" t="s">
        <v>145</v>
      </c>
      <c r="AD665" t="s">
        <v>543</v>
      </c>
      <c r="AE665" t="s">
        <v>1062</v>
      </c>
      <c r="AF665" t="s">
        <v>226</v>
      </c>
      <c r="AG665" t="s">
        <v>1063</v>
      </c>
      <c r="AH665" t="s">
        <v>1030</v>
      </c>
      <c r="AI665" t="s">
        <v>148</v>
      </c>
      <c r="AJ665" t="s">
        <v>172</v>
      </c>
      <c r="AK665" t="s">
        <v>1126</v>
      </c>
      <c r="AL665" t="s">
        <v>1078</v>
      </c>
      <c r="AM665" t="s">
        <v>766</v>
      </c>
      <c r="AN665" t="s">
        <v>1079</v>
      </c>
      <c r="AO665" t="s">
        <v>1080</v>
      </c>
      <c r="AP665" t="s">
        <v>256</v>
      </c>
      <c r="AQ665" t="s">
        <v>1094</v>
      </c>
      <c r="AR665" t="s">
        <v>230</v>
      </c>
      <c r="AS665" t="s">
        <v>765</v>
      </c>
      <c r="AT665" t="s">
        <v>1095</v>
      </c>
      <c r="AU665" t="s">
        <v>1096</v>
      </c>
      <c r="AV665" t="s">
        <v>951</v>
      </c>
      <c r="AW665" t="s">
        <v>917</v>
      </c>
      <c r="AX665" t="s">
        <v>231</v>
      </c>
      <c r="AY665" t="s">
        <v>1082</v>
      </c>
      <c r="AZ665" t="s">
        <v>1117</v>
      </c>
      <c r="BA665" t="s">
        <v>1172</v>
      </c>
      <c r="BB665" t="s">
        <v>1037</v>
      </c>
      <c r="BC665" t="s">
        <v>776</v>
      </c>
      <c r="BD665" t="s">
        <v>974</v>
      </c>
      <c r="BE665" t="s">
        <v>969</v>
      </c>
      <c r="BF665" t="s">
        <v>1005</v>
      </c>
      <c r="BG665" t="s">
        <v>995</v>
      </c>
      <c r="BH665" t="s">
        <v>1036</v>
      </c>
      <c r="BI665" t="s">
        <v>1003</v>
      </c>
      <c r="BJ665" t="s">
        <v>322</v>
      </c>
      <c r="BK665" t="s">
        <v>145</v>
      </c>
      <c r="BL665" t="s">
        <v>1018</v>
      </c>
      <c r="BM665" t="s">
        <v>997</v>
      </c>
      <c r="BN665" t="s">
        <v>977</v>
      </c>
      <c r="BO665" t="s">
        <v>756</v>
      </c>
      <c r="BP665" t="s">
        <v>757</v>
      </c>
      <c r="BQ665" t="s">
        <v>233</v>
      </c>
      <c r="BR665" t="s">
        <v>760</v>
      </c>
      <c r="BS665" t="s">
        <v>1040</v>
      </c>
      <c r="BT665" t="s">
        <v>1157</v>
      </c>
      <c r="BU665" t="s">
        <v>2398</v>
      </c>
      <c r="BV665" t="s">
        <v>2339</v>
      </c>
      <c r="BW665" t="s">
        <v>234</v>
      </c>
      <c r="BX665" t="s">
        <v>420</v>
      </c>
      <c r="BY665" t="s">
        <v>787</v>
      </c>
      <c r="BZ665" t="s">
        <v>773</v>
      </c>
      <c r="CA665" t="s">
        <v>1128</v>
      </c>
      <c r="CB665" t="s">
        <v>1008</v>
      </c>
      <c r="CC665" t="s">
        <v>1000</v>
      </c>
      <c r="CD665" t="s">
        <v>1007</v>
      </c>
      <c r="CE665" t="s">
        <v>1035</v>
      </c>
      <c r="CF665" t="s">
        <v>239</v>
      </c>
      <c r="CG665" t="s">
        <v>241</v>
      </c>
      <c r="CH665" t="s">
        <v>805</v>
      </c>
      <c r="CI665" t="s">
        <v>806</v>
      </c>
    </row>
    <row r="666" spans="1:96">
      <c r="A666" s="40">
        <v>625</v>
      </c>
      <c r="B666" s="40" t="s">
        <v>2663</v>
      </c>
      <c r="C666" s="2" t="s">
        <v>2664</v>
      </c>
      <c r="D666" s="2" t="s">
        <v>15</v>
      </c>
      <c r="E666" s="2" t="s">
        <v>26</v>
      </c>
      <c r="F666" s="2">
        <v>65</v>
      </c>
      <c r="G666" s="2">
        <v>125</v>
      </c>
      <c r="H666" s="2">
        <v>100</v>
      </c>
      <c r="I666" s="2">
        <v>60</v>
      </c>
      <c r="J666" s="2">
        <v>70</v>
      </c>
      <c r="K666" s="2">
        <v>70</v>
      </c>
      <c r="L666" s="2">
        <v>490</v>
      </c>
      <c r="M666" s="2" t="s">
        <v>1255</v>
      </c>
      <c r="N666" s="2" t="s">
        <v>1061</v>
      </c>
      <c r="O666" t="s">
        <v>249</v>
      </c>
      <c r="P666" t="s">
        <v>330</v>
      </c>
      <c r="Q666" t="s">
        <v>758</v>
      </c>
      <c r="R666" t="s">
        <v>951</v>
      </c>
      <c r="S666" t="s">
        <v>1559</v>
      </c>
      <c r="T666" t="s">
        <v>330</v>
      </c>
      <c r="U666" t="s">
        <v>758</v>
      </c>
      <c r="V666" t="s">
        <v>951</v>
      </c>
      <c r="W666" t="s">
        <v>774</v>
      </c>
      <c r="X666" t="s">
        <v>1092</v>
      </c>
      <c r="Y666" t="s">
        <v>783</v>
      </c>
      <c r="Z666" t="s">
        <v>253</v>
      </c>
      <c r="AA666" t="s">
        <v>960</v>
      </c>
      <c r="AB666" t="s">
        <v>1202</v>
      </c>
      <c r="AC666" t="s">
        <v>969</v>
      </c>
      <c r="AD666" t="s">
        <v>177</v>
      </c>
      <c r="AE666" t="s">
        <v>993</v>
      </c>
      <c r="AF666" t="s">
        <v>985</v>
      </c>
      <c r="AG666" t="s">
        <v>145</v>
      </c>
      <c r="AH666" t="s">
        <v>543</v>
      </c>
      <c r="AI666" t="s">
        <v>1062</v>
      </c>
      <c r="AJ666" t="s">
        <v>226</v>
      </c>
      <c r="AK666" t="s">
        <v>1063</v>
      </c>
      <c r="AL666" t="s">
        <v>1030</v>
      </c>
      <c r="AM666" t="s">
        <v>148</v>
      </c>
      <c r="AN666" t="s">
        <v>172</v>
      </c>
      <c r="AO666" t="s">
        <v>1126</v>
      </c>
      <c r="AP666" t="s">
        <v>247</v>
      </c>
      <c r="AQ666" t="s">
        <v>1078</v>
      </c>
      <c r="AR666" t="s">
        <v>766</v>
      </c>
      <c r="AS666" t="s">
        <v>1079</v>
      </c>
      <c r="AT666" t="s">
        <v>1080</v>
      </c>
      <c r="AU666" t="s">
        <v>256</v>
      </c>
      <c r="AV666" t="s">
        <v>1094</v>
      </c>
      <c r="AW666" t="s">
        <v>230</v>
      </c>
      <c r="AX666" t="s">
        <v>765</v>
      </c>
      <c r="AY666" t="s">
        <v>1095</v>
      </c>
      <c r="AZ666" t="s">
        <v>1096</v>
      </c>
      <c r="BA666" t="s">
        <v>951</v>
      </c>
      <c r="BB666" t="s">
        <v>917</v>
      </c>
      <c r="BC666" t="s">
        <v>231</v>
      </c>
      <c r="BD666" t="s">
        <v>1082</v>
      </c>
      <c r="BE666" t="s">
        <v>1117</v>
      </c>
      <c r="BF666" t="s">
        <v>1172</v>
      </c>
      <c r="BG666" t="s">
        <v>1037</v>
      </c>
      <c r="BH666" t="s">
        <v>1102</v>
      </c>
      <c r="BI666" t="s">
        <v>776</v>
      </c>
      <c r="BJ666" t="s">
        <v>974</v>
      </c>
      <c r="BK666" t="s">
        <v>969</v>
      </c>
      <c r="BL666" t="s">
        <v>1005</v>
      </c>
      <c r="BM666" t="s">
        <v>995</v>
      </c>
      <c r="BN666" t="s">
        <v>1036</v>
      </c>
      <c r="BO666" t="s">
        <v>976</v>
      </c>
      <c r="BP666" t="s">
        <v>1003</v>
      </c>
      <c r="BQ666" t="s">
        <v>183</v>
      </c>
      <c r="BR666" t="s">
        <v>322</v>
      </c>
      <c r="BS666" t="s">
        <v>145</v>
      </c>
      <c r="BT666" t="s">
        <v>1018</v>
      </c>
      <c r="BU666" t="s">
        <v>997</v>
      </c>
      <c r="BV666" t="s">
        <v>977</v>
      </c>
      <c r="BW666" t="s">
        <v>756</v>
      </c>
      <c r="BX666" t="s">
        <v>757</v>
      </c>
      <c r="BY666" t="s">
        <v>233</v>
      </c>
      <c r="BZ666" t="s">
        <v>760</v>
      </c>
      <c r="CA666" t="s">
        <v>1040</v>
      </c>
      <c r="CB666" t="s">
        <v>1157</v>
      </c>
      <c r="CC666" t="s">
        <v>2398</v>
      </c>
      <c r="CD666" t="s">
        <v>2339</v>
      </c>
      <c r="CE666" t="s">
        <v>234</v>
      </c>
      <c r="CF666" t="s">
        <v>420</v>
      </c>
      <c r="CG666" t="s">
        <v>787</v>
      </c>
      <c r="CH666" t="s">
        <v>773</v>
      </c>
      <c r="CI666" t="s">
        <v>1128</v>
      </c>
      <c r="CJ666" t="s">
        <v>1008</v>
      </c>
      <c r="CK666" t="s">
        <v>1000</v>
      </c>
      <c r="CL666" t="s">
        <v>1007</v>
      </c>
      <c r="CM666" t="s">
        <v>1035</v>
      </c>
      <c r="CN666" t="s">
        <v>239</v>
      </c>
      <c r="CO666" t="s">
        <v>241</v>
      </c>
      <c r="CP666" t="s">
        <v>805</v>
      </c>
      <c r="CQ666" t="s">
        <v>806</v>
      </c>
    </row>
    <row r="667" spans="1:96">
      <c r="A667" s="40">
        <v>626</v>
      </c>
      <c r="B667" s="40" t="s">
        <v>2665</v>
      </c>
      <c r="C667" s="2" t="s">
        <v>2666</v>
      </c>
      <c r="D667" s="2" t="s">
        <v>24</v>
      </c>
      <c r="E667" s="2"/>
      <c r="F667" s="2">
        <v>95</v>
      </c>
      <c r="G667" s="2">
        <v>110</v>
      </c>
      <c r="H667" s="2">
        <v>95</v>
      </c>
      <c r="I667" s="2">
        <v>40</v>
      </c>
      <c r="J667" s="2">
        <v>95</v>
      </c>
      <c r="K667" s="2">
        <v>55</v>
      </c>
      <c r="L667" s="2">
        <v>490</v>
      </c>
      <c r="M667" s="2" t="s">
        <v>1162</v>
      </c>
      <c r="N667" s="2" t="s">
        <v>1061</v>
      </c>
      <c r="O667" t="s">
        <v>330</v>
      </c>
      <c r="P667" t="s">
        <v>773</v>
      </c>
      <c r="Q667" t="s">
        <v>304</v>
      </c>
      <c r="R667" t="s">
        <v>301</v>
      </c>
      <c r="S667" t="s">
        <v>367</v>
      </c>
      <c r="T667" t="s">
        <v>1092</v>
      </c>
      <c r="U667" t="s">
        <v>1128</v>
      </c>
      <c r="V667" t="s">
        <v>2037</v>
      </c>
      <c r="W667" t="s">
        <v>302</v>
      </c>
      <c r="X667" t="s">
        <v>797</v>
      </c>
      <c r="Y667" t="s">
        <v>775</v>
      </c>
      <c r="Z667" t="s">
        <v>373</v>
      </c>
      <c r="AA667" t="s">
        <v>145</v>
      </c>
      <c r="AB667" t="s">
        <v>976</v>
      </c>
      <c r="AC667" t="s">
        <v>1062</v>
      </c>
      <c r="AD667" t="s">
        <v>226</v>
      </c>
      <c r="AE667" t="s">
        <v>144</v>
      </c>
      <c r="AF667" t="s">
        <v>227</v>
      </c>
      <c r="AG667" t="s">
        <v>1063</v>
      </c>
      <c r="AH667" t="s">
        <v>148</v>
      </c>
      <c r="AI667" t="s">
        <v>172</v>
      </c>
      <c r="AJ667" t="s">
        <v>752</v>
      </c>
      <c r="AK667" t="s">
        <v>1126</v>
      </c>
      <c r="AL667" t="s">
        <v>1078</v>
      </c>
      <c r="AM667" t="s">
        <v>766</v>
      </c>
      <c r="AN667" t="s">
        <v>1079</v>
      </c>
      <c r="AO667" t="s">
        <v>136</v>
      </c>
      <c r="AP667" t="s">
        <v>1080</v>
      </c>
      <c r="AQ667" t="s">
        <v>230</v>
      </c>
      <c r="AR667" t="s">
        <v>1095</v>
      </c>
      <c r="AS667" t="s">
        <v>1096</v>
      </c>
      <c r="AT667" t="s">
        <v>917</v>
      </c>
      <c r="AU667" t="s">
        <v>231</v>
      </c>
      <c r="AV667" t="s">
        <v>1082</v>
      </c>
      <c r="AW667" t="s">
        <v>1037</v>
      </c>
      <c r="AX667" t="s">
        <v>995</v>
      </c>
      <c r="AY667" t="s">
        <v>1036</v>
      </c>
      <c r="AZ667" t="s">
        <v>976</v>
      </c>
      <c r="BA667" t="s">
        <v>183</v>
      </c>
      <c r="BB667" t="s">
        <v>145</v>
      </c>
      <c r="BC667" t="s">
        <v>1021</v>
      </c>
      <c r="BD667" t="s">
        <v>143</v>
      </c>
      <c r="BE667" t="s">
        <v>997</v>
      </c>
      <c r="BF667" t="s">
        <v>756</v>
      </c>
      <c r="BG667" t="s">
        <v>233</v>
      </c>
      <c r="BH667" t="s">
        <v>1047</v>
      </c>
      <c r="BI667" t="s">
        <v>760</v>
      </c>
      <c r="BJ667" t="s">
        <v>234</v>
      </c>
      <c r="BK667" t="s">
        <v>493</v>
      </c>
      <c r="BL667" t="s">
        <v>420</v>
      </c>
      <c r="BM667" t="s">
        <v>237</v>
      </c>
      <c r="BN667" t="s">
        <v>235</v>
      </c>
      <c r="BO667" t="s">
        <v>755</v>
      </c>
      <c r="BP667" t="s">
        <v>1144</v>
      </c>
      <c r="BQ667" t="s">
        <v>1002</v>
      </c>
      <c r="BR667" t="s">
        <v>985</v>
      </c>
      <c r="BS667" t="s">
        <v>239</v>
      </c>
      <c r="BT667" t="s">
        <v>241</v>
      </c>
      <c r="BU667" t="s">
        <v>805</v>
      </c>
      <c r="BV667" t="s">
        <v>806</v>
      </c>
    </row>
    <row r="668" spans="1:96">
      <c r="A668" s="40">
        <v>627</v>
      </c>
      <c r="B668" s="40" t="s">
        <v>2667</v>
      </c>
      <c r="C668" s="2" t="s">
        <v>2668</v>
      </c>
      <c r="D668" s="2" t="s">
        <v>24</v>
      </c>
      <c r="E668" s="2" t="s">
        <v>20</v>
      </c>
      <c r="F668" s="2">
        <v>70</v>
      </c>
      <c r="G668" s="2">
        <v>83</v>
      </c>
      <c r="H668" s="2">
        <v>50</v>
      </c>
      <c r="I668" s="2">
        <v>37</v>
      </c>
      <c r="J668" s="2">
        <v>50</v>
      </c>
      <c r="K668" s="2">
        <v>60</v>
      </c>
      <c r="L668" s="2">
        <v>350</v>
      </c>
      <c r="M668" s="2" t="s">
        <v>1065</v>
      </c>
      <c r="N668" s="2" t="s">
        <v>1061</v>
      </c>
      <c r="O668" t="s">
        <v>330</v>
      </c>
      <c r="P668" t="s">
        <v>329</v>
      </c>
      <c r="Q668" t="s">
        <v>301</v>
      </c>
      <c r="R668" t="s">
        <v>264</v>
      </c>
      <c r="S668" t="s">
        <v>1030</v>
      </c>
      <c r="T668" t="s">
        <v>1092</v>
      </c>
      <c r="U668" t="s">
        <v>1096</v>
      </c>
      <c r="V668" t="s">
        <v>253</v>
      </c>
      <c r="W668" t="s">
        <v>1124</v>
      </c>
      <c r="X668" t="s">
        <v>1009</v>
      </c>
      <c r="Y668" t="s">
        <v>1101</v>
      </c>
      <c r="Z668" t="s">
        <v>1143</v>
      </c>
      <c r="AA668" t="s">
        <v>1039</v>
      </c>
      <c r="AB668" t="s">
        <v>291</v>
      </c>
      <c r="AC668" t="s">
        <v>1123</v>
      </c>
      <c r="AD668" t="s">
        <v>373</v>
      </c>
      <c r="AE668" t="s">
        <v>1062</v>
      </c>
      <c r="AF668" t="s">
        <v>226</v>
      </c>
      <c r="AG668" t="s">
        <v>138</v>
      </c>
      <c r="AH668" t="s">
        <v>227</v>
      </c>
      <c r="AI668" t="s">
        <v>1063</v>
      </c>
      <c r="AJ668" t="s">
        <v>1030</v>
      </c>
      <c r="AK668" t="s">
        <v>148</v>
      </c>
      <c r="AL668" t="s">
        <v>1175</v>
      </c>
      <c r="AM668" t="s">
        <v>172</v>
      </c>
      <c r="AN668" t="s">
        <v>752</v>
      </c>
      <c r="AO668" t="s">
        <v>1078</v>
      </c>
      <c r="AP668" t="s">
        <v>766</v>
      </c>
      <c r="AQ668" t="s">
        <v>1079</v>
      </c>
      <c r="AR668" t="s">
        <v>1080</v>
      </c>
      <c r="AS668" t="s">
        <v>230</v>
      </c>
      <c r="AT668" t="s">
        <v>1095</v>
      </c>
      <c r="AU668" t="s">
        <v>1096</v>
      </c>
      <c r="AV668" t="s">
        <v>917</v>
      </c>
      <c r="AW668" t="s">
        <v>231</v>
      </c>
      <c r="AX668" t="s">
        <v>1082</v>
      </c>
      <c r="AY668" t="s">
        <v>1037</v>
      </c>
      <c r="AZ668" t="s">
        <v>1039</v>
      </c>
      <c r="BA668" t="s">
        <v>1005</v>
      </c>
      <c r="BB668" t="s">
        <v>1036</v>
      </c>
      <c r="BC668" t="s">
        <v>143</v>
      </c>
      <c r="BD668" t="s">
        <v>756</v>
      </c>
      <c r="BE668" t="s">
        <v>1014</v>
      </c>
      <c r="BF668" t="s">
        <v>233</v>
      </c>
      <c r="BG668" t="s">
        <v>760</v>
      </c>
      <c r="BH668" t="s">
        <v>234</v>
      </c>
      <c r="BI668" t="s">
        <v>239</v>
      </c>
      <c r="BJ668" t="s">
        <v>241</v>
      </c>
      <c r="BK668" t="s">
        <v>805</v>
      </c>
      <c r="BL668" t="s">
        <v>806</v>
      </c>
    </row>
    <row r="669" spans="1:96">
      <c r="A669" s="40">
        <v>628</v>
      </c>
      <c r="B669" s="40" t="s">
        <v>2669</v>
      </c>
      <c r="C669" s="2" t="s">
        <v>2670</v>
      </c>
      <c r="D669" s="2" t="s">
        <v>24</v>
      </c>
      <c r="E669" s="2" t="s">
        <v>20</v>
      </c>
      <c r="F669" s="2">
        <v>100</v>
      </c>
      <c r="G669" s="2">
        <v>123</v>
      </c>
      <c r="H669" s="2">
        <v>75</v>
      </c>
      <c r="I669" s="2">
        <v>57</v>
      </c>
      <c r="J669" s="2">
        <v>75</v>
      </c>
      <c r="K669" s="2">
        <v>80</v>
      </c>
      <c r="L669" s="2">
        <v>510</v>
      </c>
      <c r="M669" s="2" t="s">
        <v>1120</v>
      </c>
      <c r="N669" s="2" t="s">
        <v>1061</v>
      </c>
      <c r="O669" t="s">
        <v>264</v>
      </c>
      <c r="P669" t="s">
        <v>301</v>
      </c>
      <c r="Q669" t="s">
        <v>330</v>
      </c>
      <c r="R669" t="s">
        <v>329</v>
      </c>
      <c r="S669" t="s">
        <v>301</v>
      </c>
      <c r="T669" t="s">
        <v>264</v>
      </c>
      <c r="U669" t="s">
        <v>1030</v>
      </c>
      <c r="V669" t="s">
        <v>1092</v>
      </c>
      <c r="W669" t="s">
        <v>1096</v>
      </c>
      <c r="X669" t="s">
        <v>253</v>
      </c>
      <c r="Y669" t="s">
        <v>1124</v>
      </c>
      <c r="Z669" t="s">
        <v>1009</v>
      </c>
      <c r="AA669" t="s">
        <v>1101</v>
      </c>
      <c r="AB669" t="s">
        <v>1143</v>
      </c>
      <c r="AC669" t="s">
        <v>1039</v>
      </c>
      <c r="AD669" t="s">
        <v>947</v>
      </c>
      <c r="AE669" t="s">
        <v>291</v>
      </c>
      <c r="AF669" t="s">
        <v>1123</v>
      </c>
      <c r="AG669" t="s">
        <v>373</v>
      </c>
      <c r="AH669" t="s">
        <v>1062</v>
      </c>
      <c r="AI669" t="s">
        <v>226</v>
      </c>
      <c r="AJ669" t="s">
        <v>138</v>
      </c>
      <c r="AK669" t="s">
        <v>227</v>
      </c>
      <c r="AL669" t="s">
        <v>1063</v>
      </c>
      <c r="AM669" t="s">
        <v>1030</v>
      </c>
      <c r="AN669" t="s">
        <v>148</v>
      </c>
      <c r="AO669" t="s">
        <v>1175</v>
      </c>
      <c r="AP669" t="s">
        <v>172</v>
      </c>
      <c r="AQ669" t="s">
        <v>752</v>
      </c>
      <c r="AR669" t="s">
        <v>247</v>
      </c>
      <c r="AS669" t="s">
        <v>1078</v>
      </c>
      <c r="AT669" t="s">
        <v>766</v>
      </c>
      <c r="AU669" t="s">
        <v>1079</v>
      </c>
      <c r="AV669" t="s">
        <v>1080</v>
      </c>
      <c r="AW669" t="s">
        <v>230</v>
      </c>
      <c r="AX669" t="s">
        <v>1095</v>
      </c>
      <c r="AY669" t="s">
        <v>1096</v>
      </c>
      <c r="AZ669" t="s">
        <v>917</v>
      </c>
      <c r="BA669" t="s">
        <v>231</v>
      </c>
      <c r="BB669" t="s">
        <v>1082</v>
      </c>
      <c r="BC669" t="s">
        <v>1037</v>
      </c>
      <c r="BD669" t="s">
        <v>1039</v>
      </c>
      <c r="BE669" t="s">
        <v>1005</v>
      </c>
      <c r="BF669" t="s">
        <v>1036</v>
      </c>
      <c r="BG669" t="s">
        <v>976</v>
      </c>
      <c r="BH669" t="s">
        <v>143</v>
      </c>
      <c r="BI669" t="s">
        <v>756</v>
      </c>
      <c r="BJ669" t="s">
        <v>1014</v>
      </c>
      <c r="BK669" t="s">
        <v>233</v>
      </c>
      <c r="BL669" t="s">
        <v>760</v>
      </c>
      <c r="BM669" t="s">
        <v>234</v>
      </c>
      <c r="BN669" t="s">
        <v>239</v>
      </c>
      <c r="BO669" t="s">
        <v>241</v>
      </c>
      <c r="BP669" t="s">
        <v>805</v>
      </c>
      <c r="BQ669" t="s">
        <v>806</v>
      </c>
    </row>
    <row r="670" spans="1:96">
      <c r="A670" s="40">
        <v>629</v>
      </c>
      <c r="B670" s="40" t="s">
        <v>2671</v>
      </c>
      <c r="C670" s="2" t="s">
        <v>2672</v>
      </c>
      <c r="D670" s="2" t="s">
        <v>15</v>
      </c>
      <c r="E670" s="2" t="s">
        <v>20</v>
      </c>
      <c r="F670" s="2">
        <v>70</v>
      </c>
      <c r="G670" s="2">
        <v>55</v>
      </c>
      <c r="H670" s="2">
        <v>75</v>
      </c>
      <c r="I670" s="2">
        <v>45</v>
      </c>
      <c r="J670" s="2">
        <v>65</v>
      </c>
      <c r="K670" s="2">
        <v>60</v>
      </c>
      <c r="L670" s="2">
        <v>370</v>
      </c>
      <c r="M670" s="2" t="s">
        <v>1162</v>
      </c>
      <c r="N670" s="2" t="s">
        <v>1061</v>
      </c>
      <c r="O670" t="s">
        <v>289</v>
      </c>
      <c r="P670" t="s">
        <v>330</v>
      </c>
      <c r="Q670" t="s">
        <v>301</v>
      </c>
      <c r="R670" t="s">
        <v>996</v>
      </c>
      <c r="S670" t="s">
        <v>991</v>
      </c>
      <c r="T670" t="s">
        <v>919</v>
      </c>
      <c r="U670" t="s">
        <v>774</v>
      </c>
      <c r="V670" t="s">
        <v>1001</v>
      </c>
      <c r="W670" t="s">
        <v>1124</v>
      </c>
      <c r="X670" t="s">
        <v>1009</v>
      </c>
      <c r="Y670" t="s">
        <v>1101</v>
      </c>
      <c r="Z670" t="s">
        <v>1157</v>
      </c>
      <c r="AA670" t="s">
        <v>969</v>
      </c>
      <c r="AB670" t="s">
        <v>291</v>
      </c>
      <c r="AC670" t="s">
        <v>1123</v>
      </c>
      <c r="AD670" t="s">
        <v>311</v>
      </c>
      <c r="AE670" t="s">
        <v>1062</v>
      </c>
      <c r="AF670" t="s">
        <v>226</v>
      </c>
      <c r="AG670" t="s">
        <v>138</v>
      </c>
      <c r="AH670" t="s">
        <v>1063</v>
      </c>
      <c r="AI670" t="s">
        <v>148</v>
      </c>
      <c r="AJ670" t="s">
        <v>172</v>
      </c>
      <c r="AK670" t="s">
        <v>752</v>
      </c>
      <c r="AL670" t="s">
        <v>1126</v>
      </c>
      <c r="AM670" t="s">
        <v>1078</v>
      </c>
      <c r="AN670" t="s">
        <v>766</v>
      </c>
      <c r="AO670" t="s">
        <v>1079</v>
      </c>
      <c r="AP670" t="s">
        <v>1080</v>
      </c>
      <c r="AQ670" t="s">
        <v>174</v>
      </c>
      <c r="AR670" t="s">
        <v>230</v>
      </c>
      <c r="AS670" t="s">
        <v>1095</v>
      </c>
      <c r="AT670" t="s">
        <v>1096</v>
      </c>
      <c r="AU670" t="s">
        <v>951</v>
      </c>
      <c r="AV670" t="s">
        <v>917</v>
      </c>
      <c r="AW670" t="s">
        <v>231</v>
      </c>
      <c r="AX670" t="s">
        <v>1082</v>
      </c>
      <c r="AY670" t="s">
        <v>1117</v>
      </c>
      <c r="AZ670" t="s">
        <v>1037</v>
      </c>
      <c r="BA670" t="s">
        <v>1031</v>
      </c>
      <c r="BB670" t="s">
        <v>969</v>
      </c>
      <c r="BC670" t="s">
        <v>995</v>
      </c>
      <c r="BD670" t="s">
        <v>1036</v>
      </c>
      <c r="BE670" t="s">
        <v>785</v>
      </c>
      <c r="BF670" t="s">
        <v>756</v>
      </c>
      <c r="BG670" t="s">
        <v>1014</v>
      </c>
      <c r="BH670" t="s">
        <v>233</v>
      </c>
      <c r="BI670" t="s">
        <v>760</v>
      </c>
      <c r="BJ670" t="s">
        <v>1040</v>
      </c>
      <c r="BK670" t="s">
        <v>234</v>
      </c>
      <c r="BL670" t="s">
        <v>1092</v>
      </c>
      <c r="BM670" t="s">
        <v>1125</v>
      </c>
      <c r="BN670" t="s">
        <v>787</v>
      </c>
      <c r="BO670" t="s">
        <v>928</v>
      </c>
      <c r="BP670" t="s">
        <v>918</v>
      </c>
      <c r="BQ670" t="s">
        <v>1119</v>
      </c>
      <c r="BR670" t="s">
        <v>1167</v>
      </c>
      <c r="BS670" t="s">
        <v>239</v>
      </c>
      <c r="BT670" t="s">
        <v>241</v>
      </c>
      <c r="BU670" t="s">
        <v>805</v>
      </c>
      <c r="BV670" t="s">
        <v>806</v>
      </c>
    </row>
    <row r="671" spans="1:96">
      <c r="A671" s="40">
        <v>630</v>
      </c>
      <c r="B671" s="40" t="s">
        <v>2673</v>
      </c>
      <c r="C671" s="2" t="s">
        <v>2674</v>
      </c>
      <c r="D671" s="2" t="s">
        <v>15</v>
      </c>
      <c r="E671" s="2" t="s">
        <v>20</v>
      </c>
      <c r="F671" s="2">
        <v>110</v>
      </c>
      <c r="G671" s="2">
        <v>65</v>
      </c>
      <c r="H671" s="2">
        <v>105</v>
      </c>
      <c r="I671" s="2">
        <v>55</v>
      </c>
      <c r="J671" s="2">
        <v>95</v>
      </c>
      <c r="K671" s="2">
        <v>80</v>
      </c>
      <c r="L671" s="2">
        <v>510</v>
      </c>
      <c r="M671" s="2" t="s">
        <v>1089</v>
      </c>
      <c r="N671" s="2" t="s">
        <v>1061</v>
      </c>
      <c r="O671" t="s">
        <v>289</v>
      </c>
      <c r="P671" t="s">
        <v>301</v>
      </c>
      <c r="Q671" t="s">
        <v>330</v>
      </c>
      <c r="R671" t="s">
        <v>996</v>
      </c>
      <c r="S671" t="s">
        <v>301</v>
      </c>
      <c r="T671" t="s">
        <v>996</v>
      </c>
      <c r="U671" t="s">
        <v>991</v>
      </c>
      <c r="V671" t="s">
        <v>919</v>
      </c>
      <c r="W671" t="s">
        <v>774</v>
      </c>
      <c r="X671" t="s">
        <v>1001</v>
      </c>
      <c r="Y671" t="s">
        <v>1124</v>
      </c>
      <c r="Z671" t="s">
        <v>1009</v>
      </c>
      <c r="AA671" t="s">
        <v>1101</v>
      </c>
      <c r="AB671" t="s">
        <v>1157</v>
      </c>
      <c r="AC671" t="s">
        <v>969</v>
      </c>
      <c r="AD671" t="s">
        <v>1219</v>
      </c>
      <c r="AE671" t="s">
        <v>291</v>
      </c>
      <c r="AF671" t="s">
        <v>1123</v>
      </c>
      <c r="AG671" t="s">
        <v>311</v>
      </c>
      <c r="AH671" t="s">
        <v>1062</v>
      </c>
      <c r="AI671" t="s">
        <v>226</v>
      </c>
      <c r="AJ671" t="s">
        <v>138</v>
      </c>
      <c r="AK671" t="s">
        <v>1063</v>
      </c>
      <c r="AL671" t="s">
        <v>148</v>
      </c>
      <c r="AM671" t="s">
        <v>172</v>
      </c>
      <c r="AN671" t="s">
        <v>752</v>
      </c>
      <c r="AO671" t="s">
        <v>1126</v>
      </c>
      <c r="AP671" t="s">
        <v>247</v>
      </c>
      <c r="AQ671" t="s">
        <v>1078</v>
      </c>
      <c r="AR671" t="s">
        <v>766</v>
      </c>
      <c r="AS671" t="s">
        <v>1079</v>
      </c>
      <c r="AT671" t="s">
        <v>1080</v>
      </c>
      <c r="AU671" t="s">
        <v>174</v>
      </c>
      <c r="AV671" t="s">
        <v>230</v>
      </c>
      <c r="AW671" t="s">
        <v>1095</v>
      </c>
      <c r="AX671" t="s">
        <v>1096</v>
      </c>
      <c r="AY671" t="s">
        <v>951</v>
      </c>
      <c r="AZ671" t="s">
        <v>917</v>
      </c>
      <c r="BA671" t="s">
        <v>231</v>
      </c>
      <c r="BB671" t="s">
        <v>1082</v>
      </c>
      <c r="BC671" t="s">
        <v>1117</v>
      </c>
      <c r="BD671" t="s">
        <v>1037</v>
      </c>
      <c r="BE671" t="s">
        <v>1031</v>
      </c>
      <c r="BF671" t="s">
        <v>969</v>
      </c>
      <c r="BG671" t="s">
        <v>995</v>
      </c>
      <c r="BH671" t="s">
        <v>1036</v>
      </c>
      <c r="BI671" t="s">
        <v>976</v>
      </c>
      <c r="BJ671" t="s">
        <v>785</v>
      </c>
      <c r="BK671" t="s">
        <v>756</v>
      </c>
      <c r="BL671" t="s">
        <v>1014</v>
      </c>
      <c r="BM671" t="s">
        <v>233</v>
      </c>
      <c r="BN671" t="s">
        <v>760</v>
      </c>
      <c r="BO671" t="s">
        <v>1040</v>
      </c>
      <c r="BP671" t="s">
        <v>234</v>
      </c>
      <c r="BQ671" t="s">
        <v>1092</v>
      </c>
      <c r="BR671" t="s">
        <v>1125</v>
      </c>
      <c r="BS671" t="s">
        <v>787</v>
      </c>
      <c r="BT671" t="s">
        <v>928</v>
      </c>
      <c r="BU671" t="s">
        <v>918</v>
      </c>
      <c r="BV671" t="s">
        <v>1119</v>
      </c>
      <c r="BW671" t="s">
        <v>1167</v>
      </c>
      <c r="BX671" t="s">
        <v>239</v>
      </c>
      <c r="BY671" t="s">
        <v>241</v>
      </c>
      <c r="BZ671" t="s">
        <v>805</v>
      </c>
      <c r="CA671" t="s">
        <v>806</v>
      </c>
    </row>
    <row r="672" spans="1:96">
      <c r="A672" s="40">
        <v>631</v>
      </c>
      <c r="B672" s="40" t="s">
        <v>2675</v>
      </c>
      <c r="C672" s="2" t="s">
        <v>2676</v>
      </c>
      <c r="D672" s="2" t="s">
        <v>19</v>
      </c>
      <c r="E672" s="2"/>
      <c r="F672" s="2">
        <v>85</v>
      </c>
      <c r="G672" s="2">
        <v>97</v>
      </c>
      <c r="H672" s="2">
        <v>66</v>
      </c>
      <c r="I672" s="2">
        <v>105</v>
      </c>
      <c r="J672" s="2">
        <v>66</v>
      </c>
      <c r="K672" s="2">
        <v>65</v>
      </c>
      <c r="L672" s="2">
        <v>484</v>
      </c>
      <c r="M672" s="2" t="s">
        <v>1177</v>
      </c>
      <c r="N672" s="2" t="s">
        <v>1061</v>
      </c>
      <c r="O672" t="s">
        <v>511</v>
      </c>
      <c r="P672" t="s">
        <v>1031</v>
      </c>
      <c r="Q672" t="s">
        <v>934</v>
      </c>
      <c r="R672" t="s">
        <v>240</v>
      </c>
      <c r="S672" t="s">
        <v>255</v>
      </c>
      <c r="T672" t="s">
        <v>323</v>
      </c>
      <c r="U672" t="s">
        <v>945</v>
      </c>
      <c r="V672" t="s">
        <v>1026</v>
      </c>
      <c r="W672" t="s">
        <v>1110</v>
      </c>
      <c r="X672" t="s">
        <v>253</v>
      </c>
      <c r="Y672" t="s">
        <v>235</v>
      </c>
      <c r="Z672" t="s">
        <v>254</v>
      </c>
      <c r="AA672" t="s">
        <v>946</v>
      </c>
      <c r="AB672" t="s">
        <v>1133</v>
      </c>
      <c r="AC672" t="s">
        <v>948</v>
      </c>
      <c r="AD672" t="s">
        <v>185</v>
      </c>
      <c r="AE672" t="s">
        <v>1062</v>
      </c>
      <c r="AF672" t="s">
        <v>226</v>
      </c>
      <c r="AG672" t="s">
        <v>1063</v>
      </c>
      <c r="AH672" t="s">
        <v>1030</v>
      </c>
      <c r="AI672" t="s">
        <v>148</v>
      </c>
      <c r="AJ672" t="s">
        <v>172</v>
      </c>
      <c r="AK672" t="s">
        <v>752</v>
      </c>
      <c r="AL672" t="s">
        <v>1126</v>
      </c>
      <c r="AM672" t="s">
        <v>1078</v>
      </c>
      <c r="AN672" t="s">
        <v>766</v>
      </c>
      <c r="AO672" t="s">
        <v>1079</v>
      </c>
      <c r="AP672" t="s">
        <v>229</v>
      </c>
      <c r="AQ672" t="s">
        <v>1080</v>
      </c>
      <c r="AR672" t="s">
        <v>256</v>
      </c>
      <c r="AS672" t="s">
        <v>230</v>
      </c>
      <c r="AT672" t="s">
        <v>254</v>
      </c>
      <c r="AU672" t="s">
        <v>257</v>
      </c>
      <c r="AV672" t="s">
        <v>1095</v>
      </c>
      <c r="AW672" t="s">
        <v>1096</v>
      </c>
      <c r="AX672" t="s">
        <v>917</v>
      </c>
      <c r="AY672" t="s">
        <v>231</v>
      </c>
      <c r="AZ672" t="s">
        <v>1082</v>
      </c>
      <c r="BA672" t="s">
        <v>1117</v>
      </c>
      <c r="BB672" t="s">
        <v>1037</v>
      </c>
      <c r="BC672" t="s">
        <v>1102</v>
      </c>
      <c r="BD672" t="s">
        <v>974</v>
      </c>
      <c r="BE672" t="s">
        <v>1031</v>
      </c>
      <c r="BF672" t="s">
        <v>956</v>
      </c>
      <c r="BG672" t="s">
        <v>1005</v>
      </c>
      <c r="BH672" t="s">
        <v>976</v>
      </c>
      <c r="BI672" t="s">
        <v>756</v>
      </c>
      <c r="BJ672" t="s">
        <v>757</v>
      </c>
      <c r="BK672" t="s">
        <v>233</v>
      </c>
      <c r="BL672" t="s">
        <v>760</v>
      </c>
      <c r="BM672" t="s">
        <v>2398</v>
      </c>
      <c r="BN672" t="s">
        <v>2339</v>
      </c>
      <c r="BO672" t="s">
        <v>234</v>
      </c>
      <c r="BP672" t="s">
        <v>364</v>
      </c>
      <c r="BQ672" t="s">
        <v>338</v>
      </c>
      <c r="BR672" t="s">
        <v>751</v>
      </c>
      <c r="BS672" t="s">
        <v>774</v>
      </c>
      <c r="BT672" t="s">
        <v>757</v>
      </c>
      <c r="BU672" t="s">
        <v>773</v>
      </c>
      <c r="BV672" t="s">
        <v>924</v>
      </c>
      <c r="BW672" t="s">
        <v>950</v>
      </c>
      <c r="BX672" t="s">
        <v>1008</v>
      </c>
      <c r="BY672" t="s">
        <v>993</v>
      </c>
      <c r="BZ672" t="s">
        <v>2335</v>
      </c>
      <c r="CA672" t="s">
        <v>239</v>
      </c>
      <c r="CB672" t="s">
        <v>241</v>
      </c>
      <c r="CC672" t="s">
        <v>805</v>
      </c>
      <c r="CD672" t="s">
        <v>806</v>
      </c>
    </row>
    <row r="673" spans="1:99">
      <c r="A673" s="40">
        <v>632</v>
      </c>
      <c r="B673" s="40" t="s">
        <v>2677</v>
      </c>
      <c r="C673" s="2" t="s">
        <v>2678</v>
      </c>
      <c r="D673" s="2" t="s">
        <v>14</v>
      </c>
      <c r="E673" s="2" t="s">
        <v>26</v>
      </c>
      <c r="F673" s="2">
        <v>58</v>
      </c>
      <c r="G673" s="2">
        <v>109</v>
      </c>
      <c r="H673" s="2">
        <v>112</v>
      </c>
      <c r="I673" s="2">
        <v>48</v>
      </c>
      <c r="J673" s="2">
        <v>48</v>
      </c>
      <c r="K673" s="2">
        <v>109</v>
      </c>
      <c r="L673" s="2">
        <v>484</v>
      </c>
      <c r="M673" s="2" t="s">
        <v>1165</v>
      </c>
      <c r="N673" s="2" t="s">
        <v>1061</v>
      </c>
      <c r="O673" t="s">
        <v>542</v>
      </c>
      <c r="P673" t="s">
        <v>309</v>
      </c>
      <c r="Q673" t="s">
        <v>758</v>
      </c>
      <c r="R673" t="s">
        <v>258</v>
      </c>
      <c r="S673" t="s">
        <v>306</v>
      </c>
      <c r="T673" t="s">
        <v>783</v>
      </c>
      <c r="U673" t="s">
        <v>1110</v>
      </c>
      <c r="V673" t="s">
        <v>777</v>
      </c>
      <c r="W673" t="s">
        <v>985</v>
      </c>
      <c r="X673" t="s">
        <v>256</v>
      </c>
      <c r="Y673" t="s">
        <v>1577</v>
      </c>
      <c r="Z673" t="s">
        <v>1018</v>
      </c>
      <c r="AA673" t="s">
        <v>177</v>
      </c>
      <c r="AB673" t="s">
        <v>543</v>
      </c>
      <c r="AC673" t="s">
        <v>1202</v>
      </c>
      <c r="AD673" t="s">
        <v>1062</v>
      </c>
      <c r="AE673" t="s">
        <v>226</v>
      </c>
      <c r="AF673" t="s">
        <v>227</v>
      </c>
      <c r="AG673" t="s">
        <v>1063</v>
      </c>
      <c r="AH673" t="s">
        <v>1030</v>
      </c>
      <c r="AI673" t="s">
        <v>148</v>
      </c>
      <c r="AJ673" t="s">
        <v>172</v>
      </c>
      <c r="AK673" t="s">
        <v>1078</v>
      </c>
      <c r="AL673" t="s">
        <v>1079</v>
      </c>
      <c r="AM673" t="s">
        <v>1080</v>
      </c>
      <c r="AN673" t="s">
        <v>256</v>
      </c>
      <c r="AO673" t="s">
        <v>230</v>
      </c>
      <c r="AP673" t="s">
        <v>765</v>
      </c>
      <c r="AQ673" t="s">
        <v>1095</v>
      </c>
      <c r="AR673" t="s">
        <v>1096</v>
      </c>
      <c r="AS673" t="s">
        <v>917</v>
      </c>
      <c r="AT673" t="s">
        <v>231</v>
      </c>
      <c r="AU673" t="s">
        <v>1082</v>
      </c>
      <c r="AV673" t="s">
        <v>1037</v>
      </c>
      <c r="AW673" t="s">
        <v>970</v>
      </c>
      <c r="AX673" t="s">
        <v>1005</v>
      </c>
      <c r="AY673" t="s">
        <v>1036</v>
      </c>
      <c r="AZ673" t="s">
        <v>976</v>
      </c>
      <c r="BA673" t="s">
        <v>1003</v>
      </c>
      <c r="BB673" t="s">
        <v>183</v>
      </c>
      <c r="BC673" t="s">
        <v>322</v>
      </c>
      <c r="BD673" t="s">
        <v>1042</v>
      </c>
      <c r="BE673" t="s">
        <v>143</v>
      </c>
      <c r="BF673" t="s">
        <v>1018</v>
      </c>
      <c r="BG673" t="s">
        <v>756</v>
      </c>
      <c r="BH673" t="s">
        <v>757</v>
      </c>
      <c r="BI673" t="s">
        <v>233</v>
      </c>
      <c r="BJ673" t="s">
        <v>973</v>
      </c>
      <c r="BK673" t="s">
        <v>760</v>
      </c>
      <c r="BL673" t="s">
        <v>2339</v>
      </c>
      <c r="BM673" t="s">
        <v>234</v>
      </c>
      <c r="BN673" t="s">
        <v>324</v>
      </c>
      <c r="BO673" t="s">
        <v>774</v>
      </c>
      <c r="BP673" t="s">
        <v>754</v>
      </c>
      <c r="BQ673" t="s">
        <v>788</v>
      </c>
      <c r="BR673" t="s">
        <v>1010</v>
      </c>
      <c r="BS673" t="s">
        <v>1002</v>
      </c>
      <c r="BT673" t="s">
        <v>239</v>
      </c>
      <c r="BU673" t="s">
        <v>241</v>
      </c>
      <c r="BV673" t="s">
        <v>805</v>
      </c>
      <c r="BW673" t="s">
        <v>806</v>
      </c>
    </row>
    <row r="674" spans="1:99">
      <c r="A674" s="40">
        <v>633</v>
      </c>
      <c r="B674" s="40" t="s">
        <v>2679</v>
      </c>
      <c r="C674" s="2" t="s">
        <v>2680</v>
      </c>
      <c r="D674" s="2" t="s">
        <v>15</v>
      </c>
      <c r="E674" s="2" t="s">
        <v>16</v>
      </c>
      <c r="F674" s="2">
        <v>52</v>
      </c>
      <c r="G674" s="2">
        <v>65</v>
      </c>
      <c r="H674" s="2">
        <v>50</v>
      </c>
      <c r="I674" s="2">
        <v>45</v>
      </c>
      <c r="J674" s="2">
        <v>50</v>
      </c>
      <c r="K674" s="2">
        <v>38</v>
      </c>
      <c r="L674" s="2">
        <v>300</v>
      </c>
      <c r="M674" s="2" t="s">
        <v>1162</v>
      </c>
      <c r="N674" s="2" t="s">
        <v>1061</v>
      </c>
      <c r="O674" t="s">
        <v>219</v>
      </c>
      <c r="P674" t="s">
        <v>252</v>
      </c>
      <c r="Q674" t="s">
        <v>302</v>
      </c>
      <c r="R674" t="s">
        <v>258</v>
      </c>
      <c r="S674" t="s">
        <v>420</v>
      </c>
      <c r="T674" t="s">
        <v>762</v>
      </c>
      <c r="U674" t="s">
        <v>246</v>
      </c>
      <c r="V674" t="s">
        <v>777</v>
      </c>
      <c r="W674" t="s">
        <v>341</v>
      </c>
      <c r="X674" t="s">
        <v>967</v>
      </c>
      <c r="Y674" t="s">
        <v>1049</v>
      </c>
      <c r="Z674" t="s">
        <v>180</v>
      </c>
      <c r="AA674" t="s">
        <v>364</v>
      </c>
      <c r="AB674" t="s">
        <v>1092</v>
      </c>
      <c r="AC674" t="s">
        <v>1160</v>
      </c>
      <c r="AD674" t="s">
        <v>764</v>
      </c>
      <c r="AE674" t="s">
        <v>1062</v>
      </c>
      <c r="AF674" t="s">
        <v>227</v>
      </c>
      <c r="AG674" t="s">
        <v>1063</v>
      </c>
      <c r="AH674" t="s">
        <v>246</v>
      </c>
      <c r="AI674" t="s">
        <v>148</v>
      </c>
      <c r="AJ674" t="s">
        <v>172</v>
      </c>
      <c r="AK674" t="s">
        <v>752</v>
      </c>
      <c r="AL674" t="s">
        <v>1126</v>
      </c>
      <c r="AM674" t="s">
        <v>1078</v>
      </c>
      <c r="AN674" t="s">
        <v>766</v>
      </c>
      <c r="AO674" t="s">
        <v>1079</v>
      </c>
      <c r="AP674" t="s">
        <v>1080</v>
      </c>
      <c r="AQ674" t="s">
        <v>230</v>
      </c>
      <c r="AR674" t="s">
        <v>951</v>
      </c>
      <c r="AS674" t="s">
        <v>917</v>
      </c>
      <c r="AT674" t="s">
        <v>231</v>
      </c>
      <c r="AU674" t="s">
        <v>1082</v>
      </c>
      <c r="AV674" t="s">
        <v>1117</v>
      </c>
      <c r="AW674" t="s">
        <v>1037</v>
      </c>
      <c r="AX674" t="s">
        <v>1031</v>
      </c>
      <c r="AY674" t="s">
        <v>322</v>
      </c>
      <c r="AZ674" t="s">
        <v>785</v>
      </c>
      <c r="BA674" t="s">
        <v>1022</v>
      </c>
      <c r="BB674" t="s">
        <v>756</v>
      </c>
      <c r="BC674" t="s">
        <v>757</v>
      </c>
      <c r="BD674" t="s">
        <v>233</v>
      </c>
      <c r="BE674" t="s">
        <v>760</v>
      </c>
      <c r="BF674" t="s">
        <v>1157</v>
      </c>
      <c r="BG674" t="s">
        <v>2339</v>
      </c>
      <c r="BH674" t="s">
        <v>234</v>
      </c>
      <c r="BI674" t="s">
        <v>324</v>
      </c>
      <c r="BJ674" t="s">
        <v>1130</v>
      </c>
      <c r="BK674" t="s">
        <v>960</v>
      </c>
      <c r="BL674" t="s">
        <v>1157</v>
      </c>
      <c r="BM674" t="s">
        <v>968</v>
      </c>
      <c r="BN674" t="s">
        <v>1010</v>
      </c>
      <c r="BO674" t="s">
        <v>983</v>
      </c>
      <c r="BP674" t="s">
        <v>182</v>
      </c>
      <c r="BQ674" t="s">
        <v>800</v>
      </c>
      <c r="BR674" t="s">
        <v>965</v>
      </c>
      <c r="BS674" t="s">
        <v>239</v>
      </c>
      <c r="BT674" t="s">
        <v>241</v>
      </c>
      <c r="BU674" t="s">
        <v>805</v>
      </c>
      <c r="BV674" t="s">
        <v>806</v>
      </c>
    </row>
    <row r="675" spans="1:99">
      <c r="A675" s="40">
        <v>634</v>
      </c>
      <c r="B675" s="40" t="s">
        <v>2681</v>
      </c>
      <c r="C675" s="2" t="s">
        <v>2682</v>
      </c>
      <c r="D675" s="2" t="s">
        <v>15</v>
      </c>
      <c r="E675" s="2" t="s">
        <v>16</v>
      </c>
      <c r="F675" s="2">
        <v>72</v>
      </c>
      <c r="G675" s="2">
        <v>85</v>
      </c>
      <c r="H675" s="2">
        <v>70</v>
      </c>
      <c r="I675" s="2">
        <v>65</v>
      </c>
      <c r="J675" s="2">
        <v>70</v>
      </c>
      <c r="K675" s="2">
        <v>58</v>
      </c>
      <c r="L675" s="2">
        <v>420</v>
      </c>
      <c r="M675" s="2" t="s">
        <v>1103</v>
      </c>
      <c r="N675" s="2" t="s">
        <v>1061</v>
      </c>
      <c r="O675" t="s">
        <v>258</v>
      </c>
      <c r="P675" t="s">
        <v>252</v>
      </c>
      <c r="Q675" t="s">
        <v>302</v>
      </c>
      <c r="R675" t="s">
        <v>965</v>
      </c>
      <c r="S675" t="s">
        <v>302</v>
      </c>
      <c r="T675" t="s">
        <v>258</v>
      </c>
      <c r="U675" t="s">
        <v>420</v>
      </c>
      <c r="V675" t="s">
        <v>762</v>
      </c>
      <c r="W675" t="s">
        <v>246</v>
      </c>
      <c r="X675" t="s">
        <v>777</v>
      </c>
      <c r="Y675" t="s">
        <v>341</v>
      </c>
      <c r="Z675" t="s">
        <v>967</v>
      </c>
      <c r="AA675" t="s">
        <v>1049</v>
      </c>
      <c r="AB675" t="s">
        <v>180</v>
      </c>
      <c r="AC675" t="s">
        <v>364</v>
      </c>
      <c r="AD675" t="s">
        <v>1092</v>
      </c>
      <c r="AE675" t="s">
        <v>1160</v>
      </c>
      <c r="AF675" t="s">
        <v>764</v>
      </c>
      <c r="AG675" t="s">
        <v>1062</v>
      </c>
      <c r="AH675" t="s">
        <v>227</v>
      </c>
      <c r="AI675" t="s">
        <v>1063</v>
      </c>
      <c r="AJ675" t="s">
        <v>246</v>
      </c>
      <c r="AK675" t="s">
        <v>148</v>
      </c>
      <c r="AL675" t="s">
        <v>172</v>
      </c>
      <c r="AM675" t="s">
        <v>752</v>
      </c>
      <c r="AN675" t="s">
        <v>1126</v>
      </c>
      <c r="AO675" t="s">
        <v>1078</v>
      </c>
      <c r="AP675" t="s">
        <v>766</v>
      </c>
      <c r="AQ675" t="s">
        <v>1079</v>
      </c>
      <c r="AR675" t="s">
        <v>1080</v>
      </c>
      <c r="AS675" t="s">
        <v>230</v>
      </c>
      <c r="AT675" t="s">
        <v>951</v>
      </c>
      <c r="AU675" t="s">
        <v>917</v>
      </c>
      <c r="AV675" t="s">
        <v>231</v>
      </c>
      <c r="AW675" t="s">
        <v>1082</v>
      </c>
      <c r="AX675" t="s">
        <v>1117</v>
      </c>
      <c r="AY675" t="s">
        <v>1037</v>
      </c>
      <c r="AZ675" t="s">
        <v>1031</v>
      </c>
      <c r="BA675" t="s">
        <v>322</v>
      </c>
      <c r="BB675" t="s">
        <v>785</v>
      </c>
      <c r="BC675" t="s">
        <v>1022</v>
      </c>
      <c r="BD675" t="s">
        <v>756</v>
      </c>
      <c r="BE675" t="s">
        <v>757</v>
      </c>
      <c r="BF675" t="s">
        <v>233</v>
      </c>
      <c r="BG675" t="s">
        <v>760</v>
      </c>
      <c r="BH675" t="s">
        <v>1157</v>
      </c>
      <c r="BI675" t="s">
        <v>2339</v>
      </c>
      <c r="BJ675" t="s">
        <v>234</v>
      </c>
      <c r="BK675" t="s">
        <v>324</v>
      </c>
      <c r="BL675" t="s">
        <v>1130</v>
      </c>
      <c r="BM675" t="s">
        <v>960</v>
      </c>
      <c r="BN675" t="s">
        <v>1157</v>
      </c>
      <c r="BO675" t="s">
        <v>968</v>
      </c>
      <c r="BP675" t="s">
        <v>1010</v>
      </c>
      <c r="BQ675" t="s">
        <v>983</v>
      </c>
      <c r="BR675" t="s">
        <v>182</v>
      </c>
      <c r="BS675" t="s">
        <v>800</v>
      </c>
      <c r="BT675" t="s">
        <v>965</v>
      </c>
      <c r="BU675" t="s">
        <v>239</v>
      </c>
      <c r="BV675" t="s">
        <v>241</v>
      </c>
      <c r="BW675" t="s">
        <v>219</v>
      </c>
      <c r="BX675" t="s">
        <v>805</v>
      </c>
      <c r="BY675" t="s">
        <v>806</v>
      </c>
    </row>
    <row r="676" spans="1:99">
      <c r="A676" s="40">
        <v>635</v>
      </c>
      <c r="B676" s="40" t="s">
        <v>2683</v>
      </c>
      <c r="C676" s="2" t="s">
        <v>2684</v>
      </c>
      <c r="D676" s="2" t="s">
        <v>15</v>
      </c>
      <c r="E676" s="2" t="s">
        <v>16</v>
      </c>
      <c r="F676" s="2">
        <v>92</v>
      </c>
      <c r="G676" s="2">
        <v>105</v>
      </c>
      <c r="H676" s="2">
        <v>90</v>
      </c>
      <c r="I676" s="2">
        <v>125</v>
      </c>
      <c r="J676" s="2">
        <v>90</v>
      </c>
      <c r="K676" s="2">
        <v>98</v>
      </c>
      <c r="L676" s="2">
        <v>600</v>
      </c>
      <c r="M676" s="2" t="s">
        <v>1100</v>
      </c>
      <c r="N676" s="2" t="s">
        <v>1061</v>
      </c>
      <c r="O676" t="s">
        <v>258</v>
      </c>
      <c r="P676" t="s">
        <v>252</v>
      </c>
      <c r="Q676" t="s">
        <v>302</v>
      </c>
      <c r="R676" t="s">
        <v>333</v>
      </c>
      <c r="S676" t="s">
        <v>302</v>
      </c>
      <c r="T676" t="s">
        <v>258</v>
      </c>
      <c r="U676" t="s">
        <v>420</v>
      </c>
      <c r="V676" t="s">
        <v>762</v>
      </c>
      <c r="W676" t="s">
        <v>246</v>
      </c>
      <c r="X676" t="s">
        <v>777</v>
      </c>
      <c r="Y676" t="s">
        <v>341</v>
      </c>
      <c r="Z676" t="s">
        <v>967</v>
      </c>
      <c r="AA676" t="s">
        <v>1049</v>
      </c>
      <c r="AB676" t="s">
        <v>180</v>
      </c>
      <c r="AC676" t="s">
        <v>364</v>
      </c>
      <c r="AD676" t="s">
        <v>1092</v>
      </c>
      <c r="AE676" t="s">
        <v>1160</v>
      </c>
      <c r="AF676" t="s">
        <v>764</v>
      </c>
      <c r="AG676" t="s">
        <v>1062</v>
      </c>
      <c r="AH676" t="s">
        <v>138</v>
      </c>
      <c r="AI676" t="s">
        <v>144</v>
      </c>
      <c r="AJ676" t="s">
        <v>227</v>
      </c>
      <c r="AK676" t="s">
        <v>1063</v>
      </c>
      <c r="AL676" t="s">
        <v>246</v>
      </c>
      <c r="AM676" t="s">
        <v>148</v>
      </c>
      <c r="AN676" t="s">
        <v>172</v>
      </c>
      <c r="AO676" t="s">
        <v>752</v>
      </c>
      <c r="AP676" t="s">
        <v>1126</v>
      </c>
      <c r="AQ676" t="s">
        <v>247</v>
      </c>
      <c r="AR676" t="s">
        <v>1078</v>
      </c>
      <c r="AS676" t="s">
        <v>766</v>
      </c>
      <c r="AT676" t="s">
        <v>1119</v>
      </c>
      <c r="AU676" t="s">
        <v>1079</v>
      </c>
      <c r="AV676" t="s">
        <v>136</v>
      </c>
      <c r="AW676" t="s">
        <v>1080</v>
      </c>
      <c r="AX676" t="s">
        <v>230</v>
      </c>
      <c r="AY676" t="s">
        <v>380</v>
      </c>
      <c r="AZ676" t="s">
        <v>254</v>
      </c>
      <c r="BA676" t="s">
        <v>257</v>
      </c>
      <c r="BB676" t="s">
        <v>1095</v>
      </c>
      <c r="BC676" t="s">
        <v>951</v>
      </c>
      <c r="BD676" t="s">
        <v>917</v>
      </c>
      <c r="BE676" t="s">
        <v>231</v>
      </c>
      <c r="BF676" t="s">
        <v>1082</v>
      </c>
      <c r="BG676" t="s">
        <v>1117</v>
      </c>
      <c r="BH676" t="s">
        <v>1037</v>
      </c>
      <c r="BI676" t="s">
        <v>1083</v>
      </c>
      <c r="BJ676" t="s">
        <v>1125</v>
      </c>
      <c r="BK676" t="s">
        <v>1102</v>
      </c>
      <c r="BL676" t="s">
        <v>963</v>
      </c>
      <c r="BM676" t="s">
        <v>1031</v>
      </c>
      <c r="BN676" t="s">
        <v>1020</v>
      </c>
      <c r="BO676" t="s">
        <v>995</v>
      </c>
      <c r="BP676" t="s">
        <v>976</v>
      </c>
      <c r="BQ676" t="s">
        <v>183</v>
      </c>
      <c r="BR676" t="s">
        <v>322</v>
      </c>
      <c r="BS676" t="s">
        <v>785</v>
      </c>
      <c r="BT676" t="s">
        <v>1021</v>
      </c>
      <c r="BU676" t="s">
        <v>143</v>
      </c>
      <c r="BV676" t="s">
        <v>1022</v>
      </c>
      <c r="BW676" t="s">
        <v>756</v>
      </c>
      <c r="BX676" t="s">
        <v>757</v>
      </c>
      <c r="BY676" t="s">
        <v>1014</v>
      </c>
      <c r="BZ676" t="s">
        <v>233</v>
      </c>
      <c r="CA676" t="s">
        <v>973</v>
      </c>
      <c r="CB676" t="s">
        <v>760</v>
      </c>
      <c r="CC676" t="s">
        <v>1157</v>
      </c>
      <c r="CD676" t="s">
        <v>2339</v>
      </c>
      <c r="CE676" t="s">
        <v>234</v>
      </c>
      <c r="CF676" t="s">
        <v>324</v>
      </c>
      <c r="CG676" t="s">
        <v>1130</v>
      </c>
      <c r="CH676" t="s">
        <v>960</v>
      </c>
      <c r="CI676" t="s">
        <v>1157</v>
      </c>
      <c r="CJ676" t="s">
        <v>968</v>
      </c>
      <c r="CK676" t="s">
        <v>1010</v>
      </c>
      <c r="CL676" t="s">
        <v>983</v>
      </c>
      <c r="CM676" t="s">
        <v>182</v>
      </c>
      <c r="CN676" t="s">
        <v>800</v>
      </c>
      <c r="CO676" t="s">
        <v>965</v>
      </c>
      <c r="CP676" t="s">
        <v>239</v>
      </c>
      <c r="CQ676" t="s">
        <v>241</v>
      </c>
      <c r="CR676" t="s">
        <v>219</v>
      </c>
      <c r="CS676" t="s">
        <v>965</v>
      </c>
      <c r="CT676" t="s">
        <v>805</v>
      </c>
      <c r="CU676" t="s">
        <v>806</v>
      </c>
    </row>
    <row r="677" spans="1:99">
      <c r="A677" s="40">
        <v>636</v>
      </c>
      <c r="B677" s="40" t="s">
        <v>2685</v>
      </c>
      <c r="C677" s="2" t="s">
        <v>2686</v>
      </c>
      <c r="D677" s="2" t="s">
        <v>14</v>
      </c>
      <c r="E677" s="2" t="s">
        <v>19</v>
      </c>
      <c r="F677" s="2">
        <v>55</v>
      </c>
      <c r="G677" s="2">
        <v>85</v>
      </c>
      <c r="H677" s="2">
        <v>55</v>
      </c>
      <c r="I677" s="2">
        <v>50</v>
      </c>
      <c r="J677" s="2">
        <v>55</v>
      </c>
      <c r="K677" s="2">
        <v>60</v>
      </c>
      <c r="L677" s="2">
        <v>360</v>
      </c>
      <c r="M677" s="2" t="s">
        <v>1071</v>
      </c>
      <c r="N677" s="2" t="s">
        <v>1061</v>
      </c>
      <c r="O677" t="s">
        <v>250</v>
      </c>
      <c r="P677" t="s">
        <v>281</v>
      </c>
      <c r="Q677" t="s">
        <v>397</v>
      </c>
      <c r="R677" t="s">
        <v>223</v>
      </c>
      <c r="S677" t="s">
        <v>1097</v>
      </c>
      <c r="T677" t="s">
        <v>1110</v>
      </c>
      <c r="U677" t="s">
        <v>225</v>
      </c>
      <c r="V677" t="s">
        <v>1127</v>
      </c>
      <c r="W677" t="s">
        <v>1115</v>
      </c>
      <c r="X677" t="s">
        <v>235</v>
      </c>
      <c r="Y677" t="s">
        <v>373</v>
      </c>
      <c r="Z677" t="s">
        <v>972</v>
      </c>
      <c r="AA677" t="s">
        <v>1062</v>
      </c>
      <c r="AB677" t="s">
        <v>1063</v>
      </c>
      <c r="AC677" t="s">
        <v>912</v>
      </c>
      <c r="AD677" t="s">
        <v>148</v>
      </c>
      <c r="AE677" t="s">
        <v>172</v>
      </c>
      <c r="AF677" t="s">
        <v>752</v>
      </c>
      <c r="AG677" t="s">
        <v>228</v>
      </c>
      <c r="AH677" t="s">
        <v>1078</v>
      </c>
      <c r="AI677" t="s">
        <v>759</v>
      </c>
      <c r="AJ677" t="s">
        <v>1079</v>
      </c>
      <c r="AK677" t="s">
        <v>229</v>
      </c>
      <c r="AL677" t="s">
        <v>1080</v>
      </c>
      <c r="AM677" t="s">
        <v>9</v>
      </c>
      <c r="AN677" t="s">
        <v>230</v>
      </c>
      <c r="AO677" t="s">
        <v>254</v>
      </c>
      <c r="AP677" t="s">
        <v>257</v>
      </c>
      <c r="AQ677" t="s">
        <v>917</v>
      </c>
      <c r="AR677" t="s">
        <v>1097</v>
      </c>
      <c r="AS677" t="s">
        <v>231</v>
      </c>
      <c r="AT677" t="s">
        <v>1037</v>
      </c>
      <c r="AU677" t="s">
        <v>1098</v>
      </c>
      <c r="AV677" t="s">
        <v>1031</v>
      </c>
      <c r="AW677" t="s">
        <v>956</v>
      </c>
      <c r="AX677" t="s">
        <v>1020</v>
      </c>
      <c r="AY677" t="s">
        <v>1042</v>
      </c>
      <c r="AZ677" t="s">
        <v>756</v>
      </c>
      <c r="BA677" t="s">
        <v>1014</v>
      </c>
      <c r="BB677" t="s">
        <v>233</v>
      </c>
      <c r="BC677" t="s">
        <v>1047</v>
      </c>
      <c r="BD677" t="s">
        <v>234</v>
      </c>
      <c r="BE677" t="s">
        <v>281</v>
      </c>
      <c r="BF677" t="s">
        <v>284</v>
      </c>
      <c r="BG677" t="s">
        <v>771</v>
      </c>
      <c r="BH677" t="s">
        <v>754</v>
      </c>
      <c r="BI677" t="s">
        <v>1164</v>
      </c>
      <c r="BJ677" t="s">
        <v>988</v>
      </c>
      <c r="BK677" t="s">
        <v>1019</v>
      </c>
      <c r="BL677" t="s">
        <v>239</v>
      </c>
      <c r="BM677" t="s">
        <v>241</v>
      </c>
      <c r="BN677" t="s">
        <v>805</v>
      </c>
      <c r="BO677" t="s">
        <v>806</v>
      </c>
    </row>
    <row r="678" spans="1:99">
      <c r="A678" s="40">
        <v>637</v>
      </c>
      <c r="B678" s="40" t="s">
        <v>2687</v>
      </c>
      <c r="C678" s="2" t="s">
        <v>2688</v>
      </c>
      <c r="D678" s="2" t="s">
        <v>14</v>
      </c>
      <c r="E678" s="2" t="s">
        <v>19</v>
      </c>
      <c r="F678" s="2">
        <v>85</v>
      </c>
      <c r="G678" s="2">
        <v>60</v>
      </c>
      <c r="H678" s="2">
        <v>65</v>
      </c>
      <c r="I678" s="2">
        <v>135</v>
      </c>
      <c r="J678" s="2">
        <v>105</v>
      </c>
      <c r="K678" s="2">
        <v>100</v>
      </c>
      <c r="L678" s="2">
        <v>550</v>
      </c>
      <c r="M678" s="2" t="s">
        <v>1158</v>
      </c>
      <c r="N678" s="2" t="s">
        <v>1061</v>
      </c>
      <c r="O678" t="s">
        <v>289</v>
      </c>
      <c r="P678" t="s">
        <v>250</v>
      </c>
      <c r="Q678" t="s">
        <v>281</v>
      </c>
      <c r="R678" t="s">
        <v>397</v>
      </c>
      <c r="S678" t="s">
        <v>397</v>
      </c>
      <c r="T678" t="s">
        <v>289</v>
      </c>
      <c r="U678" t="s">
        <v>255</v>
      </c>
      <c r="V678" t="s">
        <v>291</v>
      </c>
      <c r="W678" t="s">
        <v>1113</v>
      </c>
      <c r="X678" t="s">
        <v>1116</v>
      </c>
      <c r="Y678" t="s">
        <v>924</v>
      </c>
      <c r="Z678" t="s">
        <v>1115</v>
      </c>
      <c r="AA678" t="s">
        <v>1114</v>
      </c>
      <c r="AB678" t="s">
        <v>1122</v>
      </c>
      <c r="AC678" t="s">
        <v>2038</v>
      </c>
      <c r="AD678" t="s">
        <v>1062</v>
      </c>
      <c r="AE678" t="s">
        <v>138</v>
      </c>
      <c r="AF678" t="s">
        <v>1063</v>
      </c>
      <c r="AG678" t="s">
        <v>912</v>
      </c>
      <c r="AH678" t="s">
        <v>148</v>
      </c>
      <c r="AI678" t="s">
        <v>172</v>
      </c>
      <c r="AJ678" t="s">
        <v>752</v>
      </c>
      <c r="AK678" t="s">
        <v>247</v>
      </c>
      <c r="AL678" t="s">
        <v>228</v>
      </c>
      <c r="AM678" t="s">
        <v>1078</v>
      </c>
      <c r="AN678" t="s">
        <v>759</v>
      </c>
      <c r="AO678" t="s">
        <v>1079</v>
      </c>
      <c r="AP678" t="s">
        <v>229</v>
      </c>
      <c r="AQ678" t="s">
        <v>1080</v>
      </c>
      <c r="AR678" t="s">
        <v>9</v>
      </c>
      <c r="AS678" t="s">
        <v>230</v>
      </c>
      <c r="AT678" t="s">
        <v>254</v>
      </c>
      <c r="AU678" t="s">
        <v>257</v>
      </c>
      <c r="AV678" t="s">
        <v>1096</v>
      </c>
      <c r="AW678" t="s">
        <v>917</v>
      </c>
      <c r="AX678" t="s">
        <v>1097</v>
      </c>
      <c r="AY678" t="s">
        <v>231</v>
      </c>
      <c r="AZ678" t="s">
        <v>1037</v>
      </c>
      <c r="BA678" t="s">
        <v>1098</v>
      </c>
      <c r="BB678" t="s">
        <v>1031</v>
      </c>
      <c r="BC678" t="s">
        <v>956</v>
      </c>
      <c r="BD678" t="s">
        <v>1020</v>
      </c>
      <c r="BE678" t="s">
        <v>976</v>
      </c>
      <c r="BF678" t="s">
        <v>1042</v>
      </c>
      <c r="BG678" t="s">
        <v>997</v>
      </c>
      <c r="BH678" t="s">
        <v>756</v>
      </c>
      <c r="BI678" t="s">
        <v>1014</v>
      </c>
      <c r="BJ678" t="s">
        <v>233</v>
      </c>
      <c r="BK678" t="s">
        <v>1047</v>
      </c>
      <c r="BL678" t="s">
        <v>234</v>
      </c>
      <c r="BM678" t="s">
        <v>281</v>
      </c>
      <c r="BN678" t="s">
        <v>284</v>
      </c>
      <c r="BO678" t="s">
        <v>771</v>
      </c>
      <c r="BP678" t="s">
        <v>754</v>
      </c>
      <c r="BQ678" t="s">
        <v>1164</v>
      </c>
      <c r="BR678" t="s">
        <v>988</v>
      </c>
      <c r="BS678" t="s">
        <v>1019</v>
      </c>
      <c r="BT678" t="s">
        <v>239</v>
      </c>
      <c r="BU678" t="s">
        <v>241</v>
      </c>
      <c r="BV678" t="s">
        <v>223</v>
      </c>
      <c r="BW678" t="s">
        <v>1097</v>
      </c>
      <c r="BX678" t="s">
        <v>1110</v>
      </c>
      <c r="BY678" t="s">
        <v>225</v>
      </c>
      <c r="BZ678" t="s">
        <v>1127</v>
      </c>
      <c r="CA678" t="s">
        <v>235</v>
      </c>
      <c r="CB678" t="s">
        <v>373</v>
      </c>
      <c r="CC678" t="s">
        <v>972</v>
      </c>
      <c r="CD678" t="s">
        <v>805</v>
      </c>
      <c r="CE678" t="s">
        <v>806</v>
      </c>
    </row>
    <row r="679" spans="1:99">
      <c r="A679" s="40">
        <v>638</v>
      </c>
      <c r="B679" s="40" t="s">
        <v>2689</v>
      </c>
      <c r="C679" s="2" t="s">
        <v>2690</v>
      </c>
      <c r="D679" s="2" t="s">
        <v>26</v>
      </c>
      <c r="E679" s="2" t="s">
        <v>18</v>
      </c>
      <c r="F679" s="2">
        <v>91</v>
      </c>
      <c r="G679" s="2">
        <v>90</v>
      </c>
      <c r="H679" s="2">
        <v>129</v>
      </c>
      <c r="I679" s="2">
        <v>90</v>
      </c>
      <c r="J679" s="2">
        <v>72</v>
      </c>
      <c r="K679" s="2">
        <v>108</v>
      </c>
      <c r="L679" s="2">
        <v>580</v>
      </c>
      <c r="M679" s="2" t="s">
        <v>1131</v>
      </c>
      <c r="N679" s="2" t="s">
        <v>1061</v>
      </c>
      <c r="O679" t="s">
        <v>330</v>
      </c>
      <c r="P679" t="s">
        <v>310</v>
      </c>
      <c r="Q679" t="s">
        <v>359</v>
      </c>
      <c r="R679" t="s">
        <v>783</v>
      </c>
      <c r="S679" t="s">
        <v>223</v>
      </c>
      <c r="T679" t="s">
        <v>925</v>
      </c>
      <c r="U679" t="s">
        <v>1036</v>
      </c>
      <c r="V679" t="s">
        <v>985</v>
      </c>
      <c r="W679" t="s">
        <v>2039</v>
      </c>
      <c r="X679" t="s">
        <v>145</v>
      </c>
      <c r="Y679" t="s">
        <v>1035</v>
      </c>
      <c r="Z679" t="s">
        <v>1049</v>
      </c>
      <c r="AA679" t="s">
        <v>1559</v>
      </c>
      <c r="AB679" t="s">
        <v>1174</v>
      </c>
      <c r="AC679" t="s">
        <v>1062</v>
      </c>
      <c r="AD679" t="s">
        <v>226</v>
      </c>
      <c r="AE679" t="s">
        <v>227</v>
      </c>
      <c r="AF679" t="s">
        <v>1063</v>
      </c>
      <c r="AG679" t="s">
        <v>1030</v>
      </c>
      <c r="AH679" t="s">
        <v>912</v>
      </c>
      <c r="AI679" t="s">
        <v>246</v>
      </c>
      <c r="AJ679" t="s">
        <v>148</v>
      </c>
      <c r="AK679" t="s">
        <v>172</v>
      </c>
      <c r="AL679" t="s">
        <v>1126</v>
      </c>
      <c r="AM679" t="s">
        <v>247</v>
      </c>
      <c r="AN679" t="s">
        <v>1078</v>
      </c>
      <c r="AO679" t="s">
        <v>759</v>
      </c>
      <c r="AP679" t="s">
        <v>1079</v>
      </c>
      <c r="AQ679" t="s">
        <v>1080</v>
      </c>
      <c r="AR679" t="s">
        <v>230</v>
      </c>
      <c r="AS679" t="s">
        <v>380</v>
      </c>
      <c r="AT679" t="s">
        <v>765</v>
      </c>
      <c r="AU679" t="s">
        <v>1096</v>
      </c>
      <c r="AV679" t="s">
        <v>917</v>
      </c>
      <c r="AW679" t="s">
        <v>231</v>
      </c>
      <c r="AX679" t="s">
        <v>1037</v>
      </c>
      <c r="AY679" t="s">
        <v>1102</v>
      </c>
      <c r="AZ679" t="s">
        <v>776</v>
      </c>
      <c r="BA679" t="s">
        <v>1036</v>
      </c>
      <c r="BB679" t="s">
        <v>976</v>
      </c>
      <c r="BC679" t="s">
        <v>1003</v>
      </c>
      <c r="BD679" t="s">
        <v>183</v>
      </c>
      <c r="BE679" t="s">
        <v>1045</v>
      </c>
      <c r="BF679" t="s">
        <v>322</v>
      </c>
      <c r="BG679" t="s">
        <v>145</v>
      </c>
      <c r="BH679" t="s">
        <v>785</v>
      </c>
      <c r="BI679" t="s">
        <v>1018</v>
      </c>
      <c r="BJ679" t="s">
        <v>997</v>
      </c>
      <c r="BK679" t="s">
        <v>756</v>
      </c>
      <c r="BL679" t="s">
        <v>233</v>
      </c>
      <c r="BM679" t="s">
        <v>973</v>
      </c>
      <c r="BN679" t="s">
        <v>760</v>
      </c>
      <c r="BO679" t="s">
        <v>234</v>
      </c>
      <c r="BP679" t="s">
        <v>239</v>
      </c>
      <c r="BQ679" t="s">
        <v>241</v>
      </c>
      <c r="BR679" t="s">
        <v>805</v>
      </c>
      <c r="BS679" t="s">
        <v>806</v>
      </c>
    </row>
    <row r="680" spans="1:99">
      <c r="A680" s="40">
        <v>639</v>
      </c>
      <c r="B680" s="40" t="s">
        <v>2691</v>
      </c>
      <c r="C680" s="2" t="s">
        <v>2692</v>
      </c>
      <c r="D680" s="2" t="s">
        <v>25</v>
      </c>
      <c r="E680" s="2" t="s">
        <v>18</v>
      </c>
      <c r="F680" s="2">
        <v>91</v>
      </c>
      <c r="G680" s="2">
        <v>129</v>
      </c>
      <c r="H680" s="2">
        <v>90</v>
      </c>
      <c r="I680" s="2">
        <v>72</v>
      </c>
      <c r="J680" s="2">
        <v>90</v>
      </c>
      <c r="K680" s="2">
        <v>108</v>
      </c>
      <c r="L680" s="2">
        <v>580</v>
      </c>
      <c r="M680" s="2" t="s">
        <v>1188</v>
      </c>
      <c r="N680" s="2" t="s">
        <v>1061</v>
      </c>
      <c r="O680" t="s">
        <v>330</v>
      </c>
      <c r="P680" t="s">
        <v>310</v>
      </c>
      <c r="Q680" t="s">
        <v>359</v>
      </c>
      <c r="R680" t="s">
        <v>1109</v>
      </c>
      <c r="S680" t="s">
        <v>223</v>
      </c>
      <c r="T680" t="s">
        <v>925</v>
      </c>
      <c r="U680" t="s">
        <v>1036</v>
      </c>
      <c r="V680" t="s">
        <v>143</v>
      </c>
      <c r="W680" t="s">
        <v>2039</v>
      </c>
      <c r="X680" t="s">
        <v>145</v>
      </c>
      <c r="Y680" t="s">
        <v>1035</v>
      </c>
      <c r="Z680" t="s">
        <v>1049</v>
      </c>
      <c r="AA680" t="s">
        <v>183</v>
      </c>
      <c r="AB680" t="s">
        <v>1174</v>
      </c>
      <c r="AC680" t="s">
        <v>1062</v>
      </c>
      <c r="AD680" t="s">
        <v>226</v>
      </c>
      <c r="AE680" t="s">
        <v>227</v>
      </c>
      <c r="AF680" t="s">
        <v>1063</v>
      </c>
      <c r="AG680" t="s">
        <v>912</v>
      </c>
      <c r="AH680" t="s">
        <v>246</v>
      </c>
      <c r="AI680" t="s">
        <v>148</v>
      </c>
      <c r="AJ680" t="s">
        <v>172</v>
      </c>
      <c r="AK680" t="s">
        <v>1126</v>
      </c>
      <c r="AL680" t="s">
        <v>247</v>
      </c>
      <c r="AM680" t="s">
        <v>1078</v>
      </c>
      <c r="AN680" t="s">
        <v>759</v>
      </c>
      <c r="AO680" t="s">
        <v>1079</v>
      </c>
      <c r="AP680" t="s">
        <v>1109</v>
      </c>
      <c r="AQ680" t="s">
        <v>136</v>
      </c>
      <c r="AR680" t="s">
        <v>1080</v>
      </c>
      <c r="AS680" t="s">
        <v>230</v>
      </c>
      <c r="AT680" t="s">
        <v>380</v>
      </c>
      <c r="AU680" t="s">
        <v>765</v>
      </c>
      <c r="AV680" t="s">
        <v>1095</v>
      </c>
      <c r="AW680" t="s">
        <v>1096</v>
      </c>
      <c r="AX680" t="s">
        <v>917</v>
      </c>
      <c r="AY680" t="s">
        <v>231</v>
      </c>
      <c r="AZ680" t="s">
        <v>1037</v>
      </c>
      <c r="BA680" t="s">
        <v>1102</v>
      </c>
      <c r="BB680" t="s">
        <v>776</v>
      </c>
      <c r="BC680" t="s">
        <v>1036</v>
      </c>
      <c r="BD680" t="s">
        <v>976</v>
      </c>
      <c r="BE680" t="s">
        <v>1003</v>
      </c>
      <c r="BF680" t="s">
        <v>183</v>
      </c>
      <c r="BG680" t="s">
        <v>145</v>
      </c>
      <c r="BH680" t="s">
        <v>785</v>
      </c>
      <c r="BI680" t="s">
        <v>1021</v>
      </c>
      <c r="BJ680" t="s">
        <v>143</v>
      </c>
      <c r="BK680" t="s">
        <v>1018</v>
      </c>
      <c r="BL680" t="s">
        <v>997</v>
      </c>
      <c r="BM680" t="s">
        <v>756</v>
      </c>
      <c r="BN680" t="s">
        <v>233</v>
      </c>
      <c r="BO680" t="s">
        <v>760</v>
      </c>
      <c r="BP680" t="s">
        <v>234</v>
      </c>
      <c r="BQ680" t="s">
        <v>239</v>
      </c>
      <c r="BR680" t="s">
        <v>241</v>
      </c>
      <c r="BS680" t="s">
        <v>805</v>
      </c>
      <c r="BT680" t="s">
        <v>806</v>
      </c>
    </row>
    <row r="681" spans="1:99">
      <c r="A681" s="40">
        <v>640</v>
      </c>
      <c r="B681" s="40" t="s">
        <v>2693</v>
      </c>
      <c r="C681" s="2" t="s">
        <v>2694</v>
      </c>
      <c r="D681" s="2" t="s">
        <v>21</v>
      </c>
      <c r="E681" s="2" t="s">
        <v>18</v>
      </c>
      <c r="F681" s="2">
        <v>91</v>
      </c>
      <c r="G681" s="2">
        <v>90</v>
      </c>
      <c r="H681" s="2">
        <v>72</v>
      </c>
      <c r="I681" s="2">
        <v>90</v>
      </c>
      <c r="J681" s="2">
        <v>129</v>
      </c>
      <c r="K681" s="2">
        <v>108</v>
      </c>
      <c r="L681" s="2">
        <v>580</v>
      </c>
      <c r="M681" s="2" t="s">
        <v>1199</v>
      </c>
      <c r="N681" s="2" t="s">
        <v>1061</v>
      </c>
      <c r="O681" t="s">
        <v>330</v>
      </c>
      <c r="P681" t="s">
        <v>310</v>
      </c>
      <c r="Q681" t="s">
        <v>359</v>
      </c>
      <c r="R681" t="s">
        <v>930</v>
      </c>
      <c r="S681" t="s">
        <v>223</v>
      </c>
      <c r="T681" t="s">
        <v>925</v>
      </c>
      <c r="U681" t="s">
        <v>1036</v>
      </c>
      <c r="V681" t="s">
        <v>171</v>
      </c>
      <c r="W681" t="s">
        <v>2039</v>
      </c>
      <c r="X681" t="s">
        <v>145</v>
      </c>
      <c r="Y681" t="s">
        <v>1035</v>
      </c>
      <c r="Z681" t="s">
        <v>1049</v>
      </c>
      <c r="AA681" t="s">
        <v>1194</v>
      </c>
      <c r="AB681" t="s">
        <v>1174</v>
      </c>
      <c r="AC681" t="s">
        <v>1062</v>
      </c>
      <c r="AD681" t="s">
        <v>226</v>
      </c>
      <c r="AE681" t="s">
        <v>227</v>
      </c>
      <c r="AF681" t="s">
        <v>1063</v>
      </c>
      <c r="AG681" t="s">
        <v>912</v>
      </c>
      <c r="AH681" t="s">
        <v>246</v>
      </c>
      <c r="AI681" t="s">
        <v>148</v>
      </c>
      <c r="AJ681" t="s">
        <v>172</v>
      </c>
      <c r="AK681" t="s">
        <v>752</v>
      </c>
      <c r="AL681" t="s">
        <v>1126</v>
      </c>
      <c r="AM681" t="s">
        <v>247</v>
      </c>
      <c r="AN681" t="s">
        <v>228</v>
      </c>
      <c r="AO681" t="s">
        <v>1078</v>
      </c>
      <c r="AP681" t="s">
        <v>759</v>
      </c>
      <c r="AQ681" t="s">
        <v>1079</v>
      </c>
      <c r="AR681" t="s">
        <v>229</v>
      </c>
      <c r="AS681" t="s">
        <v>1080</v>
      </c>
      <c r="AT681" t="s">
        <v>230</v>
      </c>
      <c r="AU681" t="s">
        <v>380</v>
      </c>
      <c r="AV681" t="s">
        <v>1096</v>
      </c>
      <c r="AW681" t="s">
        <v>917</v>
      </c>
      <c r="AX681" t="s">
        <v>231</v>
      </c>
      <c r="AY681" t="s">
        <v>1037</v>
      </c>
      <c r="AZ681" t="s">
        <v>1102</v>
      </c>
      <c r="BA681" t="s">
        <v>970</v>
      </c>
      <c r="BB681" t="s">
        <v>776</v>
      </c>
      <c r="BC681" t="s">
        <v>1036</v>
      </c>
      <c r="BD681" t="s">
        <v>976</v>
      </c>
      <c r="BE681" t="s">
        <v>232</v>
      </c>
      <c r="BF681" t="s">
        <v>183</v>
      </c>
      <c r="BG681" t="s">
        <v>145</v>
      </c>
      <c r="BH681" t="s">
        <v>785</v>
      </c>
      <c r="BI681" t="s">
        <v>1018</v>
      </c>
      <c r="BJ681" t="s">
        <v>977</v>
      </c>
      <c r="BK681" t="s">
        <v>756</v>
      </c>
      <c r="BL681" t="s">
        <v>233</v>
      </c>
      <c r="BM681" t="s">
        <v>760</v>
      </c>
      <c r="BN681" t="s">
        <v>234</v>
      </c>
      <c r="BO681" t="s">
        <v>239</v>
      </c>
      <c r="BP681" t="s">
        <v>241</v>
      </c>
      <c r="BQ681" t="s">
        <v>805</v>
      </c>
      <c r="BR681" t="s">
        <v>806</v>
      </c>
    </row>
    <row r="682" spans="1:99">
      <c r="A682" s="40">
        <v>641.1</v>
      </c>
      <c r="B682" s="40" t="s">
        <v>2695</v>
      </c>
      <c r="C682" s="2" t="s">
        <v>2696</v>
      </c>
      <c r="D682" s="2" t="s">
        <v>20</v>
      </c>
      <c r="E682" s="2"/>
      <c r="F682" s="2">
        <v>79</v>
      </c>
      <c r="G682" s="2">
        <v>115</v>
      </c>
      <c r="H682" s="2">
        <v>70</v>
      </c>
      <c r="I682" s="2">
        <v>125</v>
      </c>
      <c r="J682" s="2">
        <v>80</v>
      </c>
      <c r="K682" s="2">
        <v>111</v>
      </c>
      <c r="L682" s="2">
        <v>580</v>
      </c>
      <c r="M682" s="2" t="s">
        <v>1165</v>
      </c>
      <c r="N682" s="2" t="s">
        <v>1061</v>
      </c>
      <c r="O682" t="s">
        <v>289</v>
      </c>
      <c r="P682" t="s">
        <v>953</v>
      </c>
      <c r="Q682" t="s">
        <v>1130</v>
      </c>
      <c r="R682" t="s">
        <v>756</v>
      </c>
      <c r="S682" t="s">
        <v>258</v>
      </c>
      <c r="T682" t="s">
        <v>1128</v>
      </c>
      <c r="U682" t="s">
        <v>1118</v>
      </c>
      <c r="V682" t="s">
        <v>1154</v>
      </c>
      <c r="W682" t="s">
        <v>306</v>
      </c>
      <c r="X682" t="s">
        <v>1101</v>
      </c>
      <c r="Y682" t="s">
        <v>777</v>
      </c>
      <c r="Z682" t="s">
        <v>1009</v>
      </c>
      <c r="AA682" t="s">
        <v>766</v>
      </c>
      <c r="AB682" t="s">
        <v>1122</v>
      </c>
      <c r="AC682" t="s">
        <v>1157</v>
      </c>
      <c r="AD682" t="s">
        <v>981</v>
      </c>
      <c r="AE682" t="s">
        <v>373</v>
      </c>
      <c r="AF682" t="s">
        <v>1062</v>
      </c>
      <c r="AG682" t="s">
        <v>138</v>
      </c>
      <c r="AH682" t="s">
        <v>227</v>
      </c>
      <c r="AI682" t="s">
        <v>1063</v>
      </c>
      <c r="AJ682" t="s">
        <v>148</v>
      </c>
      <c r="AK682" t="s">
        <v>1175</v>
      </c>
      <c r="AL682" t="s">
        <v>172</v>
      </c>
      <c r="AM682" t="s">
        <v>1126</v>
      </c>
      <c r="AN682" t="s">
        <v>247</v>
      </c>
      <c r="AO682" t="s">
        <v>1078</v>
      </c>
      <c r="AP682" t="s">
        <v>766</v>
      </c>
      <c r="AQ682" t="s">
        <v>1079</v>
      </c>
      <c r="AR682" t="s">
        <v>1109</v>
      </c>
      <c r="AS682" t="s">
        <v>1080</v>
      </c>
      <c r="AT682" t="s">
        <v>9</v>
      </c>
      <c r="AU682" t="s">
        <v>1094</v>
      </c>
      <c r="AV682" t="s">
        <v>230</v>
      </c>
      <c r="AW682" t="s">
        <v>186</v>
      </c>
      <c r="AX682" t="s">
        <v>1081</v>
      </c>
      <c r="AY682" t="s">
        <v>1096</v>
      </c>
      <c r="AZ682" t="s">
        <v>951</v>
      </c>
      <c r="BA682" t="s">
        <v>917</v>
      </c>
      <c r="BB682" t="s">
        <v>231</v>
      </c>
      <c r="BC682" t="s">
        <v>1082</v>
      </c>
      <c r="BD682" t="s">
        <v>1117</v>
      </c>
      <c r="BE682" t="s">
        <v>1037</v>
      </c>
      <c r="BF682" t="s">
        <v>1102</v>
      </c>
      <c r="BG682" t="s">
        <v>974</v>
      </c>
      <c r="BH682" t="s">
        <v>1039</v>
      </c>
      <c r="BI682" t="s">
        <v>1031</v>
      </c>
      <c r="BJ682" t="s">
        <v>1020</v>
      </c>
      <c r="BK682" t="s">
        <v>969</v>
      </c>
      <c r="BL682" t="s">
        <v>995</v>
      </c>
      <c r="BM682" t="s">
        <v>976</v>
      </c>
      <c r="BN682" t="s">
        <v>977</v>
      </c>
      <c r="BO682" t="s">
        <v>756</v>
      </c>
      <c r="BP682" t="s">
        <v>1014</v>
      </c>
      <c r="BQ682" t="s">
        <v>233</v>
      </c>
      <c r="BR682" t="s">
        <v>760</v>
      </c>
      <c r="BS682" t="s">
        <v>234</v>
      </c>
      <c r="BT682" t="s">
        <v>239</v>
      </c>
      <c r="BU682" t="s">
        <v>241</v>
      </c>
      <c r="BV682" t="s">
        <v>805</v>
      </c>
      <c r="BW682" t="s">
        <v>806</v>
      </c>
    </row>
    <row r="683" spans="1:99">
      <c r="A683" s="40">
        <v>641.20000000000005</v>
      </c>
      <c r="B683" s="40" t="s">
        <v>2697</v>
      </c>
      <c r="C683" s="2" t="s">
        <v>2698</v>
      </c>
      <c r="D683" s="2" t="s">
        <v>20</v>
      </c>
      <c r="E683" s="2"/>
      <c r="F683" s="2">
        <v>79</v>
      </c>
      <c r="G683" s="2">
        <v>100</v>
      </c>
      <c r="H683" s="2">
        <v>80</v>
      </c>
      <c r="I683" s="2">
        <v>110</v>
      </c>
      <c r="J683" s="2">
        <v>90</v>
      </c>
      <c r="K683" s="2">
        <v>121</v>
      </c>
      <c r="L683" s="2">
        <v>580</v>
      </c>
      <c r="M683" s="2" t="s">
        <v>1165</v>
      </c>
      <c r="N683" s="2" t="s">
        <v>1061</v>
      </c>
      <c r="O683" t="s">
        <v>289</v>
      </c>
      <c r="P683" t="s">
        <v>953</v>
      </c>
      <c r="Q683" t="s">
        <v>1130</v>
      </c>
      <c r="R683" t="s">
        <v>756</v>
      </c>
      <c r="S683" t="s">
        <v>258</v>
      </c>
      <c r="T683" t="s">
        <v>1128</v>
      </c>
      <c r="U683" t="s">
        <v>1118</v>
      </c>
      <c r="V683" t="s">
        <v>1154</v>
      </c>
      <c r="W683" t="s">
        <v>306</v>
      </c>
      <c r="X683" t="s">
        <v>1101</v>
      </c>
      <c r="Y683" t="s">
        <v>777</v>
      </c>
      <c r="Z683" t="s">
        <v>1009</v>
      </c>
      <c r="AA683" t="s">
        <v>766</v>
      </c>
      <c r="AB683" t="s">
        <v>1122</v>
      </c>
      <c r="AC683" t="s">
        <v>1157</v>
      </c>
      <c r="AD683" t="s">
        <v>981</v>
      </c>
      <c r="AE683" t="s">
        <v>373</v>
      </c>
      <c r="AF683" t="s">
        <v>1062</v>
      </c>
      <c r="AG683" t="s">
        <v>138</v>
      </c>
      <c r="AH683" t="s">
        <v>227</v>
      </c>
      <c r="AI683" t="s">
        <v>1063</v>
      </c>
      <c r="AJ683" t="s">
        <v>148</v>
      </c>
      <c r="AK683" t="s">
        <v>1175</v>
      </c>
      <c r="AL683" t="s">
        <v>172</v>
      </c>
      <c r="AM683" t="s">
        <v>1126</v>
      </c>
      <c r="AN683" t="s">
        <v>247</v>
      </c>
      <c r="AO683" t="s">
        <v>1078</v>
      </c>
      <c r="AP683" t="s">
        <v>766</v>
      </c>
      <c r="AQ683" t="s">
        <v>1079</v>
      </c>
      <c r="AR683" t="s">
        <v>1109</v>
      </c>
      <c r="AS683" t="s">
        <v>1080</v>
      </c>
      <c r="AT683" t="s">
        <v>9</v>
      </c>
      <c r="AU683" t="s">
        <v>1094</v>
      </c>
      <c r="AV683" t="s">
        <v>230</v>
      </c>
      <c r="AW683" t="s">
        <v>186</v>
      </c>
      <c r="AX683" t="s">
        <v>1081</v>
      </c>
      <c r="AY683" t="s">
        <v>1096</v>
      </c>
      <c r="AZ683" t="s">
        <v>951</v>
      </c>
      <c r="BA683" t="s">
        <v>917</v>
      </c>
      <c r="BB683" t="s">
        <v>231</v>
      </c>
      <c r="BC683" t="s">
        <v>1082</v>
      </c>
      <c r="BD683" t="s">
        <v>1117</v>
      </c>
      <c r="BE683" t="s">
        <v>1037</v>
      </c>
      <c r="BF683" t="s">
        <v>1102</v>
      </c>
      <c r="BG683" t="s">
        <v>974</v>
      </c>
      <c r="BH683" t="s">
        <v>1039</v>
      </c>
      <c r="BI683" t="s">
        <v>1031</v>
      </c>
      <c r="BJ683" t="s">
        <v>1020</v>
      </c>
      <c r="BK683" t="s">
        <v>969</v>
      </c>
      <c r="BL683" t="s">
        <v>995</v>
      </c>
      <c r="BM683" t="s">
        <v>976</v>
      </c>
      <c r="BN683" t="s">
        <v>977</v>
      </c>
      <c r="BO683" t="s">
        <v>756</v>
      </c>
      <c r="BP683" t="s">
        <v>1014</v>
      </c>
      <c r="BQ683" t="s">
        <v>233</v>
      </c>
      <c r="BR683" t="s">
        <v>760</v>
      </c>
      <c r="BS683" t="s">
        <v>234</v>
      </c>
      <c r="BT683" t="s">
        <v>239</v>
      </c>
      <c r="BU683" t="s">
        <v>241</v>
      </c>
      <c r="BV683" t="s">
        <v>805</v>
      </c>
      <c r="BW683" t="s">
        <v>806</v>
      </c>
    </row>
    <row r="684" spans="1:99">
      <c r="A684" s="40">
        <v>642.1</v>
      </c>
      <c r="B684" s="40" t="s">
        <v>2699</v>
      </c>
      <c r="C684" s="2" t="s">
        <v>2700</v>
      </c>
      <c r="D684" s="2" t="s">
        <v>17</v>
      </c>
      <c r="E684" s="2" t="s">
        <v>20</v>
      </c>
      <c r="F684" s="2">
        <v>79</v>
      </c>
      <c r="G684" s="2">
        <v>115</v>
      </c>
      <c r="H684" s="2">
        <v>70</v>
      </c>
      <c r="I684" s="2">
        <v>125</v>
      </c>
      <c r="J684" s="2">
        <v>80</v>
      </c>
      <c r="K684" s="2">
        <v>111</v>
      </c>
      <c r="L684" s="2">
        <v>580</v>
      </c>
      <c r="M684" s="2" t="s">
        <v>1091</v>
      </c>
      <c r="N684" s="2" t="s">
        <v>1061</v>
      </c>
      <c r="O684" t="s">
        <v>346</v>
      </c>
      <c r="P684" t="s">
        <v>953</v>
      </c>
      <c r="Q684" t="s">
        <v>1130</v>
      </c>
      <c r="R684" t="s">
        <v>756</v>
      </c>
      <c r="S684" t="s">
        <v>258</v>
      </c>
      <c r="T684" t="s">
        <v>1128</v>
      </c>
      <c r="U684" t="s">
        <v>1230</v>
      </c>
      <c r="V684" t="s">
        <v>1451</v>
      </c>
      <c r="W684" t="s">
        <v>306</v>
      </c>
      <c r="X684" t="s">
        <v>1138</v>
      </c>
      <c r="Y684" t="s">
        <v>777</v>
      </c>
      <c r="Z684" t="s">
        <v>1140</v>
      </c>
      <c r="AA684" t="s">
        <v>991</v>
      </c>
      <c r="AB684" t="s">
        <v>321</v>
      </c>
      <c r="AC684" t="s">
        <v>1157</v>
      </c>
      <c r="AD684" t="s">
        <v>981</v>
      </c>
      <c r="AE684" t="s">
        <v>373</v>
      </c>
      <c r="AF684" t="s">
        <v>1062</v>
      </c>
      <c r="AG684" t="s">
        <v>138</v>
      </c>
      <c r="AH684" t="s">
        <v>227</v>
      </c>
      <c r="AI684" t="s">
        <v>1063</v>
      </c>
      <c r="AJ684" t="s">
        <v>148</v>
      </c>
      <c r="AK684" t="s">
        <v>1175</v>
      </c>
      <c r="AL684" t="s">
        <v>172</v>
      </c>
      <c r="AM684" t="s">
        <v>1126</v>
      </c>
      <c r="AN684" t="s">
        <v>247</v>
      </c>
      <c r="AO684" t="s">
        <v>1078</v>
      </c>
      <c r="AP684" t="s">
        <v>766</v>
      </c>
      <c r="AQ684" t="s">
        <v>1079</v>
      </c>
      <c r="AR684" t="s">
        <v>1109</v>
      </c>
      <c r="AS684" t="s">
        <v>146</v>
      </c>
      <c r="AT684" t="s">
        <v>321</v>
      </c>
      <c r="AU684" t="s">
        <v>1080</v>
      </c>
      <c r="AV684" t="s">
        <v>9</v>
      </c>
      <c r="AW684" t="s">
        <v>1094</v>
      </c>
      <c r="AX684" t="s">
        <v>230</v>
      </c>
      <c r="AY684" t="s">
        <v>186</v>
      </c>
      <c r="AZ684" t="s">
        <v>1081</v>
      </c>
      <c r="BA684" t="s">
        <v>951</v>
      </c>
      <c r="BB684" t="s">
        <v>917</v>
      </c>
      <c r="BC684" t="s">
        <v>231</v>
      </c>
      <c r="BD684" t="s">
        <v>1082</v>
      </c>
      <c r="BE684" t="s">
        <v>1117</v>
      </c>
      <c r="BF684" t="s">
        <v>1037</v>
      </c>
      <c r="BG684" t="s">
        <v>1102</v>
      </c>
      <c r="BH684" t="s">
        <v>974</v>
      </c>
      <c r="BI684" t="s">
        <v>963</v>
      </c>
      <c r="BJ684" t="s">
        <v>1039</v>
      </c>
      <c r="BK684" t="s">
        <v>1031</v>
      </c>
      <c r="BL684" t="s">
        <v>969</v>
      </c>
      <c r="BM684" t="s">
        <v>995</v>
      </c>
      <c r="BN684" t="s">
        <v>976</v>
      </c>
      <c r="BO684" t="s">
        <v>1045</v>
      </c>
      <c r="BP684" t="s">
        <v>322</v>
      </c>
      <c r="BQ684" t="s">
        <v>977</v>
      </c>
      <c r="BR684" t="s">
        <v>756</v>
      </c>
      <c r="BS684" t="s">
        <v>1014</v>
      </c>
      <c r="BT684" t="s">
        <v>233</v>
      </c>
      <c r="BU684" t="s">
        <v>973</v>
      </c>
      <c r="BV684" t="s">
        <v>1047</v>
      </c>
      <c r="BW684" t="s">
        <v>760</v>
      </c>
      <c r="BX684" t="s">
        <v>234</v>
      </c>
      <c r="BY684" t="s">
        <v>239</v>
      </c>
      <c r="BZ684" t="s">
        <v>241</v>
      </c>
      <c r="CA684" t="s">
        <v>805</v>
      </c>
      <c r="CB684" t="s">
        <v>806</v>
      </c>
    </row>
    <row r="685" spans="1:99">
      <c r="A685" s="40">
        <v>642.20000000000005</v>
      </c>
      <c r="B685" s="40" t="s">
        <v>2701</v>
      </c>
      <c r="C685" s="2" t="s">
        <v>2702</v>
      </c>
      <c r="D685" s="2" t="s">
        <v>17</v>
      </c>
      <c r="E685" s="2" t="s">
        <v>20</v>
      </c>
      <c r="F685" s="2">
        <v>79</v>
      </c>
      <c r="G685" s="2">
        <v>105</v>
      </c>
      <c r="H685" s="2">
        <v>70</v>
      </c>
      <c r="I685" s="2">
        <v>145</v>
      </c>
      <c r="J685" s="2">
        <v>80</v>
      </c>
      <c r="K685" s="2">
        <v>101</v>
      </c>
      <c r="L685" s="2">
        <v>580</v>
      </c>
      <c r="M685" s="2" t="s">
        <v>1091</v>
      </c>
      <c r="N685" s="2" t="s">
        <v>1061</v>
      </c>
      <c r="O685" t="s">
        <v>346</v>
      </c>
      <c r="P685" t="s">
        <v>953</v>
      </c>
      <c r="Q685" t="s">
        <v>1130</v>
      </c>
      <c r="R685" t="s">
        <v>756</v>
      </c>
      <c r="S685" t="s">
        <v>258</v>
      </c>
      <c r="T685" t="s">
        <v>1128</v>
      </c>
      <c r="U685" t="s">
        <v>1230</v>
      </c>
      <c r="V685" t="s">
        <v>1451</v>
      </c>
      <c r="W685" t="s">
        <v>306</v>
      </c>
      <c r="X685" t="s">
        <v>1138</v>
      </c>
      <c r="Y685" t="s">
        <v>777</v>
      </c>
      <c r="Z685" t="s">
        <v>1140</v>
      </c>
      <c r="AA685" t="s">
        <v>991</v>
      </c>
      <c r="AB685" t="s">
        <v>321</v>
      </c>
      <c r="AC685" t="s">
        <v>1157</v>
      </c>
      <c r="AD685" t="s">
        <v>981</v>
      </c>
      <c r="AE685" t="s">
        <v>373</v>
      </c>
      <c r="AF685" t="s">
        <v>1062</v>
      </c>
      <c r="AG685" t="s">
        <v>138</v>
      </c>
      <c r="AH685" t="s">
        <v>227</v>
      </c>
      <c r="AI685" t="s">
        <v>1063</v>
      </c>
      <c r="AJ685" t="s">
        <v>148</v>
      </c>
      <c r="AK685" t="s">
        <v>1175</v>
      </c>
      <c r="AL685" t="s">
        <v>172</v>
      </c>
      <c r="AM685" t="s">
        <v>1126</v>
      </c>
      <c r="AN685" t="s">
        <v>247</v>
      </c>
      <c r="AO685" t="s">
        <v>1078</v>
      </c>
      <c r="AP685" t="s">
        <v>766</v>
      </c>
      <c r="AQ685" t="s">
        <v>1079</v>
      </c>
      <c r="AR685" t="s">
        <v>1109</v>
      </c>
      <c r="AS685" t="s">
        <v>146</v>
      </c>
      <c r="AT685" t="s">
        <v>321</v>
      </c>
      <c r="AU685" t="s">
        <v>1080</v>
      </c>
      <c r="AV685" t="s">
        <v>9</v>
      </c>
      <c r="AW685" t="s">
        <v>1094</v>
      </c>
      <c r="AX685" t="s">
        <v>230</v>
      </c>
      <c r="AY685" t="s">
        <v>186</v>
      </c>
      <c r="AZ685" t="s">
        <v>1081</v>
      </c>
      <c r="BA685" t="s">
        <v>951</v>
      </c>
      <c r="BB685" t="s">
        <v>917</v>
      </c>
      <c r="BC685" t="s">
        <v>231</v>
      </c>
      <c r="BD685" t="s">
        <v>1082</v>
      </c>
      <c r="BE685" t="s">
        <v>1117</v>
      </c>
      <c r="BF685" t="s">
        <v>1037</v>
      </c>
      <c r="BG685" t="s">
        <v>1102</v>
      </c>
      <c r="BH685" t="s">
        <v>974</v>
      </c>
      <c r="BI685" t="s">
        <v>963</v>
      </c>
      <c r="BJ685" t="s">
        <v>1039</v>
      </c>
      <c r="BK685" t="s">
        <v>1031</v>
      </c>
      <c r="BL685" t="s">
        <v>969</v>
      </c>
      <c r="BM685" t="s">
        <v>995</v>
      </c>
      <c r="BN685" t="s">
        <v>976</v>
      </c>
      <c r="BO685" t="s">
        <v>1045</v>
      </c>
      <c r="BP685" t="s">
        <v>322</v>
      </c>
      <c r="BQ685" t="s">
        <v>977</v>
      </c>
      <c r="BR685" t="s">
        <v>756</v>
      </c>
      <c r="BS685" t="s">
        <v>1014</v>
      </c>
      <c r="BT685" t="s">
        <v>233</v>
      </c>
      <c r="BU685" t="s">
        <v>973</v>
      </c>
      <c r="BV685" t="s">
        <v>1047</v>
      </c>
      <c r="BW685" t="s">
        <v>760</v>
      </c>
      <c r="BX685" t="s">
        <v>234</v>
      </c>
      <c r="BY685" t="s">
        <v>239</v>
      </c>
      <c r="BZ685" t="s">
        <v>241</v>
      </c>
      <c r="CA685" t="s">
        <v>805</v>
      </c>
      <c r="CB685" t="s">
        <v>806</v>
      </c>
    </row>
    <row r="686" spans="1:99">
      <c r="A686" s="40">
        <v>643</v>
      </c>
      <c r="B686" s="40" t="s">
        <v>2703</v>
      </c>
      <c r="C686" s="2" t="s">
        <v>2704</v>
      </c>
      <c r="D686" s="2" t="s">
        <v>16</v>
      </c>
      <c r="E686" s="2" t="s">
        <v>19</v>
      </c>
      <c r="F686" s="2">
        <v>100</v>
      </c>
      <c r="G686" s="2">
        <v>120</v>
      </c>
      <c r="H686" s="2">
        <v>100</v>
      </c>
      <c r="I686" s="2">
        <v>150</v>
      </c>
      <c r="J686" s="2">
        <v>120</v>
      </c>
      <c r="K686" s="2">
        <v>90</v>
      </c>
      <c r="L686" s="2">
        <v>680</v>
      </c>
      <c r="M686" s="2" t="s">
        <v>1145</v>
      </c>
      <c r="N686" s="2" t="s">
        <v>1061</v>
      </c>
      <c r="O686" t="s">
        <v>252</v>
      </c>
      <c r="P686" t="s">
        <v>182</v>
      </c>
      <c r="Q686" t="s">
        <v>927</v>
      </c>
      <c r="R686" t="s">
        <v>170</v>
      </c>
      <c r="S686" t="s">
        <v>254</v>
      </c>
      <c r="T686" t="s">
        <v>762</v>
      </c>
      <c r="U686" t="s">
        <v>253</v>
      </c>
      <c r="V686" t="s">
        <v>1154</v>
      </c>
      <c r="W686" t="s">
        <v>1998</v>
      </c>
      <c r="X686" t="s">
        <v>967</v>
      </c>
      <c r="Y686" t="s">
        <v>927</v>
      </c>
      <c r="Z686" t="s">
        <v>777</v>
      </c>
      <c r="AA686" t="s">
        <v>257</v>
      </c>
      <c r="AB686" t="s">
        <v>764</v>
      </c>
      <c r="AC686" t="s">
        <v>1160</v>
      </c>
      <c r="AD686" t="s">
        <v>1995</v>
      </c>
      <c r="AE686" t="s">
        <v>1062</v>
      </c>
      <c r="AF686" t="s">
        <v>226</v>
      </c>
      <c r="AG686" t="s">
        <v>138</v>
      </c>
      <c r="AH686" t="s">
        <v>227</v>
      </c>
      <c r="AI686" t="s">
        <v>1063</v>
      </c>
      <c r="AJ686" t="s">
        <v>1030</v>
      </c>
      <c r="AK686" t="s">
        <v>1093</v>
      </c>
      <c r="AL686" t="s">
        <v>148</v>
      </c>
      <c r="AM686" t="s">
        <v>172</v>
      </c>
      <c r="AN686" t="s">
        <v>752</v>
      </c>
      <c r="AO686" t="s">
        <v>247</v>
      </c>
      <c r="AP686" t="s">
        <v>228</v>
      </c>
      <c r="AQ686" t="s">
        <v>1078</v>
      </c>
      <c r="AR686" t="s">
        <v>759</v>
      </c>
      <c r="AS686" t="s">
        <v>1079</v>
      </c>
      <c r="AT686" t="s">
        <v>229</v>
      </c>
      <c r="AU686" t="s">
        <v>1080</v>
      </c>
      <c r="AV686" t="s">
        <v>9</v>
      </c>
      <c r="AW686" t="s">
        <v>174</v>
      </c>
      <c r="AX686" t="s">
        <v>230</v>
      </c>
      <c r="AY686" t="s">
        <v>380</v>
      </c>
      <c r="AZ686" t="s">
        <v>254</v>
      </c>
      <c r="BA686" t="s">
        <v>257</v>
      </c>
      <c r="BB686" t="s">
        <v>1095</v>
      </c>
      <c r="BC686" t="s">
        <v>917</v>
      </c>
      <c r="BD686" t="s">
        <v>1097</v>
      </c>
      <c r="BE686" t="s">
        <v>231</v>
      </c>
      <c r="BF686" t="s">
        <v>1037</v>
      </c>
      <c r="BG686" t="s">
        <v>1083</v>
      </c>
      <c r="BH686" t="s">
        <v>1098</v>
      </c>
      <c r="BI686" t="s">
        <v>1102</v>
      </c>
      <c r="BJ686" t="s">
        <v>974</v>
      </c>
      <c r="BK686" t="s">
        <v>1031</v>
      </c>
      <c r="BL686" t="s">
        <v>956</v>
      </c>
      <c r="BM686" t="s">
        <v>1005</v>
      </c>
      <c r="BN686" t="s">
        <v>995</v>
      </c>
      <c r="BO686" t="s">
        <v>976</v>
      </c>
      <c r="BP686" t="s">
        <v>183</v>
      </c>
      <c r="BQ686" t="s">
        <v>143</v>
      </c>
      <c r="BR686" t="s">
        <v>1022</v>
      </c>
      <c r="BS686" t="s">
        <v>756</v>
      </c>
      <c r="BT686" t="s">
        <v>233</v>
      </c>
      <c r="BU686" t="s">
        <v>760</v>
      </c>
      <c r="BV686" t="s">
        <v>234</v>
      </c>
      <c r="BW686" t="s">
        <v>239</v>
      </c>
      <c r="BX686" t="s">
        <v>241</v>
      </c>
      <c r="BY686" t="s">
        <v>805</v>
      </c>
      <c r="BZ686" t="s">
        <v>806</v>
      </c>
    </row>
    <row r="687" spans="1:99">
      <c r="A687" s="40">
        <v>644</v>
      </c>
      <c r="B687" s="40" t="s">
        <v>2705</v>
      </c>
      <c r="C687" s="2" t="s">
        <v>2706</v>
      </c>
      <c r="D687" s="2" t="s">
        <v>16</v>
      </c>
      <c r="E687" s="2" t="s">
        <v>17</v>
      </c>
      <c r="F687" s="2">
        <v>100</v>
      </c>
      <c r="G687" s="2">
        <v>150</v>
      </c>
      <c r="H687" s="2">
        <v>120</v>
      </c>
      <c r="I687" s="2">
        <v>120</v>
      </c>
      <c r="J687" s="2">
        <v>100</v>
      </c>
      <c r="K687" s="2">
        <v>90</v>
      </c>
      <c r="L687" s="2">
        <v>680</v>
      </c>
      <c r="M687" s="2" t="s">
        <v>1089</v>
      </c>
      <c r="N687" s="2" t="s">
        <v>1061</v>
      </c>
      <c r="O687" t="s">
        <v>252</v>
      </c>
      <c r="P687" t="s">
        <v>1010</v>
      </c>
      <c r="Q687" t="s">
        <v>927</v>
      </c>
      <c r="R687" t="s">
        <v>170</v>
      </c>
      <c r="S687" t="s">
        <v>146</v>
      </c>
      <c r="T687" t="s">
        <v>762</v>
      </c>
      <c r="U687" t="s">
        <v>253</v>
      </c>
      <c r="V687" t="s">
        <v>1019</v>
      </c>
      <c r="W687" t="s">
        <v>1997</v>
      </c>
      <c r="X687" t="s">
        <v>1093</v>
      </c>
      <c r="Y687" t="s">
        <v>927</v>
      </c>
      <c r="Z687" t="s">
        <v>777</v>
      </c>
      <c r="AA687" t="s">
        <v>321</v>
      </c>
      <c r="AB687" t="s">
        <v>764</v>
      </c>
      <c r="AC687" t="s">
        <v>1160</v>
      </c>
      <c r="AD687" t="s">
        <v>1996</v>
      </c>
      <c r="AE687" t="s">
        <v>1062</v>
      </c>
      <c r="AF687" t="s">
        <v>226</v>
      </c>
      <c r="AG687" t="s">
        <v>138</v>
      </c>
      <c r="AH687" t="s">
        <v>227</v>
      </c>
      <c r="AI687" t="s">
        <v>1063</v>
      </c>
      <c r="AJ687" t="s">
        <v>1030</v>
      </c>
      <c r="AK687" t="s">
        <v>1093</v>
      </c>
      <c r="AL687" t="s">
        <v>148</v>
      </c>
      <c r="AM687" t="s">
        <v>172</v>
      </c>
      <c r="AN687" t="s">
        <v>247</v>
      </c>
      <c r="AO687" t="s">
        <v>228</v>
      </c>
      <c r="AP687" t="s">
        <v>1078</v>
      </c>
      <c r="AQ687" t="s">
        <v>766</v>
      </c>
      <c r="AR687" t="s">
        <v>759</v>
      </c>
      <c r="AS687" t="s">
        <v>1079</v>
      </c>
      <c r="AT687" t="s">
        <v>146</v>
      </c>
      <c r="AU687" t="s">
        <v>321</v>
      </c>
      <c r="AV687" t="s">
        <v>1080</v>
      </c>
      <c r="AW687" t="s">
        <v>9</v>
      </c>
      <c r="AX687" t="s">
        <v>174</v>
      </c>
      <c r="AY687" t="s">
        <v>230</v>
      </c>
      <c r="AZ687" t="s">
        <v>380</v>
      </c>
      <c r="BA687" t="s">
        <v>1095</v>
      </c>
      <c r="BB687" t="s">
        <v>917</v>
      </c>
      <c r="BC687" t="s">
        <v>231</v>
      </c>
      <c r="BD687" t="s">
        <v>1037</v>
      </c>
      <c r="BE687" t="s">
        <v>1083</v>
      </c>
      <c r="BF687" t="s">
        <v>1102</v>
      </c>
      <c r="BG687" t="s">
        <v>974</v>
      </c>
      <c r="BH687" t="s">
        <v>963</v>
      </c>
      <c r="BI687" t="s">
        <v>1005</v>
      </c>
      <c r="BJ687" t="s">
        <v>995</v>
      </c>
      <c r="BK687" t="s">
        <v>976</v>
      </c>
      <c r="BL687" t="s">
        <v>232</v>
      </c>
      <c r="BM687" t="s">
        <v>183</v>
      </c>
      <c r="BN687" t="s">
        <v>1045</v>
      </c>
      <c r="BO687" t="s">
        <v>322</v>
      </c>
      <c r="BP687" t="s">
        <v>143</v>
      </c>
      <c r="BQ687" t="s">
        <v>1022</v>
      </c>
      <c r="BR687" t="s">
        <v>756</v>
      </c>
      <c r="BS687" t="s">
        <v>233</v>
      </c>
      <c r="BT687" t="s">
        <v>973</v>
      </c>
      <c r="BU687" t="s">
        <v>1047</v>
      </c>
      <c r="BV687" t="s">
        <v>760</v>
      </c>
      <c r="BW687" t="s">
        <v>234</v>
      </c>
      <c r="BX687" t="s">
        <v>239</v>
      </c>
      <c r="BY687" t="s">
        <v>241</v>
      </c>
      <c r="BZ687" t="s">
        <v>805</v>
      </c>
      <c r="CA687" t="s">
        <v>806</v>
      </c>
    </row>
    <row r="688" spans="1:99">
      <c r="A688" s="40">
        <v>645.1</v>
      </c>
      <c r="B688" s="40" t="s">
        <v>2707</v>
      </c>
      <c r="C688" s="2" t="s">
        <v>2708</v>
      </c>
      <c r="D688" s="2" t="s">
        <v>22</v>
      </c>
      <c r="E688" s="2" t="s">
        <v>20</v>
      </c>
      <c r="F688" s="2">
        <v>89</v>
      </c>
      <c r="G688" s="2">
        <v>125</v>
      </c>
      <c r="H688" s="2">
        <v>90</v>
      </c>
      <c r="I688" s="2">
        <v>115</v>
      </c>
      <c r="J688" s="2">
        <v>80</v>
      </c>
      <c r="K688" s="2">
        <v>101</v>
      </c>
      <c r="L688" s="2">
        <v>600</v>
      </c>
      <c r="M688" s="2" t="s">
        <v>1103</v>
      </c>
      <c r="N688" s="2" t="s">
        <v>1061</v>
      </c>
      <c r="O688" t="s">
        <v>1095</v>
      </c>
      <c r="P688" t="s">
        <v>911</v>
      </c>
      <c r="Q688" t="s">
        <v>1144</v>
      </c>
      <c r="R688" t="s">
        <v>927</v>
      </c>
      <c r="S688" t="s">
        <v>1001</v>
      </c>
      <c r="T688" t="s">
        <v>1021</v>
      </c>
      <c r="U688" t="s">
        <v>483</v>
      </c>
      <c r="V688" t="s">
        <v>1154</v>
      </c>
      <c r="W688" t="s">
        <v>145</v>
      </c>
      <c r="X688" t="s">
        <v>968</v>
      </c>
      <c r="Y688" t="s">
        <v>143</v>
      </c>
      <c r="Z688" t="s">
        <v>136</v>
      </c>
      <c r="AA688" t="s">
        <v>765</v>
      </c>
      <c r="AB688" t="s">
        <v>419</v>
      </c>
      <c r="AC688" t="s">
        <v>183</v>
      </c>
      <c r="AD688" t="s">
        <v>981</v>
      </c>
      <c r="AE688" t="s">
        <v>764</v>
      </c>
      <c r="AF688" t="s">
        <v>1062</v>
      </c>
      <c r="AG688" t="s">
        <v>138</v>
      </c>
      <c r="AH688" t="s">
        <v>227</v>
      </c>
      <c r="AI688" t="s">
        <v>1063</v>
      </c>
      <c r="AJ688" t="s">
        <v>912</v>
      </c>
      <c r="AK688" t="s">
        <v>148</v>
      </c>
      <c r="AL688" t="s">
        <v>1175</v>
      </c>
      <c r="AM688" t="s">
        <v>172</v>
      </c>
      <c r="AN688" t="s">
        <v>247</v>
      </c>
      <c r="AO688" t="s">
        <v>1078</v>
      </c>
      <c r="AP688" t="s">
        <v>1079</v>
      </c>
      <c r="AQ688" t="s">
        <v>1109</v>
      </c>
      <c r="AR688" t="s">
        <v>136</v>
      </c>
      <c r="AS688" t="s">
        <v>1080</v>
      </c>
      <c r="AT688" t="s">
        <v>256</v>
      </c>
      <c r="AU688" t="s">
        <v>9</v>
      </c>
      <c r="AV688" t="s">
        <v>1094</v>
      </c>
      <c r="AW688" t="s">
        <v>230</v>
      </c>
      <c r="AX688" t="s">
        <v>186</v>
      </c>
      <c r="AY688" t="s">
        <v>1081</v>
      </c>
      <c r="AZ688" t="s">
        <v>765</v>
      </c>
      <c r="BA688" t="s">
        <v>1095</v>
      </c>
      <c r="BB688" t="s">
        <v>917</v>
      </c>
      <c r="BC688" t="s">
        <v>231</v>
      </c>
      <c r="BD688" t="s">
        <v>1082</v>
      </c>
      <c r="BE688" t="s">
        <v>1037</v>
      </c>
      <c r="BF688" t="s">
        <v>1102</v>
      </c>
      <c r="BG688" t="s">
        <v>974</v>
      </c>
      <c r="BH688" t="s">
        <v>485</v>
      </c>
      <c r="BI688" t="s">
        <v>995</v>
      </c>
      <c r="BJ688" t="s">
        <v>976</v>
      </c>
      <c r="BK688" t="s">
        <v>1003</v>
      </c>
      <c r="BL688" t="s">
        <v>183</v>
      </c>
      <c r="BM688" t="s">
        <v>145</v>
      </c>
      <c r="BN688" t="s">
        <v>1021</v>
      </c>
      <c r="BO688" t="s">
        <v>143</v>
      </c>
      <c r="BP688" t="s">
        <v>977</v>
      </c>
      <c r="BQ688" t="s">
        <v>756</v>
      </c>
      <c r="BR688" t="s">
        <v>1014</v>
      </c>
      <c r="BS688" t="s">
        <v>233</v>
      </c>
      <c r="BT688" t="s">
        <v>760</v>
      </c>
      <c r="BU688" t="s">
        <v>234</v>
      </c>
      <c r="BV688" t="s">
        <v>239</v>
      </c>
      <c r="BW688" t="s">
        <v>241</v>
      </c>
      <c r="BX688" t="s">
        <v>805</v>
      </c>
      <c r="BY688" t="s">
        <v>806</v>
      </c>
    </row>
    <row r="689" spans="1:97">
      <c r="A689" s="40">
        <v>645.20000000000005</v>
      </c>
      <c r="B689" s="40" t="s">
        <v>2709</v>
      </c>
      <c r="C689" s="2" t="s">
        <v>2710</v>
      </c>
      <c r="D689" s="2" t="s">
        <v>22</v>
      </c>
      <c r="E689" s="2" t="s">
        <v>20</v>
      </c>
      <c r="F689" s="2">
        <v>89</v>
      </c>
      <c r="G689" s="2">
        <v>145</v>
      </c>
      <c r="H689" s="2">
        <v>90</v>
      </c>
      <c r="I689" s="2">
        <v>105</v>
      </c>
      <c r="J689" s="2">
        <v>80</v>
      </c>
      <c r="K689" s="2">
        <v>91</v>
      </c>
      <c r="L689" s="2">
        <v>600</v>
      </c>
      <c r="M689" s="2" t="s">
        <v>1103</v>
      </c>
      <c r="N689" s="2" t="s">
        <v>1061</v>
      </c>
      <c r="O689" t="s">
        <v>1095</v>
      </c>
      <c r="P689" t="s">
        <v>911</v>
      </c>
      <c r="Q689" t="s">
        <v>1144</v>
      </c>
      <c r="R689" t="s">
        <v>927</v>
      </c>
      <c r="S689" t="s">
        <v>1001</v>
      </c>
      <c r="T689" t="s">
        <v>1021</v>
      </c>
      <c r="U689" t="s">
        <v>483</v>
      </c>
      <c r="V689" t="s">
        <v>1154</v>
      </c>
      <c r="W689" t="s">
        <v>145</v>
      </c>
      <c r="X689" t="s">
        <v>968</v>
      </c>
      <c r="Y689" t="s">
        <v>143</v>
      </c>
      <c r="Z689" t="s">
        <v>136</v>
      </c>
      <c r="AA689" t="s">
        <v>765</v>
      </c>
      <c r="AB689" t="s">
        <v>419</v>
      </c>
      <c r="AC689" t="s">
        <v>183</v>
      </c>
      <c r="AD689" t="s">
        <v>981</v>
      </c>
      <c r="AE689" t="s">
        <v>764</v>
      </c>
      <c r="AF689" t="s">
        <v>1062</v>
      </c>
      <c r="AG689" t="s">
        <v>138</v>
      </c>
      <c r="AH689" t="s">
        <v>227</v>
      </c>
      <c r="AI689" t="s">
        <v>1063</v>
      </c>
      <c r="AJ689" t="s">
        <v>912</v>
      </c>
      <c r="AK689" t="s">
        <v>148</v>
      </c>
      <c r="AL689" t="s">
        <v>1175</v>
      </c>
      <c r="AM689" t="s">
        <v>172</v>
      </c>
      <c r="AN689" t="s">
        <v>247</v>
      </c>
      <c r="AO689" t="s">
        <v>1078</v>
      </c>
      <c r="AP689" t="s">
        <v>1079</v>
      </c>
      <c r="AQ689" t="s">
        <v>1109</v>
      </c>
      <c r="AR689" t="s">
        <v>136</v>
      </c>
      <c r="AS689" t="s">
        <v>1080</v>
      </c>
      <c r="AT689" t="s">
        <v>256</v>
      </c>
      <c r="AU689" t="s">
        <v>9</v>
      </c>
      <c r="AV689" t="s">
        <v>1094</v>
      </c>
      <c r="AW689" t="s">
        <v>230</v>
      </c>
      <c r="AX689" t="s">
        <v>186</v>
      </c>
      <c r="AY689" t="s">
        <v>1081</v>
      </c>
      <c r="AZ689" t="s">
        <v>765</v>
      </c>
      <c r="BA689" t="s">
        <v>1095</v>
      </c>
      <c r="BB689" t="s">
        <v>917</v>
      </c>
      <c r="BC689" t="s">
        <v>231</v>
      </c>
      <c r="BD689" t="s">
        <v>1082</v>
      </c>
      <c r="BE689" t="s">
        <v>1037</v>
      </c>
      <c r="BF689" t="s">
        <v>1102</v>
      </c>
      <c r="BG689" t="s">
        <v>974</v>
      </c>
      <c r="BH689" t="s">
        <v>485</v>
      </c>
      <c r="BI689" t="s">
        <v>995</v>
      </c>
      <c r="BJ689" t="s">
        <v>976</v>
      </c>
      <c r="BK689" t="s">
        <v>1003</v>
      </c>
      <c r="BL689" t="s">
        <v>183</v>
      </c>
      <c r="BM689" t="s">
        <v>145</v>
      </c>
      <c r="BN689" t="s">
        <v>1021</v>
      </c>
      <c r="BO689" t="s">
        <v>143</v>
      </c>
      <c r="BP689" t="s">
        <v>977</v>
      </c>
      <c r="BQ689" t="s">
        <v>756</v>
      </c>
      <c r="BR689" t="s">
        <v>1014</v>
      </c>
      <c r="BS689" t="s">
        <v>233</v>
      </c>
      <c r="BT689" t="s">
        <v>760</v>
      </c>
      <c r="BU689" t="s">
        <v>234</v>
      </c>
      <c r="BV689" t="s">
        <v>239</v>
      </c>
      <c r="BW689" t="s">
        <v>241</v>
      </c>
      <c r="BX689" t="s">
        <v>805</v>
      </c>
      <c r="BY689" t="s">
        <v>806</v>
      </c>
    </row>
    <row r="690" spans="1:97">
      <c r="A690" s="40">
        <v>646.1</v>
      </c>
      <c r="B690" s="40" t="s">
        <v>2711</v>
      </c>
      <c r="C690" s="2" t="s">
        <v>2712</v>
      </c>
      <c r="D690" s="2" t="s">
        <v>16</v>
      </c>
      <c r="E690" s="2" t="s">
        <v>23</v>
      </c>
      <c r="F690" s="2">
        <v>125</v>
      </c>
      <c r="G690" s="2">
        <v>130</v>
      </c>
      <c r="H690" s="2">
        <v>90</v>
      </c>
      <c r="I690" s="2">
        <v>130</v>
      </c>
      <c r="J690" s="2">
        <v>90</v>
      </c>
      <c r="K690" s="2">
        <v>95</v>
      </c>
      <c r="L690" s="2">
        <v>660</v>
      </c>
      <c r="M690" s="2" t="s">
        <v>1165</v>
      </c>
      <c r="N690" s="2" t="s">
        <v>1061</v>
      </c>
      <c r="O690" t="s">
        <v>252</v>
      </c>
      <c r="P690" t="s">
        <v>769</v>
      </c>
      <c r="Q690" t="s">
        <v>927</v>
      </c>
      <c r="R690" t="s">
        <v>170</v>
      </c>
      <c r="S690" t="s">
        <v>141</v>
      </c>
      <c r="T690" t="s">
        <v>762</v>
      </c>
      <c r="U690" t="s">
        <v>253</v>
      </c>
      <c r="V690" t="s">
        <v>1092</v>
      </c>
      <c r="W690" t="s">
        <v>1999</v>
      </c>
      <c r="X690" t="s">
        <v>967</v>
      </c>
      <c r="Y690" t="s">
        <v>927</v>
      </c>
      <c r="Z690" t="s">
        <v>916</v>
      </c>
      <c r="AA690" t="s">
        <v>271</v>
      </c>
      <c r="AB690" t="s">
        <v>764</v>
      </c>
      <c r="AC690" t="s">
        <v>1160</v>
      </c>
      <c r="AD690" t="s">
        <v>1062</v>
      </c>
      <c r="AE690" t="s">
        <v>226</v>
      </c>
      <c r="AF690" t="s">
        <v>138</v>
      </c>
      <c r="AG690" t="s">
        <v>227</v>
      </c>
      <c r="AH690" t="s">
        <v>1063</v>
      </c>
      <c r="AI690" t="s">
        <v>1030</v>
      </c>
      <c r="AJ690" t="s">
        <v>1093</v>
      </c>
      <c r="AK690" t="s">
        <v>148</v>
      </c>
      <c r="AL690" t="s">
        <v>1104</v>
      </c>
      <c r="AM690" t="s">
        <v>172</v>
      </c>
      <c r="AN690" t="s">
        <v>752</v>
      </c>
      <c r="AO690" t="s">
        <v>141</v>
      </c>
      <c r="AP690" t="s">
        <v>271</v>
      </c>
      <c r="AQ690" t="s">
        <v>247</v>
      </c>
      <c r="AR690" t="s">
        <v>228</v>
      </c>
      <c r="AS690" t="s">
        <v>1078</v>
      </c>
      <c r="AT690" t="s">
        <v>766</v>
      </c>
      <c r="AU690" t="s">
        <v>759</v>
      </c>
      <c r="AV690" t="s">
        <v>1079</v>
      </c>
      <c r="AW690" t="s">
        <v>1080</v>
      </c>
      <c r="AX690" t="s">
        <v>9</v>
      </c>
      <c r="AY690" t="s">
        <v>174</v>
      </c>
      <c r="AZ690" t="s">
        <v>230</v>
      </c>
      <c r="BA690" t="s">
        <v>380</v>
      </c>
      <c r="BB690" t="s">
        <v>1095</v>
      </c>
      <c r="BC690" t="s">
        <v>917</v>
      </c>
      <c r="BD690" t="s">
        <v>231</v>
      </c>
      <c r="BE690" t="s">
        <v>1037</v>
      </c>
      <c r="BF690" t="s">
        <v>1083</v>
      </c>
      <c r="BG690" t="s">
        <v>1102</v>
      </c>
      <c r="BH690" t="s">
        <v>974</v>
      </c>
      <c r="BI690" t="s">
        <v>1005</v>
      </c>
      <c r="BJ690" t="s">
        <v>995</v>
      </c>
      <c r="BK690" t="s">
        <v>976</v>
      </c>
      <c r="BL690" t="s">
        <v>183</v>
      </c>
      <c r="BM690" t="s">
        <v>143</v>
      </c>
      <c r="BN690" t="s">
        <v>1022</v>
      </c>
      <c r="BO690" t="s">
        <v>756</v>
      </c>
      <c r="BP690" t="s">
        <v>233</v>
      </c>
      <c r="BQ690" t="s">
        <v>973</v>
      </c>
      <c r="BR690" t="s">
        <v>760</v>
      </c>
      <c r="BS690" t="s">
        <v>234</v>
      </c>
      <c r="BT690" t="s">
        <v>239</v>
      </c>
      <c r="BU690" t="s">
        <v>241</v>
      </c>
      <c r="BV690" t="s">
        <v>805</v>
      </c>
      <c r="BW690" t="s">
        <v>806</v>
      </c>
    </row>
    <row r="691" spans="1:97">
      <c r="A691" s="40">
        <v>646.20000000000005</v>
      </c>
      <c r="B691" s="40" t="s">
        <v>2713</v>
      </c>
      <c r="C691" s="2" t="s">
        <v>2714</v>
      </c>
      <c r="D691" s="2" t="s">
        <v>16</v>
      </c>
      <c r="E691" s="2" t="s">
        <v>23</v>
      </c>
      <c r="F691" s="2">
        <v>125</v>
      </c>
      <c r="G691" s="2">
        <v>120</v>
      </c>
      <c r="H691" s="2">
        <v>90</v>
      </c>
      <c r="I691" s="2">
        <v>170</v>
      </c>
      <c r="J691" s="2">
        <v>100</v>
      </c>
      <c r="K691" s="2">
        <v>95</v>
      </c>
      <c r="L691" s="2">
        <v>700</v>
      </c>
      <c r="M691" s="2" t="s">
        <v>1165</v>
      </c>
      <c r="N691" s="2" t="s">
        <v>1061</v>
      </c>
      <c r="O691" t="s">
        <v>252</v>
      </c>
      <c r="P691" t="s">
        <v>769</v>
      </c>
      <c r="Q691" t="s">
        <v>927</v>
      </c>
      <c r="R691" t="s">
        <v>170</v>
      </c>
      <c r="S691" t="s">
        <v>141</v>
      </c>
      <c r="T691" t="s">
        <v>762</v>
      </c>
      <c r="U691" t="s">
        <v>253</v>
      </c>
      <c r="V691" t="s">
        <v>1998</v>
      </c>
      <c r="W691" t="s">
        <v>2251</v>
      </c>
      <c r="X691" t="s">
        <v>967</v>
      </c>
      <c r="Y691" t="s">
        <v>927</v>
      </c>
      <c r="Z691" t="s">
        <v>916</v>
      </c>
      <c r="AA691" t="s">
        <v>271</v>
      </c>
      <c r="AB691" t="s">
        <v>764</v>
      </c>
      <c r="AC691" t="s">
        <v>1160</v>
      </c>
      <c r="AD691" t="s">
        <v>1062</v>
      </c>
      <c r="AE691" t="s">
        <v>226</v>
      </c>
      <c r="AF691" t="s">
        <v>138</v>
      </c>
      <c r="AG691" t="s">
        <v>227</v>
      </c>
      <c r="AH691" t="s">
        <v>1063</v>
      </c>
      <c r="AI691" t="s">
        <v>1030</v>
      </c>
      <c r="AJ691" t="s">
        <v>1093</v>
      </c>
      <c r="AK691" t="s">
        <v>148</v>
      </c>
      <c r="AL691" t="s">
        <v>1104</v>
      </c>
      <c r="AM691" t="s">
        <v>172</v>
      </c>
      <c r="AN691" t="s">
        <v>752</v>
      </c>
      <c r="AO691" t="s">
        <v>141</v>
      </c>
      <c r="AP691" t="s">
        <v>271</v>
      </c>
      <c r="AQ691" t="s">
        <v>247</v>
      </c>
      <c r="AR691" t="s">
        <v>228</v>
      </c>
      <c r="AS691" t="s">
        <v>1078</v>
      </c>
      <c r="AT691" t="s">
        <v>766</v>
      </c>
      <c r="AU691" t="s">
        <v>759</v>
      </c>
      <c r="AV691" t="s">
        <v>1079</v>
      </c>
      <c r="AW691" t="s">
        <v>1080</v>
      </c>
      <c r="AX691" t="s">
        <v>9</v>
      </c>
      <c r="AY691" t="s">
        <v>174</v>
      </c>
      <c r="AZ691" t="s">
        <v>230</v>
      </c>
      <c r="BA691" t="s">
        <v>380</v>
      </c>
      <c r="BB691" t="s">
        <v>1095</v>
      </c>
      <c r="BC691" t="s">
        <v>917</v>
      </c>
      <c r="BD691" t="s">
        <v>231</v>
      </c>
      <c r="BE691" t="s">
        <v>1037</v>
      </c>
      <c r="BF691" t="s">
        <v>1083</v>
      </c>
      <c r="BG691" t="s">
        <v>1102</v>
      </c>
      <c r="BH691" t="s">
        <v>974</v>
      </c>
      <c r="BI691" t="s">
        <v>1005</v>
      </c>
      <c r="BJ691" t="s">
        <v>995</v>
      </c>
      <c r="BK691" t="s">
        <v>976</v>
      </c>
      <c r="BL691" t="s">
        <v>183</v>
      </c>
      <c r="BM691" t="s">
        <v>143</v>
      </c>
      <c r="BN691" t="s">
        <v>1022</v>
      </c>
      <c r="BO691" t="s">
        <v>756</v>
      </c>
      <c r="BP691" t="s">
        <v>233</v>
      </c>
      <c r="BQ691" t="s">
        <v>973</v>
      </c>
      <c r="BR691" t="s">
        <v>760</v>
      </c>
      <c r="BS691" t="s">
        <v>234</v>
      </c>
      <c r="BT691" t="s">
        <v>239</v>
      </c>
      <c r="BU691" t="s">
        <v>241</v>
      </c>
      <c r="BV691" t="s">
        <v>805</v>
      </c>
      <c r="BW691" t="s">
        <v>806</v>
      </c>
    </row>
    <row r="692" spans="1:97">
      <c r="A692" s="40">
        <v>646.29999999999995</v>
      </c>
      <c r="B692" s="40" t="s">
        <v>2715</v>
      </c>
      <c r="C692" s="2" t="s">
        <v>2716</v>
      </c>
      <c r="D692" s="2" t="s">
        <v>16</v>
      </c>
      <c r="E692" s="2" t="s">
        <v>23</v>
      </c>
      <c r="F692" s="2">
        <v>125</v>
      </c>
      <c r="G692" s="2">
        <v>170</v>
      </c>
      <c r="H692" s="2">
        <v>100</v>
      </c>
      <c r="I692" s="2">
        <v>120</v>
      </c>
      <c r="J692" s="2">
        <v>90</v>
      </c>
      <c r="K692" s="2">
        <v>95</v>
      </c>
      <c r="L692" s="2">
        <v>700</v>
      </c>
      <c r="M692" s="2" t="s">
        <v>1165</v>
      </c>
      <c r="N692" s="2" t="s">
        <v>1061</v>
      </c>
      <c r="O692" t="s">
        <v>252</v>
      </c>
      <c r="P692" t="s">
        <v>769</v>
      </c>
      <c r="Q692" t="s">
        <v>927</v>
      </c>
      <c r="R692" t="s">
        <v>170</v>
      </c>
      <c r="S692" t="s">
        <v>141</v>
      </c>
      <c r="T692" t="s">
        <v>762</v>
      </c>
      <c r="U692" t="s">
        <v>253</v>
      </c>
      <c r="V692" t="s">
        <v>1997</v>
      </c>
      <c r="W692" t="s">
        <v>2240</v>
      </c>
      <c r="X692" t="s">
        <v>967</v>
      </c>
      <c r="Y692" t="s">
        <v>927</v>
      </c>
      <c r="Z692" t="s">
        <v>916</v>
      </c>
      <c r="AA692" t="s">
        <v>271</v>
      </c>
      <c r="AB692" t="s">
        <v>764</v>
      </c>
      <c r="AC692" t="s">
        <v>1160</v>
      </c>
      <c r="AD692" t="s">
        <v>1062</v>
      </c>
      <c r="AE692" t="s">
        <v>226</v>
      </c>
      <c r="AF692" t="s">
        <v>138</v>
      </c>
      <c r="AG692" t="s">
        <v>227</v>
      </c>
      <c r="AH692" t="s">
        <v>1063</v>
      </c>
      <c r="AI692" t="s">
        <v>1030</v>
      </c>
      <c r="AJ692" t="s">
        <v>1093</v>
      </c>
      <c r="AK692" t="s">
        <v>148</v>
      </c>
      <c r="AL692" t="s">
        <v>1104</v>
      </c>
      <c r="AM692" t="s">
        <v>172</v>
      </c>
      <c r="AN692" t="s">
        <v>752</v>
      </c>
      <c r="AO692" t="s">
        <v>141</v>
      </c>
      <c r="AP692" t="s">
        <v>271</v>
      </c>
      <c r="AQ692" t="s">
        <v>247</v>
      </c>
      <c r="AR692" t="s">
        <v>228</v>
      </c>
      <c r="AS692" t="s">
        <v>1078</v>
      </c>
      <c r="AT692" t="s">
        <v>766</v>
      </c>
      <c r="AU692" t="s">
        <v>759</v>
      </c>
      <c r="AV692" t="s">
        <v>1079</v>
      </c>
      <c r="AW692" t="s">
        <v>1080</v>
      </c>
      <c r="AX692" t="s">
        <v>9</v>
      </c>
      <c r="AY692" t="s">
        <v>174</v>
      </c>
      <c r="AZ692" t="s">
        <v>230</v>
      </c>
      <c r="BA692" t="s">
        <v>380</v>
      </c>
      <c r="BB692" t="s">
        <v>1095</v>
      </c>
      <c r="BC692" t="s">
        <v>917</v>
      </c>
      <c r="BD692" t="s">
        <v>231</v>
      </c>
      <c r="BE692" t="s">
        <v>1037</v>
      </c>
      <c r="BF692" t="s">
        <v>1083</v>
      </c>
      <c r="BG692" t="s">
        <v>1102</v>
      </c>
      <c r="BH692" t="s">
        <v>974</v>
      </c>
      <c r="BI692" t="s">
        <v>1005</v>
      </c>
      <c r="BJ692" t="s">
        <v>995</v>
      </c>
      <c r="BK692" t="s">
        <v>976</v>
      </c>
      <c r="BL692" t="s">
        <v>183</v>
      </c>
      <c r="BM692" t="s">
        <v>143</v>
      </c>
      <c r="BN692" t="s">
        <v>1022</v>
      </c>
      <c r="BO692" t="s">
        <v>756</v>
      </c>
      <c r="BP692" t="s">
        <v>233</v>
      </c>
      <c r="BQ692" t="s">
        <v>973</v>
      </c>
      <c r="BR692" t="s">
        <v>760</v>
      </c>
      <c r="BS692" t="s">
        <v>234</v>
      </c>
      <c r="BT692" t="s">
        <v>239</v>
      </c>
      <c r="BU692" t="s">
        <v>241</v>
      </c>
      <c r="BV692" t="s">
        <v>805</v>
      </c>
      <c r="BW692" t="s">
        <v>806</v>
      </c>
    </row>
    <row r="693" spans="1:97">
      <c r="A693" s="40">
        <v>647.1</v>
      </c>
      <c r="B693" s="40" t="s">
        <v>2717</v>
      </c>
      <c r="C693" s="2" t="s">
        <v>2718</v>
      </c>
      <c r="D693" s="2" t="s">
        <v>27</v>
      </c>
      <c r="E693" s="2" t="s">
        <v>18</v>
      </c>
      <c r="F693" s="2">
        <v>91</v>
      </c>
      <c r="G693" s="2">
        <v>72</v>
      </c>
      <c r="H693" s="2">
        <v>90</v>
      </c>
      <c r="I693" s="2">
        <v>129</v>
      </c>
      <c r="J693" s="2">
        <v>90</v>
      </c>
      <c r="K693" s="2">
        <v>108</v>
      </c>
      <c r="L693" s="2">
        <v>580</v>
      </c>
      <c r="M693" s="2" t="s">
        <v>1120</v>
      </c>
      <c r="N693" s="2" t="s">
        <v>1061</v>
      </c>
      <c r="O693" t="s">
        <v>330</v>
      </c>
      <c r="P693" t="s">
        <v>959</v>
      </c>
      <c r="Q693" t="s">
        <v>359</v>
      </c>
      <c r="R693" t="s">
        <v>446</v>
      </c>
      <c r="S693" t="s">
        <v>223</v>
      </c>
      <c r="T693" t="s">
        <v>925</v>
      </c>
      <c r="U693" t="s">
        <v>1036</v>
      </c>
      <c r="V693" t="s">
        <v>179</v>
      </c>
      <c r="W693" t="s">
        <v>2039</v>
      </c>
      <c r="X693" t="s">
        <v>145</v>
      </c>
      <c r="Y693" t="s">
        <v>1035</v>
      </c>
      <c r="Z693" t="s">
        <v>1049</v>
      </c>
      <c r="AA693" t="s">
        <v>140</v>
      </c>
      <c r="AB693" t="s">
        <v>1174</v>
      </c>
      <c r="AC693" t="s">
        <v>1062</v>
      </c>
      <c r="AD693" t="s">
        <v>226</v>
      </c>
      <c r="AE693" t="s">
        <v>144</v>
      </c>
      <c r="AF693" t="s">
        <v>227</v>
      </c>
      <c r="AG693" t="s">
        <v>1063</v>
      </c>
      <c r="AH693" t="s">
        <v>912</v>
      </c>
      <c r="AI693" t="s">
        <v>246</v>
      </c>
      <c r="AJ693" t="s">
        <v>148</v>
      </c>
      <c r="AK693" t="s">
        <v>1104</v>
      </c>
      <c r="AL693" t="s">
        <v>172</v>
      </c>
      <c r="AM693" t="s">
        <v>1126</v>
      </c>
      <c r="AN693" t="s">
        <v>247</v>
      </c>
      <c r="AO693" t="s">
        <v>1078</v>
      </c>
      <c r="AP693" t="s">
        <v>766</v>
      </c>
      <c r="AQ693" t="s">
        <v>759</v>
      </c>
      <c r="AR693" t="s">
        <v>1079</v>
      </c>
      <c r="AS693" t="s">
        <v>1080</v>
      </c>
      <c r="AT693" t="s">
        <v>230</v>
      </c>
      <c r="AU693" t="s">
        <v>380</v>
      </c>
      <c r="AV693" t="s">
        <v>1096</v>
      </c>
      <c r="AW693" t="s">
        <v>917</v>
      </c>
      <c r="AX693" t="s">
        <v>231</v>
      </c>
      <c r="AY693" t="s">
        <v>1037</v>
      </c>
      <c r="AZ693" t="s">
        <v>1102</v>
      </c>
      <c r="BA693" t="s">
        <v>776</v>
      </c>
      <c r="BB693" t="s">
        <v>1038</v>
      </c>
      <c r="BC693" t="s">
        <v>1036</v>
      </c>
      <c r="BD693" t="s">
        <v>976</v>
      </c>
      <c r="BE693" t="s">
        <v>183</v>
      </c>
      <c r="BF693" t="s">
        <v>145</v>
      </c>
      <c r="BG693" t="s">
        <v>785</v>
      </c>
      <c r="BH693" t="s">
        <v>1018</v>
      </c>
      <c r="BI693" t="s">
        <v>997</v>
      </c>
      <c r="BJ693" t="s">
        <v>756</v>
      </c>
      <c r="BK693" t="s">
        <v>233</v>
      </c>
      <c r="BL693" t="s">
        <v>760</v>
      </c>
      <c r="BM693" t="s">
        <v>234</v>
      </c>
      <c r="BN693" t="s">
        <v>239</v>
      </c>
      <c r="BO693" t="s">
        <v>241</v>
      </c>
      <c r="BP693" t="s">
        <v>805</v>
      </c>
      <c r="BQ693" t="s">
        <v>806</v>
      </c>
    </row>
    <row r="694" spans="1:97">
      <c r="A694" s="40">
        <v>647.20000000000005</v>
      </c>
      <c r="B694" s="40" t="s">
        <v>2719</v>
      </c>
      <c r="C694" s="2" t="s">
        <v>2720</v>
      </c>
      <c r="D694" s="2" t="s">
        <v>27</v>
      </c>
      <c r="E694" s="2" t="s">
        <v>18</v>
      </c>
      <c r="F694" s="2">
        <v>91</v>
      </c>
      <c r="G694" s="2">
        <v>72</v>
      </c>
      <c r="H694" s="2">
        <v>90</v>
      </c>
      <c r="I694" s="2">
        <v>129</v>
      </c>
      <c r="J694" s="2">
        <v>90</v>
      </c>
      <c r="K694" s="2">
        <v>108</v>
      </c>
      <c r="L694" s="2">
        <v>580</v>
      </c>
      <c r="M694" s="2" t="s">
        <v>1120</v>
      </c>
      <c r="N694" s="2" t="s">
        <v>1061</v>
      </c>
      <c r="O694" t="s">
        <v>330</v>
      </c>
      <c r="P694" t="s">
        <v>959</v>
      </c>
      <c r="Q694" t="s">
        <v>359</v>
      </c>
      <c r="R694" t="s">
        <v>446</v>
      </c>
      <c r="S694" t="s">
        <v>223</v>
      </c>
      <c r="T694" t="s">
        <v>925</v>
      </c>
      <c r="U694" t="s">
        <v>1036</v>
      </c>
      <c r="V694" t="s">
        <v>179</v>
      </c>
      <c r="W694" t="s">
        <v>2039</v>
      </c>
      <c r="X694" t="s">
        <v>145</v>
      </c>
      <c r="Y694" t="s">
        <v>1035</v>
      </c>
      <c r="Z694" t="s">
        <v>1049</v>
      </c>
      <c r="AA694" t="s">
        <v>140</v>
      </c>
      <c r="AB694" t="s">
        <v>1174</v>
      </c>
      <c r="AC694" t="s">
        <v>1062</v>
      </c>
      <c r="AD694" t="s">
        <v>226</v>
      </c>
      <c r="AE694" t="s">
        <v>144</v>
      </c>
      <c r="AF694" t="s">
        <v>227</v>
      </c>
      <c r="AG694" t="s">
        <v>1063</v>
      </c>
      <c r="AH694" t="s">
        <v>912</v>
      </c>
      <c r="AI694" t="s">
        <v>246</v>
      </c>
      <c r="AJ694" t="s">
        <v>148</v>
      </c>
      <c r="AK694" t="s">
        <v>1104</v>
      </c>
      <c r="AL694" t="s">
        <v>172</v>
      </c>
      <c r="AM694" t="s">
        <v>1126</v>
      </c>
      <c r="AN694" t="s">
        <v>247</v>
      </c>
      <c r="AO694" t="s">
        <v>1078</v>
      </c>
      <c r="AP694" t="s">
        <v>766</v>
      </c>
      <c r="AQ694" t="s">
        <v>759</v>
      </c>
      <c r="AR694" t="s">
        <v>1079</v>
      </c>
      <c r="AS694" t="s">
        <v>1080</v>
      </c>
      <c r="AT694" t="s">
        <v>230</v>
      </c>
      <c r="AU694" t="s">
        <v>380</v>
      </c>
      <c r="AV694" t="s">
        <v>1096</v>
      </c>
      <c r="AW694" t="s">
        <v>917</v>
      </c>
      <c r="AX694" t="s">
        <v>231</v>
      </c>
      <c r="AY694" t="s">
        <v>1037</v>
      </c>
      <c r="AZ694" t="s">
        <v>1102</v>
      </c>
      <c r="BA694" t="s">
        <v>776</v>
      </c>
      <c r="BB694" t="s">
        <v>1038</v>
      </c>
      <c r="BC694" t="s">
        <v>1036</v>
      </c>
      <c r="BD694" t="s">
        <v>976</v>
      </c>
      <c r="BE694" t="s">
        <v>183</v>
      </c>
      <c r="BF694" t="s">
        <v>145</v>
      </c>
      <c r="BG694" t="s">
        <v>785</v>
      </c>
      <c r="BH694" t="s">
        <v>1018</v>
      </c>
      <c r="BI694" t="s">
        <v>997</v>
      </c>
      <c r="BJ694" t="s">
        <v>756</v>
      </c>
      <c r="BK694" t="s">
        <v>233</v>
      </c>
      <c r="BL694" t="s">
        <v>760</v>
      </c>
      <c r="BM694" t="s">
        <v>234</v>
      </c>
      <c r="BN694" t="s">
        <v>239</v>
      </c>
      <c r="BO694" t="s">
        <v>241</v>
      </c>
      <c r="BP694" t="s">
        <v>805</v>
      </c>
      <c r="BQ694" t="s">
        <v>806</v>
      </c>
    </row>
    <row r="695" spans="1:97">
      <c r="A695" s="40">
        <v>648.1</v>
      </c>
      <c r="B695" s="40" t="s">
        <v>2721</v>
      </c>
      <c r="C695" s="2" t="s">
        <v>2722</v>
      </c>
      <c r="D695" s="2" t="s">
        <v>24</v>
      </c>
      <c r="E695" s="2" t="s">
        <v>9</v>
      </c>
      <c r="F695" s="2">
        <v>100</v>
      </c>
      <c r="G695" s="2">
        <v>77</v>
      </c>
      <c r="H695" s="2">
        <v>77</v>
      </c>
      <c r="I695" s="2">
        <v>128</v>
      </c>
      <c r="J695" s="2">
        <v>128</v>
      </c>
      <c r="K695" s="2">
        <v>90</v>
      </c>
      <c r="L695" s="2">
        <v>600</v>
      </c>
      <c r="M695" s="2" t="s">
        <v>1177</v>
      </c>
      <c r="N695" s="2" t="s">
        <v>1061</v>
      </c>
      <c r="O695" t="s">
        <v>1037</v>
      </c>
      <c r="P695" t="s">
        <v>310</v>
      </c>
      <c r="Q695" t="s">
        <v>287</v>
      </c>
      <c r="R695" t="s">
        <v>377</v>
      </c>
      <c r="S695" t="s">
        <v>949</v>
      </c>
      <c r="T695" t="s">
        <v>1020</v>
      </c>
      <c r="U695" t="s">
        <v>292</v>
      </c>
      <c r="V695" t="s">
        <v>1083</v>
      </c>
      <c r="W695" t="s">
        <v>1014</v>
      </c>
      <c r="X695" t="s">
        <v>1016</v>
      </c>
      <c r="Y695" t="s">
        <v>9</v>
      </c>
      <c r="Z695" t="s">
        <v>1160</v>
      </c>
      <c r="AA695" t="s">
        <v>938</v>
      </c>
      <c r="AB695" t="s">
        <v>1174</v>
      </c>
      <c r="AC695" t="s">
        <v>786</v>
      </c>
      <c r="AD695" t="s">
        <v>1062</v>
      </c>
      <c r="AE695" t="s">
        <v>227</v>
      </c>
      <c r="AF695" t="s">
        <v>1063</v>
      </c>
      <c r="AG695" t="s">
        <v>1030</v>
      </c>
      <c r="AH695" t="s">
        <v>1151</v>
      </c>
      <c r="AI695" t="s">
        <v>912</v>
      </c>
      <c r="AJ695" t="s">
        <v>148</v>
      </c>
      <c r="AK695" t="s">
        <v>172</v>
      </c>
      <c r="AL695" t="s">
        <v>752</v>
      </c>
      <c r="AM695" t="s">
        <v>247</v>
      </c>
      <c r="AN695" t="s">
        <v>228</v>
      </c>
      <c r="AO695" t="s">
        <v>1078</v>
      </c>
      <c r="AP695" t="s">
        <v>766</v>
      </c>
      <c r="AQ695" t="s">
        <v>759</v>
      </c>
      <c r="AR695" t="s">
        <v>1079</v>
      </c>
      <c r="AS695" t="s">
        <v>146</v>
      </c>
      <c r="AT695" t="s">
        <v>321</v>
      </c>
      <c r="AU695" t="s">
        <v>1080</v>
      </c>
      <c r="AV695" t="s">
        <v>9</v>
      </c>
      <c r="AW695" t="s">
        <v>174</v>
      </c>
      <c r="AX695" t="s">
        <v>1094</v>
      </c>
      <c r="AY695" t="s">
        <v>230</v>
      </c>
      <c r="AZ695" t="s">
        <v>917</v>
      </c>
      <c r="BA695" t="s">
        <v>231</v>
      </c>
      <c r="BB695" t="s">
        <v>1172</v>
      </c>
      <c r="BC695" t="s">
        <v>1037</v>
      </c>
      <c r="BD695" t="s">
        <v>1083</v>
      </c>
      <c r="BE695" t="s">
        <v>1102</v>
      </c>
      <c r="BF695" t="s">
        <v>970</v>
      </c>
      <c r="BG695" t="s">
        <v>974</v>
      </c>
      <c r="BH695" t="s">
        <v>963</v>
      </c>
      <c r="BI695" t="s">
        <v>1020</v>
      </c>
      <c r="BJ695" t="s">
        <v>969</v>
      </c>
      <c r="BK695" t="s">
        <v>1005</v>
      </c>
      <c r="BL695" t="s">
        <v>995</v>
      </c>
      <c r="BM695" t="s">
        <v>1036</v>
      </c>
      <c r="BN695" t="s">
        <v>976</v>
      </c>
      <c r="BO695" t="s">
        <v>232</v>
      </c>
      <c r="BP695" t="s">
        <v>183</v>
      </c>
      <c r="BQ695" t="s">
        <v>322</v>
      </c>
      <c r="BR695" t="s">
        <v>785</v>
      </c>
      <c r="BS695" t="s">
        <v>293</v>
      </c>
      <c r="BT695" t="s">
        <v>977</v>
      </c>
      <c r="BU695" t="s">
        <v>756</v>
      </c>
      <c r="BV695" t="s">
        <v>1014</v>
      </c>
      <c r="BW695" t="s">
        <v>233</v>
      </c>
      <c r="BX695" t="s">
        <v>1012</v>
      </c>
      <c r="BY695" t="s">
        <v>760</v>
      </c>
      <c r="BZ695" t="s">
        <v>234</v>
      </c>
      <c r="CA695" t="s">
        <v>239</v>
      </c>
      <c r="CB695" t="s">
        <v>241</v>
      </c>
      <c r="CC695" t="s">
        <v>805</v>
      </c>
      <c r="CD695" t="s">
        <v>806</v>
      </c>
    </row>
    <row r="696" spans="1:97">
      <c r="A696" s="40">
        <v>648.20000000000005</v>
      </c>
      <c r="B696" s="40" t="s">
        <v>2723</v>
      </c>
      <c r="C696" s="2" t="s">
        <v>2724</v>
      </c>
      <c r="D696" s="2" t="s">
        <v>24</v>
      </c>
      <c r="E696" s="2" t="s">
        <v>18</v>
      </c>
      <c r="F696" s="2">
        <v>100</v>
      </c>
      <c r="G696" s="2">
        <v>128</v>
      </c>
      <c r="H696" s="2">
        <v>90</v>
      </c>
      <c r="I696" s="2">
        <v>77</v>
      </c>
      <c r="J696" s="2">
        <v>77</v>
      </c>
      <c r="K696" s="2">
        <v>128</v>
      </c>
      <c r="L696" s="2">
        <v>600</v>
      </c>
      <c r="M696" s="2" t="s">
        <v>1177</v>
      </c>
      <c r="N696" s="2" t="s">
        <v>1061</v>
      </c>
      <c r="O696" t="s">
        <v>1037</v>
      </c>
      <c r="P696" t="s">
        <v>310</v>
      </c>
      <c r="Q696" t="s">
        <v>287</v>
      </c>
      <c r="R696" t="s">
        <v>377</v>
      </c>
      <c r="S696" t="s">
        <v>949</v>
      </c>
      <c r="T696" t="s">
        <v>1020</v>
      </c>
      <c r="U696" t="s">
        <v>292</v>
      </c>
      <c r="V696" t="s">
        <v>1083</v>
      </c>
      <c r="W696" t="s">
        <v>1014</v>
      </c>
      <c r="X696" t="s">
        <v>1016</v>
      </c>
      <c r="Y696" t="s">
        <v>9</v>
      </c>
      <c r="Z696" t="s">
        <v>1160</v>
      </c>
      <c r="AA696" t="s">
        <v>938</v>
      </c>
      <c r="AB696" t="s">
        <v>1174</v>
      </c>
      <c r="AC696" t="s">
        <v>786</v>
      </c>
      <c r="AD696" t="s">
        <v>1062</v>
      </c>
      <c r="AE696" t="s">
        <v>227</v>
      </c>
      <c r="AF696" t="s">
        <v>1063</v>
      </c>
      <c r="AG696" t="s">
        <v>1030</v>
      </c>
      <c r="AH696" t="s">
        <v>1151</v>
      </c>
      <c r="AI696" t="s">
        <v>912</v>
      </c>
      <c r="AJ696" t="s">
        <v>148</v>
      </c>
      <c r="AK696" t="s">
        <v>172</v>
      </c>
      <c r="AL696" t="s">
        <v>752</v>
      </c>
      <c r="AM696" t="s">
        <v>247</v>
      </c>
      <c r="AN696" t="s">
        <v>228</v>
      </c>
      <c r="AO696" t="s">
        <v>1078</v>
      </c>
      <c r="AP696" t="s">
        <v>766</v>
      </c>
      <c r="AQ696" t="s">
        <v>759</v>
      </c>
      <c r="AR696" t="s">
        <v>1079</v>
      </c>
      <c r="AS696" t="s">
        <v>146</v>
      </c>
      <c r="AT696" t="s">
        <v>321</v>
      </c>
      <c r="AU696" t="s">
        <v>1080</v>
      </c>
      <c r="AV696" t="s">
        <v>9</v>
      </c>
      <c r="AW696" t="s">
        <v>174</v>
      </c>
      <c r="AX696" t="s">
        <v>1094</v>
      </c>
      <c r="AY696" t="s">
        <v>230</v>
      </c>
      <c r="AZ696" t="s">
        <v>917</v>
      </c>
      <c r="BA696" t="s">
        <v>231</v>
      </c>
      <c r="BB696" t="s">
        <v>1172</v>
      </c>
      <c r="BC696" t="s">
        <v>1037</v>
      </c>
      <c r="BD696" t="s">
        <v>1083</v>
      </c>
      <c r="BE696" t="s">
        <v>1102</v>
      </c>
      <c r="BF696" t="s">
        <v>970</v>
      </c>
      <c r="BG696" t="s">
        <v>974</v>
      </c>
      <c r="BH696" t="s">
        <v>963</v>
      </c>
      <c r="BI696" t="s">
        <v>1020</v>
      </c>
      <c r="BJ696" t="s">
        <v>969</v>
      </c>
      <c r="BK696" t="s">
        <v>1005</v>
      </c>
      <c r="BL696" t="s">
        <v>995</v>
      </c>
      <c r="BM696" t="s">
        <v>1036</v>
      </c>
      <c r="BN696" t="s">
        <v>976</v>
      </c>
      <c r="BO696" t="s">
        <v>232</v>
      </c>
      <c r="BP696" t="s">
        <v>183</v>
      </c>
      <c r="BQ696" t="s">
        <v>322</v>
      </c>
      <c r="BR696" t="s">
        <v>785</v>
      </c>
      <c r="BS696" t="s">
        <v>293</v>
      </c>
      <c r="BT696" t="s">
        <v>977</v>
      </c>
      <c r="BU696" t="s">
        <v>756</v>
      </c>
      <c r="BV696" t="s">
        <v>1014</v>
      </c>
      <c r="BW696" t="s">
        <v>233</v>
      </c>
      <c r="BX696" t="s">
        <v>1012</v>
      </c>
      <c r="BY696" t="s">
        <v>760</v>
      </c>
      <c r="BZ696" t="s">
        <v>234</v>
      </c>
      <c r="CA696" t="s">
        <v>239</v>
      </c>
      <c r="CB696" t="s">
        <v>241</v>
      </c>
      <c r="CC696" t="s">
        <v>805</v>
      </c>
      <c r="CD696" t="s">
        <v>806</v>
      </c>
    </row>
    <row r="697" spans="1:97">
      <c r="A697" s="40">
        <v>649</v>
      </c>
      <c r="B697" s="40" t="s">
        <v>2725</v>
      </c>
      <c r="C697" s="2" t="s">
        <v>2726</v>
      </c>
      <c r="D697" s="2" t="s">
        <v>14</v>
      </c>
      <c r="E697" s="2" t="s">
        <v>26</v>
      </c>
      <c r="F697" s="2">
        <v>71</v>
      </c>
      <c r="G697" s="2">
        <v>120</v>
      </c>
      <c r="H697" s="2">
        <v>95</v>
      </c>
      <c r="I697" s="2">
        <v>120</v>
      </c>
      <c r="J697" s="2">
        <v>95</v>
      </c>
      <c r="K697" s="2">
        <v>99</v>
      </c>
      <c r="L697" s="2">
        <v>600</v>
      </c>
      <c r="M697" s="2" t="s">
        <v>1103</v>
      </c>
      <c r="N697" s="2" t="s">
        <v>1061</v>
      </c>
      <c r="O697" t="s">
        <v>310</v>
      </c>
      <c r="P697" t="s">
        <v>324</v>
      </c>
      <c r="Q697" t="s">
        <v>783</v>
      </c>
      <c r="R697" t="s">
        <v>988</v>
      </c>
      <c r="S697" t="s">
        <v>2042</v>
      </c>
      <c r="T697" t="s">
        <v>758</v>
      </c>
      <c r="U697" t="s">
        <v>1204</v>
      </c>
      <c r="V697" t="s">
        <v>1097</v>
      </c>
      <c r="W697" t="s">
        <v>1205</v>
      </c>
      <c r="X697" t="s">
        <v>253</v>
      </c>
      <c r="Y697" t="s">
        <v>1202</v>
      </c>
      <c r="Z697" t="s">
        <v>216</v>
      </c>
      <c r="AA697" t="s">
        <v>333</v>
      </c>
      <c r="AB697" t="s">
        <v>1018</v>
      </c>
      <c r="AC697" t="s">
        <v>1115</v>
      </c>
      <c r="AD697" t="s">
        <v>1477</v>
      </c>
      <c r="AE697" t="s">
        <v>1207</v>
      </c>
      <c r="AF697" t="s">
        <v>247</v>
      </c>
      <c r="AG697" t="s">
        <v>484</v>
      </c>
      <c r="AH697" t="s">
        <v>1062</v>
      </c>
      <c r="AI697" t="s">
        <v>138</v>
      </c>
      <c r="AJ697" t="s">
        <v>1063</v>
      </c>
      <c r="AK697" t="s">
        <v>1030</v>
      </c>
      <c r="AL697" t="s">
        <v>148</v>
      </c>
      <c r="AM697" t="s">
        <v>172</v>
      </c>
      <c r="AN697" t="s">
        <v>141</v>
      </c>
      <c r="AO697" t="s">
        <v>271</v>
      </c>
      <c r="AP697" t="s">
        <v>247</v>
      </c>
      <c r="AQ697" t="s">
        <v>228</v>
      </c>
      <c r="AR697" t="s">
        <v>1078</v>
      </c>
      <c r="AS697" t="s">
        <v>1079</v>
      </c>
      <c r="AT697" t="s">
        <v>229</v>
      </c>
      <c r="AU697" t="s">
        <v>146</v>
      </c>
      <c r="AV697" t="s">
        <v>321</v>
      </c>
      <c r="AW697" t="s">
        <v>1080</v>
      </c>
      <c r="AX697" t="s">
        <v>9</v>
      </c>
      <c r="AY697" t="s">
        <v>230</v>
      </c>
      <c r="AZ697" t="s">
        <v>380</v>
      </c>
      <c r="BA697" t="s">
        <v>254</v>
      </c>
      <c r="BB697" t="s">
        <v>1096</v>
      </c>
      <c r="BC697" t="s">
        <v>917</v>
      </c>
      <c r="BD697" t="s">
        <v>1097</v>
      </c>
      <c r="BE697" t="s">
        <v>231</v>
      </c>
      <c r="BF697" t="s">
        <v>1037</v>
      </c>
      <c r="BG697" t="s">
        <v>970</v>
      </c>
      <c r="BH697" t="s">
        <v>963</v>
      </c>
      <c r="BI697" t="s">
        <v>485</v>
      </c>
      <c r="BJ697" t="s">
        <v>1005</v>
      </c>
      <c r="BK697" t="s">
        <v>976</v>
      </c>
      <c r="BL697" t="s">
        <v>1003</v>
      </c>
      <c r="BM697" t="s">
        <v>232</v>
      </c>
      <c r="BN697" t="s">
        <v>322</v>
      </c>
      <c r="BO697" t="s">
        <v>1042</v>
      </c>
      <c r="BP697" t="s">
        <v>1018</v>
      </c>
      <c r="BQ697" t="s">
        <v>756</v>
      </c>
      <c r="BR697" t="s">
        <v>1014</v>
      </c>
      <c r="BS697" t="s">
        <v>233</v>
      </c>
      <c r="BT697" t="s">
        <v>973</v>
      </c>
      <c r="BU697" t="s">
        <v>234</v>
      </c>
      <c r="BV697" t="s">
        <v>239</v>
      </c>
      <c r="BW697" t="s">
        <v>241</v>
      </c>
      <c r="BX697" t="s">
        <v>805</v>
      </c>
      <c r="BY697" t="s">
        <v>806</v>
      </c>
    </row>
    <row r="698" spans="1:97">
      <c r="A698" s="40">
        <v>650</v>
      </c>
      <c r="B698" s="40" t="s">
        <v>2727</v>
      </c>
      <c r="C698" s="2" t="s">
        <v>2728</v>
      </c>
      <c r="D698" s="2" t="s">
        <v>21</v>
      </c>
      <c r="E698" s="2"/>
      <c r="F698" s="2">
        <v>56</v>
      </c>
      <c r="G698" s="2">
        <v>61</v>
      </c>
      <c r="H698" s="2">
        <v>65</v>
      </c>
      <c r="I698" s="2">
        <v>48</v>
      </c>
      <c r="J698" s="2">
        <v>45</v>
      </c>
      <c r="K698" s="2">
        <v>38</v>
      </c>
      <c r="L698" s="2">
        <v>313</v>
      </c>
      <c r="M698" s="2" t="s">
        <v>1158</v>
      </c>
      <c r="N698" s="2" t="s">
        <v>1061</v>
      </c>
      <c r="O698" t="s">
        <v>219</v>
      </c>
      <c r="P698" t="s">
        <v>220</v>
      </c>
      <c r="Q698" t="s">
        <v>149</v>
      </c>
      <c r="R698" t="s">
        <v>768</v>
      </c>
      <c r="S698" t="s">
        <v>258</v>
      </c>
      <c r="T698" t="s">
        <v>142</v>
      </c>
      <c r="U698" t="s">
        <v>305</v>
      </c>
      <c r="V698" t="s">
        <v>223</v>
      </c>
      <c r="W698" t="s">
        <v>1004</v>
      </c>
      <c r="X698" t="s">
        <v>1175</v>
      </c>
      <c r="Y698" t="s">
        <v>364</v>
      </c>
      <c r="Z698" t="s">
        <v>794</v>
      </c>
      <c r="AA698" t="s">
        <v>1218</v>
      </c>
      <c r="AB698" t="s">
        <v>1062</v>
      </c>
      <c r="AC698" t="s">
        <v>226</v>
      </c>
      <c r="AD698" t="s">
        <v>227</v>
      </c>
      <c r="AE698" t="s">
        <v>1063</v>
      </c>
      <c r="AF698" t="s">
        <v>246</v>
      </c>
      <c r="AG698" t="s">
        <v>148</v>
      </c>
      <c r="AH698" t="s">
        <v>1175</v>
      </c>
      <c r="AI698" t="s">
        <v>172</v>
      </c>
      <c r="AJ698" t="s">
        <v>752</v>
      </c>
      <c r="AK698" t="s">
        <v>1126</v>
      </c>
      <c r="AL698" t="s">
        <v>1078</v>
      </c>
      <c r="AM698" t="s">
        <v>1079</v>
      </c>
      <c r="AN698" t="s">
        <v>229</v>
      </c>
      <c r="AO698" t="s">
        <v>1109</v>
      </c>
      <c r="AP698" t="s">
        <v>1080</v>
      </c>
      <c r="AQ698" t="s">
        <v>256</v>
      </c>
      <c r="AR698" t="s">
        <v>1094</v>
      </c>
      <c r="AS698" t="s">
        <v>230</v>
      </c>
      <c r="AT698" t="s">
        <v>380</v>
      </c>
      <c r="AU698" t="s">
        <v>1081</v>
      </c>
      <c r="AV698" t="s">
        <v>1095</v>
      </c>
      <c r="AW698" t="s">
        <v>1096</v>
      </c>
      <c r="AX698" t="s">
        <v>917</v>
      </c>
      <c r="AY698" t="s">
        <v>231</v>
      </c>
      <c r="AZ698" t="s">
        <v>1082</v>
      </c>
      <c r="BA698" t="s">
        <v>1172</v>
      </c>
      <c r="BB698" t="s">
        <v>1037</v>
      </c>
      <c r="BC698" t="s">
        <v>970</v>
      </c>
      <c r="BD698" t="s">
        <v>974</v>
      </c>
      <c r="BE698" t="s">
        <v>1005</v>
      </c>
      <c r="BF698" t="s">
        <v>995</v>
      </c>
      <c r="BG698" t="s">
        <v>1036</v>
      </c>
      <c r="BH698" t="s">
        <v>232</v>
      </c>
      <c r="BI698" t="s">
        <v>183</v>
      </c>
      <c r="BJ698" t="s">
        <v>980</v>
      </c>
      <c r="BK698" t="s">
        <v>145</v>
      </c>
      <c r="BL698" t="s">
        <v>1021</v>
      </c>
      <c r="BM698" t="s">
        <v>143</v>
      </c>
      <c r="BN698" t="s">
        <v>997</v>
      </c>
      <c r="BO698" t="s">
        <v>977</v>
      </c>
      <c r="BP698" t="s">
        <v>756</v>
      </c>
      <c r="BQ698" t="s">
        <v>757</v>
      </c>
      <c r="BR698" t="s">
        <v>233</v>
      </c>
      <c r="BS698" t="s">
        <v>760</v>
      </c>
      <c r="BT698" t="s">
        <v>1087</v>
      </c>
      <c r="BU698" t="s">
        <v>2398</v>
      </c>
      <c r="BV698" t="s">
        <v>2339</v>
      </c>
      <c r="BW698" t="s">
        <v>234</v>
      </c>
      <c r="BX698" t="s">
        <v>751</v>
      </c>
      <c r="BY698" t="s">
        <v>1215</v>
      </c>
      <c r="BZ698" t="s">
        <v>750</v>
      </c>
      <c r="CA698" t="s">
        <v>1035</v>
      </c>
      <c r="CB698" t="s">
        <v>239</v>
      </c>
      <c r="CC698" t="s">
        <v>241</v>
      </c>
      <c r="CD698" t="s">
        <v>805</v>
      </c>
      <c r="CE698" t="s">
        <v>806</v>
      </c>
    </row>
    <row r="699" spans="1:97">
      <c r="A699" s="40">
        <v>651</v>
      </c>
      <c r="B699" s="40" t="s">
        <v>2729</v>
      </c>
      <c r="C699" s="2" t="s">
        <v>2730</v>
      </c>
      <c r="D699" s="2" t="s">
        <v>21</v>
      </c>
      <c r="E699" s="2"/>
      <c r="F699" s="2">
        <v>61</v>
      </c>
      <c r="G699" s="2">
        <v>78</v>
      </c>
      <c r="H699" s="2">
        <v>95</v>
      </c>
      <c r="I699" s="2">
        <v>56</v>
      </c>
      <c r="J699" s="2">
        <v>58</v>
      </c>
      <c r="K699" s="2">
        <v>57</v>
      </c>
      <c r="L699" s="2">
        <v>405</v>
      </c>
      <c r="M699" s="2" t="s">
        <v>1129</v>
      </c>
      <c r="N699" s="2" t="s">
        <v>1061</v>
      </c>
      <c r="O699" t="s">
        <v>305</v>
      </c>
      <c r="P699" t="s">
        <v>1619</v>
      </c>
      <c r="Q699" t="s">
        <v>223</v>
      </c>
      <c r="R699" t="s">
        <v>1004</v>
      </c>
      <c r="S699" t="s">
        <v>1144</v>
      </c>
      <c r="T699" t="s">
        <v>1175</v>
      </c>
      <c r="U699" t="s">
        <v>364</v>
      </c>
      <c r="V699" t="s">
        <v>794</v>
      </c>
      <c r="W699" t="s">
        <v>1218</v>
      </c>
      <c r="X699" t="s">
        <v>1062</v>
      </c>
      <c r="Y699" t="s">
        <v>226</v>
      </c>
      <c r="Z699" t="s">
        <v>227</v>
      </c>
      <c r="AA699" t="s">
        <v>1063</v>
      </c>
      <c r="AB699" t="s">
        <v>1030</v>
      </c>
      <c r="AC699" t="s">
        <v>246</v>
      </c>
      <c r="AD699" t="s">
        <v>148</v>
      </c>
      <c r="AE699" t="s">
        <v>1175</v>
      </c>
      <c r="AF699" t="s">
        <v>172</v>
      </c>
      <c r="AG699" t="s">
        <v>752</v>
      </c>
      <c r="AH699" t="s">
        <v>1126</v>
      </c>
      <c r="AI699" t="s">
        <v>1078</v>
      </c>
      <c r="AJ699" t="s">
        <v>1079</v>
      </c>
      <c r="AK699" t="s">
        <v>229</v>
      </c>
      <c r="AL699" t="s">
        <v>1109</v>
      </c>
      <c r="AM699" t="s">
        <v>1080</v>
      </c>
      <c r="AN699" t="s">
        <v>256</v>
      </c>
      <c r="AO699" t="s">
        <v>1094</v>
      </c>
      <c r="AP699" t="s">
        <v>230</v>
      </c>
      <c r="AQ699" t="s">
        <v>380</v>
      </c>
      <c r="AR699" t="s">
        <v>1081</v>
      </c>
      <c r="AS699" t="s">
        <v>1095</v>
      </c>
      <c r="AT699" t="s">
        <v>1096</v>
      </c>
      <c r="AU699" t="s">
        <v>917</v>
      </c>
      <c r="AV699" t="s">
        <v>231</v>
      </c>
      <c r="AW699" t="s">
        <v>1082</v>
      </c>
      <c r="AX699" t="s">
        <v>1172</v>
      </c>
      <c r="AY699" t="s">
        <v>1037</v>
      </c>
      <c r="AZ699" t="s">
        <v>970</v>
      </c>
      <c r="BA699" t="s">
        <v>974</v>
      </c>
      <c r="BB699" t="s">
        <v>1005</v>
      </c>
      <c r="BC699" t="s">
        <v>995</v>
      </c>
      <c r="BD699" t="s">
        <v>1036</v>
      </c>
      <c r="BE699" t="s">
        <v>232</v>
      </c>
      <c r="BF699" t="s">
        <v>183</v>
      </c>
      <c r="BG699" t="s">
        <v>980</v>
      </c>
      <c r="BH699" t="s">
        <v>145</v>
      </c>
      <c r="BI699" t="s">
        <v>1021</v>
      </c>
      <c r="BJ699" t="s">
        <v>143</v>
      </c>
      <c r="BK699" t="s">
        <v>997</v>
      </c>
      <c r="BL699" t="s">
        <v>977</v>
      </c>
      <c r="BM699" t="s">
        <v>756</v>
      </c>
      <c r="BN699" t="s">
        <v>757</v>
      </c>
      <c r="BO699" t="s">
        <v>233</v>
      </c>
      <c r="BP699" t="s">
        <v>760</v>
      </c>
      <c r="BQ699" t="s">
        <v>1087</v>
      </c>
      <c r="BR699" t="s">
        <v>2398</v>
      </c>
      <c r="BS699" t="s">
        <v>2339</v>
      </c>
      <c r="BT699" t="s">
        <v>234</v>
      </c>
      <c r="BU699" t="s">
        <v>751</v>
      </c>
      <c r="BV699" t="s">
        <v>1215</v>
      </c>
      <c r="BW699" t="s">
        <v>750</v>
      </c>
      <c r="BX699" t="s">
        <v>1035</v>
      </c>
      <c r="BY699" t="s">
        <v>239</v>
      </c>
      <c r="BZ699" t="s">
        <v>241</v>
      </c>
      <c r="CA699" t="s">
        <v>219</v>
      </c>
      <c r="CB699" t="s">
        <v>220</v>
      </c>
      <c r="CC699" t="s">
        <v>149</v>
      </c>
      <c r="CD699" t="s">
        <v>768</v>
      </c>
      <c r="CE699" t="s">
        <v>258</v>
      </c>
      <c r="CF699" t="s">
        <v>142</v>
      </c>
      <c r="CG699" t="s">
        <v>805</v>
      </c>
      <c r="CH699" t="s">
        <v>806</v>
      </c>
    </row>
    <row r="700" spans="1:97">
      <c r="A700" s="40">
        <v>652</v>
      </c>
      <c r="B700" s="40" t="s">
        <v>2731</v>
      </c>
      <c r="C700" s="2" t="s">
        <v>2732</v>
      </c>
      <c r="D700" s="2" t="s">
        <v>21</v>
      </c>
      <c r="E700" s="2" t="s">
        <v>18</v>
      </c>
      <c r="F700" s="2">
        <v>88</v>
      </c>
      <c r="G700" s="2">
        <v>107</v>
      </c>
      <c r="H700" s="2">
        <v>122</v>
      </c>
      <c r="I700" s="2">
        <v>74</v>
      </c>
      <c r="J700" s="2">
        <v>75</v>
      </c>
      <c r="K700" s="2">
        <v>64</v>
      </c>
      <c r="L700" s="2">
        <v>530</v>
      </c>
      <c r="M700" s="2" t="s">
        <v>1201</v>
      </c>
      <c r="N700" s="2" t="s">
        <v>1061</v>
      </c>
      <c r="O700" t="s">
        <v>1099</v>
      </c>
      <c r="P700" t="s">
        <v>971</v>
      </c>
      <c r="Q700" t="s">
        <v>2402</v>
      </c>
      <c r="R700" t="s">
        <v>1144</v>
      </c>
      <c r="S700" t="s">
        <v>1175</v>
      </c>
      <c r="T700" t="s">
        <v>364</v>
      </c>
      <c r="U700" t="s">
        <v>794</v>
      </c>
      <c r="V700" t="s">
        <v>1218</v>
      </c>
      <c r="W700" t="s">
        <v>981</v>
      </c>
      <c r="X700" t="s">
        <v>976</v>
      </c>
      <c r="Y700" t="s">
        <v>2402</v>
      </c>
      <c r="Z700" t="s">
        <v>1062</v>
      </c>
      <c r="AA700" t="s">
        <v>226</v>
      </c>
      <c r="AB700" t="s">
        <v>227</v>
      </c>
      <c r="AC700" t="s">
        <v>1063</v>
      </c>
      <c r="AD700" t="s">
        <v>1030</v>
      </c>
      <c r="AE700" t="s">
        <v>1093</v>
      </c>
      <c r="AF700" t="s">
        <v>246</v>
      </c>
      <c r="AG700" t="s">
        <v>148</v>
      </c>
      <c r="AH700" t="s">
        <v>1175</v>
      </c>
      <c r="AI700" t="s">
        <v>172</v>
      </c>
      <c r="AJ700" t="s">
        <v>752</v>
      </c>
      <c r="AK700" t="s">
        <v>1126</v>
      </c>
      <c r="AL700" t="s">
        <v>247</v>
      </c>
      <c r="AM700" t="s">
        <v>1078</v>
      </c>
      <c r="AN700" t="s">
        <v>1079</v>
      </c>
      <c r="AO700" t="s">
        <v>229</v>
      </c>
      <c r="AP700" t="s">
        <v>1109</v>
      </c>
      <c r="AQ700" t="s">
        <v>136</v>
      </c>
      <c r="AR700" t="s">
        <v>1080</v>
      </c>
      <c r="AS700" t="s">
        <v>256</v>
      </c>
      <c r="AT700" t="s">
        <v>1094</v>
      </c>
      <c r="AU700" t="s">
        <v>230</v>
      </c>
      <c r="AV700" t="s">
        <v>380</v>
      </c>
      <c r="AW700" t="s">
        <v>1081</v>
      </c>
      <c r="AX700" t="s">
        <v>1095</v>
      </c>
      <c r="AY700" t="s">
        <v>1096</v>
      </c>
      <c r="AZ700" t="s">
        <v>917</v>
      </c>
      <c r="BA700" t="s">
        <v>231</v>
      </c>
      <c r="BB700" t="s">
        <v>1082</v>
      </c>
      <c r="BC700" t="s">
        <v>1172</v>
      </c>
      <c r="BD700" t="s">
        <v>1037</v>
      </c>
      <c r="BE700" t="s">
        <v>1102</v>
      </c>
      <c r="BF700" t="s">
        <v>970</v>
      </c>
      <c r="BG700" t="s">
        <v>974</v>
      </c>
      <c r="BH700" t="s">
        <v>1005</v>
      </c>
      <c r="BI700" t="s">
        <v>995</v>
      </c>
      <c r="BJ700" t="s">
        <v>1036</v>
      </c>
      <c r="BK700" t="s">
        <v>976</v>
      </c>
      <c r="BL700" t="s">
        <v>232</v>
      </c>
      <c r="BM700" t="s">
        <v>183</v>
      </c>
      <c r="BN700" t="s">
        <v>980</v>
      </c>
      <c r="BO700" t="s">
        <v>145</v>
      </c>
      <c r="BP700" t="s">
        <v>1021</v>
      </c>
      <c r="BQ700" t="s">
        <v>143</v>
      </c>
      <c r="BR700" t="s">
        <v>997</v>
      </c>
      <c r="BS700" t="s">
        <v>977</v>
      </c>
      <c r="BT700" t="s">
        <v>756</v>
      </c>
      <c r="BU700" t="s">
        <v>757</v>
      </c>
      <c r="BV700" t="s">
        <v>233</v>
      </c>
      <c r="BW700" t="s">
        <v>760</v>
      </c>
      <c r="BX700" t="s">
        <v>1087</v>
      </c>
      <c r="BY700" t="s">
        <v>2398</v>
      </c>
      <c r="BZ700" t="s">
        <v>2339</v>
      </c>
      <c r="CA700" t="s">
        <v>234</v>
      </c>
      <c r="CB700" t="s">
        <v>751</v>
      </c>
      <c r="CC700" t="s">
        <v>1215</v>
      </c>
      <c r="CD700" t="s">
        <v>750</v>
      </c>
      <c r="CE700" t="s">
        <v>1035</v>
      </c>
      <c r="CF700" t="s">
        <v>239</v>
      </c>
      <c r="CG700" t="s">
        <v>241</v>
      </c>
      <c r="CH700" t="s">
        <v>219</v>
      </c>
      <c r="CI700" t="s">
        <v>220</v>
      </c>
      <c r="CJ700" t="s">
        <v>149</v>
      </c>
      <c r="CK700" t="s">
        <v>768</v>
      </c>
      <c r="CL700" t="s">
        <v>258</v>
      </c>
      <c r="CM700" t="s">
        <v>142</v>
      </c>
      <c r="CN700" t="s">
        <v>305</v>
      </c>
      <c r="CO700" t="s">
        <v>1619</v>
      </c>
      <c r="CP700" t="s">
        <v>223</v>
      </c>
      <c r="CQ700" t="s">
        <v>1004</v>
      </c>
      <c r="CR700" t="s">
        <v>805</v>
      </c>
      <c r="CS700" t="s">
        <v>806</v>
      </c>
    </row>
    <row r="701" spans="1:97">
      <c r="A701" s="40">
        <v>653</v>
      </c>
      <c r="B701" s="40" t="s">
        <v>2733</v>
      </c>
      <c r="C701" s="2" t="s">
        <v>2734</v>
      </c>
      <c r="D701" s="2" t="s">
        <v>19</v>
      </c>
      <c r="E701" s="2"/>
      <c r="F701" s="2">
        <v>40</v>
      </c>
      <c r="G701" s="2">
        <v>45</v>
      </c>
      <c r="H701" s="2">
        <v>40</v>
      </c>
      <c r="I701" s="2">
        <v>62</v>
      </c>
      <c r="J701" s="2">
        <v>60</v>
      </c>
      <c r="K701" s="2">
        <v>60</v>
      </c>
      <c r="L701" s="2">
        <v>307</v>
      </c>
      <c r="M701" s="2" t="s">
        <v>1165</v>
      </c>
      <c r="N701" s="2" t="s">
        <v>1061</v>
      </c>
      <c r="O701" t="s">
        <v>249</v>
      </c>
      <c r="P701" t="s">
        <v>266</v>
      </c>
      <c r="Q701" t="s">
        <v>250</v>
      </c>
      <c r="R701" t="s">
        <v>1155</v>
      </c>
      <c r="S701" t="s">
        <v>1097</v>
      </c>
      <c r="T701" t="s">
        <v>292</v>
      </c>
      <c r="U701" t="s">
        <v>255</v>
      </c>
      <c r="V701" t="s">
        <v>987</v>
      </c>
      <c r="W701" t="s">
        <v>228</v>
      </c>
      <c r="X701" t="s">
        <v>1151</v>
      </c>
      <c r="Y701" t="s">
        <v>254</v>
      </c>
      <c r="Z701" t="s">
        <v>956</v>
      </c>
      <c r="AA701" t="s">
        <v>9</v>
      </c>
      <c r="AB701" t="s">
        <v>752</v>
      </c>
      <c r="AC701" t="s">
        <v>1032</v>
      </c>
      <c r="AD701" t="s">
        <v>257</v>
      </c>
      <c r="AE701" t="s">
        <v>1062</v>
      </c>
      <c r="AF701" t="s">
        <v>1063</v>
      </c>
      <c r="AG701" t="s">
        <v>1151</v>
      </c>
      <c r="AH701" t="s">
        <v>148</v>
      </c>
      <c r="AI701" t="s">
        <v>172</v>
      </c>
      <c r="AJ701" t="s">
        <v>752</v>
      </c>
      <c r="AK701" t="s">
        <v>228</v>
      </c>
      <c r="AL701" t="s">
        <v>1078</v>
      </c>
      <c r="AM701" t="s">
        <v>766</v>
      </c>
      <c r="AN701" t="s">
        <v>759</v>
      </c>
      <c r="AO701" t="s">
        <v>1079</v>
      </c>
      <c r="AP701" t="s">
        <v>229</v>
      </c>
      <c r="AQ701" t="s">
        <v>1080</v>
      </c>
      <c r="AR701" t="s">
        <v>9</v>
      </c>
      <c r="AS701" t="s">
        <v>230</v>
      </c>
      <c r="AT701" t="s">
        <v>254</v>
      </c>
      <c r="AU701" t="s">
        <v>257</v>
      </c>
      <c r="AV701" t="s">
        <v>917</v>
      </c>
      <c r="AW701" t="s">
        <v>1097</v>
      </c>
      <c r="AX701" t="s">
        <v>231</v>
      </c>
      <c r="AY701" t="s">
        <v>1082</v>
      </c>
      <c r="AZ701" t="s">
        <v>1117</v>
      </c>
      <c r="BA701" t="s">
        <v>1037</v>
      </c>
      <c r="BB701" t="s">
        <v>1083</v>
      </c>
      <c r="BC701" t="s">
        <v>1098</v>
      </c>
      <c r="BD701" t="s">
        <v>1031</v>
      </c>
      <c r="BE701" t="s">
        <v>956</v>
      </c>
      <c r="BF701" t="s">
        <v>969</v>
      </c>
      <c r="BG701" t="s">
        <v>785</v>
      </c>
      <c r="BH701" t="s">
        <v>293</v>
      </c>
      <c r="BI701" t="s">
        <v>977</v>
      </c>
      <c r="BJ701" t="s">
        <v>756</v>
      </c>
      <c r="BK701" t="s">
        <v>757</v>
      </c>
      <c r="BL701" t="s">
        <v>233</v>
      </c>
      <c r="BM701" t="s">
        <v>2398</v>
      </c>
      <c r="BN701" t="s">
        <v>2339</v>
      </c>
      <c r="BO701" t="s">
        <v>234</v>
      </c>
      <c r="BP701" t="s">
        <v>388</v>
      </c>
      <c r="BQ701" t="s">
        <v>924</v>
      </c>
      <c r="BR701" t="s">
        <v>957</v>
      </c>
      <c r="BS701" t="s">
        <v>929</v>
      </c>
      <c r="BT701" t="s">
        <v>239</v>
      </c>
      <c r="BU701" t="s">
        <v>241</v>
      </c>
      <c r="BV701" t="s">
        <v>805</v>
      </c>
      <c r="BW701" t="s">
        <v>806</v>
      </c>
    </row>
    <row r="702" spans="1:97">
      <c r="A702" s="40">
        <v>654</v>
      </c>
      <c r="B702" s="40" t="s">
        <v>2735</v>
      </c>
      <c r="C702" s="2" t="s">
        <v>2736</v>
      </c>
      <c r="D702" s="2" t="s">
        <v>19</v>
      </c>
      <c r="E702" s="2"/>
      <c r="F702" s="2">
        <v>59</v>
      </c>
      <c r="G702" s="2">
        <v>59</v>
      </c>
      <c r="H702" s="2">
        <v>58</v>
      </c>
      <c r="I702" s="2">
        <v>90</v>
      </c>
      <c r="J702" s="2">
        <v>70</v>
      </c>
      <c r="K702" s="2">
        <v>73</v>
      </c>
      <c r="L702" s="2">
        <v>409</v>
      </c>
      <c r="M702" s="2" t="s">
        <v>1075</v>
      </c>
      <c r="N702" s="2" t="s">
        <v>1061</v>
      </c>
      <c r="O702" t="s">
        <v>292</v>
      </c>
      <c r="P702" t="s">
        <v>255</v>
      </c>
      <c r="Q702" t="s">
        <v>987</v>
      </c>
      <c r="R702" t="s">
        <v>228</v>
      </c>
      <c r="S702" t="s">
        <v>1151</v>
      </c>
      <c r="T702" t="s">
        <v>254</v>
      </c>
      <c r="U702" t="s">
        <v>956</v>
      </c>
      <c r="V702" t="s">
        <v>9</v>
      </c>
      <c r="W702" t="s">
        <v>752</v>
      </c>
      <c r="X702" t="s">
        <v>1032</v>
      </c>
      <c r="Y702" t="s">
        <v>257</v>
      </c>
      <c r="Z702" t="s">
        <v>1062</v>
      </c>
      <c r="AA702" t="s">
        <v>226</v>
      </c>
      <c r="AB702" t="s">
        <v>1063</v>
      </c>
      <c r="AC702" t="s">
        <v>1151</v>
      </c>
      <c r="AD702" t="s">
        <v>148</v>
      </c>
      <c r="AE702" t="s">
        <v>172</v>
      </c>
      <c r="AF702" t="s">
        <v>752</v>
      </c>
      <c r="AG702" t="s">
        <v>228</v>
      </c>
      <c r="AH702" t="s">
        <v>1078</v>
      </c>
      <c r="AI702" t="s">
        <v>766</v>
      </c>
      <c r="AJ702" t="s">
        <v>759</v>
      </c>
      <c r="AK702" t="s">
        <v>1079</v>
      </c>
      <c r="AL702" t="s">
        <v>229</v>
      </c>
      <c r="AM702" t="s">
        <v>1080</v>
      </c>
      <c r="AN702" t="s">
        <v>9</v>
      </c>
      <c r="AO702" t="s">
        <v>230</v>
      </c>
      <c r="AP702" t="s">
        <v>254</v>
      </c>
      <c r="AQ702" t="s">
        <v>257</v>
      </c>
      <c r="AR702" t="s">
        <v>917</v>
      </c>
      <c r="AS702" t="s">
        <v>1097</v>
      </c>
      <c r="AT702" t="s">
        <v>231</v>
      </c>
      <c r="AU702" t="s">
        <v>1082</v>
      </c>
      <c r="AV702" t="s">
        <v>1117</v>
      </c>
      <c r="AW702" t="s">
        <v>1037</v>
      </c>
      <c r="AX702" t="s">
        <v>1083</v>
      </c>
      <c r="AY702" t="s">
        <v>1098</v>
      </c>
      <c r="AZ702" t="s">
        <v>1031</v>
      </c>
      <c r="BA702" t="s">
        <v>956</v>
      </c>
      <c r="BB702" t="s">
        <v>969</v>
      </c>
      <c r="BC702" t="s">
        <v>785</v>
      </c>
      <c r="BD702" t="s">
        <v>293</v>
      </c>
      <c r="BE702" t="s">
        <v>977</v>
      </c>
      <c r="BF702" t="s">
        <v>756</v>
      </c>
      <c r="BG702" t="s">
        <v>757</v>
      </c>
      <c r="BH702" t="s">
        <v>233</v>
      </c>
      <c r="BI702" t="s">
        <v>2398</v>
      </c>
      <c r="BJ702" t="s">
        <v>2339</v>
      </c>
      <c r="BK702" t="s">
        <v>234</v>
      </c>
      <c r="BL702" t="s">
        <v>388</v>
      </c>
      <c r="BM702" t="s">
        <v>924</v>
      </c>
      <c r="BN702" t="s">
        <v>957</v>
      </c>
      <c r="BO702" t="s">
        <v>929</v>
      </c>
      <c r="BP702" t="s">
        <v>239</v>
      </c>
      <c r="BQ702" t="s">
        <v>241</v>
      </c>
      <c r="BR702" t="s">
        <v>249</v>
      </c>
      <c r="BS702" t="s">
        <v>266</v>
      </c>
      <c r="BT702" t="s">
        <v>250</v>
      </c>
      <c r="BU702" t="s">
        <v>1155</v>
      </c>
      <c r="BV702" t="s">
        <v>1097</v>
      </c>
      <c r="BW702" t="s">
        <v>805</v>
      </c>
      <c r="BX702" t="s">
        <v>806</v>
      </c>
    </row>
    <row r="703" spans="1:97">
      <c r="A703" s="40">
        <v>655</v>
      </c>
      <c r="B703" s="40" t="s">
        <v>2737</v>
      </c>
      <c r="C703" s="2" t="s">
        <v>2738</v>
      </c>
      <c r="D703" s="2" t="s">
        <v>19</v>
      </c>
      <c r="E703" s="2" t="s">
        <v>9</v>
      </c>
      <c r="F703" s="2">
        <v>75</v>
      </c>
      <c r="G703" s="2">
        <v>69</v>
      </c>
      <c r="H703" s="2">
        <v>72</v>
      </c>
      <c r="I703" s="2">
        <v>114</v>
      </c>
      <c r="J703" s="2">
        <v>100</v>
      </c>
      <c r="K703" s="2">
        <v>104</v>
      </c>
      <c r="L703" s="2">
        <v>534</v>
      </c>
      <c r="M703" s="2" t="s">
        <v>1221</v>
      </c>
      <c r="N703" s="2" t="s">
        <v>1061</v>
      </c>
      <c r="O703" t="s">
        <v>174</v>
      </c>
      <c r="P703" t="s">
        <v>790</v>
      </c>
      <c r="Q703" t="s">
        <v>938</v>
      </c>
      <c r="R703" t="s">
        <v>1136</v>
      </c>
      <c r="S703" t="s">
        <v>2382</v>
      </c>
      <c r="T703" t="s">
        <v>254</v>
      </c>
      <c r="U703" t="s">
        <v>956</v>
      </c>
      <c r="V703" t="s">
        <v>9</v>
      </c>
      <c r="W703" t="s">
        <v>752</v>
      </c>
      <c r="X703" t="s">
        <v>1032</v>
      </c>
      <c r="Y703" t="s">
        <v>257</v>
      </c>
      <c r="Z703" t="s">
        <v>790</v>
      </c>
      <c r="AA703" t="s">
        <v>2382</v>
      </c>
      <c r="AB703" t="s">
        <v>1062</v>
      </c>
      <c r="AC703" t="s">
        <v>226</v>
      </c>
      <c r="AD703" t="s">
        <v>1063</v>
      </c>
      <c r="AE703" t="s">
        <v>1151</v>
      </c>
      <c r="AF703" t="s">
        <v>912</v>
      </c>
      <c r="AG703" t="s">
        <v>148</v>
      </c>
      <c r="AH703" t="s">
        <v>172</v>
      </c>
      <c r="AI703" t="s">
        <v>752</v>
      </c>
      <c r="AJ703" t="s">
        <v>247</v>
      </c>
      <c r="AK703" t="s">
        <v>228</v>
      </c>
      <c r="AL703" t="s">
        <v>1078</v>
      </c>
      <c r="AM703" t="s">
        <v>766</v>
      </c>
      <c r="AN703" t="s">
        <v>759</v>
      </c>
      <c r="AO703" t="s">
        <v>1079</v>
      </c>
      <c r="AP703" t="s">
        <v>229</v>
      </c>
      <c r="AQ703" t="s">
        <v>1080</v>
      </c>
      <c r="AR703" t="s">
        <v>9</v>
      </c>
      <c r="AS703" t="s">
        <v>174</v>
      </c>
      <c r="AT703" t="s">
        <v>230</v>
      </c>
      <c r="AU703" t="s">
        <v>254</v>
      </c>
      <c r="AV703" t="s">
        <v>257</v>
      </c>
      <c r="AW703" t="s">
        <v>917</v>
      </c>
      <c r="AX703" t="s">
        <v>1097</v>
      </c>
      <c r="AY703" t="s">
        <v>231</v>
      </c>
      <c r="AZ703" t="s">
        <v>1082</v>
      </c>
      <c r="BA703" t="s">
        <v>1117</v>
      </c>
      <c r="BB703" t="s">
        <v>1037</v>
      </c>
      <c r="BC703" t="s">
        <v>1083</v>
      </c>
      <c r="BD703" t="s">
        <v>1098</v>
      </c>
      <c r="BE703" t="s">
        <v>1031</v>
      </c>
      <c r="BF703" t="s">
        <v>956</v>
      </c>
      <c r="BG703" t="s">
        <v>969</v>
      </c>
      <c r="BH703" t="s">
        <v>976</v>
      </c>
      <c r="BI703" t="s">
        <v>785</v>
      </c>
      <c r="BJ703" t="s">
        <v>293</v>
      </c>
      <c r="BK703" t="s">
        <v>977</v>
      </c>
      <c r="BL703" t="s">
        <v>756</v>
      </c>
      <c r="BM703" t="s">
        <v>757</v>
      </c>
      <c r="BN703" t="s">
        <v>233</v>
      </c>
      <c r="BO703" t="s">
        <v>1012</v>
      </c>
      <c r="BP703" t="s">
        <v>2398</v>
      </c>
      <c r="BQ703" t="s">
        <v>2339</v>
      </c>
      <c r="BR703" t="s">
        <v>234</v>
      </c>
      <c r="BS703" t="s">
        <v>388</v>
      </c>
      <c r="BT703" t="s">
        <v>924</v>
      </c>
      <c r="BU703" t="s">
        <v>957</v>
      </c>
      <c r="BV703" t="s">
        <v>929</v>
      </c>
      <c r="BW703" t="s">
        <v>239</v>
      </c>
      <c r="BX703" t="s">
        <v>241</v>
      </c>
      <c r="BY703" t="s">
        <v>249</v>
      </c>
      <c r="BZ703" t="s">
        <v>266</v>
      </c>
      <c r="CA703" t="s">
        <v>250</v>
      </c>
      <c r="CB703" t="s">
        <v>1155</v>
      </c>
      <c r="CC703" t="s">
        <v>1097</v>
      </c>
      <c r="CD703" t="s">
        <v>292</v>
      </c>
      <c r="CE703" t="s">
        <v>255</v>
      </c>
      <c r="CF703" t="s">
        <v>987</v>
      </c>
      <c r="CG703" t="s">
        <v>228</v>
      </c>
      <c r="CH703" t="s">
        <v>1151</v>
      </c>
      <c r="CI703" t="s">
        <v>805</v>
      </c>
      <c r="CJ703" t="s">
        <v>806</v>
      </c>
    </row>
    <row r="704" spans="1:97">
      <c r="A704" s="40">
        <v>656</v>
      </c>
      <c r="B704" s="40" t="s">
        <v>2739</v>
      </c>
      <c r="C704" s="2" t="s">
        <v>2740</v>
      </c>
      <c r="D704" s="2" t="s">
        <v>27</v>
      </c>
      <c r="E704" s="2"/>
      <c r="F704" s="2">
        <v>41</v>
      </c>
      <c r="G704" s="2">
        <v>56</v>
      </c>
      <c r="H704" s="2">
        <v>40</v>
      </c>
      <c r="I704" s="2">
        <v>62</v>
      </c>
      <c r="J704" s="2">
        <v>44</v>
      </c>
      <c r="K704" s="2">
        <v>71</v>
      </c>
      <c r="L704" s="2">
        <v>314</v>
      </c>
      <c r="M704" s="2" t="s">
        <v>1075</v>
      </c>
      <c r="N704" s="2" t="s">
        <v>1061</v>
      </c>
      <c r="O704" t="s">
        <v>376</v>
      </c>
      <c r="P704" t="s">
        <v>220</v>
      </c>
      <c r="Q704" t="s">
        <v>267</v>
      </c>
      <c r="R704" t="s">
        <v>310</v>
      </c>
      <c r="S704" t="s">
        <v>511</v>
      </c>
      <c r="T704" t="s">
        <v>954</v>
      </c>
      <c r="U704" t="s">
        <v>251</v>
      </c>
      <c r="V704" t="s">
        <v>1037</v>
      </c>
      <c r="W704" t="s">
        <v>974</v>
      </c>
      <c r="X704" t="s">
        <v>1109</v>
      </c>
      <c r="Y704" t="s">
        <v>233</v>
      </c>
      <c r="Z704" t="s">
        <v>175</v>
      </c>
      <c r="AA704" t="s">
        <v>230</v>
      </c>
      <c r="AB704" t="s">
        <v>140</v>
      </c>
      <c r="AC704" t="s">
        <v>1062</v>
      </c>
      <c r="AD704" t="s">
        <v>226</v>
      </c>
      <c r="AE704" t="s">
        <v>144</v>
      </c>
      <c r="AF704" t="s">
        <v>227</v>
      </c>
      <c r="AG704" t="s">
        <v>270</v>
      </c>
      <c r="AH704" t="s">
        <v>1063</v>
      </c>
      <c r="AI704" t="s">
        <v>148</v>
      </c>
      <c r="AJ704" t="s">
        <v>172</v>
      </c>
      <c r="AK704" t="s">
        <v>1126</v>
      </c>
      <c r="AL704" t="s">
        <v>141</v>
      </c>
      <c r="AM704" t="s">
        <v>271</v>
      </c>
      <c r="AN704" t="s">
        <v>1078</v>
      </c>
      <c r="AO704" t="s">
        <v>766</v>
      </c>
      <c r="AP704" t="s">
        <v>1079</v>
      </c>
      <c r="AQ704" t="s">
        <v>1109</v>
      </c>
      <c r="AR704" t="s">
        <v>1080</v>
      </c>
      <c r="AS704" t="s">
        <v>256</v>
      </c>
      <c r="AT704" t="s">
        <v>230</v>
      </c>
      <c r="AU704" t="s">
        <v>1095</v>
      </c>
      <c r="AV704" t="s">
        <v>1096</v>
      </c>
      <c r="AW704" t="s">
        <v>917</v>
      </c>
      <c r="AX704" t="s">
        <v>231</v>
      </c>
      <c r="AY704" t="s">
        <v>1082</v>
      </c>
      <c r="AZ704" t="s">
        <v>1117</v>
      </c>
      <c r="BA704" t="s">
        <v>1037</v>
      </c>
      <c r="BB704" t="s">
        <v>1083</v>
      </c>
      <c r="BC704" t="s">
        <v>1038</v>
      </c>
      <c r="BD704" t="s">
        <v>974</v>
      </c>
      <c r="BE704" t="s">
        <v>1020</v>
      </c>
      <c r="BF704" t="s">
        <v>143</v>
      </c>
      <c r="BG704" t="s">
        <v>977</v>
      </c>
      <c r="BH704" t="s">
        <v>756</v>
      </c>
      <c r="BI704" t="s">
        <v>757</v>
      </c>
      <c r="BJ704" t="s">
        <v>1014</v>
      </c>
      <c r="BK704" t="s">
        <v>233</v>
      </c>
      <c r="BL704" t="s">
        <v>760</v>
      </c>
      <c r="BM704" t="s">
        <v>2398</v>
      </c>
      <c r="BN704" t="s">
        <v>2339</v>
      </c>
      <c r="BO704" t="s">
        <v>234</v>
      </c>
      <c r="BP704" t="s">
        <v>792</v>
      </c>
      <c r="BQ704" t="s">
        <v>1226</v>
      </c>
      <c r="BR704" t="s">
        <v>933</v>
      </c>
      <c r="BS704" t="s">
        <v>955</v>
      </c>
      <c r="BT704" t="s">
        <v>1011</v>
      </c>
      <c r="BU704" t="s">
        <v>239</v>
      </c>
      <c r="BV704" t="s">
        <v>241</v>
      </c>
      <c r="BW704" t="s">
        <v>805</v>
      </c>
      <c r="BX704" t="s">
        <v>806</v>
      </c>
    </row>
    <row r="705" spans="1:86">
      <c r="A705" s="40">
        <v>657</v>
      </c>
      <c r="B705" s="40" t="s">
        <v>2741</v>
      </c>
      <c r="C705" s="2" t="s">
        <v>2742</v>
      </c>
      <c r="D705" s="2" t="s">
        <v>27</v>
      </c>
      <c r="E705" s="2"/>
      <c r="F705" s="2">
        <v>54</v>
      </c>
      <c r="G705" s="2">
        <v>63</v>
      </c>
      <c r="H705" s="2">
        <v>52</v>
      </c>
      <c r="I705" s="2">
        <v>83</v>
      </c>
      <c r="J705" s="2">
        <v>56</v>
      </c>
      <c r="K705" s="2">
        <v>97</v>
      </c>
      <c r="L705" s="2">
        <v>405</v>
      </c>
      <c r="M705" s="2" t="s">
        <v>1103</v>
      </c>
      <c r="N705" s="2" t="s">
        <v>1061</v>
      </c>
      <c r="O705" t="s">
        <v>251</v>
      </c>
      <c r="P705" t="s">
        <v>1037</v>
      </c>
      <c r="Q705" t="s">
        <v>974</v>
      </c>
      <c r="R705" t="s">
        <v>1109</v>
      </c>
      <c r="S705" t="s">
        <v>233</v>
      </c>
      <c r="T705" t="s">
        <v>175</v>
      </c>
      <c r="U705" t="s">
        <v>230</v>
      </c>
      <c r="V705" t="s">
        <v>140</v>
      </c>
      <c r="W705" t="s">
        <v>1062</v>
      </c>
      <c r="X705" t="s">
        <v>226</v>
      </c>
      <c r="Y705" t="s">
        <v>144</v>
      </c>
      <c r="Z705" t="s">
        <v>227</v>
      </c>
      <c r="AA705" t="s">
        <v>270</v>
      </c>
      <c r="AB705" t="s">
        <v>1063</v>
      </c>
      <c r="AC705" t="s">
        <v>148</v>
      </c>
      <c r="AD705" t="s">
        <v>172</v>
      </c>
      <c r="AE705" t="s">
        <v>1126</v>
      </c>
      <c r="AF705" t="s">
        <v>141</v>
      </c>
      <c r="AG705" t="s">
        <v>271</v>
      </c>
      <c r="AH705" t="s">
        <v>1078</v>
      </c>
      <c r="AI705" t="s">
        <v>766</v>
      </c>
      <c r="AJ705" t="s">
        <v>1079</v>
      </c>
      <c r="AK705" t="s">
        <v>1109</v>
      </c>
      <c r="AL705" t="s">
        <v>1080</v>
      </c>
      <c r="AM705" t="s">
        <v>256</v>
      </c>
      <c r="AN705" t="s">
        <v>230</v>
      </c>
      <c r="AO705" t="s">
        <v>1095</v>
      </c>
      <c r="AP705" t="s">
        <v>1096</v>
      </c>
      <c r="AQ705" t="s">
        <v>917</v>
      </c>
      <c r="AR705" t="s">
        <v>231</v>
      </c>
      <c r="AS705" t="s">
        <v>1082</v>
      </c>
      <c r="AT705" t="s">
        <v>1117</v>
      </c>
      <c r="AU705" t="s">
        <v>1037</v>
      </c>
      <c r="AV705" t="s">
        <v>1083</v>
      </c>
      <c r="AW705" t="s">
        <v>1038</v>
      </c>
      <c r="AX705" t="s">
        <v>974</v>
      </c>
      <c r="AY705" t="s">
        <v>1020</v>
      </c>
      <c r="AZ705" t="s">
        <v>143</v>
      </c>
      <c r="BA705" t="s">
        <v>977</v>
      </c>
      <c r="BB705" t="s">
        <v>756</v>
      </c>
      <c r="BC705" t="s">
        <v>757</v>
      </c>
      <c r="BD705" t="s">
        <v>1014</v>
      </c>
      <c r="BE705" t="s">
        <v>233</v>
      </c>
      <c r="BF705" t="s">
        <v>760</v>
      </c>
      <c r="BG705" t="s">
        <v>1157</v>
      </c>
      <c r="BH705" t="s">
        <v>2398</v>
      </c>
      <c r="BI705" t="s">
        <v>2339</v>
      </c>
      <c r="BJ705" t="s">
        <v>234</v>
      </c>
      <c r="BK705" t="s">
        <v>792</v>
      </c>
      <c r="BL705" t="s">
        <v>1226</v>
      </c>
      <c r="BM705" t="s">
        <v>933</v>
      </c>
      <c r="BN705" t="s">
        <v>955</v>
      </c>
      <c r="BO705" t="s">
        <v>1011</v>
      </c>
      <c r="BP705" t="s">
        <v>239</v>
      </c>
      <c r="BQ705" t="s">
        <v>241</v>
      </c>
      <c r="BR705" t="s">
        <v>376</v>
      </c>
      <c r="BS705" t="s">
        <v>220</v>
      </c>
      <c r="BT705" t="s">
        <v>267</v>
      </c>
      <c r="BU705" t="s">
        <v>310</v>
      </c>
      <c r="BV705" t="s">
        <v>511</v>
      </c>
      <c r="BW705" t="s">
        <v>954</v>
      </c>
      <c r="BX705" t="s">
        <v>805</v>
      </c>
      <c r="BY705" t="s">
        <v>806</v>
      </c>
    </row>
    <row r="706" spans="1:86">
      <c r="A706" s="40">
        <v>658</v>
      </c>
      <c r="B706" s="40" t="s">
        <v>2743</v>
      </c>
      <c r="C706" s="2" t="s">
        <v>2744</v>
      </c>
      <c r="D706" s="2" t="s">
        <v>27</v>
      </c>
      <c r="E706" s="2" t="s">
        <v>15</v>
      </c>
      <c r="F706" s="2">
        <v>72</v>
      </c>
      <c r="G706" s="2">
        <v>95</v>
      </c>
      <c r="H706" s="2">
        <v>67</v>
      </c>
      <c r="I706" s="2">
        <v>103</v>
      </c>
      <c r="J706" s="2">
        <v>71</v>
      </c>
      <c r="K706" s="2">
        <v>122</v>
      </c>
      <c r="L706" s="2">
        <v>530</v>
      </c>
      <c r="M706" s="2" t="s">
        <v>1129</v>
      </c>
      <c r="N706" s="2" t="s">
        <v>1061</v>
      </c>
      <c r="O706" t="s">
        <v>938</v>
      </c>
      <c r="P706" t="s">
        <v>2377</v>
      </c>
      <c r="Q706" t="s">
        <v>2412</v>
      </c>
      <c r="R706" t="s">
        <v>233</v>
      </c>
      <c r="S706" t="s">
        <v>1154</v>
      </c>
      <c r="T706" t="s">
        <v>230</v>
      </c>
      <c r="U706" t="s">
        <v>272</v>
      </c>
      <c r="V706" t="s">
        <v>140</v>
      </c>
      <c r="W706" t="s">
        <v>993</v>
      </c>
      <c r="X706" t="s">
        <v>2412</v>
      </c>
      <c r="Y706" t="s">
        <v>1062</v>
      </c>
      <c r="Z706" t="s">
        <v>226</v>
      </c>
      <c r="AA706" t="s">
        <v>144</v>
      </c>
      <c r="AB706" t="s">
        <v>227</v>
      </c>
      <c r="AC706" t="s">
        <v>270</v>
      </c>
      <c r="AD706" t="s">
        <v>1063</v>
      </c>
      <c r="AE706" t="s">
        <v>148</v>
      </c>
      <c r="AF706" t="s">
        <v>172</v>
      </c>
      <c r="AG706" t="s">
        <v>1126</v>
      </c>
      <c r="AH706" t="s">
        <v>141</v>
      </c>
      <c r="AI706" t="s">
        <v>271</v>
      </c>
      <c r="AJ706" t="s">
        <v>247</v>
      </c>
      <c r="AK706" t="s">
        <v>1078</v>
      </c>
      <c r="AL706" t="s">
        <v>766</v>
      </c>
      <c r="AM706" t="s">
        <v>1079</v>
      </c>
      <c r="AN706" t="s">
        <v>1109</v>
      </c>
      <c r="AO706" t="s">
        <v>1080</v>
      </c>
      <c r="AP706" t="s">
        <v>256</v>
      </c>
      <c r="AQ706" t="s">
        <v>230</v>
      </c>
      <c r="AR706" t="s">
        <v>1095</v>
      </c>
      <c r="AS706" t="s">
        <v>1096</v>
      </c>
      <c r="AT706" t="s">
        <v>917</v>
      </c>
      <c r="AU706" t="s">
        <v>231</v>
      </c>
      <c r="AV706" t="s">
        <v>1082</v>
      </c>
      <c r="AW706" t="s">
        <v>1117</v>
      </c>
      <c r="AX706" t="s">
        <v>1037</v>
      </c>
      <c r="AY706" t="s">
        <v>1083</v>
      </c>
      <c r="AZ706" t="s">
        <v>1038</v>
      </c>
      <c r="BA706" t="s">
        <v>974</v>
      </c>
      <c r="BB706" t="s">
        <v>1020</v>
      </c>
      <c r="BC706" t="s">
        <v>976</v>
      </c>
      <c r="BD706" t="s">
        <v>143</v>
      </c>
      <c r="BE706" t="s">
        <v>977</v>
      </c>
      <c r="BF706" t="s">
        <v>756</v>
      </c>
      <c r="BG706" t="s">
        <v>757</v>
      </c>
      <c r="BH706" t="s">
        <v>1014</v>
      </c>
      <c r="BI706" t="s">
        <v>233</v>
      </c>
      <c r="BJ706" t="s">
        <v>760</v>
      </c>
      <c r="BK706" t="s">
        <v>1157</v>
      </c>
      <c r="BL706" t="s">
        <v>2398</v>
      </c>
      <c r="BM706" t="s">
        <v>2339</v>
      </c>
      <c r="BN706" t="s">
        <v>234</v>
      </c>
      <c r="BO706" t="s">
        <v>792</v>
      </c>
      <c r="BP706" t="s">
        <v>1226</v>
      </c>
      <c r="BQ706" t="s">
        <v>933</v>
      </c>
      <c r="BR706" t="s">
        <v>955</v>
      </c>
      <c r="BS706" t="s">
        <v>1011</v>
      </c>
      <c r="BT706" t="s">
        <v>239</v>
      </c>
      <c r="BU706" t="s">
        <v>241</v>
      </c>
      <c r="BV706" t="s">
        <v>376</v>
      </c>
      <c r="BW706" t="s">
        <v>220</v>
      </c>
      <c r="BX706" t="s">
        <v>267</v>
      </c>
      <c r="BY706" t="s">
        <v>310</v>
      </c>
      <c r="BZ706" t="s">
        <v>511</v>
      </c>
      <c r="CA706" t="s">
        <v>954</v>
      </c>
      <c r="CB706" t="s">
        <v>251</v>
      </c>
      <c r="CC706" t="s">
        <v>1037</v>
      </c>
      <c r="CD706" t="s">
        <v>974</v>
      </c>
      <c r="CE706" t="s">
        <v>1109</v>
      </c>
      <c r="CF706" t="s">
        <v>175</v>
      </c>
      <c r="CG706" t="s">
        <v>805</v>
      </c>
      <c r="CH706" t="s">
        <v>806</v>
      </c>
    </row>
    <row r="707" spans="1:86">
      <c r="A707" s="40">
        <v>659</v>
      </c>
      <c r="B707" s="40" t="s">
        <v>2745</v>
      </c>
      <c r="C707" s="2" t="s">
        <v>2746</v>
      </c>
      <c r="D707" s="2" t="s">
        <v>24</v>
      </c>
      <c r="E707" s="2"/>
      <c r="F707" s="2">
        <v>38</v>
      </c>
      <c r="G707" s="2">
        <v>36</v>
      </c>
      <c r="H707" s="2">
        <v>38</v>
      </c>
      <c r="I707" s="2">
        <v>32</v>
      </c>
      <c r="J707" s="2">
        <v>36</v>
      </c>
      <c r="K707" s="2">
        <v>57</v>
      </c>
      <c r="L707" s="2">
        <v>237</v>
      </c>
      <c r="M707" s="2" t="s">
        <v>1165</v>
      </c>
      <c r="N707" s="2" t="s">
        <v>1061</v>
      </c>
      <c r="O707" t="s">
        <v>219</v>
      </c>
      <c r="P707" t="s">
        <v>330</v>
      </c>
      <c r="Q707" t="s">
        <v>306</v>
      </c>
      <c r="R707" t="s">
        <v>310</v>
      </c>
      <c r="S707" t="s">
        <v>348</v>
      </c>
      <c r="T707" t="s">
        <v>755</v>
      </c>
      <c r="U707" t="s">
        <v>223</v>
      </c>
      <c r="V707" t="s">
        <v>1144</v>
      </c>
      <c r="W707" t="s">
        <v>359</v>
      </c>
      <c r="X707" t="s">
        <v>256</v>
      </c>
      <c r="Y707" t="s">
        <v>175</v>
      </c>
      <c r="Z707" t="s">
        <v>320</v>
      </c>
      <c r="AA707" t="s">
        <v>917</v>
      </c>
      <c r="AB707" t="s">
        <v>136</v>
      </c>
      <c r="AC707" t="s">
        <v>1062</v>
      </c>
      <c r="AD707" t="s">
        <v>226</v>
      </c>
      <c r="AE707" t="s">
        <v>144</v>
      </c>
      <c r="AF707" t="s">
        <v>1063</v>
      </c>
      <c r="AG707" t="s">
        <v>148</v>
      </c>
      <c r="AH707" t="s">
        <v>1175</v>
      </c>
      <c r="AI707" t="s">
        <v>172</v>
      </c>
      <c r="AJ707" t="s">
        <v>1078</v>
      </c>
      <c r="AK707" t="s">
        <v>1079</v>
      </c>
      <c r="AL707" t="s">
        <v>1109</v>
      </c>
      <c r="AM707" t="s">
        <v>136</v>
      </c>
      <c r="AN707" t="s">
        <v>1080</v>
      </c>
      <c r="AO707" t="s">
        <v>256</v>
      </c>
      <c r="AP707" t="s">
        <v>1094</v>
      </c>
      <c r="AQ707" t="s">
        <v>230</v>
      </c>
      <c r="AR707" t="s">
        <v>1081</v>
      </c>
      <c r="AS707" t="s">
        <v>765</v>
      </c>
      <c r="AT707" t="s">
        <v>1095</v>
      </c>
      <c r="AU707" t="s">
        <v>951</v>
      </c>
      <c r="AV707" t="s">
        <v>917</v>
      </c>
      <c r="AW707" t="s">
        <v>231</v>
      </c>
      <c r="AX707" t="s">
        <v>1082</v>
      </c>
      <c r="AY707" t="s">
        <v>1117</v>
      </c>
      <c r="AZ707" t="s">
        <v>1037</v>
      </c>
      <c r="BA707" t="s">
        <v>974</v>
      </c>
      <c r="BB707" t="s">
        <v>995</v>
      </c>
      <c r="BC707" t="s">
        <v>183</v>
      </c>
      <c r="BD707" t="s">
        <v>1021</v>
      </c>
      <c r="BE707" t="s">
        <v>143</v>
      </c>
      <c r="BF707" t="s">
        <v>977</v>
      </c>
      <c r="BG707" t="s">
        <v>756</v>
      </c>
      <c r="BH707" t="s">
        <v>757</v>
      </c>
      <c r="BI707" t="s">
        <v>1014</v>
      </c>
      <c r="BJ707" t="s">
        <v>233</v>
      </c>
      <c r="BK707" t="s">
        <v>1047</v>
      </c>
      <c r="BL707" t="s">
        <v>760</v>
      </c>
      <c r="BM707" t="s">
        <v>1087</v>
      </c>
      <c r="BN707" t="s">
        <v>2398</v>
      </c>
      <c r="BO707" t="s">
        <v>2339</v>
      </c>
      <c r="BP707" t="s">
        <v>234</v>
      </c>
      <c r="BQ707" t="s">
        <v>353</v>
      </c>
      <c r="BR707" t="s">
        <v>1215</v>
      </c>
      <c r="BS707" t="s">
        <v>768</v>
      </c>
      <c r="BT707" t="s">
        <v>239</v>
      </c>
      <c r="BU707" t="s">
        <v>241</v>
      </c>
      <c r="BV707" t="s">
        <v>805</v>
      </c>
      <c r="BW707" t="s">
        <v>806</v>
      </c>
    </row>
    <row r="708" spans="1:86">
      <c r="A708" s="40">
        <v>660</v>
      </c>
      <c r="B708" s="40" t="s">
        <v>2747</v>
      </c>
      <c r="C708" s="2" t="s">
        <v>2748</v>
      </c>
      <c r="D708" s="2" t="s">
        <v>24</v>
      </c>
      <c r="E708" s="2" t="s">
        <v>22</v>
      </c>
      <c r="F708" s="2">
        <v>85</v>
      </c>
      <c r="G708" s="2">
        <v>56</v>
      </c>
      <c r="H708" s="2">
        <v>77</v>
      </c>
      <c r="I708" s="2">
        <v>50</v>
      </c>
      <c r="J708" s="2">
        <v>77</v>
      </c>
      <c r="K708" s="2">
        <v>78</v>
      </c>
      <c r="L708" s="2">
        <v>423</v>
      </c>
      <c r="M708" s="2" t="s">
        <v>1158</v>
      </c>
      <c r="N708" s="2" t="s">
        <v>1061</v>
      </c>
      <c r="O708" t="s">
        <v>145</v>
      </c>
      <c r="P708" t="s">
        <v>1021</v>
      </c>
      <c r="Q708" t="s">
        <v>2400</v>
      </c>
      <c r="R708" t="s">
        <v>934</v>
      </c>
      <c r="S708" t="s">
        <v>770</v>
      </c>
      <c r="T708" t="s">
        <v>256</v>
      </c>
      <c r="U708" t="s">
        <v>175</v>
      </c>
      <c r="V708" t="s">
        <v>320</v>
      </c>
      <c r="W708" t="s">
        <v>917</v>
      </c>
      <c r="X708" t="s">
        <v>136</v>
      </c>
      <c r="Y708" t="s">
        <v>981</v>
      </c>
      <c r="Z708" t="s">
        <v>1062</v>
      </c>
      <c r="AA708" t="s">
        <v>226</v>
      </c>
      <c r="AB708" t="s">
        <v>144</v>
      </c>
      <c r="AC708" t="s">
        <v>1063</v>
      </c>
      <c r="AD708" t="s">
        <v>148</v>
      </c>
      <c r="AE708" t="s">
        <v>1175</v>
      </c>
      <c r="AF708" t="s">
        <v>172</v>
      </c>
      <c r="AG708" t="s">
        <v>247</v>
      </c>
      <c r="AH708" t="s">
        <v>1078</v>
      </c>
      <c r="AI708" t="s">
        <v>1079</v>
      </c>
      <c r="AJ708" t="s">
        <v>1109</v>
      </c>
      <c r="AK708" t="s">
        <v>136</v>
      </c>
      <c r="AL708" t="s">
        <v>1080</v>
      </c>
      <c r="AM708" t="s">
        <v>256</v>
      </c>
      <c r="AN708" t="s">
        <v>1094</v>
      </c>
      <c r="AO708" t="s">
        <v>230</v>
      </c>
      <c r="AP708" t="s">
        <v>1081</v>
      </c>
      <c r="AQ708" t="s">
        <v>765</v>
      </c>
      <c r="AR708" t="s">
        <v>1095</v>
      </c>
      <c r="AS708" t="s">
        <v>951</v>
      </c>
      <c r="AT708" t="s">
        <v>917</v>
      </c>
      <c r="AU708" t="s">
        <v>231</v>
      </c>
      <c r="AV708" t="s">
        <v>1082</v>
      </c>
      <c r="AW708" t="s">
        <v>1117</v>
      </c>
      <c r="AX708" t="s">
        <v>1037</v>
      </c>
      <c r="AY708" t="s">
        <v>974</v>
      </c>
      <c r="AZ708" t="s">
        <v>995</v>
      </c>
      <c r="BA708" t="s">
        <v>976</v>
      </c>
      <c r="BB708" t="s">
        <v>183</v>
      </c>
      <c r="BC708" t="s">
        <v>1021</v>
      </c>
      <c r="BD708" t="s">
        <v>143</v>
      </c>
      <c r="BE708" t="s">
        <v>977</v>
      </c>
      <c r="BF708" t="s">
        <v>756</v>
      </c>
      <c r="BG708" t="s">
        <v>757</v>
      </c>
      <c r="BH708" t="s">
        <v>1014</v>
      </c>
      <c r="BI708" t="s">
        <v>233</v>
      </c>
      <c r="BJ708" t="s">
        <v>1047</v>
      </c>
      <c r="BK708" t="s">
        <v>760</v>
      </c>
      <c r="BL708" t="s">
        <v>1087</v>
      </c>
      <c r="BM708" t="s">
        <v>2398</v>
      </c>
      <c r="BN708" t="s">
        <v>2339</v>
      </c>
      <c r="BO708" t="s">
        <v>234</v>
      </c>
      <c r="BP708" t="s">
        <v>353</v>
      </c>
      <c r="BQ708" t="s">
        <v>1215</v>
      </c>
      <c r="BR708" t="s">
        <v>768</v>
      </c>
      <c r="BS708" t="s">
        <v>239</v>
      </c>
      <c r="BT708" t="s">
        <v>241</v>
      </c>
      <c r="BU708" t="s">
        <v>219</v>
      </c>
      <c r="BV708" t="s">
        <v>330</v>
      </c>
      <c r="BW708" t="s">
        <v>306</v>
      </c>
      <c r="BX708" t="s">
        <v>310</v>
      </c>
      <c r="BY708" t="s">
        <v>348</v>
      </c>
      <c r="BZ708" t="s">
        <v>755</v>
      </c>
      <c r="CA708" t="s">
        <v>223</v>
      </c>
      <c r="CB708" t="s">
        <v>1144</v>
      </c>
      <c r="CC708" t="s">
        <v>359</v>
      </c>
      <c r="CD708" t="s">
        <v>805</v>
      </c>
      <c r="CE708" t="s">
        <v>806</v>
      </c>
    </row>
    <row r="709" spans="1:86">
      <c r="A709" s="40">
        <v>661</v>
      </c>
      <c r="B709" s="40" t="s">
        <v>2749</v>
      </c>
      <c r="C709" s="2" t="s">
        <v>2750</v>
      </c>
      <c r="D709" s="2" t="s">
        <v>24</v>
      </c>
      <c r="E709" s="2" t="s">
        <v>20</v>
      </c>
      <c r="F709" s="2">
        <v>45</v>
      </c>
      <c r="G709" s="2">
        <v>50</v>
      </c>
      <c r="H709" s="2">
        <v>43</v>
      </c>
      <c r="I709" s="2">
        <v>40</v>
      </c>
      <c r="J709" s="2">
        <v>38</v>
      </c>
      <c r="K709" s="2">
        <v>62</v>
      </c>
      <c r="L709" s="2">
        <v>278</v>
      </c>
      <c r="M709" s="2" t="s">
        <v>1067</v>
      </c>
      <c r="N709" s="2" t="s">
        <v>1061</v>
      </c>
      <c r="O709" t="s">
        <v>219</v>
      </c>
      <c r="P709" t="s">
        <v>220</v>
      </c>
      <c r="Q709" t="s">
        <v>310</v>
      </c>
      <c r="R709" t="s">
        <v>329</v>
      </c>
      <c r="S709" t="s">
        <v>306</v>
      </c>
      <c r="T709" t="s">
        <v>770</v>
      </c>
      <c r="U709" t="s">
        <v>1119</v>
      </c>
      <c r="V709" t="s">
        <v>332</v>
      </c>
      <c r="W709" t="s">
        <v>992</v>
      </c>
      <c r="X709" t="s">
        <v>1097</v>
      </c>
      <c r="Y709" t="s">
        <v>1020</v>
      </c>
      <c r="Z709" t="s">
        <v>989</v>
      </c>
      <c r="AA709" t="s">
        <v>1009</v>
      </c>
      <c r="AB709" t="s">
        <v>1125</v>
      </c>
      <c r="AC709" t="s">
        <v>1062</v>
      </c>
      <c r="AD709" t="s">
        <v>138</v>
      </c>
      <c r="AE709" t="s">
        <v>1063</v>
      </c>
      <c r="AF709" t="s">
        <v>148</v>
      </c>
      <c r="AG709" t="s">
        <v>172</v>
      </c>
      <c r="AH709" t="s">
        <v>752</v>
      </c>
      <c r="AI709" t="s">
        <v>1126</v>
      </c>
      <c r="AJ709" t="s">
        <v>1078</v>
      </c>
      <c r="AK709" t="s">
        <v>1119</v>
      </c>
      <c r="AL709" t="s">
        <v>1079</v>
      </c>
      <c r="AM709" t="s">
        <v>1080</v>
      </c>
      <c r="AN709" t="s">
        <v>230</v>
      </c>
      <c r="AO709" t="s">
        <v>1096</v>
      </c>
      <c r="AP709" t="s">
        <v>917</v>
      </c>
      <c r="AQ709" t="s">
        <v>1097</v>
      </c>
      <c r="AR709" t="s">
        <v>231</v>
      </c>
      <c r="AS709" t="s">
        <v>1082</v>
      </c>
      <c r="AT709" t="s">
        <v>1117</v>
      </c>
      <c r="AU709" t="s">
        <v>1037</v>
      </c>
      <c r="AV709" t="s">
        <v>1098</v>
      </c>
      <c r="AW709" t="s">
        <v>1125</v>
      </c>
      <c r="AX709" t="s">
        <v>1020</v>
      </c>
      <c r="AY709" t="s">
        <v>145</v>
      </c>
      <c r="AZ709" t="s">
        <v>756</v>
      </c>
      <c r="BA709" t="s">
        <v>757</v>
      </c>
      <c r="BB709" t="s">
        <v>1014</v>
      </c>
      <c r="BC709" t="s">
        <v>233</v>
      </c>
      <c r="BD709" t="s">
        <v>2339</v>
      </c>
      <c r="BE709" t="s">
        <v>234</v>
      </c>
      <c r="BF709" t="s">
        <v>1035</v>
      </c>
      <c r="BG709" t="s">
        <v>239</v>
      </c>
      <c r="BH709" t="s">
        <v>241</v>
      </c>
      <c r="BI709" t="s">
        <v>805</v>
      </c>
      <c r="BJ709" t="s">
        <v>806</v>
      </c>
    </row>
    <row r="710" spans="1:86">
      <c r="A710" s="40">
        <v>662</v>
      </c>
      <c r="B710" s="40" t="s">
        <v>2751</v>
      </c>
      <c r="C710" s="2" t="s">
        <v>2752</v>
      </c>
      <c r="D710" s="2" t="s">
        <v>19</v>
      </c>
      <c r="E710" s="2" t="s">
        <v>20</v>
      </c>
      <c r="F710" s="2">
        <v>62</v>
      </c>
      <c r="G710" s="2">
        <v>73</v>
      </c>
      <c r="H710" s="2">
        <v>55</v>
      </c>
      <c r="I710" s="2">
        <v>56</v>
      </c>
      <c r="J710" s="2">
        <v>52</v>
      </c>
      <c r="K710" s="2">
        <v>84</v>
      </c>
      <c r="L710" s="2">
        <v>382</v>
      </c>
      <c r="M710" s="2" t="s">
        <v>1071</v>
      </c>
      <c r="N710" s="2" t="s">
        <v>1061</v>
      </c>
      <c r="O710" t="s">
        <v>250</v>
      </c>
      <c r="P710" t="s">
        <v>1119</v>
      </c>
      <c r="Q710" t="s">
        <v>332</v>
      </c>
      <c r="R710" t="s">
        <v>992</v>
      </c>
      <c r="S710" t="s">
        <v>1097</v>
      </c>
      <c r="T710" t="s">
        <v>1020</v>
      </c>
      <c r="U710" t="s">
        <v>989</v>
      </c>
      <c r="V710" t="s">
        <v>1009</v>
      </c>
      <c r="W710" t="s">
        <v>1125</v>
      </c>
      <c r="X710" t="s">
        <v>1062</v>
      </c>
      <c r="Y710" t="s">
        <v>138</v>
      </c>
      <c r="Z710" t="s">
        <v>1063</v>
      </c>
      <c r="AA710" t="s">
        <v>148</v>
      </c>
      <c r="AB710" t="s">
        <v>172</v>
      </c>
      <c r="AC710" t="s">
        <v>752</v>
      </c>
      <c r="AD710" t="s">
        <v>1126</v>
      </c>
      <c r="AE710" t="s">
        <v>1078</v>
      </c>
      <c r="AF710" t="s">
        <v>1119</v>
      </c>
      <c r="AG710" t="s">
        <v>1079</v>
      </c>
      <c r="AH710" t="s">
        <v>1080</v>
      </c>
      <c r="AI710" t="s">
        <v>230</v>
      </c>
      <c r="AJ710" t="s">
        <v>254</v>
      </c>
      <c r="AK710" t="s">
        <v>257</v>
      </c>
      <c r="AL710" t="s">
        <v>1096</v>
      </c>
      <c r="AM710" t="s">
        <v>917</v>
      </c>
      <c r="AN710" t="s">
        <v>1097</v>
      </c>
      <c r="AO710" t="s">
        <v>231</v>
      </c>
      <c r="AP710" t="s">
        <v>1082</v>
      </c>
      <c r="AQ710" t="s">
        <v>1117</v>
      </c>
      <c r="AR710" t="s">
        <v>1037</v>
      </c>
      <c r="AS710" t="s">
        <v>1098</v>
      </c>
      <c r="AT710" t="s">
        <v>1125</v>
      </c>
      <c r="AU710" t="s">
        <v>1031</v>
      </c>
      <c r="AV710" t="s">
        <v>956</v>
      </c>
      <c r="AW710" t="s">
        <v>1020</v>
      </c>
      <c r="AX710" t="s">
        <v>145</v>
      </c>
      <c r="AY710" t="s">
        <v>756</v>
      </c>
      <c r="AZ710" t="s">
        <v>757</v>
      </c>
      <c r="BA710" t="s">
        <v>1014</v>
      </c>
      <c r="BB710" t="s">
        <v>233</v>
      </c>
      <c r="BC710" t="s">
        <v>2339</v>
      </c>
      <c r="BD710" t="s">
        <v>234</v>
      </c>
      <c r="BE710" t="s">
        <v>1035</v>
      </c>
      <c r="BF710" t="s">
        <v>239</v>
      </c>
      <c r="BG710" t="s">
        <v>241</v>
      </c>
      <c r="BH710" t="s">
        <v>219</v>
      </c>
      <c r="BI710" t="s">
        <v>220</v>
      </c>
      <c r="BJ710" t="s">
        <v>310</v>
      </c>
      <c r="BK710" t="s">
        <v>329</v>
      </c>
      <c r="BL710" t="s">
        <v>306</v>
      </c>
      <c r="BM710" t="s">
        <v>770</v>
      </c>
      <c r="BN710" t="s">
        <v>805</v>
      </c>
      <c r="BO710" t="s">
        <v>806</v>
      </c>
    </row>
    <row r="711" spans="1:86">
      <c r="A711" s="40">
        <v>663</v>
      </c>
      <c r="B711" s="40" t="s">
        <v>2753</v>
      </c>
      <c r="C711" s="2" t="s">
        <v>2754</v>
      </c>
      <c r="D711" s="2" t="s">
        <v>19</v>
      </c>
      <c r="E711" s="2" t="s">
        <v>20</v>
      </c>
      <c r="F711" s="2">
        <v>78</v>
      </c>
      <c r="G711" s="2">
        <v>81</v>
      </c>
      <c r="H711" s="2">
        <v>71</v>
      </c>
      <c r="I711" s="2">
        <v>74</v>
      </c>
      <c r="J711" s="2">
        <v>69</v>
      </c>
      <c r="K711" s="2">
        <v>126</v>
      </c>
      <c r="L711" s="2">
        <v>499</v>
      </c>
      <c r="M711" s="2" t="s">
        <v>1162</v>
      </c>
      <c r="N711" s="2" t="s">
        <v>1061</v>
      </c>
      <c r="O711" t="s">
        <v>972</v>
      </c>
      <c r="P711" t="s">
        <v>1097</v>
      </c>
      <c r="Q711" t="s">
        <v>1020</v>
      </c>
      <c r="R711" t="s">
        <v>989</v>
      </c>
      <c r="S711" t="s">
        <v>1009</v>
      </c>
      <c r="T711" t="s">
        <v>1125</v>
      </c>
      <c r="U711" t="s">
        <v>1123</v>
      </c>
      <c r="V711" t="s">
        <v>1062</v>
      </c>
      <c r="W711" t="s">
        <v>138</v>
      </c>
      <c r="X711" t="s">
        <v>1063</v>
      </c>
      <c r="Y711" t="s">
        <v>1030</v>
      </c>
      <c r="Z711" t="s">
        <v>148</v>
      </c>
      <c r="AA711" t="s">
        <v>1175</v>
      </c>
      <c r="AB711" t="s">
        <v>172</v>
      </c>
      <c r="AC711" t="s">
        <v>752</v>
      </c>
      <c r="AD711" t="s">
        <v>1126</v>
      </c>
      <c r="AE711" t="s">
        <v>247</v>
      </c>
      <c r="AF711" t="s">
        <v>1078</v>
      </c>
      <c r="AG711" t="s">
        <v>1119</v>
      </c>
      <c r="AH711" t="s">
        <v>1079</v>
      </c>
      <c r="AI711" t="s">
        <v>229</v>
      </c>
      <c r="AJ711" t="s">
        <v>1080</v>
      </c>
      <c r="AK711" t="s">
        <v>230</v>
      </c>
      <c r="AL711" t="s">
        <v>254</v>
      </c>
      <c r="AM711" t="s">
        <v>257</v>
      </c>
      <c r="AN711" t="s">
        <v>1096</v>
      </c>
      <c r="AO711" t="s">
        <v>917</v>
      </c>
      <c r="AP711" t="s">
        <v>1097</v>
      </c>
      <c r="AQ711" t="s">
        <v>231</v>
      </c>
      <c r="AR711" t="s">
        <v>1082</v>
      </c>
      <c r="AS711" t="s">
        <v>1117</v>
      </c>
      <c r="AT711" t="s">
        <v>1037</v>
      </c>
      <c r="AU711" t="s">
        <v>1098</v>
      </c>
      <c r="AV711" t="s">
        <v>1125</v>
      </c>
      <c r="AW711" t="s">
        <v>1031</v>
      </c>
      <c r="AX711" t="s">
        <v>956</v>
      </c>
      <c r="AY711" t="s">
        <v>1020</v>
      </c>
      <c r="AZ711" t="s">
        <v>976</v>
      </c>
      <c r="BA711" t="s">
        <v>145</v>
      </c>
      <c r="BB711" t="s">
        <v>756</v>
      </c>
      <c r="BC711" t="s">
        <v>757</v>
      </c>
      <c r="BD711" t="s">
        <v>1014</v>
      </c>
      <c r="BE711" t="s">
        <v>233</v>
      </c>
      <c r="BF711" t="s">
        <v>2339</v>
      </c>
      <c r="BG711" t="s">
        <v>234</v>
      </c>
      <c r="BH711" t="s">
        <v>1035</v>
      </c>
      <c r="BI711" t="s">
        <v>239</v>
      </c>
      <c r="BJ711" t="s">
        <v>241</v>
      </c>
      <c r="BK711" t="s">
        <v>219</v>
      </c>
      <c r="BL711" t="s">
        <v>220</v>
      </c>
      <c r="BM711" t="s">
        <v>310</v>
      </c>
      <c r="BN711" t="s">
        <v>329</v>
      </c>
      <c r="BO711" t="s">
        <v>306</v>
      </c>
      <c r="BP711" t="s">
        <v>770</v>
      </c>
      <c r="BQ711" t="s">
        <v>250</v>
      </c>
      <c r="BR711" t="s">
        <v>1119</v>
      </c>
      <c r="BS711" t="s">
        <v>332</v>
      </c>
      <c r="BT711" t="s">
        <v>992</v>
      </c>
      <c r="BU711" t="s">
        <v>805</v>
      </c>
      <c r="BV711" t="s">
        <v>806</v>
      </c>
    </row>
    <row r="712" spans="1:86">
      <c r="A712" s="40">
        <v>664</v>
      </c>
      <c r="B712" s="40" t="s">
        <v>2755</v>
      </c>
      <c r="C712" s="2" t="s">
        <v>2756</v>
      </c>
      <c r="D712" s="2" t="s">
        <v>14</v>
      </c>
      <c r="E712" s="2"/>
      <c r="F712" s="2">
        <v>38</v>
      </c>
      <c r="G712" s="2">
        <v>35</v>
      </c>
      <c r="H712" s="2">
        <v>40</v>
      </c>
      <c r="I712" s="2">
        <v>27</v>
      </c>
      <c r="J712" s="2">
        <v>25</v>
      </c>
      <c r="K712" s="2">
        <v>35</v>
      </c>
      <c r="L712" s="2">
        <v>200</v>
      </c>
      <c r="M712" s="2" t="s">
        <v>1345</v>
      </c>
      <c r="N712" s="2" t="s">
        <v>1061</v>
      </c>
      <c r="O712" t="s">
        <v>219</v>
      </c>
      <c r="P712" t="s">
        <v>281</v>
      </c>
      <c r="Q712" t="s">
        <v>288</v>
      </c>
      <c r="R712" t="s">
        <v>1110</v>
      </c>
      <c r="S712" t="s">
        <v>1062</v>
      </c>
      <c r="T712" t="s">
        <v>1063</v>
      </c>
      <c r="U712" t="s">
        <v>234</v>
      </c>
      <c r="V712" t="s">
        <v>221</v>
      </c>
      <c r="W712" t="s">
        <v>288</v>
      </c>
      <c r="X712" t="s">
        <v>1114</v>
      </c>
      <c r="Y712" t="s">
        <v>239</v>
      </c>
      <c r="Z712" t="s">
        <v>241</v>
      </c>
      <c r="AA712" t="s">
        <v>805</v>
      </c>
      <c r="AB712" t="s">
        <v>806</v>
      </c>
    </row>
    <row r="713" spans="1:86">
      <c r="A713" s="40">
        <v>665</v>
      </c>
      <c r="B713" s="40" t="s">
        <v>2757</v>
      </c>
      <c r="C713" s="2" t="s">
        <v>2758</v>
      </c>
      <c r="D713" s="2" t="s">
        <v>14</v>
      </c>
      <c r="E713" s="2"/>
      <c r="F713" s="2">
        <v>45</v>
      </c>
      <c r="G713" s="2">
        <v>22</v>
      </c>
      <c r="H713" s="2">
        <v>60</v>
      </c>
      <c r="I713" s="2">
        <v>27</v>
      </c>
      <c r="J713" s="2">
        <v>30</v>
      </c>
      <c r="K713" s="2">
        <v>29</v>
      </c>
      <c r="L713" s="2">
        <v>213</v>
      </c>
      <c r="M713" s="2" t="s">
        <v>2759</v>
      </c>
      <c r="N713" s="2" t="s">
        <v>1061</v>
      </c>
      <c r="O713" t="s">
        <v>284</v>
      </c>
      <c r="P713" t="s">
        <v>1078</v>
      </c>
      <c r="Q713" t="s">
        <v>1062</v>
      </c>
      <c r="R713" t="s">
        <v>1063</v>
      </c>
      <c r="S713" t="s">
        <v>234</v>
      </c>
      <c r="T713" t="s">
        <v>221</v>
      </c>
      <c r="U713" t="s">
        <v>288</v>
      </c>
      <c r="V713" t="s">
        <v>1114</v>
      </c>
      <c r="W713" t="s">
        <v>239</v>
      </c>
      <c r="X713" t="s">
        <v>241</v>
      </c>
      <c r="Y713" t="s">
        <v>219</v>
      </c>
      <c r="Z713" t="s">
        <v>281</v>
      </c>
      <c r="AA713" t="s">
        <v>288</v>
      </c>
      <c r="AB713" t="s">
        <v>1110</v>
      </c>
      <c r="AC713" t="s">
        <v>805</v>
      </c>
      <c r="AD713" t="s">
        <v>806</v>
      </c>
    </row>
    <row r="714" spans="1:86">
      <c r="A714" s="40">
        <v>666</v>
      </c>
      <c r="B714" s="40" t="s">
        <v>2760</v>
      </c>
      <c r="C714" s="2" t="s">
        <v>2761</v>
      </c>
      <c r="D714" s="2" t="s">
        <v>14</v>
      </c>
      <c r="E714" s="2" t="s">
        <v>20</v>
      </c>
      <c r="F714" s="2">
        <v>80</v>
      </c>
      <c r="G714" s="2">
        <v>52</v>
      </c>
      <c r="H714" s="2">
        <v>50</v>
      </c>
      <c r="I714" s="2">
        <v>90</v>
      </c>
      <c r="J714" s="2">
        <v>50</v>
      </c>
      <c r="K714" s="2">
        <v>89</v>
      </c>
      <c r="L714" s="2">
        <v>411</v>
      </c>
      <c r="M714" s="2" t="s">
        <v>1145</v>
      </c>
      <c r="N714" s="2" t="s">
        <v>1061</v>
      </c>
      <c r="O714" t="s">
        <v>289</v>
      </c>
      <c r="P714" t="s">
        <v>221</v>
      </c>
      <c r="Q714" t="s">
        <v>222</v>
      </c>
      <c r="R714" t="s">
        <v>228</v>
      </c>
      <c r="S714" t="s">
        <v>1042</v>
      </c>
      <c r="T714" t="s">
        <v>292</v>
      </c>
      <c r="U714" t="s">
        <v>290</v>
      </c>
      <c r="V714" t="s">
        <v>2344</v>
      </c>
      <c r="W714" t="s">
        <v>1153</v>
      </c>
      <c r="X714" t="s">
        <v>1115</v>
      </c>
      <c r="Y714" t="s">
        <v>759</v>
      </c>
      <c r="Z714" t="s">
        <v>1116</v>
      </c>
      <c r="AA714" t="s">
        <v>1122</v>
      </c>
      <c r="AB714" t="s">
        <v>2396</v>
      </c>
      <c r="AC714" t="s">
        <v>1062</v>
      </c>
      <c r="AD714" t="s">
        <v>1063</v>
      </c>
      <c r="AE714" t="s">
        <v>912</v>
      </c>
      <c r="AF714" t="s">
        <v>148</v>
      </c>
      <c r="AG714" t="s">
        <v>172</v>
      </c>
      <c r="AH714" t="s">
        <v>752</v>
      </c>
      <c r="AI714" t="s">
        <v>247</v>
      </c>
      <c r="AJ714" t="s">
        <v>228</v>
      </c>
      <c r="AK714" t="s">
        <v>1078</v>
      </c>
      <c r="AL714" t="s">
        <v>766</v>
      </c>
      <c r="AM714" t="s">
        <v>1119</v>
      </c>
      <c r="AN714" t="s">
        <v>759</v>
      </c>
      <c r="AO714" t="s">
        <v>1079</v>
      </c>
      <c r="AP714" t="s">
        <v>229</v>
      </c>
      <c r="AQ714" t="s">
        <v>1080</v>
      </c>
      <c r="AR714" t="s">
        <v>9</v>
      </c>
      <c r="AS714" t="s">
        <v>230</v>
      </c>
      <c r="AT714" t="s">
        <v>1096</v>
      </c>
      <c r="AU714" t="s">
        <v>917</v>
      </c>
      <c r="AV714" t="s">
        <v>231</v>
      </c>
      <c r="AW714" t="s">
        <v>1082</v>
      </c>
      <c r="AX714" t="s">
        <v>1117</v>
      </c>
      <c r="AY714" t="s">
        <v>1037</v>
      </c>
      <c r="AZ714" t="s">
        <v>970</v>
      </c>
      <c r="BA714" t="s">
        <v>1020</v>
      </c>
      <c r="BB714" t="s">
        <v>976</v>
      </c>
      <c r="BC714" t="s">
        <v>232</v>
      </c>
      <c r="BD714" t="s">
        <v>1042</v>
      </c>
      <c r="BE714" t="s">
        <v>785</v>
      </c>
      <c r="BF714" t="s">
        <v>2369</v>
      </c>
      <c r="BG714" t="s">
        <v>293</v>
      </c>
      <c r="BH714" t="s">
        <v>756</v>
      </c>
      <c r="BI714" t="s">
        <v>757</v>
      </c>
      <c r="BJ714" t="s">
        <v>1014</v>
      </c>
      <c r="BK714" t="s">
        <v>233</v>
      </c>
      <c r="BL714" t="s">
        <v>2339</v>
      </c>
      <c r="BM714" t="s">
        <v>234</v>
      </c>
      <c r="BN714" t="s">
        <v>221</v>
      </c>
      <c r="BO714" t="s">
        <v>288</v>
      </c>
      <c r="BP714" t="s">
        <v>1114</v>
      </c>
      <c r="BQ714" t="s">
        <v>239</v>
      </c>
      <c r="BR714" t="s">
        <v>241</v>
      </c>
      <c r="BS714" t="s">
        <v>219</v>
      </c>
      <c r="BT714" t="s">
        <v>281</v>
      </c>
      <c r="BU714" t="s">
        <v>284</v>
      </c>
      <c r="BV714" t="s">
        <v>288</v>
      </c>
      <c r="BW714" t="s">
        <v>1078</v>
      </c>
      <c r="BX714" t="s">
        <v>1110</v>
      </c>
      <c r="BY714" t="s">
        <v>805</v>
      </c>
      <c r="BZ714" t="s">
        <v>806</v>
      </c>
    </row>
    <row r="715" spans="1:86">
      <c r="A715" s="40">
        <v>667</v>
      </c>
      <c r="B715" s="40" t="s">
        <v>2762</v>
      </c>
      <c r="C715" s="2" t="s">
        <v>2763</v>
      </c>
      <c r="D715" s="2" t="s">
        <v>19</v>
      </c>
      <c r="E715" s="2" t="s">
        <v>24</v>
      </c>
      <c r="F715" s="2">
        <v>62</v>
      </c>
      <c r="G715" s="2">
        <v>50</v>
      </c>
      <c r="H715" s="2">
        <v>58</v>
      </c>
      <c r="I715" s="2">
        <v>73</v>
      </c>
      <c r="J715" s="2">
        <v>54</v>
      </c>
      <c r="K715" s="2">
        <v>72</v>
      </c>
      <c r="L715" s="2">
        <v>369</v>
      </c>
      <c r="M715" s="2" t="s">
        <v>1075</v>
      </c>
      <c r="N715" s="2" t="s">
        <v>1061</v>
      </c>
      <c r="O715" t="s">
        <v>219</v>
      </c>
      <c r="P715" t="s">
        <v>330</v>
      </c>
      <c r="Q715" t="s">
        <v>250</v>
      </c>
      <c r="R715" t="s">
        <v>1049</v>
      </c>
      <c r="S715" t="s">
        <v>420</v>
      </c>
      <c r="T715" t="s">
        <v>2383</v>
      </c>
      <c r="U715" t="s">
        <v>223</v>
      </c>
      <c r="V715" t="s">
        <v>182</v>
      </c>
      <c r="W715" t="s">
        <v>916</v>
      </c>
      <c r="X715" t="s">
        <v>1083</v>
      </c>
      <c r="Y715" t="s">
        <v>254</v>
      </c>
      <c r="Z715" t="s">
        <v>777</v>
      </c>
      <c r="AA715" t="s">
        <v>1160</v>
      </c>
      <c r="AB715" t="s">
        <v>1031</v>
      </c>
      <c r="AC715" t="s">
        <v>1098</v>
      </c>
      <c r="AD715" t="s">
        <v>1062</v>
      </c>
      <c r="AE715" t="s">
        <v>227</v>
      </c>
      <c r="AF715" t="s">
        <v>1063</v>
      </c>
      <c r="AG715" t="s">
        <v>246</v>
      </c>
      <c r="AH715" t="s">
        <v>148</v>
      </c>
      <c r="AI715" t="s">
        <v>172</v>
      </c>
      <c r="AJ715" t="s">
        <v>752</v>
      </c>
      <c r="AK715" t="s">
        <v>1126</v>
      </c>
      <c r="AL715" t="s">
        <v>1078</v>
      </c>
      <c r="AM715" t="s">
        <v>766</v>
      </c>
      <c r="AN715" t="s">
        <v>1079</v>
      </c>
      <c r="AO715" t="s">
        <v>229</v>
      </c>
      <c r="AP715" t="s">
        <v>1080</v>
      </c>
      <c r="AQ715" t="s">
        <v>256</v>
      </c>
      <c r="AR715" t="s">
        <v>230</v>
      </c>
      <c r="AS715" t="s">
        <v>254</v>
      </c>
      <c r="AT715" t="s">
        <v>257</v>
      </c>
      <c r="AU715" t="s">
        <v>917</v>
      </c>
      <c r="AV715" t="s">
        <v>1097</v>
      </c>
      <c r="AW715" t="s">
        <v>231</v>
      </c>
      <c r="AX715" t="s">
        <v>1082</v>
      </c>
      <c r="AY715" t="s">
        <v>1117</v>
      </c>
      <c r="AZ715" t="s">
        <v>1037</v>
      </c>
      <c r="BA715" t="s">
        <v>1083</v>
      </c>
      <c r="BB715" t="s">
        <v>1098</v>
      </c>
      <c r="BC715" t="s">
        <v>1031</v>
      </c>
      <c r="BD715" t="s">
        <v>956</v>
      </c>
      <c r="BE715" t="s">
        <v>995</v>
      </c>
      <c r="BF715" t="s">
        <v>1036</v>
      </c>
      <c r="BG715" t="s">
        <v>1021</v>
      </c>
      <c r="BH715" t="s">
        <v>756</v>
      </c>
      <c r="BI715" t="s">
        <v>757</v>
      </c>
      <c r="BJ715" t="s">
        <v>233</v>
      </c>
      <c r="BK715" t="s">
        <v>1047</v>
      </c>
      <c r="BL715" t="s">
        <v>760</v>
      </c>
      <c r="BM715" t="s">
        <v>1040</v>
      </c>
      <c r="BN715" t="s">
        <v>1157</v>
      </c>
      <c r="BO715" t="s">
        <v>2339</v>
      </c>
      <c r="BP715" t="s">
        <v>234</v>
      </c>
      <c r="BQ715" t="s">
        <v>255</v>
      </c>
      <c r="BR715" t="s">
        <v>958</v>
      </c>
      <c r="BS715" t="s">
        <v>945</v>
      </c>
      <c r="BT715" t="s">
        <v>1577</v>
      </c>
      <c r="BU715" t="s">
        <v>239</v>
      </c>
      <c r="BV715" t="s">
        <v>241</v>
      </c>
      <c r="BW715" t="s">
        <v>805</v>
      </c>
      <c r="BX715" t="s">
        <v>806</v>
      </c>
    </row>
    <row r="716" spans="1:86">
      <c r="A716" s="40">
        <v>668</v>
      </c>
      <c r="B716" s="40" t="s">
        <v>2764</v>
      </c>
      <c r="C716" s="2" t="s">
        <v>2765</v>
      </c>
      <c r="D716" s="2" t="s">
        <v>19</v>
      </c>
      <c r="E716" s="2" t="s">
        <v>24</v>
      </c>
      <c r="F716" s="2">
        <v>86</v>
      </c>
      <c r="G716" s="2">
        <v>68</v>
      </c>
      <c r="H716" s="2">
        <v>72</v>
      </c>
      <c r="I716" s="2">
        <v>109</v>
      </c>
      <c r="J716" s="2">
        <v>66</v>
      </c>
      <c r="K716" s="2">
        <v>106</v>
      </c>
      <c r="L716" s="2">
        <v>507</v>
      </c>
      <c r="M716" s="2" t="s">
        <v>1089</v>
      </c>
      <c r="N716" s="2" t="s">
        <v>1061</v>
      </c>
      <c r="O716" t="s">
        <v>247</v>
      </c>
      <c r="P716" t="s">
        <v>254</v>
      </c>
      <c r="Q716" t="s">
        <v>777</v>
      </c>
      <c r="R716" t="s">
        <v>1160</v>
      </c>
      <c r="S716" t="s">
        <v>1031</v>
      </c>
      <c r="T716" t="s">
        <v>1098</v>
      </c>
      <c r="U716" t="s">
        <v>1062</v>
      </c>
      <c r="V716" t="s">
        <v>227</v>
      </c>
      <c r="W716" t="s">
        <v>1063</v>
      </c>
      <c r="X716" t="s">
        <v>246</v>
      </c>
      <c r="Y716" t="s">
        <v>148</v>
      </c>
      <c r="Z716" t="s">
        <v>172</v>
      </c>
      <c r="AA716" t="s">
        <v>752</v>
      </c>
      <c r="AB716" t="s">
        <v>1126</v>
      </c>
      <c r="AC716" t="s">
        <v>247</v>
      </c>
      <c r="AD716" t="s">
        <v>1078</v>
      </c>
      <c r="AE716" t="s">
        <v>766</v>
      </c>
      <c r="AF716" t="s">
        <v>1079</v>
      </c>
      <c r="AG716" t="s">
        <v>229</v>
      </c>
      <c r="AH716" t="s">
        <v>1080</v>
      </c>
      <c r="AI716" t="s">
        <v>256</v>
      </c>
      <c r="AJ716" t="s">
        <v>230</v>
      </c>
      <c r="AK716" t="s">
        <v>254</v>
      </c>
      <c r="AL716" t="s">
        <v>257</v>
      </c>
      <c r="AM716" t="s">
        <v>917</v>
      </c>
      <c r="AN716" t="s">
        <v>1097</v>
      </c>
      <c r="AO716" t="s">
        <v>231</v>
      </c>
      <c r="AP716" t="s">
        <v>1082</v>
      </c>
      <c r="AQ716" t="s">
        <v>1117</v>
      </c>
      <c r="AR716" t="s">
        <v>1037</v>
      </c>
      <c r="AS716" t="s">
        <v>1083</v>
      </c>
      <c r="AT716" t="s">
        <v>1098</v>
      </c>
      <c r="AU716" t="s">
        <v>1031</v>
      </c>
      <c r="AV716" t="s">
        <v>956</v>
      </c>
      <c r="AW716" t="s">
        <v>995</v>
      </c>
      <c r="AX716" t="s">
        <v>1036</v>
      </c>
      <c r="AY716" t="s">
        <v>976</v>
      </c>
      <c r="AZ716" t="s">
        <v>1021</v>
      </c>
      <c r="BA716" t="s">
        <v>756</v>
      </c>
      <c r="BB716" t="s">
        <v>757</v>
      </c>
      <c r="BC716" t="s">
        <v>233</v>
      </c>
      <c r="BD716" t="s">
        <v>1047</v>
      </c>
      <c r="BE716" t="s">
        <v>760</v>
      </c>
      <c r="BF716" t="s">
        <v>1040</v>
      </c>
      <c r="BG716" t="s">
        <v>1157</v>
      </c>
      <c r="BH716" t="s">
        <v>2339</v>
      </c>
      <c r="BI716" t="s">
        <v>234</v>
      </c>
      <c r="BJ716" t="s">
        <v>255</v>
      </c>
      <c r="BK716" t="s">
        <v>958</v>
      </c>
      <c r="BL716" t="s">
        <v>945</v>
      </c>
      <c r="BM716" t="s">
        <v>1577</v>
      </c>
      <c r="BN716" t="s">
        <v>239</v>
      </c>
      <c r="BO716" t="s">
        <v>241</v>
      </c>
      <c r="BP716" t="s">
        <v>219</v>
      </c>
      <c r="BQ716" t="s">
        <v>330</v>
      </c>
      <c r="BR716" t="s">
        <v>250</v>
      </c>
      <c r="BS716" t="s">
        <v>1049</v>
      </c>
      <c r="BT716" t="s">
        <v>420</v>
      </c>
      <c r="BU716" t="s">
        <v>2383</v>
      </c>
      <c r="BV716" t="s">
        <v>223</v>
      </c>
      <c r="BW716" t="s">
        <v>182</v>
      </c>
      <c r="BX716" t="s">
        <v>916</v>
      </c>
      <c r="BY716" t="s">
        <v>1083</v>
      </c>
      <c r="BZ716" t="s">
        <v>805</v>
      </c>
      <c r="CA716" t="s">
        <v>806</v>
      </c>
    </row>
    <row r="717" spans="1:86">
      <c r="A717" s="40">
        <v>669</v>
      </c>
      <c r="B717" s="40" t="s">
        <v>2766</v>
      </c>
      <c r="C717" s="2" t="s">
        <v>2767</v>
      </c>
      <c r="D717" s="2" t="s">
        <v>894</v>
      </c>
      <c r="E717" s="2"/>
      <c r="F717" s="2">
        <v>44</v>
      </c>
      <c r="G717" s="2">
        <v>38</v>
      </c>
      <c r="H717" s="2">
        <v>39</v>
      </c>
      <c r="I717" s="2">
        <v>61</v>
      </c>
      <c r="J717" s="2">
        <v>79</v>
      </c>
      <c r="K717" s="2">
        <v>42</v>
      </c>
      <c r="L717" s="2">
        <v>303</v>
      </c>
      <c r="M717" s="2" t="s">
        <v>2449</v>
      </c>
      <c r="N717" s="2" t="s">
        <v>1061</v>
      </c>
      <c r="O717" t="s">
        <v>149</v>
      </c>
      <c r="P717" t="s">
        <v>219</v>
      </c>
      <c r="Q717" t="s">
        <v>2354</v>
      </c>
      <c r="R717" t="s">
        <v>987</v>
      </c>
      <c r="S717" t="s">
        <v>224</v>
      </c>
      <c r="T717" t="s">
        <v>957</v>
      </c>
      <c r="U717" t="s">
        <v>930</v>
      </c>
      <c r="V717" t="s">
        <v>2367</v>
      </c>
      <c r="W717" t="s">
        <v>2391</v>
      </c>
      <c r="X717" t="s">
        <v>1153</v>
      </c>
      <c r="Y717" t="s">
        <v>2379</v>
      </c>
      <c r="Z717" t="s">
        <v>2381</v>
      </c>
      <c r="AA717" t="s">
        <v>236</v>
      </c>
      <c r="AB717" t="s">
        <v>229</v>
      </c>
      <c r="AC717" t="s">
        <v>1062</v>
      </c>
      <c r="AD717" t="s">
        <v>1063</v>
      </c>
      <c r="AE717" t="s">
        <v>912</v>
      </c>
      <c r="AF717" t="s">
        <v>148</v>
      </c>
      <c r="AG717" t="s">
        <v>172</v>
      </c>
      <c r="AH717" t="s">
        <v>752</v>
      </c>
      <c r="AI717" t="s">
        <v>1078</v>
      </c>
      <c r="AJ717" t="s">
        <v>766</v>
      </c>
      <c r="AK717" t="s">
        <v>759</v>
      </c>
      <c r="AL717" t="s">
        <v>1079</v>
      </c>
      <c r="AM717" t="s">
        <v>229</v>
      </c>
      <c r="AN717" t="s">
        <v>1080</v>
      </c>
      <c r="AO717" t="s">
        <v>9</v>
      </c>
      <c r="AP717" t="s">
        <v>230</v>
      </c>
      <c r="AQ717" t="s">
        <v>917</v>
      </c>
      <c r="AR717" t="s">
        <v>231</v>
      </c>
      <c r="AS717" t="s">
        <v>1082</v>
      </c>
      <c r="AT717" t="s">
        <v>1037</v>
      </c>
      <c r="AU717" t="s">
        <v>1083</v>
      </c>
      <c r="AV717" t="s">
        <v>970</v>
      </c>
      <c r="AW717" t="s">
        <v>232</v>
      </c>
      <c r="AX717" t="s">
        <v>977</v>
      </c>
      <c r="AY717" t="s">
        <v>756</v>
      </c>
      <c r="AZ717" t="s">
        <v>757</v>
      </c>
      <c r="BA717" t="s">
        <v>233</v>
      </c>
      <c r="BB717" t="s">
        <v>1087</v>
      </c>
      <c r="BC717" t="s">
        <v>2342</v>
      </c>
      <c r="BD717" t="s">
        <v>2339</v>
      </c>
      <c r="BE717" t="s">
        <v>234</v>
      </c>
      <c r="BF717" t="s">
        <v>964</v>
      </c>
      <c r="BG717" t="s">
        <v>962</v>
      </c>
      <c r="BH717" t="s">
        <v>239</v>
      </c>
      <c r="BI717" t="s">
        <v>241</v>
      </c>
      <c r="BJ717" t="s">
        <v>805</v>
      </c>
      <c r="BK717" t="s">
        <v>806</v>
      </c>
    </row>
    <row r="718" spans="1:86">
      <c r="A718" s="40">
        <v>670</v>
      </c>
      <c r="B718" s="40" t="s">
        <v>2768</v>
      </c>
      <c r="C718" s="2" t="s">
        <v>2769</v>
      </c>
      <c r="D718" s="2" t="s">
        <v>894</v>
      </c>
      <c r="E718" s="2"/>
      <c r="F718" s="2">
        <v>54</v>
      </c>
      <c r="G718" s="2">
        <v>45</v>
      </c>
      <c r="H718" s="2">
        <v>47</v>
      </c>
      <c r="I718" s="2">
        <v>75</v>
      </c>
      <c r="J718" s="2">
        <v>98</v>
      </c>
      <c r="K718" s="2">
        <v>52</v>
      </c>
      <c r="L718" s="2">
        <v>371</v>
      </c>
      <c r="M718" s="2" t="s">
        <v>2449</v>
      </c>
      <c r="N718" s="2" t="s">
        <v>1061</v>
      </c>
      <c r="O718" t="s">
        <v>957</v>
      </c>
      <c r="P718" t="s">
        <v>930</v>
      </c>
      <c r="Q718" t="s">
        <v>2367</v>
      </c>
      <c r="R718" t="s">
        <v>2391</v>
      </c>
      <c r="S718" t="s">
        <v>1153</v>
      </c>
      <c r="T718" t="s">
        <v>2379</v>
      </c>
      <c r="U718" t="s">
        <v>2381</v>
      </c>
      <c r="V718" t="s">
        <v>236</v>
      </c>
      <c r="W718" t="s">
        <v>229</v>
      </c>
      <c r="X718" t="s">
        <v>1062</v>
      </c>
      <c r="Y718" t="s">
        <v>1063</v>
      </c>
      <c r="Z718" t="s">
        <v>912</v>
      </c>
      <c r="AA718" t="s">
        <v>148</v>
      </c>
      <c r="AB718" t="s">
        <v>172</v>
      </c>
      <c r="AC718" t="s">
        <v>752</v>
      </c>
      <c r="AD718" t="s">
        <v>1078</v>
      </c>
      <c r="AE718" t="s">
        <v>766</v>
      </c>
      <c r="AF718" t="s">
        <v>759</v>
      </c>
      <c r="AG718" t="s">
        <v>1079</v>
      </c>
      <c r="AH718" t="s">
        <v>229</v>
      </c>
      <c r="AI718" t="s">
        <v>1080</v>
      </c>
      <c r="AJ718" t="s">
        <v>9</v>
      </c>
      <c r="AK718" t="s">
        <v>230</v>
      </c>
      <c r="AL718" t="s">
        <v>917</v>
      </c>
      <c r="AM718" t="s">
        <v>231</v>
      </c>
      <c r="AN718" t="s">
        <v>1082</v>
      </c>
      <c r="AO718" t="s">
        <v>1037</v>
      </c>
      <c r="AP718" t="s">
        <v>1083</v>
      </c>
      <c r="AQ718" t="s">
        <v>970</v>
      </c>
      <c r="AR718" t="s">
        <v>232</v>
      </c>
      <c r="AS718" t="s">
        <v>977</v>
      </c>
      <c r="AT718" t="s">
        <v>756</v>
      </c>
      <c r="AU718" t="s">
        <v>757</v>
      </c>
      <c r="AV718" t="s">
        <v>233</v>
      </c>
      <c r="AW718" t="s">
        <v>1087</v>
      </c>
      <c r="AX718" t="s">
        <v>2342</v>
      </c>
      <c r="AY718" t="s">
        <v>2339</v>
      </c>
      <c r="AZ718" t="s">
        <v>234</v>
      </c>
      <c r="BA718" t="s">
        <v>964</v>
      </c>
      <c r="BB718" t="s">
        <v>962</v>
      </c>
      <c r="BC718" t="s">
        <v>239</v>
      </c>
      <c r="BD718" t="s">
        <v>241</v>
      </c>
      <c r="BE718" t="s">
        <v>149</v>
      </c>
      <c r="BF718" t="s">
        <v>219</v>
      </c>
      <c r="BG718" t="s">
        <v>2354</v>
      </c>
      <c r="BH718" t="s">
        <v>987</v>
      </c>
      <c r="BI718" t="s">
        <v>224</v>
      </c>
      <c r="BJ718" t="s">
        <v>805</v>
      </c>
      <c r="BK718" t="s">
        <v>806</v>
      </c>
    </row>
    <row r="719" spans="1:86">
      <c r="A719" s="40">
        <v>671</v>
      </c>
      <c r="B719" s="40" t="s">
        <v>2770</v>
      </c>
      <c r="C719" s="2" t="s">
        <v>2771</v>
      </c>
      <c r="D719" s="2" t="s">
        <v>894</v>
      </c>
      <c r="E719" s="2"/>
      <c r="F719" s="2">
        <v>78</v>
      </c>
      <c r="G719" s="2">
        <v>65</v>
      </c>
      <c r="H719" s="2">
        <v>68</v>
      </c>
      <c r="I719" s="2">
        <v>112</v>
      </c>
      <c r="J719" s="2">
        <v>154</v>
      </c>
      <c r="K719" s="2">
        <v>75</v>
      </c>
      <c r="L719" s="2">
        <v>552</v>
      </c>
      <c r="M719" s="2" t="s">
        <v>1120</v>
      </c>
      <c r="N719" s="2" t="s">
        <v>1061</v>
      </c>
      <c r="O719" t="s">
        <v>977</v>
      </c>
      <c r="P719" t="s">
        <v>2343</v>
      </c>
      <c r="Q719" t="s">
        <v>2357</v>
      </c>
      <c r="R719" t="s">
        <v>1062</v>
      </c>
      <c r="S719" t="s">
        <v>1063</v>
      </c>
      <c r="T719" t="s">
        <v>912</v>
      </c>
      <c r="U719" t="s">
        <v>148</v>
      </c>
      <c r="V719" t="s">
        <v>172</v>
      </c>
      <c r="W719" t="s">
        <v>752</v>
      </c>
      <c r="X719" t="s">
        <v>247</v>
      </c>
      <c r="Y719" t="s">
        <v>228</v>
      </c>
      <c r="Z719" t="s">
        <v>1078</v>
      </c>
      <c r="AA719" t="s">
        <v>766</v>
      </c>
      <c r="AB719" t="s">
        <v>759</v>
      </c>
      <c r="AC719" t="s">
        <v>1079</v>
      </c>
      <c r="AD719" t="s">
        <v>229</v>
      </c>
      <c r="AE719" t="s">
        <v>1080</v>
      </c>
      <c r="AF719" t="s">
        <v>9</v>
      </c>
      <c r="AG719" t="s">
        <v>230</v>
      </c>
      <c r="AH719" t="s">
        <v>917</v>
      </c>
      <c r="AI719" t="s">
        <v>231</v>
      </c>
      <c r="AJ719" t="s">
        <v>1082</v>
      </c>
      <c r="AK719" t="s">
        <v>1037</v>
      </c>
      <c r="AL719" t="s">
        <v>1083</v>
      </c>
      <c r="AM719" t="s">
        <v>970</v>
      </c>
      <c r="AN719" t="s">
        <v>976</v>
      </c>
      <c r="AO719" t="s">
        <v>232</v>
      </c>
      <c r="AP719" t="s">
        <v>977</v>
      </c>
      <c r="AQ719" t="s">
        <v>756</v>
      </c>
      <c r="AR719" t="s">
        <v>757</v>
      </c>
      <c r="AS719" t="s">
        <v>233</v>
      </c>
      <c r="AT719" t="s">
        <v>1087</v>
      </c>
      <c r="AU719" t="s">
        <v>2342</v>
      </c>
      <c r="AV719" t="s">
        <v>2339</v>
      </c>
      <c r="AW719" t="s">
        <v>234</v>
      </c>
      <c r="AX719" t="s">
        <v>964</v>
      </c>
      <c r="AY719" t="s">
        <v>962</v>
      </c>
      <c r="AZ719" t="s">
        <v>239</v>
      </c>
      <c r="BA719" t="s">
        <v>241</v>
      </c>
      <c r="BB719" t="s">
        <v>149</v>
      </c>
      <c r="BC719" t="s">
        <v>219</v>
      </c>
      <c r="BD719" t="s">
        <v>2354</v>
      </c>
      <c r="BE719" t="s">
        <v>987</v>
      </c>
      <c r="BF719" t="s">
        <v>224</v>
      </c>
      <c r="BG719" t="s">
        <v>957</v>
      </c>
      <c r="BH719" t="s">
        <v>930</v>
      </c>
      <c r="BI719" t="s">
        <v>2367</v>
      </c>
      <c r="BJ719" t="s">
        <v>2391</v>
      </c>
      <c r="BK719" t="s">
        <v>1153</v>
      </c>
      <c r="BL719" t="s">
        <v>2379</v>
      </c>
      <c r="BM719" t="s">
        <v>2381</v>
      </c>
      <c r="BN719" t="s">
        <v>236</v>
      </c>
      <c r="BO719" t="s">
        <v>229</v>
      </c>
      <c r="BP719" t="s">
        <v>805</v>
      </c>
      <c r="BQ719" t="s">
        <v>806</v>
      </c>
    </row>
    <row r="720" spans="1:86">
      <c r="A720" s="40">
        <v>672</v>
      </c>
      <c r="B720" s="40" t="s">
        <v>2772</v>
      </c>
      <c r="C720" s="2" t="s">
        <v>2773</v>
      </c>
      <c r="D720" s="2" t="s">
        <v>21</v>
      </c>
      <c r="E720" s="2"/>
      <c r="F720" s="2">
        <v>66</v>
      </c>
      <c r="G720" s="2">
        <v>65</v>
      </c>
      <c r="H720" s="2">
        <v>48</v>
      </c>
      <c r="I720" s="2">
        <v>62</v>
      </c>
      <c r="J720" s="2">
        <v>57</v>
      </c>
      <c r="K720" s="2">
        <v>52</v>
      </c>
      <c r="L720" s="2">
        <v>350</v>
      </c>
      <c r="M720" s="2" t="s">
        <v>1199</v>
      </c>
      <c r="N720" s="2" t="s">
        <v>1061</v>
      </c>
      <c r="O720" t="s">
        <v>219</v>
      </c>
      <c r="P720" t="s">
        <v>215</v>
      </c>
      <c r="Q720" t="s">
        <v>149</v>
      </c>
      <c r="R720" t="s">
        <v>266</v>
      </c>
      <c r="S720" t="s">
        <v>142</v>
      </c>
      <c r="T720" t="s">
        <v>224</v>
      </c>
      <c r="U720" t="s">
        <v>1017</v>
      </c>
      <c r="V720" t="s">
        <v>750</v>
      </c>
      <c r="W720" t="s">
        <v>223</v>
      </c>
      <c r="X720" t="s">
        <v>1021</v>
      </c>
      <c r="Y720" t="s">
        <v>1004</v>
      </c>
      <c r="Z720" t="s">
        <v>1175</v>
      </c>
      <c r="AA720" t="s">
        <v>225</v>
      </c>
      <c r="AB720" t="s">
        <v>2034</v>
      </c>
      <c r="AC720" t="s">
        <v>1194</v>
      </c>
      <c r="AD720" t="s">
        <v>1427</v>
      </c>
      <c r="AE720" t="s">
        <v>1062</v>
      </c>
      <c r="AF720" t="s">
        <v>144</v>
      </c>
      <c r="AG720" t="s">
        <v>227</v>
      </c>
      <c r="AH720" t="s">
        <v>1063</v>
      </c>
      <c r="AI720" t="s">
        <v>246</v>
      </c>
      <c r="AJ720" t="s">
        <v>148</v>
      </c>
      <c r="AK720" t="s">
        <v>172</v>
      </c>
      <c r="AL720" t="s">
        <v>752</v>
      </c>
      <c r="AM720" t="s">
        <v>1078</v>
      </c>
      <c r="AN720" t="s">
        <v>766</v>
      </c>
      <c r="AO720" t="s">
        <v>1079</v>
      </c>
      <c r="AP720" t="s">
        <v>229</v>
      </c>
      <c r="AQ720" t="s">
        <v>1080</v>
      </c>
      <c r="AR720" t="s">
        <v>256</v>
      </c>
      <c r="AS720" t="s">
        <v>1094</v>
      </c>
      <c r="AT720" t="s">
        <v>230</v>
      </c>
      <c r="AU720" t="s">
        <v>917</v>
      </c>
      <c r="AV720" t="s">
        <v>231</v>
      </c>
      <c r="AW720" t="s">
        <v>1082</v>
      </c>
      <c r="AX720" t="s">
        <v>1037</v>
      </c>
      <c r="AY720" t="s">
        <v>970</v>
      </c>
      <c r="AZ720" t="s">
        <v>995</v>
      </c>
      <c r="BA720" t="s">
        <v>1036</v>
      </c>
      <c r="BB720" t="s">
        <v>1021</v>
      </c>
      <c r="BC720" t="s">
        <v>143</v>
      </c>
      <c r="BD720" t="s">
        <v>977</v>
      </c>
      <c r="BE720" t="s">
        <v>756</v>
      </c>
      <c r="BF720" t="s">
        <v>757</v>
      </c>
      <c r="BG720" t="s">
        <v>233</v>
      </c>
      <c r="BH720" t="s">
        <v>1047</v>
      </c>
      <c r="BI720" t="s">
        <v>760</v>
      </c>
      <c r="BJ720" t="s">
        <v>1087</v>
      </c>
      <c r="BK720" t="s">
        <v>2339</v>
      </c>
      <c r="BL720" t="s">
        <v>234</v>
      </c>
      <c r="BM720" t="s">
        <v>353</v>
      </c>
      <c r="BN720" t="s">
        <v>768</v>
      </c>
      <c r="BO720" t="s">
        <v>239</v>
      </c>
      <c r="BP720" t="s">
        <v>241</v>
      </c>
      <c r="BQ720" t="s">
        <v>805</v>
      </c>
      <c r="BR720" t="s">
        <v>806</v>
      </c>
    </row>
    <row r="721" spans="1:98">
      <c r="A721" s="40">
        <v>673</v>
      </c>
      <c r="B721" s="40" t="s">
        <v>2774</v>
      </c>
      <c r="C721" s="2" t="s">
        <v>2775</v>
      </c>
      <c r="D721" s="2" t="s">
        <v>21</v>
      </c>
      <c r="E721" s="2"/>
      <c r="F721" s="2">
        <v>123</v>
      </c>
      <c r="G721" s="2">
        <v>100</v>
      </c>
      <c r="H721" s="2">
        <v>62</v>
      </c>
      <c r="I721" s="2">
        <v>97</v>
      </c>
      <c r="J721" s="2">
        <v>81</v>
      </c>
      <c r="K721" s="2">
        <v>68</v>
      </c>
      <c r="L721" s="2">
        <v>531</v>
      </c>
      <c r="M721" s="2" t="s">
        <v>1165</v>
      </c>
      <c r="N721" s="2" t="s">
        <v>1061</v>
      </c>
      <c r="O721" t="s">
        <v>1175</v>
      </c>
      <c r="P721" t="s">
        <v>225</v>
      </c>
      <c r="Q721" t="s">
        <v>2034</v>
      </c>
      <c r="R721" t="s">
        <v>1194</v>
      </c>
      <c r="S721" t="s">
        <v>1427</v>
      </c>
      <c r="T721" t="s">
        <v>136</v>
      </c>
      <c r="U721" t="s">
        <v>1096</v>
      </c>
      <c r="V721" t="s">
        <v>1062</v>
      </c>
      <c r="W721" t="s">
        <v>144</v>
      </c>
      <c r="X721" t="s">
        <v>227</v>
      </c>
      <c r="Y721" t="s">
        <v>1063</v>
      </c>
      <c r="Z721" t="s">
        <v>246</v>
      </c>
      <c r="AA721" t="s">
        <v>148</v>
      </c>
      <c r="AB721" t="s">
        <v>172</v>
      </c>
      <c r="AC721" t="s">
        <v>752</v>
      </c>
      <c r="AD721" t="s">
        <v>247</v>
      </c>
      <c r="AE721" t="s">
        <v>1078</v>
      </c>
      <c r="AF721" t="s">
        <v>766</v>
      </c>
      <c r="AG721" t="s">
        <v>1079</v>
      </c>
      <c r="AH721" t="s">
        <v>229</v>
      </c>
      <c r="AI721" t="s">
        <v>136</v>
      </c>
      <c r="AJ721" t="s">
        <v>1080</v>
      </c>
      <c r="AK721" t="s">
        <v>256</v>
      </c>
      <c r="AL721" t="s">
        <v>1094</v>
      </c>
      <c r="AM721" t="s">
        <v>230</v>
      </c>
      <c r="AN721" t="s">
        <v>917</v>
      </c>
      <c r="AO721" t="s">
        <v>231</v>
      </c>
      <c r="AP721" t="s">
        <v>1082</v>
      </c>
      <c r="AQ721" t="s">
        <v>1037</v>
      </c>
      <c r="AR721" t="s">
        <v>970</v>
      </c>
      <c r="AS721" t="s">
        <v>995</v>
      </c>
      <c r="AT721" t="s">
        <v>1036</v>
      </c>
      <c r="AU721" t="s">
        <v>976</v>
      </c>
      <c r="AV721" t="s">
        <v>1021</v>
      </c>
      <c r="AW721" t="s">
        <v>143</v>
      </c>
      <c r="AX721" t="s">
        <v>977</v>
      </c>
      <c r="AY721" t="s">
        <v>756</v>
      </c>
      <c r="AZ721" t="s">
        <v>757</v>
      </c>
      <c r="BA721" t="s">
        <v>233</v>
      </c>
      <c r="BB721" t="s">
        <v>1047</v>
      </c>
      <c r="BC721" t="s">
        <v>760</v>
      </c>
      <c r="BD721" t="s">
        <v>1087</v>
      </c>
      <c r="BE721" t="s">
        <v>2339</v>
      </c>
      <c r="BF721" t="s">
        <v>234</v>
      </c>
      <c r="BG721" t="s">
        <v>353</v>
      </c>
      <c r="BH721" t="s">
        <v>768</v>
      </c>
      <c r="BI721" t="s">
        <v>239</v>
      </c>
      <c r="BJ721" t="s">
        <v>241</v>
      </c>
      <c r="BK721" t="s">
        <v>219</v>
      </c>
      <c r="BL721" t="s">
        <v>215</v>
      </c>
      <c r="BM721" t="s">
        <v>149</v>
      </c>
      <c r="BN721" t="s">
        <v>266</v>
      </c>
      <c r="BO721" t="s">
        <v>142</v>
      </c>
      <c r="BP721" t="s">
        <v>224</v>
      </c>
      <c r="BQ721" t="s">
        <v>1017</v>
      </c>
      <c r="BR721" t="s">
        <v>750</v>
      </c>
      <c r="BS721" t="s">
        <v>223</v>
      </c>
      <c r="BT721" t="s">
        <v>1021</v>
      </c>
      <c r="BU721" t="s">
        <v>1004</v>
      </c>
      <c r="BV721" t="s">
        <v>805</v>
      </c>
      <c r="BW721" t="s">
        <v>806</v>
      </c>
    </row>
    <row r="722" spans="1:98">
      <c r="A722" s="40">
        <v>674</v>
      </c>
      <c r="B722" s="40" t="s">
        <v>2776</v>
      </c>
      <c r="C722" s="2" t="s">
        <v>2777</v>
      </c>
      <c r="D722" s="2" t="s">
        <v>18</v>
      </c>
      <c r="E722" s="2"/>
      <c r="F722" s="2">
        <v>67</v>
      </c>
      <c r="G722" s="2">
        <v>82</v>
      </c>
      <c r="H722" s="2">
        <v>62</v>
      </c>
      <c r="I722" s="2">
        <v>46</v>
      </c>
      <c r="J722" s="2">
        <v>48</v>
      </c>
      <c r="K722" s="2">
        <v>43</v>
      </c>
      <c r="L722" s="2">
        <v>348</v>
      </c>
      <c r="M722" s="2" t="s">
        <v>1091</v>
      </c>
      <c r="N722" s="2" t="s">
        <v>1061</v>
      </c>
      <c r="O722" t="s">
        <v>219</v>
      </c>
      <c r="P722" t="s">
        <v>330</v>
      </c>
      <c r="Q722" t="s">
        <v>1546</v>
      </c>
      <c r="R722" t="s">
        <v>1049</v>
      </c>
      <c r="S722" t="s">
        <v>435</v>
      </c>
      <c r="T722" t="s">
        <v>570</v>
      </c>
      <c r="U722" t="s">
        <v>253</v>
      </c>
      <c r="V722" t="s">
        <v>1180</v>
      </c>
      <c r="W722" t="s">
        <v>1185</v>
      </c>
      <c r="X722" t="s">
        <v>364</v>
      </c>
      <c r="Y722" t="s">
        <v>777</v>
      </c>
      <c r="Z722" t="s">
        <v>1577</v>
      </c>
      <c r="AA722" t="s">
        <v>2389</v>
      </c>
      <c r="AB722" t="s">
        <v>942</v>
      </c>
      <c r="AC722" t="s">
        <v>1062</v>
      </c>
      <c r="AD722" t="s">
        <v>226</v>
      </c>
      <c r="AE722" t="s">
        <v>144</v>
      </c>
      <c r="AF722" t="s">
        <v>227</v>
      </c>
      <c r="AG722" t="s">
        <v>1063</v>
      </c>
      <c r="AH722" t="s">
        <v>246</v>
      </c>
      <c r="AI722" t="s">
        <v>148</v>
      </c>
      <c r="AJ722" t="s">
        <v>1175</v>
      </c>
      <c r="AK722" t="s">
        <v>172</v>
      </c>
      <c r="AL722" t="s">
        <v>752</v>
      </c>
      <c r="AM722" t="s">
        <v>1078</v>
      </c>
      <c r="AN722" t="s">
        <v>766</v>
      </c>
      <c r="AO722" t="s">
        <v>1079</v>
      </c>
      <c r="AP722" t="s">
        <v>1080</v>
      </c>
      <c r="AQ722" t="s">
        <v>256</v>
      </c>
      <c r="AR722" t="s">
        <v>1094</v>
      </c>
      <c r="AS722" t="s">
        <v>230</v>
      </c>
      <c r="AT722" t="s">
        <v>1081</v>
      </c>
      <c r="AU722" t="s">
        <v>1095</v>
      </c>
      <c r="AV722" t="s">
        <v>1096</v>
      </c>
      <c r="AW722" t="s">
        <v>917</v>
      </c>
      <c r="AX722" t="s">
        <v>231</v>
      </c>
      <c r="AY722" t="s">
        <v>1082</v>
      </c>
      <c r="AZ722" t="s">
        <v>1172</v>
      </c>
      <c r="BA722" t="s">
        <v>1037</v>
      </c>
      <c r="BB722" t="s">
        <v>1083</v>
      </c>
      <c r="BC722" t="s">
        <v>776</v>
      </c>
      <c r="BD722" t="s">
        <v>974</v>
      </c>
      <c r="BE722" t="s">
        <v>1005</v>
      </c>
      <c r="BF722" t="s">
        <v>995</v>
      </c>
      <c r="BG722" t="s">
        <v>1036</v>
      </c>
      <c r="BH722" t="s">
        <v>183</v>
      </c>
      <c r="BI722" t="s">
        <v>145</v>
      </c>
      <c r="BJ722" t="s">
        <v>1021</v>
      </c>
      <c r="BK722" t="s">
        <v>143</v>
      </c>
      <c r="BL722" t="s">
        <v>977</v>
      </c>
      <c r="BM722" t="s">
        <v>756</v>
      </c>
      <c r="BN722" t="s">
        <v>757</v>
      </c>
      <c r="BO722" t="s">
        <v>233</v>
      </c>
      <c r="BP722" t="s">
        <v>760</v>
      </c>
      <c r="BQ722" t="s">
        <v>1157</v>
      </c>
      <c r="BR722" t="s">
        <v>2398</v>
      </c>
      <c r="BS722" t="s">
        <v>2339</v>
      </c>
      <c r="BT722" t="s">
        <v>234</v>
      </c>
      <c r="BU722" t="s">
        <v>989</v>
      </c>
      <c r="BV722" t="s">
        <v>2032</v>
      </c>
      <c r="BW722" t="s">
        <v>1167</v>
      </c>
      <c r="BX722" t="s">
        <v>1035</v>
      </c>
      <c r="BY722" t="s">
        <v>239</v>
      </c>
      <c r="BZ722" t="s">
        <v>241</v>
      </c>
      <c r="CA722" t="s">
        <v>805</v>
      </c>
      <c r="CB722" t="s">
        <v>806</v>
      </c>
    </row>
    <row r="723" spans="1:98">
      <c r="A723" s="40">
        <v>675</v>
      </c>
      <c r="B723" s="40" t="s">
        <v>2778</v>
      </c>
      <c r="C723" s="2" t="s">
        <v>2779</v>
      </c>
      <c r="D723" s="2" t="s">
        <v>18</v>
      </c>
      <c r="E723" s="2" t="s">
        <v>15</v>
      </c>
      <c r="F723" s="2">
        <v>95</v>
      </c>
      <c r="G723" s="2">
        <v>124</v>
      </c>
      <c r="H723" s="2">
        <v>78</v>
      </c>
      <c r="I723" s="2">
        <v>69</v>
      </c>
      <c r="J723" s="2">
        <v>71</v>
      </c>
      <c r="K723" s="2">
        <v>58</v>
      </c>
      <c r="L723" s="2">
        <v>495</v>
      </c>
      <c r="M723" s="2" t="s">
        <v>1458</v>
      </c>
      <c r="N723" s="2" t="s">
        <v>1061</v>
      </c>
      <c r="O723" t="s">
        <v>364</v>
      </c>
      <c r="P723" t="s">
        <v>777</v>
      </c>
      <c r="Q723" t="s">
        <v>1577</v>
      </c>
      <c r="R723" t="s">
        <v>2389</v>
      </c>
      <c r="S723" t="s">
        <v>942</v>
      </c>
      <c r="T723" t="s">
        <v>981</v>
      </c>
      <c r="U723" t="s">
        <v>1126</v>
      </c>
      <c r="V723" t="s">
        <v>1172</v>
      </c>
      <c r="W723" t="s">
        <v>1062</v>
      </c>
      <c r="X723" t="s">
        <v>226</v>
      </c>
      <c r="Y723" t="s">
        <v>144</v>
      </c>
      <c r="Z723" t="s">
        <v>227</v>
      </c>
      <c r="AA723" t="s">
        <v>1063</v>
      </c>
      <c r="AB723" t="s">
        <v>1030</v>
      </c>
      <c r="AC723" t="s">
        <v>1093</v>
      </c>
      <c r="AD723" t="s">
        <v>246</v>
      </c>
      <c r="AE723" t="s">
        <v>148</v>
      </c>
      <c r="AF723" t="s">
        <v>1175</v>
      </c>
      <c r="AG723" t="s">
        <v>172</v>
      </c>
      <c r="AH723" t="s">
        <v>752</v>
      </c>
      <c r="AI723" t="s">
        <v>1126</v>
      </c>
      <c r="AJ723" t="s">
        <v>247</v>
      </c>
      <c r="AK723" t="s">
        <v>1078</v>
      </c>
      <c r="AL723" t="s">
        <v>766</v>
      </c>
      <c r="AM723" t="s">
        <v>1079</v>
      </c>
      <c r="AN723" t="s">
        <v>136</v>
      </c>
      <c r="AO723" t="s">
        <v>1080</v>
      </c>
      <c r="AP723" t="s">
        <v>256</v>
      </c>
      <c r="AQ723" t="s">
        <v>1094</v>
      </c>
      <c r="AR723" t="s">
        <v>230</v>
      </c>
      <c r="AS723" t="s">
        <v>1081</v>
      </c>
      <c r="AT723" t="s">
        <v>1095</v>
      </c>
      <c r="AU723" t="s">
        <v>1096</v>
      </c>
      <c r="AV723" t="s">
        <v>951</v>
      </c>
      <c r="AW723" t="s">
        <v>917</v>
      </c>
      <c r="AX723" t="s">
        <v>231</v>
      </c>
      <c r="AY723" t="s">
        <v>1082</v>
      </c>
      <c r="AZ723" t="s">
        <v>1117</v>
      </c>
      <c r="BA723" t="s">
        <v>1172</v>
      </c>
      <c r="BB723" t="s">
        <v>1037</v>
      </c>
      <c r="BC723" t="s">
        <v>1083</v>
      </c>
      <c r="BD723" t="s">
        <v>1102</v>
      </c>
      <c r="BE723" t="s">
        <v>776</v>
      </c>
      <c r="BF723" t="s">
        <v>974</v>
      </c>
      <c r="BG723" t="s">
        <v>1034</v>
      </c>
      <c r="BH723" t="s">
        <v>969</v>
      </c>
      <c r="BI723" t="s">
        <v>1005</v>
      </c>
      <c r="BJ723" t="s">
        <v>995</v>
      </c>
      <c r="BK723" t="s">
        <v>1036</v>
      </c>
      <c r="BL723" t="s">
        <v>976</v>
      </c>
      <c r="BM723" t="s">
        <v>183</v>
      </c>
      <c r="BN723" t="s">
        <v>145</v>
      </c>
      <c r="BO723" t="s">
        <v>1021</v>
      </c>
      <c r="BP723" t="s">
        <v>143</v>
      </c>
      <c r="BQ723" t="s">
        <v>1018</v>
      </c>
      <c r="BR723" t="s">
        <v>2369</v>
      </c>
      <c r="BS723" t="s">
        <v>997</v>
      </c>
      <c r="BT723" t="s">
        <v>977</v>
      </c>
      <c r="BU723" t="s">
        <v>756</v>
      </c>
      <c r="BV723" t="s">
        <v>757</v>
      </c>
      <c r="BW723" t="s">
        <v>233</v>
      </c>
      <c r="BX723" t="s">
        <v>760</v>
      </c>
      <c r="BY723" t="s">
        <v>1040</v>
      </c>
      <c r="BZ723" t="s">
        <v>1157</v>
      </c>
      <c r="CA723" t="s">
        <v>2398</v>
      </c>
      <c r="CB723" t="s">
        <v>2339</v>
      </c>
      <c r="CC723" t="s">
        <v>234</v>
      </c>
      <c r="CD723" t="s">
        <v>989</v>
      </c>
      <c r="CE723" t="s">
        <v>2032</v>
      </c>
      <c r="CF723" t="s">
        <v>1167</v>
      </c>
      <c r="CG723" t="s">
        <v>1035</v>
      </c>
      <c r="CH723" t="s">
        <v>239</v>
      </c>
      <c r="CI723" t="s">
        <v>241</v>
      </c>
      <c r="CJ723" t="s">
        <v>219</v>
      </c>
      <c r="CK723" t="s">
        <v>330</v>
      </c>
      <c r="CL723" t="s">
        <v>1546</v>
      </c>
      <c r="CM723" t="s">
        <v>1049</v>
      </c>
      <c r="CN723" t="s">
        <v>435</v>
      </c>
      <c r="CO723" t="s">
        <v>570</v>
      </c>
      <c r="CP723" t="s">
        <v>253</v>
      </c>
      <c r="CQ723" t="s">
        <v>1180</v>
      </c>
      <c r="CR723" t="s">
        <v>1185</v>
      </c>
      <c r="CS723" t="s">
        <v>805</v>
      </c>
      <c r="CT723" t="s">
        <v>806</v>
      </c>
    </row>
    <row r="724" spans="1:98">
      <c r="A724" s="40">
        <v>676</v>
      </c>
      <c r="B724" s="40" t="s">
        <v>2780</v>
      </c>
      <c r="C724" s="2" t="s">
        <v>2781</v>
      </c>
      <c r="D724" s="2" t="s">
        <v>24</v>
      </c>
      <c r="E724" s="2"/>
      <c r="F724" s="2">
        <v>75</v>
      </c>
      <c r="G724" s="2">
        <v>80</v>
      </c>
      <c r="H724" s="2">
        <v>60</v>
      </c>
      <c r="I724" s="2">
        <v>65</v>
      </c>
      <c r="J724" s="2">
        <v>90</v>
      </c>
      <c r="K724" s="2">
        <v>102</v>
      </c>
      <c r="L724" s="2">
        <v>472</v>
      </c>
      <c r="M724" s="2" t="s">
        <v>1120</v>
      </c>
      <c r="N724" s="2" t="s">
        <v>1061</v>
      </c>
      <c r="O724" t="s">
        <v>219</v>
      </c>
      <c r="P724" t="s">
        <v>220</v>
      </c>
      <c r="Q724" t="s">
        <v>309</v>
      </c>
      <c r="R724" t="s">
        <v>2333</v>
      </c>
      <c r="S724" t="s">
        <v>420</v>
      </c>
      <c r="T724" t="s">
        <v>266</v>
      </c>
      <c r="U724" t="s">
        <v>258</v>
      </c>
      <c r="V724" t="s">
        <v>934</v>
      </c>
      <c r="W724" t="s">
        <v>1036</v>
      </c>
      <c r="X724" t="s">
        <v>223</v>
      </c>
      <c r="Y724" t="s">
        <v>781</v>
      </c>
      <c r="Z724" t="s">
        <v>1008</v>
      </c>
      <c r="AA724" t="s">
        <v>1298</v>
      </c>
      <c r="AB724" t="s">
        <v>1062</v>
      </c>
      <c r="AC724" t="s">
        <v>144</v>
      </c>
      <c r="AD724" t="s">
        <v>1063</v>
      </c>
      <c r="AE724" t="s">
        <v>246</v>
      </c>
      <c r="AF724" t="s">
        <v>148</v>
      </c>
      <c r="AG724" t="s">
        <v>172</v>
      </c>
      <c r="AH724" t="s">
        <v>752</v>
      </c>
      <c r="AI724" t="s">
        <v>1078</v>
      </c>
      <c r="AJ724" t="s">
        <v>766</v>
      </c>
      <c r="AK724" t="s">
        <v>1079</v>
      </c>
      <c r="AL724" t="s">
        <v>1080</v>
      </c>
      <c r="AM724" t="s">
        <v>256</v>
      </c>
      <c r="AN724" t="s">
        <v>230</v>
      </c>
      <c r="AO724" t="s">
        <v>917</v>
      </c>
      <c r="AP724" t="s">
        <v>231</v>
      </c>
      <c r="AQ724" t="s">
        <v>1082</v>
      </c>
      <c r="AR724" t="s">
        <v>1037</v>
      </c>
      <c r="AS724" t="s">
        <v>1083</v>
      </c>
      <c r="AT724" t="s">
        <v>963</v>
      </c>
      <c r="AU724" t="s">
        <v>1036</v>
      </c>
      <c r="AV724" t="s">
        <v>976</v>
      </c>
      <c r="AW724" t="s">
        <v>232</v>
      </c>
      <c r="AX724" t="s">
        <v>322</v>
      </c>
      <c r="AY724" t="s">
        <v>977</v>
      </c>
      <c r="AZ724" t="s">
        <v>756</v>
      </c>
      <c r="BA724" t="s">
        <v>757</v>
      </c>
      <c r="BB724" t="s">
        <v>1014</v>
      </c>
      <c r="BC724" t="s">
        <v>233</v>
      </c>
      <c r="BD724" t="s">
        <v>1047</v>
      </c>
      <c r="BE724" t="s">
        <v>760</v>
      </c>
      <c r="BF724" t="s">
        <v>1040</v>
      </c>
      <c r="BG724" t="s">
        <v>1157</v>
      </c>
      <c r="BH724" t="s">
        <v>2339</v>
      </c>
      <c r="BI724" t="s">
        <v>234</v>
      </c>
      <c r="BJ724" t="s">
        <v>381</v>
      </c>
      <c r="BK724" t="s">
        <v>1106</v>
      </c>
      <c r="BL724" t="s">
        <v>962</v>
      </c>
      <c r="BM724" t="s">
        <v>1049</v>
      </c>
      <c r="BN724" t="s">
        <v>239</v>
      </c>
      <c r="BO724" t="s">
        <v>241</v>
      </c>
      <c r="BP724" t="s">
        <v>805</v>
      </c>
      <c r="BQ724" t="s">
        <v>806</v>
      </c>
    </row>
    <row r="725" spans="1:98">
      <c r="A725" s="40">
        <v>677</v>
      </c>
      <c r="B725" s="40" t="s">
        <v>2782</v>
      </c>
      <c r="C725" s="2" t="s">
        <v>2783</v>
      </c>
      <c r="D725" s="2" t="s">
        <v>9</v>
      </c>
      <c r="E725" s="2"/>
      <c r="F725" s="2">
        <v>62</v>
      </c>
      <c r="G725" s="2">
        <v>48</v>
      </c>
      <c r="H725" s="2">
        <v>54</v>
      </c>
      <c r="I725" s="2">
        <v>63</v>
      </c>
      <c r="J725" s="2">
        <v>60</v>
      </c>
      <c r="K725" s="2">
        <v>68</v>
      </c>
      <c r="L725" s="2">
        <v>355</v>
      </c>
      <c r="M725" s="2" t="s">
        <v>1073</v>
      </c>
      <c r="N725" s="2" t="s">
        <v>1061</v>
      </c>
      <c r="O725" t="s">
        <v>249</v>
      </c>
      <c r="P725" t="s">
        <v>330</v>
      </c>
      <c r="Q725" t="s">
        <v>913</v>
      </c>
      <c r="R725" t="s">
        <v>287</v>
      </c>
      <c r="S725" t="s">
        <v>292</v>
      </c>
      <c r="T725" t="s">
        <v>176</v>
      </c>
      <c r="U725" t="s">
        <v>2343</v>
      </c>
      <c r="V725" t="s">
        <v>1151</v>
      </c>
      <c r="W725" t="s">
        <v>1062</v>
      </c>
      <c r="X725" t="s">
        <v>1063</v>
      </c>
      <c r="Y725" t="s">
        <v>912</v>
      </c>
      <c r="Z725" t="s">
        <v>148</v>
      </c>
      <c r="AA725" t="s">
        <v>172</v>
      </c>
      <c r="AB725" t="s">
        <v>752</v>
      </c>
      <c r="AC725" t="s">
        <v>228</v>
      </c>
      <c r="AD725" t="s">
        <v>1078</v>
      </c>
      <c r="AE725" t="s">
        <v>766</v>
      </c>
      <c r="AF725" t="s">
        <v>759</v>
      </c>
      <c r="AG725" t="s">
        <v>1079</v>
      </c>
      <c r="AH725" t="s">
        <v>146</v>
      </c>
      <c r="AI725" t="s">
        <v>1080</v>
      </c>
      <c r="AJ725" t="s">
        <v>9</v>
      </c>
      <c r="AK725" t="s">
        <v>230</v>
      </c>
      <c r="AL725" t="s">
        <v>380</v>
      </c>
      <c r="AM725" t="s">
        <v>951</v>
      </c>
      <c r="AN725" t="s">
        <v>917</v>
      </c>
      <c r="AO725" t="s">
        <v>231</v>
      </c>
      <c r="AP725" t="s">
        <v>1082</v>
      </c>
      <c r="AQ725" t="s">
        <v>1037</v>
      </c>
      <c r="AR725" t="s">
        <v>1083</v>
      </c>
      <c r="AS725" t="s">
        <v>970</v>
      </c>
      <c r="AT725" t="s">
        <v>963</v>
      </c>
      <c r="AU725" t="s">
        <v>995</v>
      </c>
      <c r="AV725" t="s">
        <v>232</v>
      </c>
      <c r="AW725" t="s">
        <v>322</v>
      </c>
      <c r="AX725" t="s">
        <v>785</v>
      </c>
      <c r="AY725" t="s">
        <v>293</v>
      </c>
      <c r="AZ725" t="s">
        <v>756</v>
      </c>
      <c r="BA725" t="s">
        <v>757</v>
      </c>
      <c r="BB725" t="s">
        <v>233</v>
      </c>
      <c r="BC725" t="s">
        <v>1012</v>
      </c>
      <c r="BD725" t="s">
        <v>1157</v>
      </c>
      <c r="BE725" t="s">
        <v>2339</v>
      </c>
      <c r="BF725" t="s">
        <v>234</v>
      </c>
      <c r="BG725" t="s">
        <v>455</v>
      </c>
      <c r="BH725" t="s">
        <v>952</v>
      </c>
      <c r="BI725" t="s">
        <v>1166</v>
      </c>
      <c r="BJ725" t="s">
        <v>958</v>
      </c>
      <c r="BK725" t="s">
        <v>239</v>
      </c>
      <c r="BL725" t="s">
        <v>241</v>
      </c>
      <c r="BM725" t="s">
        <v>805</v>
      </c>
      <c r="BN725" t="s">
        <v>806</v>
      </c>
    </row>
    <row r="726" spans="1:98">
      <c r="A726" s="40">
        <v>678.1</v>
      </c>
      <c r="B726" s="40" t="s">
        <v>2784</v>
      </c>
      <c r="C726" s="2" t="s">
        <v>2785</v>
      </c>
      <c r="D726" s="2" t="s">
        <v>9</v>
      </c>
      <c r="E726" s="2"/>
      <c r="F726" s="2">
        <v>74</v>
      </c>
      <c r="G726" s="2">
        <v>48</v>
      </c>
      <c r="H726" s="2">
        <v>76</v>
      </c>
      <c r="I726" s="2">
        <v>83</v>
      </c>
      <c r="J726" s="2">
        <v>81</v>
      </c>
      <c r="K726" s="2">
        <v>104</v>
      </c>
      <c r="L726" s="2">
        <v>466</v>
      </c>
      <c r="M726" s="2" t="s">
        <v>1158</v>
      </c>
      <c r="N726" s="2" t="s">
        <v>1061</v>
      </c>
      <c r="O726" t="s">
        <v>787</v>
      </c>
      <c r="P726" t="s">
        <v>925</v>
      </c>
      <c r="Q726" t="s">
        <v>781</v>
      </c>
      <c r="R726" t="s">
        <v>1184</v>
      </c>
      <c r="S726" t="s">
        <v>380</v>
      </c>
      <c r="T726" t="s">
        <v>9</v>
      </c>
      <c r="U726" t="s">
        <v>938</v>
      </c>
      <c r="V726" t="s">
        <v>927</v>
      </c>
      <c r="W726" t="s">
        <v>1008</v>
      </c>
      <c r="X726" t="s">
        <v>2379</v>
      </c>
      <c r="Y726" t="s">
        <v>1035</v>
      </c>
      <c r="Z726" t="s">
        <v>1062</v>
      </c>
      <c r="AA726" t="s">
        <v>1063</v>
      </c>
      <c r="AB726" t="s">
        <v>1151</v>
      </c>
      <c r="AC726" t="s">
        <v>912</v>
      </c>
      <c r="AD726" t="s">
        <v>148</v>
      </c>
      <c r="AE726" t="s">
        <v>172</v>
      </c>
      <c r="AF726" t="s">
        <v>752</v>
      </c>
      <c r="AG726" t="s">
        <v>247</v>
      </c>
      <c r="AH726" t="s">
        <v>228</v>
      </c>
      <c r="AI726" t="s">
        <v>1078</v>
      </c>
      <c r="AJ726" t="s">
        <v>766</v>
      </c>
      <c r="AK726" t="s">
        <v>759</v>
      </c>
      <c r="AL726" t="s">
        <v>1079</v>
      </c>
      <c r="AM726" t="s">
        <v>146</v>
      </c>
      <c r="AN726" t="s">
        <v>1080</v>
      </c>
      <c r="AO726" t="s">
        <v>256</v>
      </c>
      <c r="AP726" t="s">
        <v>9</v>
      </c>
      <c r="AQ726" t="s">
        <v>174</v>
      </c>
      <c r="AR726" t="s">
        <v>230</v>
      </c>
      <c r="AS726" t="s">
        <v>380</v>
      </c>
      <c r="AT726" t="s">
        <v>951</v>
      </c>
      <c r="AU726" t="s">
        <v>917</v>
      </c>
      <c r="AV726" t="s">
        <v>231</v>
      </c>
      <c r="AW726" t="s">
        <v>1082</v>
      </c>
      <c r="AX726" t="s">
        <v>1037</v>
      </c>
      <c r="AY726" t="s">
        <v>1083</v>
      </c>
      <c r="AZ726" t="s">
        <v>970</v>
      </c>
      <c r="BA726" t="s">
        <v>963</v>
      </c>
      <c r="BB726" t="s">
        <v>995</v>
      </c>
      <c r="BC726" t="s">
        <v>976</v>
      </c>
      <c r="BD726" t="s">
        <v>232</v>
      </c>
      <c r="BE726" t="s">
        <v>322</v>
      </c>
      <c r="BF726" t="s">
        <v>785</v>
      </c>
      <c r="BG726" t="s">
        <v>293</v>
      </c>
      <c r="BH726" t="s">
        <v>756</v>
      </c>
      <c r="BI726" t="s">
        <v>757</v>
      </c>
      <c r="BJ726" t="s">
        <v>233</v>
      </c>
      <c r="BK726" t="s">
        <v>1012</v>
      </c>
      <c r="BL726" t="s">
        <v>1157</v>
      </c>
      <c r="BM726" t="s">
        <v>2398</v>
      </c>
      <c r="BN726" t="s">
        <v>2339</v>
      </c>
      <c r="BO726" t="s">
        <v>234</v>
      </c>
      <c r="BP726" t="s">
        <v>455</v>
      </c>
      <c r="BQ726" t="s">
        <v>952</v>
      </c>
      <c r="BR726" t="s">
        <v>1166</v>
      </c>
      <c r="BS726" t="s">
        <v>958</v>
      </c>
      <c r="BT726" t="s">
        <v>239</v>
      </c>
      <c r="BU726" t="s">
        <v>241</v>
      </c>
      <c r="BV726" t="s">
        <v>249</v>
      </c>
      <c r="BW726" t="s">
        <v>330</v>
      </c>
      <c r="BX726" t="s">
        <v>913</v>
      </c>
      <c r="BY726" t="s">
        <v>287</v>
      </c>
      <c r="BZ726" t="s">
        <v>292</v>
      </c>
      <c r="CA726" t="s">
        <v>176</v>
      </c>
      <c r="CB726" t="s">
        <v>2343</v>
      </c>
      <c r="CC726" t="s">
        <v>1151</v>
      </c>
      <c r="CD726" t="s">
        <v>805</v>
      </c>
      <c r="CE726" t="s">
        <v>806</v>
      </c>
    </row>
    <row r="727" spans="1:98">
      <c r="A727" s="40">
        <v>678.2</v>
      </c>
      <c r="B727" s="40" t="s">
        <v>2786</v>
      </c>
      <c r="C727" s="2" t="s">
        <v>2787</v>
      </c>
      <c r="D727" s="2" t="s">
        <v>9</v>
      </c>
      <c r="E727" s="2"/>
      <c r="F727" s="2">
        <v>74</v>
      </c>
      <c r="G727" s="2">
        <v>48</v>
      </c>
      <c r="H727" s="2">
        <v>76</v>
      </c>
      <c r="I727" s="2">
        <v>83</v>
      </c>
      <c r="J727" s="2">
        <v>81</v>
      </c>
      <c r="K727" s="2">
        <v>104</v>
      </c>
      <c r="L727" s="2">
        <v>466</v>
      </c>
      <c r="M727" s="2" t="s">
        <v>1158</v>
      </c>
      <c r="N727" s="2" t="s">
        <v>1061</v>
      </c>
      <c r="O727" t="s">
        <v>787</v>
      </c>
      <c r="P727" t="s">
        <v>925</v>
      </c>
      <c r="Q727" t="s">
        <v>781</v>
      </c>
      <c r="R727" t="s">
        <v>1184</v>
      </c>
      <c r="S727" t="s">
        <v>380</v>
      </c>
      <c r="T727" t="s">
        <v>9</v>
      </c>
      <c r="U727" t="s">
        <v>938</v>
      </c>
      <c r="V727" t="s">
        <v>927</v>
      </c>
      <c r="W727" t="s">
        <v>1008</v>
      </c>
      <c r="X727" t="s">
        <v>2379</v>
      </c>
      <c r="Y727" t="s">
        <v>1035</v>
      </c>
      <c r="Z727" t="s">
        <v>1062</v>
      </c>
      <c r="AA727" t="s">
        <v>1063</v>
      </c>
      <c r="AB727" t="s">
        <v>1151</v>
      </c>
      <c r="AC727" t="s">
        <v>912</v>
      </c>
      <c r="AD727" t="s">
        <v>148</v>
      </c>
      <c r="AE727" t="s">
        <v>172</v>
      </c>
      <c r="AF727" t="s">
        <v>752</v>
      </c>
      <c r="AG727" t="s">
        <v>247</v>
      </c>
      <c r="AH727" t="s">
        <v>228</v>
      </c>
      <c r="AI727" t="s">
        <v>1078</v>
      </c>
      <c r="AJ727" t="s">
        <v>766</v>
      </c>
      <c r="AK727" t="s">
        <v>759</v>
      </c>
      <c r="AL727" t="s">
        <v>1079</v>
      </c>
      <c r="AM727" t="s">
        <v>146</v>
      </c>
      <c r="AN727" t="s">
        <v>1080</v>
      </c>
      <c r="AO727" t="s">
        <v>256</v>
      </c>
      <c r="AP727" t="s">
        <v>9</v>
      </c>
      <c r="AQ727" t="s">
        <v>174</v>
      </c>
      <c r="AR727" t="s">
        <v>230</v>
      </c>
      <c r="AS727" t="s">
        <v>380</v>
      </c>
      <c r="AT727" t="s">
        <v>951</v>
      </c>
      <c r="AU727" t="s">
        <v>917</v>
      </c>
      <c r="AV727" t="s">
        <v>231</v>
      </c>
      <c r="AW727" t="s">
        <v>1082</v>
      </c>
      <c r="AX727" t="s">
        <v>1037</v>
      </c>
      <c r="AY727" t="s">
        <v>1083</v>
      </c>
      <c r="AZ727" t="s">
        <v>970</v>
      </c>
      <c r="BA727" t="s">
        <v>963</v>
      </c>
      <c r="BB727" t="s">
        <v>995</v>
      </c>
      <c r="BC727" t="s">
        <v>976</v>
      </c>
      <c r="BD727" t="s">
        <v>232</v>
      </c>
      <c r="BE727" t="s">
        <v>322</v>
      </c>
      <c r="BF727" t="s">
        <v>785</v>
      </c>
      <c r="BG727" t="s">
        <v>293</v>
      </c>
      <c r="BH727" t="s">
        <v>756</v>
      </c>
      <c r="BI727" t="s">
        <v>757</v>
      </c>
      <c r="BJ727" t="s">
        <v>233</v>
      </c>
      <c r="BK727" t="s">
        <v>1012</v>
      </c>
      <c r="BL727" t="s">
        <v>1157</v>
      </c>
      <c r="BM727" t="s">
        <v>2398</v>
      </c>
      <c r="BN727" t="s">
        <v>2339</v>
      </c>
      <c r="BO727" t="s">
        <v>234</v>
      </c>
      <c r="BP727" t="s">
        <v>455</v>
      </c>
      <c r="BQ727" t="s">
        <v>952</v>
      </c>
      <c r="BR727" t="s">
        <v>1166</v>
      </c>
      <c r="BS727" t="s">
        <v>958</v>
      </c>
      <c r="BT727" t="s">
        <v>239</v>
      </c>
      <c r="BU727" t="s">
        <v>241</v>
      </c>
      <c r="BV727" t="s">
        <v>249</v>
      </c>
      <c r="BW727" t="s">
        <v>330</v>
      </c>
      <c r="BX727" t="s">
        <v>913</v>
      </c>
      <c r="BY727" t="s">
        <v>287</v>
      </c>
      <c r="BZ727" t="s">
        <v>292</v>
      </c>
      <c r="CA727" t="s">
        <v>176</v>
      </c>
      <c r="CB727" t="s">
        <v>2343</v>
      </c>
      <c r="CC727" t="s">
        <v>1151</v>
      </c>
      <c r="CD727" t="s">
        <v>805</v>
      </c>
      <c r="CE727" t="s">
        <v>806</v>
      </c>
    </row>
    <row r="728" spans="1:98">
      <c r="A728" s="40">
        <v>679</v>
      </c>
      <c r="B728" s="40" t="s">
        <v>2788</v>
      </c>
      <c r="C728" s="2" t="s">
        <v>2789</v>
      </c>
      <c r="D728" s="2" t="s">
        <v>26</v>
      </c>
      <c r="E728" s="2" t="s">
        <v>10</v>
      </c>
      <c r="F728" s="2">
        <v>45</v>
      </c>
      <c r="G728" s="2">
        <v>80</v>
      </c>
      <c r="H728" s="2">
        <v>100</v>
      </c>
      <c r="I728" s="2">
        <v>35</v>
      </c>
      <c r="J728" s="2">
        <v>37</v>
      </c>
      <c r="K728" s="2">
        <v>28</v>
      </c>
      <c r="L728" s="2">
        <v>325</v>
      </c>
      <c r="M728" s="2" t="s">
        <v>1065</v>
      </c>
      <c r="N728" s="2" t="s">
        <v>1061</v>
      </c>
      <c r="O728" t="s">
        <v>145</v>
      </c>
      <c r="P728" t="s">
        <v>219</v>
      </c>
      <c r="Q728" t="s">
        <v>758</v>
      </c>
      <c r="R728" t="s">
        <v>1202</v>
      </c>
      <c r="S728" t="s">
        <v>773</v>
      </c>
      <c r="T728" t="s">
        <v>1197</v>
      </c>
      <c r="U728" t="s">
        <v>1006</v>
      </c>
      <c r="V728" t="s">
        <v>1096</v>
      </c>
      <c r="W728" t="s">
        <v>1036</v>
      </c>
      <c r="X728" t="s">
        <v>253</v>
      </c>
      <c r="Y728" t="s">
        <v>177</v>
      </c>
      <c r="Z728" t="s">
        <v>993</v>
      </c>
      <c r="AA728" t="s">
        <v>999</v>
      </c>
      <c r="AB728" t="s">
        <v>985</v>
      </c>
      <c r="AC728" t="s">
        <v>2039</v>
      </c>
      <c r="AD728" t="s">
        <v>1062</v>
      </c>
      <c r="AE728" t="s">
        <v>226</v>
      </c>
      <c r="AF728" t="s">
        <v>1063</v>
      </c>
      <c r="AG728" t="s">
        <v>148</v>
      </c>
      <c r="AH728" t="s">
        <v>172</v>
      </c>
      <c r="AI728" t="s">
        <v>1078</v>
      </c>
      <c r="AJ728" t="s">
        <v>766</v>
      </c>
      <c r="AK728" t="s">
        <v>1079</v>
      </c>
      <c r="AL728" t="s">
        <v>1080</v>
      </c>
      <c r="AM728" t="s">
        <v>1094</v>
      </c>
      <c r="AN728" t="s">
        <v>230</v>
      </c>
      <c r="AO728" t="s">
        <v>380</v>
      </c>
      <c r="AP728" t="s">
        <v>1096</v>
      </c>
      <c r="AQ728" t="s">
        <v>917</v>
      </c>
      <c r="AR728" t="s">
        <v>231</v>
      </c>
      <c r="AS728" t="s">
        <v>1082</v>
      </c>
      <c r="AT728" t="s">
        <v>776</v>
      </c>
      <c r="AU728" t="s">
        <v>1005</v>
      </c>
      <c r="AV728" t="s">
        <v>1036</v>
      </c>
      <c r="AW728" t="s">
        <v>980</v>
      </c>
      <c r="AX728" t="s">
        <v>145</v>
      </c>
      <c r="AY728" t="s">
        <v>143</v>
      </c>
      <c r="AZ728" t="s">
        <v>756</v>
      </c>
      <c r="BA728" t="s">
        <v>757</v>
      </c>
      <c r="BB728" t="s">
        <v>233</v>
      </c>
      <c r="BC728" t="s">
        <v>973</v>
      </c>
      <c r="BD728" t="s">
        <v>760</v>
      </c>
      <c r="BE728" t="s">
        <v>2339</v>
      </c>
      <c r="BF728" t="s">
        <v>234</v>
      </c>
      <c r="BG728" t="s">
        <v>1202</v>
      </c>
      <c r="BH728" t="s">
        <v>1006</v>
      </c>
      <c r="BI728" t="s">
        <v>239</v>
      </c>
      <c r="BJ728" t="s">
        <v>241</v>
      </c>
      <c r="BK728" t="s">
        <v>805</v>
      </c>
      <c r="BL728" t="s">
        <v>806</v>
      </c>
    </row>
    <row r="729" spans="1:98">
      <c r="A729" s="40">
        <v>680</v>
      </c>
      <c r="B729" s="40" t="s">
        <v>2790</v>
      </c>
      <c r="C729" s="2" t="s">
        <v>2791</v>
      </c>
      <c r="D729" s="2" t="s">
        <v>26</v>
      </c>
      <c r="E729" s="2" t="s">
        <v>10</v>
      </c>
      <c r="F729" s="2">
        <v>59</v>
      </c>
      <c r="G729" s="2">
        <v>110</v>
      </c>
      <c r="H729" s="2">
        <v>150</v>
      </c>
      <c r="I729" s="2">
        <v>45</v>
      </c>
      <c r="J729" s="2">
        <v>49</v>
      </c>
      <c r="K729" s="2">
        <v>35</v>
      </c>
      <c r="L729" s="2">
        <v>448</v>
      </c>
      <c r="M729" s="2" t="s">
        <v>1065</v>
      </c>
      <c r="N729" s="2" t="s">
        <v>1061</v>
      </c>
      <c r="O729" t="s">
        <v>993</v>
      </c>
      <c r="P729" t="s">
        <v>999</v>
      </c>
      <c r="Q729" t="s">
        <v>985</v>
      </c>
      <c r="R729" t="s">
        <v>2039</v>
      </c>
      <c r="S729" t="s">
        <v>1062</v>
      </c>
      <c r="T729" t="s">
        <v>226</v>
      </c>
      <c r="U729" t="s">
        <v>1063</v>
      </c>
      <c r="V729" t="s">
        <v>148</v>
      </c>
      <c r="W729" t="s">
        <v>172</v>
      </c>
      <c r="X729" t="s">
        <v>1078</v>
      </c>
      <c r="Y729" t="s">
        <v>766</v>
      </c>
      <c r="Z729" t="s">
        <v>1079</v>
      </c>
      <c r="AA729" t="s">
        <v>1080</v>
      </c>
      <c r="AB729" t="s">
        <v>1094</v>
      </c>
      <c r="AC729" t="s">
        <v>230</v>
      </c>
      <c r="AD729" t="s">
        <v>380</v>
      </c>
      <c r="AE729" t="s">
        <v>1096</v>
      </c>
      <c r="AF729" t="s">
        <v>917</v>
      </c>
      <c r="AG729" t="s">
        <v>231</v>
      </c>
      <c r="AH729" t="s">
        <v>1082</v>
      </c>
      <c r="AI729" t="s">
        <v>776</v>
      </c>
      <c r="AJ729" t="s">
        <v>1005</v>
      </c>
      <c r="AK729" t="s">
        <v>1036</v>
      </c>
      <c r="AL729" t="s">
        <v>980</v>
      </c>
      <c r="AM729" t="s">
        <v>145</v>
      </c>
      <c r="AN729" t="s">
        <v>143</v>
      </c>
      <c r="AO729" t="s">
        <v>756</v>
      </c>
      <c r="AP729" t="s">
        <v>757</v>
      </c>
      <c r="AQ729" t="s">
        <v>233</v>
      </c>
      <c r="AR729" t="s">
        <v>973</v>
      </c>
      <c r="AS729" t="s">
        <v>760</v>
      </c>
      <c r="AT729" t="s">
        <v>2339</v>
      </c>
      <c r="AU729" t="s">
        <v>234</v>
      </c>
      <c r="AV729" t="s">
        <v>1202</v>
      </c>
      <c r="AW729" t="s">
        <v>1006</v>
      </c>
      <c r="AX729" t="s">
        <v>239</v>
      </c>
      <c r="AY729" t="s">
        <v>241</v>
      </c>
      <c r="AZ729" t="s">
        <v>145</v>
      </c>
      <c r="BA729" t="s">
        <v>219</v>
      </c>
      <c r="BB729" t="s">
        <v>758</v>
      </c>
      <c r="BC729" t="s">
        <v>1202</v>
      </c>
      <c r="BD729" t="s">
        <v>773</v>
      </c>
      <c r="BE729" t="s">
        <v>1197</v>
      </c>
      <c r="BF729" t="s">
        <v>1006</v>
      </c>
      <c r="BG729" t="s">
        <v>1096</v>
      </c>
      <c r="BH729" t="s">
        <v>1036</v>
      </c>
      <c r="BI729" t="s">
        <v>253</v>
      </c>
      <c r="BJ729" t="s">
        <v>177</v>
      </c>
      <c r="BK729" t="s">
        <v>805</v>
      </c>
      <c r="BL729" t="s">
        <v>806</v>
      </c>
    </row>
    <row r="730" spans="1:98">
      <c r="A730" s="40">
        <v>681.1</v>
      </c>
      <c r="B730" s="40" t="s">
        <v>2792</v>
      </c>
      <c r="C730" s="2" t="s">
        <v>2793</v>
      </c>
      <c r="D730" s="2" t="s">
        <v>26</v>
      </c>
      <c r="E730" s="2" t="s">
        <v>10</v>
      </c>
      <c r="F730" s="2">
        <v>60</v>
      </c>
      <c r="G730" s="2">
        <v>150</v>
      </c>
      <c r="H730" s="2">
        <v>50</v>
      </c>
      <c r="I730" s="2">
        <v>150</v>
      </c>
      <c r="J730" s="2">
        <v>50</v>
      </c>
      <c r="K730" s="2">
        <v>60</v>
      </c>
      <c r="L730" s="2">
        <v>520</v>
      </c>
      <c r="M730" s="2" t="s">
        <v>1208</v>
      </c>
      <c r="N730" s="2" t="s">
        <v>1061</v>
      </c>
      <c r="O730" t="s">
        <v>800</v>
      </c>
      <c r="P730" t="s">
        <v>2372</v>
      </c>
      <c r="Q730" t="s">
        <v>1062</v>
      </c>
      <c r="R730" t="s">
        <v>226</v>
      </c>
      <c r="S730" t="s">
        <v>1063</v>
      </c>
      <c r="T730" t="s">
        <v>148</v>
      </c>
      <c r="U730" t="s">
        <v>172</v>
      </c>
      <c r="V730" t="s">
        <v>247</v>
      </c>
      <c r="W730" t="s">
        <v>1078</v>
      </c>
      <c r="X730" t="s">
        <v>766</v>
      </c>
      <c r="Y730" t="s">
        <v>1079</v>
      </c>
      <c r="Z730" t="s">
        <v>1080</v>
      </c>
      <c r="AA730" t="s">
        <v>1094</v>
      </c>
      <c r="AB730" t="s">
        <v>230</v>
      </c>
      <c r="AC730" t="s">
        <v>380</v>
      </c>
      <c r="AD730" t="s">
        <v>1096</v>
      </c>
      <c r="AE730" t="s">
        <v>917</v>
      </c>
      <c r="AF730" t="s">
        <v>231</v>
      </c>
      <c r="AG730" t="s">
        <v>1082</v>
      </c>
      <c r="AH730" t="s">
        <v>776</v>
      </c>
      <c r="AI730" t="s">
        <v>1005</v>
      </c>
      <c r="AJ730" t="s">
        <v>1036</v>
      </c>
      <c r="AK730" t="s">
        <v>976</v>
      </c>
      <c r="AL730" t="s">
        <v>980</v>
      </c>
      <c r="AM730" t="s">
        <v>145</v>
      </c>
      <c r="AN730" t="s">
        <v>143</v>
      </c>
      <c r="AO730" t="s">
        <v>756</v>
      </c>
      <c r="AP730" t="s">
        <v>757</v>
      </c>
      <c r="AQ730" t="s">
        <v>233</v>
      </c>
      <c r="AR730" t="s">
        <v>973</v>
      </c>
      <c r="AS730" t="s">
        <v>760</v>
      </c>
      <c r="AT730" t="s">
        <v>2339</v>
      </c>
      <c r="AU730" t="s">
        <v>234</v>
      </c>
      <c r="AV730" t="s">
        <v>1202</v>
      </c>
      <c r="AW730" t="s">
        <v>1006</v>
      </c>
      <c r="AX730" t="s">
        <v>239</v>
      </c>
      <c r="AY730" t="s">
        <v>241</v>
      </c>
      <c r="AZ730" t="s">
        <v>145</v>
      </c>
      <c r="BA730" t="s">
        <v>219</v>
      </c>
      <c r="BB730" t="s">
        <v>758</v>
      </c>
      <c r="BC730" t="s">
        <v>1202</v>
      </c>
      <c r="BD730" t="s">
        <v>773</v>
      </c>
      <c r="BE730" t="s">
        <v>1197</v>
      </c>
      <c r="BF730" t="s">
        <v>1006</v>
      </c>
      <c r="BG730" t="s">
        <v>1096</v>
      </c>
      <c r="BH730" t="s">
        <v>1036</v>
      </c>
      <c r="BI730" t="s">
        <v>253</v>
      </c>
      <c r="BJ730" t="s">
        <v>177</v>
      </c>
      <c r="BK730" t="s">
        <v>993</v>
      </c>
      <c r="BL730" t="s">
        <v>999</v>
      </c>
      <c r="BM730" t="s">
        <v>985</v>
      </c>
      <c r="BN730" t="s">
        <v>2039</v>
      </c>
      <c r="BO730" t="s">
        <v>805</v>
      </c>
      <c r="BP730" t="s">
        <v>806</v>
      </c>
    </row>
    <row r="731" spans="1:98">
      <c r="A731" s="40">
        <v>681.2</v>
      </c>
      <c r="B731" s="40" t="s">
        <v>2794</v>
      </c>
      <c r="C731" s="2" t="s">
        <v>2795</v>
      </c>
      <c r="D731" s="2" t="s">
        <v>26</v>
      </c>
      <c r="E731" s="2" t="s">
        <v>10</v>
      </c>
      <c r="F731" s="2">
        <v>60</v>
      </c>
      <c r="G731" s="2">
        <v>50</v>
      </c>
      <c r="H731" s="2">
        <v>150</v>
      </c>
      <c r="I731" s="2">
        <v>50</v>
      </c>
      <c r="J731" s="2">
        <v>150</v>
      </c>
      <c r="K731" s="2">
        <v>60</v>
      </c>
      <c r="L731" s="2">
        <v>520</v>
      </c>
      <c r="M731" s="2" t="s">
        <v>1208</v>
      </c>
      <c r="N731" s="2" t="s">
        <v>1061</v>
      </c>
      <c r="O731" t="s">
        <v>800</v>
      </c>
      <c r="P731" t="s">
        <v>2372</v>
      </c>
      <c r="Q731" t="s">
        <v>1062</v>
      </c>
      <c r="R731" t="s">
        <v>226</v>
      </c>
      <c r="S731" t="s">
        <v>1063</v>
      </c>
      <c r="T731" t="s">
        <v>148</v>
      </c>
      <c r="U731" t="s">
        <v>172</v>
      </c>
      <c r="V731" t="s">
        <v>247</v>
      </c>
      <c r="W731" t="s">
        <v>1078</v>
      </c>
      <c r="X731" t="s">
        <v>766</v>
      </c>
      <c r="Y731" t="s">
        <v>1079</v>
      </c>
      <c r="Z731" t="s">
        <v>1080</v>
      </c>
      <c r="AA731" t="s">
        <v>1094</v>
      </c>
      <c r="AB731" t="s">
        <v>230</v>
      </c>
      <c r="AC731" t="s">
        <v>380</v>
      </c>
      <c r="AD731" t="s">
        <v>1096</v>
      </c>
      <c r="AE731" t="s">
        <v>917</v>
      </c>
      <c r="AF731" t="s">
        <v>231</v>
      </c>
      <c r="AG731" t="s">
        <v>1082</v>
      </c>
      <c r="AH731" t="s">
        <v>776</v>
      </c>
      <c r="AI731" t="s">
        <v>1005</v>
      </c>
      <c r="AJ731" t="s">
        <v>1036</v>
      </c>
      <c r="AK731" t="s">
        <v>976</v>
      </c>
      <c r="AL731" t="s">
        <v>980</v>
      </c>
      <c r="AM731" t="s">
        <v>145</v>
      </c>
      <c r="AN731" t="s">
        <v>143</v>
      </c>
      <c r="AO731" t="s">
        <v>756</v>
      </c>
      <c r="AP731" t="s">
        <v>757</v>
      </c>
      <c r="AQ731" t="s">
        <v>233</v>
      </c>
      <c r="AR731" t="s">
        <v>973</v>
      </c>
      <c r="AS731" t="s">
        <v>760</v>
      </c>
      <c r="AT731" t="s">
        <v>2339</v>
      </c>
      <c r="AU731" t="s">
        <v>234</v>
      </c>
      <c r="AV731" t="s">
        <v>1202</v>
      </c>
      <c r="AW731" t="s">
        <v>1006</v>
      </c>
      <c r="AX731" t="s">
        <v>239</v>
      </c>
      <c r="AY731" t="s">
        <v>241</v>
      </c>
      <c r="AZ731" t="s">
        <v>145</v>
      </c>
      <c r="BA731" t="s">
        <v>219</v>
      </c>
      <c r="BB731" t="s">
        <v>758</v>
      </c>
      <c r="BC731" t="s">
        <v>1202</v>
      </c>
      <c r="BD731" t="s">
        <v>773</v>
      </c>
      <c r="BE731" t="s">
        <v>1197</v>
      </c>
      <c r="BF731" t="s">
        <v>1006</v>
      </c>
      <c r="BG731" t="s">
        <v>1096</v>
      </c>
      <c r="BH731" t="s">
        <v>1036</v>
      </c>
      <c r="BI731" t="s">
        <v>253</v>
      </c>
      <c r="BJ731" t="s">
        <v>177</v>
      </c>
      <c r="BK731" t="s">
        <v>993</v>
      </c>
      <c r="BL731" t="s">
        <v>999</v>
      </c>
      <c r="BM731" t="s">
        <v>985</v>
      </c>
      <c r="BN731" t="s">
        <v>2039</v>
      </c>
      <c r="BO731" t="s">
        <v>805</v>
      </c>
      <c r="BP731" t="s">
        <v>806</v>
      </c>
    </row>
    <row r="732" spans="1:98">
      <c r="A732" s="40">
        <v>682</v>
      </c>
      <c r="B732" s="40" t="s">
        <v>2796</v>
      </c>
      <c r="C732" s="2" t="s">
        <v>2797</v>
      </c>
      <c r="D732" s="2" t="s">
        <v>894</v>
      </c>
      <c r="E732" s="2"/>
      <c r="F732" s="2">
        <v>78</v>
      </c>
      <c r="G732" s="2">
        <v>52</v>
      </c>
      <c r="H732" s="2">
        <v>60</v>
      </c>
      <c r="I732" s="2">
        <v>63</v>
      </c>
      <c r="J732" s="2">
        <v>65</v>
      </c>
      <c r="K732" s="2">
        <v>23</v>
      </c>
      <c r="L732" s="2">
        <v>341</v>
      </c>
      <c r="M732" s="2" t="s">
        <v>1188</v>
      </c>
      <c r="N732" s="2" t="s">
        <v>1061</v>
      </c>
      <c r="O732" t="s">
        <v>1076</v>
      </c>
      <c r="P732" t="s">
        <v>2354</v>
      </c>
      <c r="Q732" t="s">
        <v>782</v>
      </c>
      <c r="R732" t="s">
        <v>934</v>
      </c>
      <c r="S732" t="s">
        <v>1083</v>
      </c>
      <c r="T732" t="s">
        <v>912</v>
      </c>
      <c r="U732" t="s">
        <v>2344</v>
      </c>
      <c r="V732" t="s">
        <v>1153</v>
      </c>
      <c r="W732" t="s">
        <v>1082</v>
      </c>
      <c r="X732" t="s">
        <v>2381</v>
      </c>
      <c r="Y732" t="s">
        <v>781</v>
      </c>
      <c r="Z732" t="s">
        <v>770</v>
      </c>
      <c r="AA732" t="s">
        <v>2379</v>
      </c>
      <c r="AB732" t="s">
        <v>941</v>
      </c>
      <c r="AC732" t="s">
        <v>9</v>
      </c>
      <c r="AD732" t="s">
        <v>2343</v>
      </c>
      <c r="AE732" t="s">
        <v>1062</v>
      </c>
      <c r="AF732" t="s">
        <v>1063</v>
      </c>
      <c r="AG732" t="s">
        <v>912</v>
      </c>
      <c r="AH732" t="s">
        <v>148</v>
      </c>
      <c r="AI732" t="s">
        <v>172</v>
      </c>
      <c r="AJ732" t="s">
        <v>752</v>
      </c>
      <c r="AK732" t="s">
        <v>228</v>
      </c>
      <c r="AL732" t="s">
        <v>1078</v>
      </c>
      <c r="AM732" t="s">
        <v>766</v>
      </c>
      <c r="AN732" t="s">
        <v>1079</v>
      </c>
      <c r="AO732" t="s">
        <v>146</v>
      </c>
      <c r="AP732" t="s">
        <v>1080</v>
      </c>
      <c r="AQ732" t="s">
        <v>9</v>
      </c>
      <c r="AR732" t="s">
        <v>230</v>
      </c>
      <c r="AS732" t="s">
        <v>380</v>
      </c>
      <c r="AT732" t="s">
        <v>951</v>
      </c>
      <c r="AU732" t="s">
        <v>917</v>
      </c>
      <c r="AV732" t="s">
        <v>231</v>
      </c>
      <c r="AW732" t="s">
        <v>1082</v>
      </c>
      <c r="AX732" t="s">
        <v>1037</v>
      </c>
      <c r="AY732" t="s">
        <v>970</v>
      </c>
      <c r="AZ732" t="s">
        <v>963</v>
      </c>
      <c r="BA732" t="s">
        <v>232</v>
      </c>
      <c r="BB732" t="s">
        <v>980</v>
      </c>
      <c r="BC732" t="s">
        <v>785</v>
      </c>
      <c r="BD732" t="s">
        <v>293</v>
      </c>
      <c r="BE732" t="s">
        <v>756</v>
      </c>
      <c r="BF732" t="s">
        <v>757</v>
      </c>
      <c r="BG732" t="s">
        <v>233</v>
      </c>
      <c r="BH732" t="s">
        <v>973</v>
      </c>
      <c r="BI732" t="s">
        <v>1012</v>
      </c>
      <c r="BJ732" t="s">
        <v>2342</v>
      </c>
      <c r="BK732" t="s">
        <v>2339</v>
      </c>
      <c r="BL732" t="s">
        <v>234</v>
      </c>
      <c r="BM732" t="s">
        <v>340</v>
      </c>
      <c r="BN732" t="s">
        <v>957</v>
      </c>
      <c r="BO732" t="s">
        <v>1106</v>
      </c>
      <c r="BP732" t="s">
        <v>962</v>
      </c>
      <c r="BQ732" t="s">
        <v>239</v>
      </c>
      <c r="BR732" t="s">
        <v>241</v>
      </c>
      <c r="BS732" t="s">
        <v>805</v>
      </c>
      <c r="BT732" t="s">
        <v>806</v>
      </c>
    </row>
    <row r="733" spans="1:98">
      <c r="A733" s="40">
        <v>683</v>
      </c>
      <c r="B733" s="40" t="s">
        <v>2798</v>
      </c>
      <c r="C733" s="2" t="s">
        <v>2799</v>
      </c>
      <c r="D733" s="2" t="s">
        <v>894</v>
      </c>
      <c r="E733" s="2"/>
      <c r="F733" s="2">
        <v>101</v>
      </c>
      <c r="G733" s="2">
        <v>72</v>
      </c>
      <c r="H733" s="2">
        <v>72</v>
      </c>
      <c r="I733" s="2">
        <v>99</v>
      </c>
      <c r="J733" s="2">
        <v>89</v>
      </c>
      <c r="K733" s="2">
        <v>29</v>
      </c>
      <c r="L733" s="2">
        <v>462</v>
      </c>
      <c r="M733" s="2" t="s">
        <v>1091</v>
      </c>
      <c r="N733" s="2" t="s">
        <v>1061</v>
      </c>
      <c r="O733" t="s">
        <v>1200</v>
      </c>
      <c r="P733" t="s">
        <v>2331</v>
      </c>
      <c r="Q733" t="s">
        <v>2343</v>
      </c>
      <c r="R733" t="s">
        <v>380</v>
      </c>
      <c r="S733" t="s">
        <v>785</v>
      </c>
      <c r="T733" t="s">
        <v>1062</v>
      </c>
      <c r="U733" t="s">
        <v>1063</v>
      </c>
      <c r="V733" t="s">
        <v>1151</v>
      </c>
      <c r="W733" t="s">
        <v>912</v>
      </c>
      <c r="X733" t="s">
        <v>148</v>
      </c>
      <c r="Y733" t="s">
        <v>172</v>
      </c>
      <c r="Z733" t="s">
        <v>752</v>
      </c>
      <c r="AA733" t="s">
        <v>247</v>
      </c>
      <c r="AB733" t="s">
        <v>228</v>
      </c>
      <c r="AC733" t="s">
        <v>1078</v>
      </c>
      <c r="AD733" t="s">
        <v>766</v>
      </c>
      <c r="AE733" t="s">
        <v>1079</v>
      </c>
      <c r="AF733" t="s">
        <v>146</v>
      </c>
      <c r="AG733" t="s">
        <v>321</v>
      </c>
      <c r="AH733" t="s">
        <v>1080</v>
      </c>
      <c r="AI733" t="s">
        <v>9</v>
      </c>
      <c r="AJ733" t="s">
        <v>230</v>
      </c>
      <c r="AK733" t="s">
        <v>380</v>
      </c>
      <c r="AL733" t="s">
        <v>951</v>
      </c>
      <c r="AM733" t="s">
        <v>917</v>
      </c>
      <c r="AN733" t="s">
        <v>231</v>
      </c>
      <c r="AO733" t="s">
        <v>1082</v>
      </c>
      <c r="AP733" t="s">
        <v>1037</v>
      </c>
      <c r="AQ733" t="s">
        <v>970</v>
      </c>
      <c r="AR733" t="s">
        <v>963</v>
      </c>
      <c r="AS733" t="s">
        <v>976</v>
      </c>
      <c r="AT733" t="s">
        <v>232</v>
      </c>
      <c r="AU733" t="s">
        <v>980</v>
      </c>
      <c r="AV733" t="s">
        <v>785</v>
      </c>
      <c r="AW733" t="s">
        <v>293</v>
      </c>
      <c r="AX733" t="s">
        <v>756</v>
      </c>
      <c r="AY733" t="s">
        <v>757</v>
      </c>
      <c r="AZ733" t="s">
        <v>233</v>
      </c>
      <c r="BA733" t="s">
        <v>973</v>
      </c>
      <c r="BB733" t="s">
        <v>1012</v>
      </c>
      <c r="BC733" t="s">
        <v>2342</v>
      </c>
      <c r="BD733" t="s">
        <v>2339</v>
      </c>
      <c r="BE733" t="s">
        <v>234</v>
      </c>
      <c r="BF733" t="s">
        <v>340</v>
      </c>
      <c r="BG733" t="s">
        <v>957</v>
      </c>
      <c r="BH733" t="s">
        <v>1106</v>
      </c>
      <c r="BI733" t="s">
        <v>962</v>
      </c>
      <c r="BJ733" t="s">
        <v>239</v>
      </c>
      <c r="BK733" t="s">
        <v>241</v>
      </c>
      <c r="BL733" t="s">
        <v>1076</v>
      </c>
      <c r="BM733" t="s">
        <v>2354</v>
      </c>
      <c r="BN733" t="s">
        <v>782</v>
      </c>
      <c r="BO733" t="s">
        <v>934</v>
      </c>
      <c r="BP733" t="s">
        <v>1083</v>
      </c>
      <c r="BQ733" t="s">
        <v>912</v>
      </c>
      <c r="BR733" t="s">
        <v>2344</v>
      </c>
      <c r="BS733" t="s">
        <v>1153</v>
      </c>
      <c r="BT733" t="s">
        <v>1082</v>
      </c>
      <c r="BU733" t="s">
        <v>2381</v>
      </c>
      <c r="BV733" t="s">
        <v>781</v>
      </c>
      <c r="BW733" t="s">
        <v>770</v>
      </c>
      <c r="BX733" t="s">
        <v>2379</v>
      </c>
      <c r="BY733" t="s">
        <v>941</v>
      </c>
      <c r="BZ733" t="s">
        <v>9</v>
      </c>
      <c r="CA733" t="s">
        <v>805</v>
      </c>
      <c r="CB733" t="s">
        <v>806</v>
      </c>
    </row>
    <row r="734" spans="1:98">
      <c r="A734" s="40">
        <v>684</v>
      </c>
      <c r="B734" s="40" t="s">
        <v>2800</v>
      </c>
      <c r="C734" s="2" t="s">
        <v>2801</v>
      </c>
      <c r="D734" s="2" t="s">
        <v>894</v>
      </c>
      <c r="E734" s="2"/>
      <c r="F734" s="2">
        <v>62</v>
      </c>
      <c r="G734" s="2">
        <v>48</v>
      </c>
      <c r="H734" s="2">
        <v>66</v>
      </c>
      <c r="I734" s="2">
        <v>59</v>
      </c>
      <c r="J734" s="2">
        <v>57</v>
      </c>
      <c r="K734" s="2">
        <v>49</v>
      </c>
      <c r="L734" s="2">
        <v>341</v>
      </c>
      <c r="M734" s="2" t="s">
        <v>1208</v>
      </c>
      <c r="N734" s="2" t="s">
        <v>1061</v>
      </c>
      <c r="O734" t="s">
        <v>219</v>
      </c>
      <c r="P734" t="s">
        <v>1076</v>
      </c>
      <c r="Q734" t="s">
        <v>2354</v>
      </c>
      <c r="R734" t="s">
        <v>2393</v>
      </c>
      <c r="S734" t="s">
        <v>918</v>
      </c>
      <c r="T734" t="s">
        <v>1037</v>
      </c>
      <c r="U734" t="s">
        <v>1297</v>
      </c>
      <c r="V734" t="s">
        <v>916</v>
      </c>
      <c r="W734" t="s">
        <v>1153</v>
      </c>
      <c r="X734" t="s">
        <v>2344</v>
      </c>
      <c r="Y734" t="s">
        <v>970</v>
      </c>
      <c r="Z734" t="s">
        <v>1298</v>
      </c>
      <c r="AA734" t="s">
        <v>957</v>
      </c>
      <c r="AB734" t="s">
        <v>2395</v>
      </c>
      <c r="AC734" t="s">
        <v>228</v>
      </c>
      <c r="AD734" t="s">
        <v>759</v>
      </c>
      <c r="AE734" t="s">
        <v>1062</v>
      </c>
      <c r="AF734" t="s">
        <v>144</v>
      </c>
      <c r="AG734" t="s">
        <v>1063</v>
      </c>
      <c r="AH734" t="s">
        <v>912</v>
      </c>
      <c r="AI734" t="s">
        <v>148</v>
      </c>
      <c r="AJ734" t="s">
        <v>172</v>
      </c>
      <c r="AK734" t="s">
        <v>752</v>
      </c>
      <c r="AL734" t="s">
        <v>1078</v>
      </c>
      <c r="AM734" t="s">
        <v>766</v>
      </c>
      <c r="AN734" t="s">
        <v>759</v>
      </c>
      <c r="AO734" t="s">
        <v>1079</v>
      </c>
      <c r="AP734" t="s">
        <v>146</v>
      </c>
      <c r="AQ734" t="s">
        <v>1080</v>
      </c>
      <c r="AR734" t="s">
        <v>9</v>
      </c>
      <c r="AS734" t="s">
        <v>230</v>
      </c>
      <c r="AT734" t="s">
        <v>254</v>
      </c>
      <c r="AU734" t="s">
        <v>917</v>
      </c>
      <c r="AV734" t="s">
        <v>231</v>
      </c>
      <c r="AW734" t="s">
        <v>1082</v>
      </c>
      <c r="AX734" t="s">
        <v>1117</v>
      </c>
      <c r="AY734" t="s">
        <v>1037</v>
      </c>
      <c r="AZ734" t="s">
        <v>232</v>
      </c>
      <c r="BA734" t="s">
        <v>785</v>
      </c>
      <c r="BB734" t="s">
        <v>293</v>
      </c>
      <c r="BC734" t="s">
        <v>756</v>
      </c>
      <c r="BD734" t="s">
        <v>757</v>
      </c>
      <c r="BE734" t="s">
        <v>233</v>
      </c>
      <c r="BF734" t="s">
        <v>2342</v>
      </c>
      <c r="BG734" t="s">
        <v>2339</v>
      </c>
      <c r="BH734" t="s">
        <v>234</v>
      </c>
      <c r="BI734" t="s">
        <v>1099</v>
      </c>
      <c r="BJ734" t="s">
        <v>958</v>
      </c>
      <c r="BK734" t="s">
        <v>964</v>
      </c>
      <c r="BL734" t="s">
        <v>1150</v>
      </c>
      <c r="BM734" t="s">
        <v>239</v>
      </c>
      <c r="BN734" t="s">
        <v>241</v>
      </c>
      <c r="BO734" t="s">
        <v>805</v>
      </c>
      <c r="BP734" t="s">
        <v>806</v>
      </c>
    </row>
    <row r="735" spans="1:98">
      <c r="A735" s="40">
        <v>685</v>
      </c>
      <c r="B735" s="40" t="s">
        <v>2802</v>
      </c>
      <c r="C735" s="2" t="s">
        <v>2803</v>
      </c>
      <c r="D735" s="2" t="s">
        <v>894</v>
      </c>
      <c r="E735" s="2"/>
      <c r="F735" s="2">
        <v>82</v>
      </c>
      <c r="G735" s="2">
        <v>80</v>
      </c>
      <c r="H735" s="2">
        <v>86</v>
      </c>
      <c r="I735" s="2">
        <v>85</v>
      </c>
      <c r="J735" s="2">
        <v>75</v>
      </c>
      <c r="K735" s="2">
        <v>72</v>
      </c>
      <c r="L735" s="2">
        <v>480</v>
      </c>
      <c r="M735" s="2" t="s">
        <v>1199</v>
      </c>
      <c r="N735" s="2" t="s">
        <v>1061</v>
      </c>
      <c r="O735" t="s">
        <v>1062</v>
      </c>
      <c r="P735" t="s">
        <v>144</v>
      </c>
      <c r="Q735" t="s">
        <v>1063</v>
      </c>
      <c r="R735" t="s">
        <v>912</v>
      </c>
      <c r="S735" t="s">
        <v>148</v>
      </c>
      <c r="T735" t="s">
        <v>172</v>
      </c>
      <c r="U735" t="s">
        <v>752</v>
      </c>
      <c r="V735" t="s">
        <v>247</v>
      </c>
      <c r="W735" t="s">
        <v>1078</v>
      </c>
      <c r="X735" t="s">
        <v>766</v>
      </c>
      <c r="Y735" t="s">
        <v>759</v>
      </c>
      <c r="Z735" t="s">
        <v>1079</v>
      </c>
      <c r="AA735" t="s">
        <v>146</v>
      </c>
      <c r="AB735" t="s">
        <v>1080</v>
      </c>
      <c r="AC735" t="s">
        <v>9</v>
      </c>
      <c r="AD735" t="s">
        <v>230</v>
      </c>
      <c r="AE735" t="s">
        <v>254</v>
      </c>
      <c r="AF735" t="s">
        <v>917</v>
      </c>
      <c r="AG735" t="s">
        <v>231</v>
      </c>
      <c r="AH735" t="s">
        <v>1082</v>
      </c>
      <c r="AI735" t="s">
        <v>1117</v>
      </c>
      <c r="AJ735" t="s">
        <v>1037</v>
      </c>
      <c r="AK735" t="s">
        <v>976</v>
      </c>
      <c r="AL735" t="s">
        <v>232</v>
      </c>
      <c r="AM735" t="s">
        <v>785</v>
      </c>
      <c r="AN735" t="s">
        <v>293</v>
      </c>
      <c r="AO735" t="s">
        <v>756</v>
      </c>
      <c r="AP735" t="s">
        <v>757</v>
      </c>
      <c r="AQ735" t="s">
        <v>233</v>
      </c>
      <c r="AR735" t="s">
        <v>2342</v>
      </c>
      <c r="AS735" t="s">
        <v>2339</v>
      </c>
      <c r="AT735" t="s">
        <v>234</v>
      </c>
      <c r="AU735" t="s">
        <v>1099</v>
      </c>
      <c r="AV735" t="s">
        <v>958</v>
      </c>
      <c r="AW735" t="s">
        <v>964</v>
      </c>
      <c r="AX735" t="s">
        <v>1150</v>
      </c>
      <c r="AY735" t="s">
        <v>239</v>
      </c>
      <c r="AZ735" t="s">
        <v>241</v>
      </c>
      <c r="BA735" t="s">
        <v>219</v>
      </c>
      <c r="BB735" t="s">
        <v>1076</v>
      </c>
      <c r="BC735" t="s">
        <v>2354</v>
      </c>
      <c r="BD735" t="s">
        <v>2393</v>
      </c>
      <c r="BE735" t="s">
        <v>918</v>
      </c>
      <c r="BF735" t="s">
        <v>1037</v>
      </c>
      <c r="BG735" t="s">
        <v>1297</v>
      </c>
      <c r="BH735" t="s">
        <v>916</v>
      </c>
      <c r="BI735" t="s">
        <v>1153</v>
      </c>
      <c r="BJ735" t="s">
        <v>2344</v>
      </c>
      <c r="BK735" t="s">
        <v>970</v>
      </c>
      <c r="BL735" t="s">
        <v>1298</v>
      </c>
      <c r="BM735" t="s">
        <v>957</v>
      </c>
      <c r="BN735" t="s">
        <v>2395</v>
      </c>
      <c r="BO735" t="s">
        <v>228</v>
      </c>
      <c r="BP735" t="s">
        <v>759</v>
      </c>
      <c r="BQ735" t="s">
        <v>805</v>
      </c>
      <c r="BR735" t="s">
        <v>806</v>
      </c>
    </row>
    <row r="736" spans="1:98">
      <c r="A736" s="40">
        <v>686</v>
      </c>
      <c r="B736" s="40" t="s">
        <v>2804</v>
      </c>
      <c r="C736" s="2" t="s">
        <v>2805</v>
      </c>
      <c r="D736" s="2" t="s">
        <v>15</v>
      </c>
      <c r="E736" s="2" t="s">
        <v>9</v>
      </c>
      <c r="F736" s="2">
        <v>53</v>
      </c>
      <c r="G736" s="2">
        <v>54</v>
      </c>
      <c r="H736" s="2">
        <v>53</v>
      </c>
      <c r="I736" s="2">
        <v>37</v>
      </c>
      <c r="J736" s="2">
        <v>46</v>
      </c>
      <c r="K736" s="2">
        <v>45</v>
      </c>
      <c r="L736" s="2">
        <v>288</v>
      </c>
      <c r="M736" s="2" t="s">
        <v>1177</v>
      </c>
      <c r="N736" s="2" t="s">
        <v>1061</v>
      </c>
      <c r="O736" t="s">
        <v>219</v>
      </c>
      <c r="P736" t="s">
        <v>329</v>
      </c>
      <c r="Q736" t="s">
        <v>477</v>
      </c>
      <c r="R736" t="s">
        <v>380</v>
      </c>
      <c r="S736" t="s">
        <v>1167</v>
      </c>
      <c r="T736" t="s">
        <v>756</v>
      </c>
      <c r="U736" t="s">
        <v>529</v>
      </c>
      <c r="V736" t="s">
        <v>2406</v>
      </c>
      <c r="W736" t="s">
        <v>388</v>
      </c>
      <c r="X736" t="s">
        <v>292</v>
      </c>
      <c r="Y736" t="s">
        <v>1136</v>
      </c>
      <c r="Z736" t="s">
        <v>995</v>
      </c>
      <c r="AA736" t="s">
        <v>228</v>
      </c>
      <c r="AB736" t="s">
        <v>996</v>
      </c>
      <c r="AC736" t="s">
        <v>1000</v>
      </c>
      <c r="AD736" t="s">
        <v>253</v>
      </c>
      <c r="AE736" t="s">
        <v>993</v>
      </c>
      <c r="AF736" t="s">
        <v>947</v>
      </c>
      <c r="AG736" t="s">
        <v>1062</v>
      </c>
      <c r="AH736" t="s">
        <v>1063</v>
      </c>
      <c r="AI736" t="s">
        <v>912</v>
      </c>
      <c r="AJ736" t="s">
        <v>148</v>
      </c>
      <c r="AK736" t="s">
        <v>172</v>
      </c>
      <c r="AL736" t="s">
        <v>752</v>
      </c>
      <c r="AM736" t="s">
        <v>1126</v>
      </c>
      <c r="AN736" t="s">
        <v>1078</v>
      </c>
      <c r="AO736" t="s">
        <v>766</v>
      </c>
      <c r="AP736" t="s">
        <v>1079</v>
      </c>
      <c r="AQ736" t="s">
        <v>146</v>
      </c>
      <c r="AR736" t="s">
        <v>1080</v>
      </c>
      <c r="AS736" t="s">
        <v>9</v>
      </c>
      <c r="AT736" t="s">
        <v>230</v>
      </c>
      <c r="AU736" t="s">
        <v>254</v>
      </c>
      <c r="AV736" t="s">
        <v>1096</v>
      </c>
      <c r="AW736" t="s">
        <v>951</v>
      </c>
      <c r="AX736" t="s">
        <v>917</v>
      </c>
      <c r="AY736" t="s">
        <v>231</v>
      </c>
      <c r="AZ736" t="s">
        <v>1082</v>
      </c>
      <c r="BA736" t="s">
        <v>1117</v>
      </c>
      <c r="BB736" t="s">
        <v>1037</v>
      </c>
      <c r="BC736" t="s">
        <v>974</v>
      </c>
      <c r="BD736" t="s">
        <v>969</v>
      </c>
      <c r="BE736" t="s">
        <v>995</v>
      </c>
      <c r="BF736" t="s">
        <v>1036</v>
      </c>
      <c r="BG736" t="s">
        <v>232</v>
      </c>
      <c r="BH736" t="s">
        <v>785</v>
      </c>
      <c r="BI736" t="s">
        <v>143</v>
      </c>
      <c r="BJ736" t="s">
        <v>756</v>
      </c>
      <c r="BK736" t="s">
        <v>757</v>
      </c>
      <c r="BL736" t="s">
        <v>233</v>
      </c>
      <c r="BM736" t="s">
        <v>1012</v>
      </c>
      <c r="BN736" t="s">
        <v>1157</v>
      </c>
      <c r="BO736" t="s">
        <v>2339</v>
      </c>
      <c r="BP736" t="s">
        <v>234</v>
      </c>
      <c r="BQ736" t="s">
        <v>793</v>
      </c>
      <c r="BR736" t="s">
        <v>1126</v>
      </c>
      <c r="BS736" t="s">
        <v>1226</v>
      </c>
      <c r="BT736" t="s">
        <v>912</v>
      </c>
      <c r="BU736" t="s">
        <v>969</v>
      </c>
      <c r="BV736" t="s">
        <v>1157</v>
      </c>
      <c r="BW736" t="s">
        <v>1033</v>
      </c>
      <c r="BX736" t="s">
        <v>1477</v>
      </c>
      <c r="BY736" t="s">
        <v>2339</v>
      </c>
      <c r="BZ736" t="s">
        <v>239</v>
      </c>
      <c r="CA736" t="s">
        <v>241</v>
      </c>
      <c r="CB736" t="s">
        <v>805</v>
      </c>
      <c r="CC736" t="s">
        <v>2806</v>
      </c>
      <c r="CD736" t="s">
        <v>806</v>
      </c>
    </row>
    <row r="737" spans="1:100">
      <c r="A737" s="40">
        <v>687</v>
      </c>
      <c r="B737" s="40" t="s">
        <v>2807</v>
      </c>
      <c r="C737" s="2" t="s">
        <v>2808</v>
      </c>
      <c r="D737" s="2" t="s">
        <v>15</v>
      </c>
      <c r="E737" s="2" t="s">
        <v>9</v>
      </c>
      <c r="F737" s="2">
        <v>86</v>
      </c>
      <c r="G737" s="2">
        <v>92</v>
      </c>
      <c r="H737" s="2">
        <v>88</v>
      </c>
      <c r="I737" s="2">
        <v>68</v>
      </c>
      <c r="J737" s="2">
        <v>75</v>
      </c>
      <c r="K737" s="2">
        <v>73</v>
      </c>
      <c r="L737" s="2">
        <v>482</v>
      </c>
      <c r="M737" s="2" t="s">
        <v>1129</v>
      </c>
      <c r="N737" s="2" t="s">
        <v>1061</v>
      </c>
      <c r="O737" t="s">
        <v>775</v>
      </c>
      <c r="P737" t="s">
        <v>228</v>
      </c>
      <c r="Q737" t="s">
        <v>996</v>
      </c>
      <c r="R737" t="s">
        <v>1000</v>
      </c>
      <c r="S737" t="s">
        <v>253</v>
      </c>
      <c r="T737" t="s">
        <v>993</v>
      </c>
      <c r="U737" t="s">
        <v>947</v>
      </c>
      <c r="V737" t="s">
        <v>1062</v>
      </c>
      <c r="W737" t="s">
        <v>1063</v>
      </c>
      <c r="X737" t="s">
        <v>1151</v>
      </c>
      <c r="Y737" t="s">
        <v>912</v>
      </c>
      <c r="Z737" t="s">
        <v>148</v>
      </c>
      <c r="AA737" t="s">
        <v>172</v>
      </c>
      <c r="AB737" t="s">
        <v>752</v>
      </c>
      <c r="AC737" t="s">
        <v>1126</v>
      </c>
      <c r="AD737" t="s">
        <v>247</v>
      </c>
      <c r="AE737" t="s">
        <v>1078</v>
      </c>
      <c r="AF737" t="s">
        <v>766</v>
      </c>
      <c r="AG737" t="s">
        <v>1079</v>
      </c>
      <c r="AH737" t="s">
        <v>146</v>
      </c>
      <c r="AI737" t="s">
        <v>1080</v>
      </c>
      <c r="AJ737" t="s">
        <v>9</v>
      </c>
      <c r="AK737" t="s">
        <v>230</v>
      </c>
      <c r="AL737" t="s">
        <v>254</v>
      </c>
      <c r="AM737" t="s">
        <v>1096</v>
      </c>
      <c r="AN737" t="s">
        <v>951</v>
      </c>
      <c r="AO737" t="s">
        <v>917</v>
      </c>
      <c r="AP737" t="s">
        <v>231</v>
      </c>
      <c r="AQ737" t="s">
        <v>1082</v>
      </c>
      <c r="AR737" t="s">
        <v>1117</v>
      </c>
      <c r="AS737" t="s">
        <v>1037</v>
      </c>
      <c r="AT737" t="s">
        <v>974</v>
      </c>
      <c r="AU737" t="s">
        <v>969</v>
      </c>
      <c r="AV737" t="s">
        <v>995</v>
      </c>
      <c r="AW737" t="s">
        <v>1036</v>
      </c>
      <c r="AX737" t="s">
        <v>976</v>
      </c>
      <c r="AY737" t="s">
        <v>232</v>
      </c>
      <c r="AZ737" t="s">
        <v>785</v>
      </c>
      <c r="BA737" t="s">
        <v>143</v>
      </c>
      <c r="BB737" t="s">
        <v>756</v>
      </c>
      <c r="BC737" t="s">
        <v>757</v>
      </c>
      <c r="BD737" t="s">
        <v>233</v>
      </c>
      <c r="BE737" t="s">
        <v>1012</v>
      </c>
      <c r="BF737" t="s">
        <v>1157</v>
      </c>
      <c r="BG737" t="s">
        <v>2339</v>
      </c>
      <c r="BH737" t="s">
        <v>234</v>
      </c>
      <c r="BI737" t="s">
        <v>793</v>
      </c>
      <c r="BJ737" t="s">
        <v>1126</v>
      </c>
      <c r="BK737" t="s">
        <v>1226</v>
      </c>
      <c r="BL737" t="s">
        <v>912</v>
      </c>
      <c r="BM737" t="s">
        <v>969</v>
      </c>
      <c r="BN737" t="s">
        <v>1157</v>
      </c>
      <c r="BO737" t="s">
        <v>1033</v>
      </c>
      <c r="BP737" t="s">
        <v>1477</v>
      </c>
      <c r="BQ737" t="s">
        <v>2339</v>
      </c>
      <c r="BR737" t="s">
        <v>239</v>
      </c>
      <c r="BS737" t="s">
        <v>241</v>
      </c>
      <c r="BT737" t="s">
        <v>219</v>
      </c>
      <c r="BU737" t="s">
        <v>329</v>
      </c>
      <c r="BV737" t="s">
        <v>477</v>
      </c>
      <c r="BW737" t="s">
        <v>380</v>
      </c>
      <c r="BX737" t="s">
        <v>1167</v>
      </c>
      <c r="BY737" t="s">
        <v>756</v>
      </c>
      <c r="BZ737" t="s">
        <v>529</v>
      </c>
      <c r="CA737" t="s">
        <v>2406</v>
      </c>
      <c r="CB737" t="s">
        <v>388</v>
      </c>
      <c r="CC737" t="s">
        <v>292</v>
      </c>
      <c r="CD737" t="s">
        <v>1136</v>
      </c>
      <c r="CE737" t="s">
        <v>995</v>
      </c>
      <c r="CF737" t="s">
        <v>805</v>
      </c>
      <c r="CG737" t="s">
        <v>2806</v>
      </c>
      <c r="CH737" t="s">
        <v>806</v>
      </c>
    </row>
    <row r="738" spans="1:100">
      <c r="A738" s="40">
        <v>688</v>
      </c>
      <c r="B738" s="40" t="s">
        <v>2809</v>
      </c>
      <c r="C738" s="2" t="s">
        <v>2810</v>
      </c>
      <c r="D738" s="2" t="s">
        <v>25</v>
      </c>
      <c r="E738" s="2" t="s">
        <v>27</v>
      </c>
      <c r="F738" s="2">
        <v>42</v>
      </c>
      <c r="G738" s="2">
        <v>52</v>
      </c>
      <c r="H738" s="2">
        <v>67</v>
      </c>
      <c r="I738" s="2">
        <v>39</v>
      </c>
      <c r="J738" s="2">
        <v>56</v>
      </c>
      <c r="K738" s="2">
        <v>50</v>
      </c>
      <c r="L738" s="2">
        <v>306</v>
      </c>
      <c r="M738" s="2" t="s">
        <v>1159</v>
      </c>
      <c r="N738" s="2" t="s">
        <v>1061</v>
      </c>
      <c r="O738" t="s">
        <v>249</v>
      </c>
      <c r="P738" t="s">
        <v>309</v>
      </c>
      <c r="Q738" t="s">
        <v>1213</v>
      </c>
      <c r="R738" t="s">
        <v>269</v>
      </c>
      <c r="S738" t="s">
        <v>268</v>
      </c>
      <c r="T738" t="s">
        <v>323</v>
      </c>
      <c r="U738" t="s">
        <v>253</v>
      </c>
      <c r="V738" t="s">
        <v>755</v>
      </c>
      <c r="W738" t="s">
        <v>522</v>
      </c>
      <c r="X738" t="s">
        <v>1003</v>
      </c>
      <c r="Y738" t="s">
        <v>170</v>
      </c>
      <c r="Z738" t="s">
        <v>1030</v>
      </c>
      <c r="AA738" t="s">
        <v>758</v>
      </c>
      <c r="AB738" t="s">
        <v>1171</v>
      </c>
      <c r="AC738" t="s">
        <v>1062</v>
      </c>
      <c r="AD738" t="s">
        <v>226</v>
      </c>
      <c r="AE738" t="s">
        <v>144</v>
      </c>
      <c r="AF738" t="s">
        <v>227</v>
      </c>
      <c r="AG738" t="s">
        <v>1063</v>
      </c>
      <c r="AH738" t="s">
        <v>1030</v>
      </c>
      <c r="AI738" t="s">
        <v>148</v>
      </c>
      <c r="AJ738" t="s">
        <v>172</v>
      </c>
      <c r="AK738" t="s">
        <v>1126</v>
      </c>
      <c r="AL738" t="s">
        <v>141</v>
      </c>
      <c r="AM738" t="s">
        <v>271</v>
      </c>
      <c r="AN738" t="s">
        <v>1078</v>
      </c>
      <c r="AO738" t="s">
        <v>766</v>
      </c>
      <c r="AP738" t="s">
        <v>759</v>
      </c>
      <c r="AQ738" t="s">
        <v>1079</v>
      </c>
      <c r="AR738" t="s">
        <v>1109</v>
      </c>
      <c r="AS738" t="s">
        <v>136</v>
      </c>
      <c r="AT738" t="s">
        <v>1080</v>
      </c>
      <c r="AU738" t="s">
        <v>256</v>
      </c>
      <c r="AV738" t="s">
        <v>1094</v>
      </c>
      <c r="AW738" t="s">
        <v>230</v>
      </c>
      <c r="AX738" t="s">
        <v>186</v>
      </c>
      <c r="AY738" t="s">
        <v>1081</v>
      </c>
      <c r="AZ738" t="s">
        <v>765</v>
      </c>
      <c r="BA738" t="s">
        <v>1095</v>
      </c>
      <c r="BB738" t="s">
        <v>1096</v>
      </c>
      <c r="BC738" t="s">
        <v>951</v>
      </c>
      <c r="BD738" t="s">
        <v>917</v>
      </c>
      <c r="BE738" t="s">
        <v>231</v>
      </c>
      <c r="BF738" t="s">
        <v>1082</v>
      </c>
      <c r="BG738" t="s">
        <v>1117</v>
      </c>
      <c r="BH738" t="s">
        <v>1037</v>
      </c>
      <c r="BI738" t="s">
        <v>776</v>
      </c>
      <c r="BJ738" t="s">
        <v>1038</v>
      </c>
      <c r="BK738" t="s">
        <v>974</v>
      </c>
      <c r="BL738" t="s">
        <v>969</v>
      </c>
      <c r="BM738" t="s">
        <v>1005</v>
      </c>
      <c r="BN738" t="s">
        <v>995</v>
      </c>
      <c r="BO738" t="s">
        <v>1003</v>
      </c>
      <c r="BP738" t="s">
        <v>183</v>
      </c>
      <c r="BQ738" t="s">
        <v>145</v>
      </c>
      <c r="BR738" t="s">
        <v>1021</v>
      </c>
      <c r="BS738" t="s">
        <v>143</v>
      </c>
      <c r="BT738" t="s">
        <v>1018</v>
      </c>
      <c r="BU738" t="s">
        <v>2369</v>
      </c>
      <c r="BV738" t="s">
        <v>997</v>
      </c>
      <c r="BW738" t="s">
        <v>977</v>
      </c>
      <c r="BX738" t="s">
        <v>756</v>
      </c>
      <c r="BY738" t="s">
        <v>757</v>
      </c>
      <c r="BZ738" t="s">
        <v>233</v>
      </c>
      <c r="CA738" t="s">
        <v>760</v>
      </c>
      <c r="CB738" t="s">
        <v>1087</v>
      </c>
      <c r="CC738" t="s">
        <v>2398</v>
      </c>
      <c r="CD738" t="s">
        <v>2339</v>
      </c>
      <c r="CE738" t="s">
        <v>234</v>
      </c>
      <c r="CF738" t="s">
        <v>925</v>
      </c>
      <c r="CG738" t="s">
        <v>950</v>
      </c>
      <c r="CH738" t="s">
        <v>955</v>
      </c>
      <c r="CI738" t="s">
        <v>1136</v>
      </c>
      <c r="CJ738" t="s">
        <v>239</v>
      </c>
      <c r="CK738" t="s">
        <v>241</v>
      </c>
      <c r="CL738" t="s">
        <v>805</v>
      </c>
      <c r="CM738" t="s">
        <v>806</v>
      </c>
    </row>
    <row r="739" spans="1:100">
      <c r="A739" s="40">
        <v>689</v>
      </c>
      <c r="B739" s="40" t="s">
        <v>2811</v>
      </c>
      <c r="C739" s="2" t="s">
        <v>2812</v>
      </c>
      <c r="D739" s="2" t="s">
        <v>25</v>
      </c>
      <c r="E739" s="2" t="s">
        <v>27</v>
      </c>
      <c r="F739" s="2">
        <v>72</v>
      </c>
      <c r="G739" s="2">
        <v>105</v>
      </c>
      <c r="H739" s="2">
        <v>115</v>
      </c>
      <c r="I739" s="2">
        <v>54</v>
      </c>
      <c r="J739" s="2">
        <v>86</v>
      </c>
      <c r="K739" s="2">
        <v>68</v>
      </c>
      <c r="L739" s="2">
        <v>500</v>
      </c>
      <c r="M739" s="2" t="s">
        <v>1224</v>
      </c>
      <c r="N739" s="2" t="s">
        <v>1061</v>
      </c>
      <c r="O739" t="s">
        <v>993</v>
      </c>
      <c r="P739" t="s">
        <v>1212</v>
      </c>
      <c r="Q739" t="s">
        <v>1171</v>
      </c>
      <c r="R739" t="s">
        <v>183</v>
      </c>
      <c r="S739" t="s">
        <v>237</v>
      </c>
      <c r="T739" t="s">
        <v>1062</v>
      </c>
      <c r="U739" t="s">
        <v>226</v>
      </c>
      <c r="V739" t="s">
        <v>144</v>
      </c>
      <c r="W739" t="s">
        <v>227</v>
      </c>
      <c r="X739" t="s">
        <v>1063</v>
      </c>
      <c r="Y739" t="s">
        <v>1030</v>
      </c>
      <c r="Z739" t="s">
        <v>1093</v>
      </c>
      <c r="AA739" t="s">
        <v>148</v>
      </c>
      <c r="AB739" t="s">
        <v>1175</v>
      </c>
      <c r="AC739" t="s">
        <v>172</v>
      </c>
      <c r="AD739" t="s">
        <v>1126</v>
      </c>
      <c r="AE739" t="s">
        <v>141</v>
      </c>
      <c r="AF739" t="s">
        <v>271</v>
      </c>
      <c r="AG739" t="s">
        <v>247</v>
      </c>
      <c r="AH739" t="s">
        <v>1078</v>
      </c>
      <c r="AI739" t="s">
        <v>766</v>
      </c>
      <c r="AJ739" t="s">
        <v>759</v>
      </c>
      <c r="AK739" t="s">
        <v>1079</v>
      </c>
      <c r="AL739" t="s">
        <v>1109</v>
      </c>
      <c r="AM739" t="s">
        <v>136</v>
      </c>
      <c r="AN739" t="s">
        <v>1080</v>
      </c>
      <c r="AO739" t="s">
        <v>256</v>
      </c>
      <c r="AP739" t="s">
        <v>1094</v>
      </c>
      <c r="AQ739" t="s">
        <v>230</v>
      </c>
      <c r="AR739" t="s">
        <v>186</v>
      </c>
      <c r="AS739" t="s">
        <v>1081</v>
      </c>
      <c r="AT739" t="s">
        <v>765</v>
      </c>
      <c r="AU739" t="s">
        <v>1095</v>
      </c>
      <c r="AV739" t="s">
        <v>1096</v>
      </c>
      <c r="AW739" t="s">
        <v>951</v>
      </c>
      <c r="AX739" t="s">
        <v>917</v>
      </c>
      <c r="AY739" t="s">
        <v>231</v>
      </c>
      <c r="AZ739" t="s">
        <v>1082</v>
      </c>
      <c r="BA739" t="s">
        <v>1117</v>
      </c>
      <c r="BB739" t="s">
        <v>1037</v>
      </c>
      <c r="BC739" t="s">
        <v>1102</v>
      </c>
      <c r="BD739" t="s">
        <v>776</v>
      </c>
      <c r="BE739" t="s">
        <v>1038</v>
      </c>
      <c r="BF739" t="s">
        <v>974</v>
      </c>
      <c r="BG739" t="s">
        <v>969</v>
      </c>
      <c r="BH739" t="s">
        <v>1005</v>
      </c>
      <c r="BI739" t="s">
        <v>995</v>
      </c>
      <c r="BJ739" t="s">
        <v>976</v>
      </c>
      <c r="BK739" t="s">
        <v>1003</v>
      </c>
      <c r="BL739" t="s">
        <v>183</v>
      </c>
      <c r="BM739" t="s">
        <v>145</v>
      </c>
      <c r="BN739" t="s">
        <v>1021</v>
      </c>
      <c r="BO739" t="s">
        <v>143</v>
      </c>
      <c r="BP739" t="s">
        <v>1018</v>
      </c>
      <c r="BQ739" t="s">
        <v>2369</v>
      </c>
      <c r="BR739" t="s">
        <v>997</v>
      </c>
      <c r="BS739" t="s">
        <v>977</v>
      </c>
      <c r="BT739" t="s">
        <v>756</v>
      </c>
      <c r="BU739" t="s">
        <v>757</v>
      </c>
      <c r="BV739" t="s">
        <v>233</v>
      </c>
      <c r="BW739" t="s">
        <v>760</v>
      </c>
      <c r="BX739" t="s">
        <v>1087</v>
      </c>
      <c r="BY739" t="s">
        <v>2398</v>
      </c>
      <c r="BZ739" t="s">
        <v>2339</v>
      </c>
      <c r="CA739" t="s">
        <v>234</v>
      </c>
      <c r="CB739" t="s">
        <v>925</v>
      </c>
      <c r="CC739" t="s">
        <v>950</v>
      </c>
      <c r="CD739" t="s">
        <v>955</v>
      </c>
      <c r="CE739" t="s">
        <v>1136</v>
      </c>
      <c r="CF739" t="s">
        <v>239</v>
      </c>
      <c r="CG739" t="s">
        <v>241</v>
      </c>
      <c r="CH739" t="s">
        <v>249</v>
      </c>
      <c r="CI739" t="s">
        <v>309</v>
      </c>
      <c r="CJ739" t="s">
        <v>1213</v>
      </c>
      <c r="CK739" t="s">
        <v>269</v>
      </c>
      <c r="CL739" t="s">
        <v>268</v>
      </c>
      <c r="CM739" t="s">
        <v>323</v>
      </c>
      <c r="CN739" t="s">
        <v>253</v>
      </c>
      <c r="CO739" t="s">
        <v>755</v>
      </c>
      <c r="CP739" t="s">
        <v>522</v>
      </c>
      <c r="CQ739" t="s">
        <v>1003</v>
      </c>
      <c r="CR739" t="s">
        <v>170</v>
      </c>
      <c r="CS739" t="s">
        <v>1030</v>
      </c>
      <c r="CT739" t="s">
        <v>758</v>
      </c>
      <c r="CU739" t="s">
        <v>805</v>
      </c>
      <c r="CV739" t="s">
        <v>806</v>
      </c>
    </row>
    <row r="740" spans="1:100">
      <c r="A740" s="40">
        <v>690</v>
      </c>
      <c r="B740" s="40" t="s">
        <v>2813</v>
      </c>
      <c r="C740" s="2" t="s">
        <v>2814</v>
      </c>
      <c r="D740" s="2" t="s">
        <v>11</v>
      </c>
      <c r="E740" s="2" t="s">
        <v>27</v>
      </c>
      <c r="F740" s="2">
        <v>50</v>
      </c>
      <c r="G740" s="2">
        <v>60</v>
      </c>
      <c r="H740" s="2">
        <v>60</v>
      </c>
      <c r="I740" s="2">
        <v>60</v>
      </c>
      <c r="J740" s="2">
        <v>60</v>
      </c>
      <c r="K740" s="2">
        <v>30</v>
      </c>
      <c r="L740" s="2">
        <v>320</v>
      </c>
      <c r="M740" s="2" t="s">
        <v>1073</v>
      </c>
      <c r="N740" s="2" t="s">
        <v>1061</v>
      </c>
      <c r="O740" t="s">
        <v>219</v>
      </c>
      <c r="P740" t="s">
        <v>269</v>
      </c>
      <c r="Q740" t="s">
        <v>251</v>
      </c>
      <c r="R740" t="s">
        <v>774</v>
      </c>
      <c r="S740" t="s">
        <v>266</v>
      </c>
      <c r="T740" t="s">
        <v>267</v>
      </c>
      <c r="U740" t="s">
        <v>339</v>
      </c>
      <c r="V740" t="s">
        <v>1226</v>
      </c>
      <c r="W740" t="s">
        <v>936</v>
      </c>
      <c r="X740" t="s">
        <v>954</v>
      </c>
      <c r="Y740" t="s">
        <v>230</v>
      </c>
      <c r="Z740" t="s">
        <v>148</v>
      </c>
      <c r="AA740" t="s">
        <v>179</v>
      </c>
      <c r="AB740" t="s">
        <v>1081</v>
      </c>
      <c r="AC740" t="s">
        <v>140</v>
      </c>
      <c r="AD740" t="s">
        <v>967</v>
      </c>
      <c r="AE740" t="s">
        <v>1062</v>
      </c>
      <c r="AF740" t="s">
        <v>144</v>
      </c>
      <c r="AG740" t="s">
        <v>270</v>
      </c>
      <c r="AH740" t="s">
        <v>1063</v>
      </c>
      <c r="AI740" t="s">
        <v>148</v>
      </c>
      <c r="AJ740" t="s">
        <v>1104</v>
      </c>
      <c r="AK740" t="s">
        <v>1077</v>
      </c>
      <c r="AL740" t="s">
        <v>172</v>
      </c>
      <c r="AM740" t="s">
        <v>1078</v>
      </c>
      <c r="AN740" t="s">
        <v>766</v>
      </c>
      <c r="AO740" t="s">
        <v>1079</v>
      </c>
      <c r="AP740" t="s">
        <v>146</v>
      </c>
      <c r="AQ740" t="s">
        <v>1080</v>
      </c>
      <c r="AR740" t="s">
        <v>174</v>
      </c>
      <c r="AS740" t="s">
        <v>230</v>
      </c>
      <c r="AT740" t="s">
        <v>186</v>
      </c>
      <c r="AU740" t="s">
        <v>1081</v>
      </c>
      <c r="AV740" t="s">
        <v>917</v>
      </c>
      <c r="AW740" t="s">
        <v>231</v>
      </c>
      <c r="AX740" t="s">
        <v>1082</v>
      </c>
      <c r="AY740" t="s">
        <v>1037</v>
      </c>
      <c r="AZ740" t="s">
        <v>1038</v>
      </c>
      <c r="BA740" t="s">
        <v>756</v>
      </c>
      <c r="BB740" t="s">
        <v>757</v>
      </c>
      <c r="BC740" t="s">
        <v>233</v>
      </c>
      <c r="BD740" t="s">
        <v>2339</v>
      </c>
      <c r="BE740" t="s">
        <v>234</v>
      </c>
      <c r="BF740" t="s">
        <v>272</v>
      </c>
      <c r="BG740" t="s">
        <v>517</v>
      </c>
      <c r="BH740" t="s">
        <v>1011</v>
      </c>
      <c r="BI740" t="s">
        <v>2410</v>
      </c>
      <c r="BJ740" t="s">
        <v>2395</v>
      </c>
      <c r="BK740" t="s">
        <v>239</v>
      </c>
      <c r="BL740" t="s">
        <v>241</v>
      </c>
      <c r="BM740" t="s">
        <v>805</v>
      </c>
      <c r="BN740" t="s">
        <v>806</v>
      </c>
    </row>
    <row r="741" spans="1:100">
      <c r="A741" s="40">
        <v>691</v>
      </c>
      <c r="B741" s="40" t="s">
        <v>2815</v>
      </c>
      <c r="C741" s="2" t="s">
        <v>2816</v>
      </c>
      <c r="D741" s="2" t="s">
        <v>11</v>
      </c>
      <c r="E741" s="2" t="s">
        <v>16</v>
      </c>
      <c r="F741" s="2">
        <v>65</v>
      </c>
      <c r="G741" s="2">
        <v>75</v>
      </c>
      <c r="H741" s="2">
        <v>90</v>
      </c>
      <c r="I741" s="2">
        <v>97</v>
      </c>
      <c r="J741" s="2">
        <v>123</v>
      </c>
      <c r="K741" s="2">
        <v>44</v>
      </c>
      <c r="L741" s="2">
        <v>494</v>
      </c>
      <c r="M741" s="2" t="s">
        <v>1112</v>
      </c>
      <c r="N741" s="2" t="s">
        <v>1061</v>
      </c>
      <c r="O741" t="s">
        <v>967</v>
      </c>
      <c r="P741" t="s">
        <v>1022</v>
      </c>
      <c r="Q741" t="s">
        <v>796</v>
      </c>
      <c r="R741" t="s">
        <v>1062</v>
      </c>
      <c r="S741" t="s">
        <v>144</v>
      </c>
      <c r="T741" t="s">
        <v>270</v>
      </c>
      <c r="U741" t="s">
        <v>1063</v>
      </c>
      <c r="V741" t="s">
        <v>148</v>
      </c>
      <c r="W741" t="s">
        <v>1104</v>
      </c>
      <c r="X741" t="s">
        <v>1077</v>
      </c>
      <c r="Y741" t="s">
        <v>172</v>
      </c>
      <c r="Z741" t="s">
        <v>247</v>
      </c>
      <c r="AA741" t="s">
        <v>1078</v>
      </c>
      <c r="AB741" t="s">
        <v>766</v>
      </c>
      <c r="AC741" t="s">
        <v>1079</v>
      </c>
      <c r="AD741" t="s">
        <v>146</v>
      </c>
      <c r="AE741" t="s">
        <v>321</v>
      </c>
      <c r="AF741" t="s">
        <v>1080</v>
      </c>
      <c r="AG741" t="s">
        <v>174</v>
      </c>
      <c r="AH741" t="s">
        <v>230</v>
      </c>
      <c r="AI741" t="s">
        <v>186</v>
      </c>
      <c r="AJ741" t="s">
        <v>1081</v>
      </c>
      <c r="AK741" t="s">
        <v>917</v>
      </c>
      <c r="AL741" t="s">
        <v>231</v>
      </c>
      <c r="AM741" t="s">
        <v>1082</v>
      </c>
      <c r="AN741" t="s">
        <v>1037</v>
      </c>
      <c r="AO741" t="s">
        <v>1102</v>
      </c>
      <c r="AP741" t="s">
        <v>1038</v>
      </c>
      <c r="AQ741" t="s">
        <v>976</v>
      </c>
      <c r="AR741" t="s">
        <v>1022</v>
      </c>
      <c r="AS741" t="s">
        <v>756</v>
      </c>
      <c r="AT741" t="s">
        <v>757</v>
      </c>
      <c r="AU741" t="s">
        <v>233</v>
      </c>
      <c r="AV741" t="s">
        <v>2339</v>
      </c>
      <c r="AW741" t="s">
        <v>234</v>
      </c>
      <c r="AX741" t="s">
        <v>272</v>
      </c>
      <c r="AY741" t="s">
        <v>517</v>
      </c>
      <c r="AZ741" t="s">
        <v>1011</v>
      </c>
      <c r="BA741" t="s">
        <v>2410</v>
      </c>
      <c r="BB741" t="s">
        <v>2395</v>
      </c>
      <c r="BC741" t="s">
        <v>239</v>
      </c>
      <c r="BD741" t="s">
        <v>241</v>
      </c>
      <c r="BE741" t="s">
        <v>219</v>
      </c>
      <c r="BF741" t="s">
        <v>269</v>
      </c>
      <c r="BG741" t="s">
        <v>251</v>
      </c>
      <c r="BH741" t="s">
        <v>774</v>
      </c>
      <c r="BI741" t="s">
        <v>266</v>
      </c>
      <c r="BJ741" t="s">
        <v>267</v>
      </c>
      <c r="BK741" t="s">
        <v>339</v>
      </c>
      <c r="BL741" t="s">
        <v>1226</v>
      </c>
      <c r="BM741" t="s">
        <v>936</v>
      </c>
      <c r="BN741" t="s">
        <v>954</v>
      </c>
      <c r="BO741" t="s">
        <v>230</v>
      </c>
      <c r="BP741" t="s">
        <v>148</v>
      </c>
      <c r="BQ741" t="s">
        <v>179</v>
      </c>
      <c r="BR741" t="s">
        <v>1081</v>
      </c>
      <c r="BS741" t="s">
        <v>140</v>
      </c>
      <c r="BT741" t="s">
        <v>805</v>
      </c>
      <c r="BU741" t="s">
        <v>806</v>
      </c>
    </row>
    <row r="742" spans="1:100">
      <c r="A742" s="40">
        <v>692</v>
      </c>
      <c r="B742" s="40" t="s">
        <v>2817</v>
      </c>
      <c r="C742" s="2" t="s">
        <v>2818</v>
      </c>
      <c r="D742" s="2" t="s">
        <v>27</v>
      </c>
      <c r="E742" s="2"/>
      <c r="F742" s="2">
        <v>50</v>
      </c>
      <c r="G742" s="2">
        <v>53</v>
      </c>
      <c r="H742" s="2">
        <v>62</v>
      </c>
      <c r="I742" s="2">
        <v>58</v>
      </c>
      <c r="J742" s="2">
        <v>63</v>
      </c>
      <c r="K742" s="2">
        <v>44</v>
      </c>
      <c r="L742" s="2">
        <v>330</v>
      </c>
      <c r="M742" s="2" t="s">
        <v>2449</v>
      </c>
      <c r="N742" s="2" t="s">
        <v>1061</v>
      </c>
      <c r="O742" t="s">
        <v>269</v>
      </c>
      <c r="P742" t="s">
        <v>382</v>
      </c>
      <c r="Q742" t="s">
        <v>955</v>
      </c>
      <c r="R742" t="s">
        <v>542</v>
      </c>
      <c r="S742" t="s">
        <v>267</v>
      </c>
      <c r="T742" t="s">
        <v>770</v>
      </c>
      <c r="U742" t="s">
        <v>446</v>
      </c>
      <c r="V742" t="s">
        <v>145</v>
      </c>
      <c r="W742" t="s">
        <v>544</v>
      </c>
      <c r="X742" t="s">
        <v>954</v>
      </c>
      <c r="Y742" t="s">
        <v>1109</v>
      </c>
      <c r="Z742" t="s">
        <v>959</v>
      </c>
      <c r="AA742" t="s">
        <v>1105</v>
      </c>
      <c r="AB742" t="s">
        <v>1062</v>
      </c>
      <c r="AC742" t="s">
        <v>226</v>
      </c>
      <c r="AD742" t="s">
        <v>144</v>
      </c>
      <c r="AE742" t="s">
        <v>270</v>
      </c>
      <c r="AF742" t="s">
        <v>1063</v>
      </c>
      <c r="AG742" t="s">
        <v>148</v>
      </c>
      <c r="AH742" t="s">
        <v>1077</v>
      </c>
      <c r="AI742" t="s">
        <v>172</v>
      </c>
      <c r="AJ742" t="s">
        <v>141</v>
      </c>
      <c r="AK742" t="s">
        <v>1078</v>
      </c>
      <c r="AL742" t="s">
        <v>766</v>
      </c>
      <c r="AM742" t="s">
        <v>1079</v>
      </c>
      <c r="AN742" t="s">
        <v>1080</v>
      </c>
      <c r="AO742" t="s">
        <v>230</v>
      </c>
      <c r="AP742" t="s">
        <v>186</v>
      </c>
      <c r="AQ742" t="s">
        <v>1081</v>
      </c>
      <c r="AR742" t="s">
        <v>917</v>
      </c>
      <c r="AS742" t="s">
        <v>231</v>
      </c>
      <c r="AT742" t="s">
        <v>1082</v>
      </c>
      <c r="AU742" t="s">
        <v>1037</v>
      </c>
      <c r="AV742" t="s">
        <v>1038</v>
      </c>
      <c r="AW742" t="s">
        <v>143</v>
      </c>
      <c r="AX742" t="s">
        <v>756</v>
      </c>
      <c r="AY742" t="s">
        <v>757</v>
      </c>
      <c r="AZ742" t="s">
        <v>1014</v>
      </c>
      <c r="BA742" t="s">
        <v>233</v>
      </c>
      <c r="BB742" t="s">
        <v>973</v>
      </c>
      <c r="BC742" t="s">
        <v>2339</v>
      </c>
      <c r="BD742" t="s">
        <v>234</v>
      </c>
      <c r="BE742" t="s">
        <v>544</v>
      </c>
      <c r="BF742" t="s">
        <v>925</v>
      </c>
      <c r="BG742" t="s">
        <v>1577</v>
      </c>
      <c r="BH742" t="s">
        <v>239</v>
      </c>
      <c r="BI742" t="s">
        <v>241</v>
      </c>
      <c r="BJ742" t="s">
        <v>805</v>
      </c>
      <c r="BK742" t="s">
        <v>806</v>
      </c>
    </row>
    <row r="743" spans="1:100">
      <c r="A743" s="40">
        <v>693</v>
      </c>
      <c r="B743" s="40" t="s">
        <v>2819</v>
      </c>
      <c r="C743" s="2" t="s">
        <v>2820</v>
      </c>
      <c r="D743" s="2" t="s">
        <v>27</v>
      </c>
      <c r="E743" s="2"/>
      <c r="F743" s="2">
        <v>71</v>
      </c>
      <c r="G743" s="2">
        <v>73</v>
      </c>
      <c r="H743" s="2">
        <v>88</v>
      </c>
      <c r="I743" s="2">
        <v>120</v>
      </c>
      <c r="J743" s="2">
        <v>89</v>
      </c>
      <c r="K743" s="2">
        <v>59</v>
      </c>
      <c r="L743" s="2">
        <v>500</v>
      </c>
      <c r="M743" s="2" t="s">
        <v>1199</v>
      </c>
      <c r="N743" s="2" t="s">
        <v>1061</v>
      </c>
      <c r="O743" t="s">
        <v>1109</v>
      </c>
      <c r="P743" t="s">
        <v>959</v>
      </c>
      <c r="Q743" t="s">
        <v>1105</v>
      </c>
      <c r="R743" t="s">
        <v>1157</v>
      </c>
      <c r="S743" t="s">
        <v>967</v>
      </c>
      <c r="T743" t="s">
        <v>1234</v>
      </c>
      <c r="U743" t="s">
        <v>1062</v>
      </c>
      <c r="V743" t="s">
        <v>226</v>
      </c>
      <c r="W743" t="s">
        <v>144</v>
      </c>
      <c r="X743" t="s">
        <v>270</v>
      </c>
      <c r="Y743" t="s">
        <v>1063</v>
      </c>
      <c r="Z743" t="s">
        <v>148</v>
      </c>
      <c r="AA743" t="s">
        <v>1077</v>
      </c>
      <c r="AB743" t="s">
        <v>172</v>
      </c>
      <c r="AC743" t="s">
        <v>141</v>
      </c>
      <c r="AD743" t="s">
        <v>247</v>
      </c>
      <c r="AE743" t="s">
        <v>1078</v>
      </c>
      <c r="AF743" t="s">
        <v>766</v>
      </c>
      <c r="AG743" t="s">
        <v>1079</v>
      </c>
      <c r="AH743" t="s">
        <v>1080</v>
      </c>
      <c r="AI743" t="s">
        <v>174</v>
      </c>
      <c r="AJ743" t="s">
        <v>230</v>
      </c>
      <c r="AK743" t="s">
        <v>186</v>
      </c>
      <c r="AL743" t="s">
        <v>1081</v>
      </c>
      <c r="AM743" t="s">
        <v>917</v>
      </c>
      <c r="AN743" t="s">
        <v>231</v>
      </c>
      <c r="AO743" t="s">
        <v>1082</v>
      </c>
      <c r="AP743" t="s">
        <v>1037</v>
      </c>
      <c r="AQ743" t="s">
        <v>1102</v>
      </c>
      <c r="AR743" t="s">
        <v>1038</v>
      </c>
      <c r="AS743" t="s">
        <v>976</v>
      </c>
      <c r="AT743" t="s">
        <v>143</v>
      </c>
      <c r="AU743" t="s">
        <v>756</v>
      </c>
      <c r="AV743" t="s">
        <v>757</v>
      </c>
      <c r="AW743" t="s">
        <v>1014</v>
      </c>
      <c r="AX743" t="s">
        <v>233</v>
      </c>
      <c r="AY743" t="s">
        <v>973</v>
      </c>
      <c r="AZ743" t="s">
        <v>2339</v>
      </c>
      <c r="BA743" t="s">
        <v>234</v>
      </c>
      <c r="BB743" t="s">
        <v>544</v>
      </c>
      <c r="BC743" t="s">
        <v>925</v>
      </c>
      <c r="BD743" t="s">
        <v>1577</v>
      </c>
      <c r="BE743" t="s">
        <v>239</v>
      </c>
      <c r="BF743" t="s">
        <v>241</v>
      </c>
      <c r="BG743" t="s">
        <v>269</v>
      </c>
      <c r="BH743" t="s">
        <v>382</v>
      </c>
      <c r="BI743" t="s">
        <v>955</v>
      </c>
      <c r="BJ743" t="s">
        <v>542</v>
      </c>
      <c r="BK743" t="s">
        <v>267</v>
      </c>
      <c r="BL743" t="s">
        <v>770</v>
      </c>
      <c r="BM743" t="s">
        <v>446</v>
      </c>
      <c r="BN743" t="s">
        <v>145</v>
      </c>
      <c r="BO743" t="s">
        <v>544</v>
      </c>
      <c r="BP743" t="s">
        <v>954</v>
      </c>
      <c r="BQ743" t="s">
        <v>805</v>
      </c>
      <c r="BR743" t="s">
        <v>806</v>
      </c>
    </row>
    <row r="744" spans="1:100">
      <c r="A744" s="40">
        <v>694</v>
      </c>
      <c r="B744" s="40" t="s">
        <v>2821</v>
      </c>
      <c r="C744" s="2" t="s">
        <v>2822</v>
      </c>
      <c r="D744" s="2" t="s">
        <v>17</v>
      </c>
      <c r="E744" s="2" t="s">
        <v>24</v>
      </c>
      <c r="F744" s="2">
        <v>44</v>
      </c>
      <c r="G744" s="2">
        <v>38</v>
      </c>
      <c r="H744" s="2">
        <v>33</v>
      </c>
      <c r="I744" s="2">
        <v>61</v>
      </c>
      <c r="J744" s="2">
        <v>43</v>
      </c>
      <c r="K744" s="2">
        <v>70</v>
      </c>
      <c r="L744" s="2">
        <v>289</v>
      </c>
      <c r="M744" s="2" t="s">
        <v>1112</v>
      </c>
      <c r="N744" s="2" t="s">
        <v>1061</v>
      </c>
      <c r="O744" t="s">
        <v>376</v>
      </c>
      <c r="P744" t="s">
        <v>266</v>
      </c>
      <c r="Q744" t="s">
        <v>346</v>
      </c>
      <c r="R744" t="s">
        <v>1140</v>
      </c>
      <c r="S744" t="s">
        <v>755</v>
      </c>
      <c r="T744" t="s">
        <v>310</v>
      </c>
      <c r="U744" t="s">
        <v>332</v>
      </c>
      <c r="V744" t="s">
        <v>2388</v>
      </c>
      <c r="W744" t="s">
        <v>322</v>
      </c>
      <c r="X744" t="s">
        <v>1021</v>
      </c>
      <c r="Y744" t="s">
        <v>1045</v>
      </c>
      <c r="Z744" t="s">
        <v>2350</v>
      </c>
      <c r="AA744" t="s">
        <v>146</v>
      </c>
      <c r="AB744" t="s">
        <v>1062</v>
      </c>
      <c r="AC744" t="s">
        <v>226</v>
      </c>
      <c r="AD744" t="s">
        <v>144</v>
      </c>
      <c r="AE744" t="s">
        <v>1063</v>
      </c>
      <c r="AF744" t="s">
        <v>148</v>
      </c>
      <c r="AG744" t="s">
        <v>172</v>
      </c>
      <c r="AH744" t="s">
        <v>228</v>
      </c>
      <c r="AI744" t="s">
        <v>1078</v>
      </c>
      <c r="AJ744" t="s">
        <v>766</v>
      </c>
      <c r="AK744" t="s">
        <v>1079</v>
      </c>
      <c r="AL744" t="s">
        <v>146</v>
      </c>
      <c r="AM744" t="s">
        <v>321</v>
      </c>
      <c r="AN744" t="s">
        <v>1080</v>
      </c>
      <c r="AO744" t="s">
        <v>256</v>
      </c>
      <c r="AP744" t="s">
        <v>230</v>
      </c>
      <c r="AQ744" t="s">
        <v>765</v>
      </c>
      <c r="AR744" t="s">
        <v>1095</v>
      </c>
      <c r="AS744" t="s">
        <v>917</v>
      </c>
      <c r="AT744" t="s">
        <v>231</v>
      </c>
      <c r="AU744" t="s">
        <v>1082</v>
      </c>
      <c r="AV744" t="s">
        <v>1172</v>
      </c>
      <c r="AW744" t="s">
        <v>1037</v>
      </c>
      <c r="AX744" t="s">
        <v>963</v>
      </c>
      <c r="AY744" t="s">
        <v>232</v>
      </c>
      <c r="AZ744" t="s">
        <v>1045</v>
      </c>
      <c r="BA744" t="s">
        <v>322</v>
      </c>
      <c r="BB744" t="s">
        <v>785</v>
      </c>
      <c r="BC744" t="s">
        <v>1021</v>
      </c>
      <c r="BD744" t="s">
        <v>143</v>
      </c>
      <c r="BE744" t="s">
        <v>1022</v>
      </c>
      <c r="BF744" t="s">
        <v>977</v>
      </c>
      <c r="BG744" t="s">
        <v>756</v>
      </c>
      <c r="BH744" t="s">
        <v>757</v>
      </c>
      <c r="BI744" t="s">
        <v>1014</v>
      </c>
      <c r="BJ744" t="s">
        <v>233</v>
      </c>
      <c r="BK744" t="s">
        <v>1047</v>
      </c>
      <c r="BL744" t="s">
        <v>1157</v>
      </c>
      <c r="BM744" t="s">
        <v>2339</v>
      </c>
      <c r="BN744" t="s">
        <v>234</v>
      </c>
      <c r="BO744" t="s">
        <v>306</v>
      </c>
      <c r="BP744" t="s">
        <v>139</v>
      </c>
      <c r="BQ744" t="s">
        <v>1226</v>
      </c>
      <c r="BR744" t="s">
        <v>239</v>
      </c>
      <c r="BS744" t="s">
        <v>241</v>
      </c>
      <c r="BT744" t="s">
        <v>805</v>
      </c>
      <c r="BU744" t="s">
        <v>806</v>
      </c>
    </row>
    <row r="745" spans="1:100">
      <c r="A745" s="40">
        <v>695</v>
      </c>
      <c r="B745" s="40" t="s">
        <v>2823</v>
      </c>
      <c r="C745" s="2" t="s">
        <v>2824</v>
      </c>
      <c r="D745" s="2" t="s">
        <v>17</v>
      </c>
      <c r="E745" s="2" t="s">
        <v>24</v>
      </c>
      <c r="F745" s="2">
        <v>62</v>
      </c>
      <c r="G745" s="2">
        <v>55</v>
      </c>
      <c r="H745" s="2">
        <v>52</v>
      </c>
      <c r="I745" s="2">
        <v>109</v>
      </c>
      <c r="J745" s="2">
        <v>94</v>
      </c>
      <c r="K745" s="2">
        <v>109</v>
      </c>
      <c r="L745" s="2">
        <v>481</v>
      </c>
      <c r="M745" s="2" t="s">
        <v>1145</v>
      </c>
      <c r="N745" s="2" t="s">
        <v>1061</v>
      </c>
      <c r="O745" t="s">
        <v>321</v>
      </c>
      <c r="P745" t="s">
        <v>2346</v>
      </c>
      <c r="Q745" t="s">
        <v>1062</v>
      </c>
      <c r="R745" t="s">
        <v>226</v>
      </c>
      <c r="S745" t="s">
        <v>144</v>
      </c>
      <c r="T745" t="s">
        <v>1063</v>
      </c>
      <c r="U745" t="s">
        <v>148</v>
      </c>
      <c r="V745" t="s">
        <v>172</v>
      </c>
      <c r="W745" t="s">
        <v>247</v>
      </c>
      <c r="X745" t="s">
        <v>228</v>
      </c>
      <c r="Y745" t="s">
        <v>1078</v>
      </c>
      <c r="Z745" t="s">
        <v>766</v>
      </c>
      <c r="AA745" t="s">
        <v>1079</v>
      </c>
      <c r="AB745" t="s">
        <v>146</v>
      </c>
      <c r="AC745" t="s">
        <v>321</v>
      </c>
      <c r="AD745" t="s">
        <v>1080</v>
      </c>
      <c r="AE745" t="s">
        <v>256</v>
      </c>
      <c r="AF745" t="s">
        <v>230</v>
      </c>
      <c r="AG745" t="s">
        <v>765</v>
      </c>
      <c r="AH745" t="s">
        <v>1095</v>
      </c>
      <c r="AI745" t="s">
        <v>917</v>
      </c>
      <c r="AJ745" t="s">
        <v>231</v>
      </c>
      <c r="AK745" t="s">
        <v>1082</v>
      </c>
      <c r="AL745" t="s">
        <v>1172</v>
      </c>
      <c r="AM745" t="s">
        <v>1037</v>
      </c>
      <c r="AN745" t="s">
        <v>1102</v>
      </c>
      <c r="AO745" t="s">
        <v>963</v>
      </c>
      <c r="AP745" t="s">
        <v>976</v>
      </c>
      <c r="AQ745" t="s">
        <v>232</v>
      </c>
      <c r="AR745" t="s">
        <v>1045</v>
      </c>
      <c r="AS745" t="s">
        <v>322</v>
      </c>
      <c r="AT745" t="s">
        <v>785</v>
      </c>
      <c r="AU745" t="s">
        <v>1021</v>
      </c>
      <c r="AV745" t="s">
        <v>143</v>
      </c>
      <c r="AW745" t="s">
        <v>1022</v>
      </c>
      <c r="AX745" t="s">
        <v>977</v>
      </c>
      <c r="AY745" t="s">
        <v>756</v>
      </c>
      <c r="AZ745" t="s">
        <v>757</v>
      </c>
      <c r="BA745" t="s">
        <v>1014</v>
      </c>
      <c r="BB745" t="s">
        <v>233</v>
      </c>
      <c r="BC745" t="s">
        <v>1047</v>
      </c>
      <c r="BD745" t="s">
        <v>1157</v>
      </c>
      <c r="BE745" t="s">
        <v>2339</v>
      </c>
      <c r="BF745" t="s">
        <v>234</v>
      </c>
      <c r="BG745" t="s">
        <v>306</v>
      </c>
      <c r="BH745" t="s">
        <v>139</v>
      </c>
      <c r="BI745" t="s">
        <v>1226</v>
      </c>
      <c r="BJ745" t="s">
        <v>239</v>
      </c>
      <c r="BK745" t="s">
        <v>241</v>
      </c>
      <c r="BL745" t="s">
        <v>376</v>
      </c>
      <c r="BM745" t="s">
        <v>266</v>
      </c>
      <c r="BN745" t="s">
        <v>346</v>
      </c>
      <c r="BO745" t="s">
        <v>1140</v>
      </c>
      <c r="BP745" t="s">
        <v>755</v>
      </c>
      <c r="BQ745" t="s">
        <v>310</v>
      </c>
      <c r="BR745" t="s">
        <v>332</v>
      </c>
      <c r="BS745" t="s">
        <v>2388</v>
      </c>
      <c r="BT745" t="s">
        <v>322</v>
      </c>
      <c r="BU745" t="s">
        <v>1021</v>
      </c>
      <c r="BV745" t="s">
        <v>1045</v>
      </c>
      <c r="BW745" t="s">
        <v>2350</v>
      </c>
      <c r="BX745" t="s">
        <v>146</v>
      </c>
      <c r="BY745" t="s">
        <v>805</v>
      </c>
      <c r="BZ745" t="s">
        <v>806</v>
      </c>
    </row>
    <row r="746" spans="1:100">
      <c r="A746" s="40">
        <v>696</v>
      </c>
      <c r="B746" s="40" t="s">
        <v>2825</v>
      </c>
      <c r="C746" s="2" t="s">
        <v>2826</v>
      </c>
      <c r="D746" s="2" t="s">
        <v>25</v>
      </c>
      <c r="E746" s="2" t="s">
        <v>16</v>
      </c>
      <c r="F746" s="2">
        <v>58</v>
      </c>
      <c r="G746" s="2">
        <v>89</v>
      </c>
      <c r="H746" s="2">
        <v>77</v>
      </c>
      <c r="I746" s="2">
        <v>45</v>
      </c>
      <c r="J746" s="2">
        <v>45</v>
      </c>
      <c r="K746" s="2">
        <v>48</v>
      </c>
      <c r="L746" s="2">
        <v>362</v>
      </c>
      <c r="M746" s="2" t="s">
        <v>1162</v>
      </c>
      <c r="N746" s="2" t="s">
        <v>1061</v>
      </c>
      <c r="O746" t="s">
        <v>219</v>
      </c>
      <c r="P746" t="s">
        <v>266</v>
      </c>
      <c r="Q746" t="s">
        <v>246</v>
      </c>
      <c r="R746" t="s">
        <v>493</v>
      </c>
      <c r="S746" t="s">
        <v>347</v>
      </c>
      <c r="T746" t="s">
        <v>1007</v>
      </c>
      <c r="U746" t="s">
        <v>258</v>
      </c>
      <c r="V746" t="s">
        <v>781</v>
      </c>
      <c r="W746" t="s">
        <v>170</v>
      </c>
      <c r="X746" t="s">
        <v>1022</v>
      </c>
      <c r="Y746" t="s">
        <v>777</v>
      </c>
      <c r="Z746" t="s">
        <v>1093</v>
      </c>
      <c r="AA746" t="s">
        <v>373</v>
      </c>
      <c r="AB746" t="s">
        <v>136</v>
      </c>
      <c r="AC746" t="s">
        <v>368</v>
      </c>
      <c r="AD746" t="s">
        <v>1062</v>
      </c>
      <c r="AE746" t="s">
        <v>227</v>
      </c>
      <c r="AF746" t="s">
        <v>1063</v>
      </c>
      <c r="AG746" t="s">
        <v>1030</v>
      </c>
      <c r="AH746" t="s">
        <v>1093</v>
      </c>
      <c r="AI746" t="s">
        <v>246</v>
      </c>
      <c r="AJ746" t="s">
        <v>148</v>
      </c>
      <c r="AK746" t="s">
        <v>172</v>
      </c>
      <c r="AL746" t="s">
        <v>752</v>
      </c>
      <c r="AM746" t="s">
        <v>1078</v>
      </c>
      <c r="AN746" t="s">
        <v>1079</v>
      </c>
      <c r="AO746" t="s">
        <v>136</v>
      </c>
      <c r="AP746" t="s">
        <v>1080</v>
      </c>
      <c r="AQ746" t="s">
        <v>256</v>
      </c>
      <c r="AR746" t="s">
        <v>1094</v>
      </c>
      <c r="AS746" t="s">
        <v>230</v>
      </c>
      <c r="AT746" t="s">
        <v>765</v>
      </c>
      <c r="AU746" t="s">
        <v>1095</v>
      </c>
      <c r="AV746" t="s">
        <v>1096</v>
      </c>
      <c r="AW746" t="s">
        <v>917</v>
      </c>
      <c r="AX746" t="s">
        <v>231</v>
      </c>
      <c r="AY746" t="s">
        <v>1082</v>
      </c>
      <c r="AZ746" t="s">
        <v>1037</v>
      </c>
      <c r="BA746" t="s">
        <v>1003</v>
      </c>
      <c r="BB746" t="s">
        <v>183</v>
      </c>
      <c r="BC746" t="s">
        <v>1021</v>
      </c>
      <c r="BD746" t="s">
        <v>143</v>
      </c>
      <c r="BE746" t="s">
        <v>1022</v>
      </c>
      <c r="BF746" t="s">
        <v>756</v>
      </c>
      <c r="BG746" t="s">
        <v>757</v>
      </c>
      <c r="BH746" t="s">
        <v>233</v>
      </c>
      <c r="BI746" t="s">
        <v>760</v>
      </c>
      <c r="BJ746" t="s">
        <v>1157</v>
      </c>
      <c r="BK746" t="s">
        <v>2339</v>
      </c>
      <c r="BL746" t="s">
        <v>234</v>
      </c>
      <c r="BM746" t="s">
        <v>751</v>
      </c>
      <c r="BN746" t="s">
        <v>935</v>
      </c>
      <c r="BO746" t="s">
        <v>915</v>
      </c>
      <c r="BP746" t="s">
        <v>1010</v>
      </c>
      <c r="BQ746" t="s">
        <v>983</v>
      </c>
      <c r="BR746" t="s">
        <v>182</v>
      </c>
      <c r="BS746" t="s">
        <v>239</v>
      </c>
      <c r="BT746" t="s">
        <v>241</v>
      </c>
      <c r="BU746" t="s">
        <v>805</v>
      </c>
      <c r="BV746" t="s">
        <v>806</v>
      </c>
    </row>
    <row r="747" spans="1:100">
      <c r="A747" s="40">
        <v>697</v>
      </c>
      <c r="B747" s="40" t="s">
        <v>2827</v>
      </c>
      <c r="C747" s="2" t="s">
        <v>2828</v>
      </c>
      <c r="D747" s="2" t="s">
        <v>25</v>
      </c>
      <c r="E747" s="2" t="s">
        <v>16</v>
      </c>
      <c r="F747" s="2">
        <v>82</v>
      </c>
      <c r="G747" s="2">
        <v>121</v>
      </c>
      <c r="H747" s="2">
        <v>119</v>
      </c>
      <c r="I747" s="2">
        <v>69</v>
      </c>
      <c r="J747" s="2">
        <v>59</v>
      </c>
      <c r="K747" s="2">
        <v>71</v>
      </c>
      <c r="L747" s="2">
        <v>521</v>
      </c>
      <c r="M747" s="2" t="s">
        <v>1089</v>
      </c>
      <c r="N747" s="2" t="s">
        <v>1061</v>
      </c>
      <c r="O747" t="s">
        <v>1093</v>
      </c>
      <c r="P747" t="s">
        <v>373</v>
      </c>
      <c r="Q747" t="s">
        <v>136</v>
      </c>
      <c r="R747" t="s">
        <v>368</v>
      </c>
      <c r="S747" t="s">
        <v>800</v>
      </c>
      <c r="T747" t="s">
        <v>143</v>
      </c>
      <c r="U747" t="s">
        <v>976</v>
      </c>
      <c r="V747" t="s">
        <v>1062</v>
      </c>
      <c r="W747" t="s">
        <v>227</v>
      </c>
      <c r="X747" t="s">
        <v>1063</v>
      </c>
      <c r="Y747" t="s">
        <v>1030</v>
      </c>
      <c r="Z747" t="s">
        <v>1093</v>
      </c>
      <c r="AA747" t="s">
        <v>246</v>
      </c>
      <c r="AB747" t="s">
        <v>148</v>
      </c>
      <c r="AC747" t="s">
        <v>172</v>
      </c>
      <c r="AD747" t="s">
        <v>752</v>
      </c>
      <c r="AE747" t="s">
        <v>247</v>
      </c>
      <c r="AF747" t="s">
        <v>1078</v>
      </c>
      <c r="AG747" t="s">
        <v>1079</v>
      </c>
      <c r="AH747" t="s">
        <v>136</v>
      </c>
      <c r="AI747" t="s">
        <v>1080</v>
      </c>
      <c r="AJ747" t="s">
        <v>256</v>
      </c>
      <c r="AK747" t="s">
        <v>1094</v>
      </c>
      <c r="AL747" t="s">
        <v>230</v>
      </c>
      <c r="AM747" t="s">
        <v>765</v>
      </c>
      <c r="AN747" t="s">
        <v>1095</v>
      </c>
      <c r="AO747" t="s">
        <v>1096</v>
      </c>
      <c r="AP747" t="s">
        <v>917</v>
      </c>
      <c r="AQ747" t="s">
        <v>231</v>
      </c>
      <c r="AR747" t="s">
        <v>1082</v>
      </c>
      <c r="AS747" t="s">
        <v>1037</v>
      </c>
      <c r="AT747" t="s">
        <v>976</v>
      </c>
      <c r="AU747" t="s">
        <v>1003</v>
      </c>
      <c r="AV747" t="s">
        <v>183</v>
      </c>
      <c r="AW747" t="s">
        <v>1021</v>
      </c>
      <c r="AX747" t="s">
        <v>143</v>
      </c>
      <c r="AY747" t="s">
        <v>1022</v>
      </c>
      <c r="AZ747" t="s">
        <v>756</v>
      </c>
      <c r="BA747" t="s">
        <v>757</v>
      </c>
      <c r="BB747" t="s">
        <v>233</v>
      </c>
      <c r="BC747" t="s">
        <v>760</v>
      </c>
      <c r="BD747" t="s">
        <v>1157</v>
      </c>
      <c r="BE747" t="s">
        <v>2339</v>
      </c>
      <c r="BF747" t="s">
        <v>234</v>
      </c>
      <c r="BG747" t="s">
        <v>751</v>
      </c>
      <c r="BH747" t="s">
        <v>935</v>
      </c>
      <c r="BI747" t="s">
        <v>915</v>
      </c>
      <c r="BJ747" t="s">
        <v>1010</v>
      </c>
      <c r="BK747" t="s">
        <v>983</v>
      </c>
      <c r="BL747" t="s">
        <v>182</v>
      </c>
      <c r="BM747" t="s">
        <v>239</v>
      </c>
      <c r="BN747" t="s">
        <v>241</v>
      </c>
      <c r="BO747" t="s">
        <v>219</v>
      </c>
      <c r="BP747" t="s">
        <v>266</v>
      </c>
      <c r="BQ747" t="s">
        <v>246</v>
      </c>
      <c r="BR747" t="s">
        <v>493</v>
      </c>
      <c r="BS747" t="s">
        <v>347</v>
      </c>
      <c r="BT747" t="s">
        <v>1007</v>
      </c>
      <c r="BU747" t="s">
        <v>258</v>
      </c>
      <c r="BV747" t="s">
        <v>781</v>
      </c>
      <c r="BW747" t="s">
        <v>170</v>
      </c>
      <c r="BX747" t="s">
        <v>1022</v>
      </c>
      <c r="BY747" t="s">
        <v>777</v>
      </c>
      <c r="BZ747" t="s">
        <v>805</v>
      </c>
      <c r="CA747" t="s">
        <v>806</v>
      </c>
    </row>
    <row r="748" spans="1:100">
      <c r="A748" s="40">
        <v>698</v>
      </c>
      <c r="B748" s="40" t="s">
        <v>2829</v>
      </c>
      <c r="C748" s="2" t="s">
        <v>2830</v>
      </c>
      <c r="D748" s="2" t="s">
        <v>25</v>
      </c>
      <c r="E748" s="2" t="s">
        <v>23</v>
      </c>
      <c r="F748" s="2">
        <v>77</v>
      </c>
      <c r="G748" s="2">
        <v>59</v>
      </c>
      <c r="H748" s="2">
        <v>50</v>
      </c>
      <c r="I748" s="2">
        <v>67</v>
      </c>
      <c r="J748" s="2">
        <v>63</v>
      </c>
      <c r="K748" s="2">
        <v>46</v>
      </c>
      <c r="L748" s="2">
        <v>362</v>
      </c>
      <c r="M748" s="2" t="s">
        <v>1141</v>
      </c>
      <c r="N748" s="2" t="s">
        <v>1061</v>
      </c>
      <c r="O748" t="s">
        <v>220</v>
      </c>
      <c r="P748" t="s">
        <v>1228</v>
      </c>
      <c r="Q748" t="s">
        <v>322</v>
      </c>
      <c r="R748" t="s">
        <v>483</v>
      </c>
      <c r="S748" t="s">
        <v>769</v>
      </c>
      <c r="T748" t="s">
        <v>223</v>
      </c>
      <c r="U748" t="s">
        <v>273</v>
      </c>
      <c r="V748" t="s">
        <v>478</v>
      </c>
      <c r="W748" t="s">
        <v>170</v>
      </c>
      <c r="X748" t="s">
        <v>1037</v>
      </c>
      <c r="Y748" t="s">
        <v>1214</v>
      </c>
      <c r="Z748" t="s">
        <v>1104</v>
      </c>
      <c r="AA748" t="s">
        <v>1087</v>
      </c>
      <c r="AB748" t="s">
        <v>779</v>
      </c>
      <c r="AC748" t="s">
        <v>228</v>
      </c>
      <c r="AD748" t="s">
        <v>141</v>
      </c>
      <c r="AE748" t="s">
        <v>247</v>
      </c>
      <c r="AF748" t="s">
        <v>271</v>
      </c>
      <c r="AG748" t="s">
        <v>1062</v>
      </c>
      <c r="AH748" t="s">
        <v>1063</v>
      </c>
      <c r="AI748" t="s">
        <v>912</v>
      </c>
      <c r="AJ748" t="s">
        <v>246</v>
      </c>
      <c r="AK748" t="s">
        <v>148</v>
      </c>
      <c r="AL748" t="s">
        <v>1104</v>
      </c>
      <c r="AM748" t="s">
        <v>172</v>
      </c>
      <c r="AN748" t="s">
        <v>141</v>
      </c>
      <c r="AO748" t="s">
        <v>271</v>
      </c>
      <c r="AP748" t="s">
        <v>228</v>
      </c>
      <c r="AQ748" t="s">
        <v>1078</v>
      </c>
      <c r="AR748" t="s">
        <v>766</v>
      </c>
      <c r="AS748" t="s">
        <v>759</v>
      </c>
      <c r="AT748" t="s">
        <v>1079</v>
      </c>
      <c r="AU748" t="s">
        <v>146</v>
      </c>
      <c r="AV748" t="s">
        <v>1080</v>
      </c>
      <c r="AW748" t="s">
        <v>230</v>
      </c>
      <c r="AX748" t="s">
        <v>380</v>
      </c>
      <c r="AY748" t="s">
        <v>765</v>
      </c>
      <c r="AZ748" t="s">
        <v>1095</v>
      </c>
      <c r="BA748" t="s">
        <v>917</v>
      </c>
      <c r="BB748" t="s">
        <v>231</v>
      </c>
      <c r="BC748" t="s">
        <v>1082</v>
      </c>
      <c r="BD748" t="s">
        <v>1037</v>
      </c>
      <c r="BE748" t="s">
        <v>1083</v>
      </c>
      <c r="BF748" t="s">
        <v>963</v>
      </c>
      <c r="BG748" t="s">
        <v>1003</v>
      </c>
      <c r="BH748" t="s">
        <v>232</v>
      </c>
      <c r="BI748" t="s">
        <v>183</v>
      </c>
      <c r="BJ748" t="s">
        <v>322</v>
      </c>
      <c r="BK748" t="s">
        <v>785</v>
      </c>
      <c r="BL748" t="s">
        <v>1021</v>
      </c>
      <c r="BM748" t="s">
        <v>1027</v>
      </c>
      <c r="BN748" t="s">
        <v>143</v>
      </c>
      <c r="BO748" t="s">
        <v>1022</v>
      </c>
      <c r="BP748" t="s">
        <v>293</v>
      </c>
      <c r="BQ748" t="s">
        <v>756</v>
      </c>
      <c r="BR748" t="s">
        <v>757</v>
      </c>
      <c r="BS748" t="s">
        <v>233</v>
      </c>
      <c r="BT748" t="s">
        <v>973</v>
      </c>
      <c r="BU748" t="s">
        <v>760</v>
      </c>
      <c r="BV748" t="s">
        <v>1087</v>
      </c>
      <c r="BW748" t="s">
        <v>1157</v>
      </c>
      <c r="BX748" t="s">
        <v>2339</v>
      </c>
      <c r="BY748" t="s">
        <v>234</v>
      </c>
      <c r="BZ748" t="s">
        <v>272</v>
      </c>
      <c r="CA748" t="s">
        <v>772</v>
      </c>
      <c r="CB748" t="s">
        <v>1138</v>
      </c>
      <c r="CC748" t="s">
        <v>239</v>
      </c>
      <c r="CD748" t="s">
        <v>241</v>
      </c>
      <c r="CE748" t="s">
        <v>805</v>
      </c>
      <c r="CF748" t="s">
        <v>806</v>
      </c>
    </row>
    <row r="749" spans="1:100">
      <c r="A749" s="40">
        <v>699</v>
      </c>
      <c r="B749" s="40" t="s">
        <v>2831</v>
      </c>
      <c r="C749" s="2" t="s">
        <v>2832</v>
      </c>
      <c r="D749" s="2" t="s">
        <v>25</v>
      </c>
      <c r="E749" s="2" t="s">
        <v>23</v>
      </c>
      <c r="F749" s="2">
        <v>123</v>
      </c>
      <c r="G749" s="2">
        <v>77</v>
      </c>
      <c r="H749" s="2">
        <v>72</v>
      </c>
      <c r="I749" s="2">
        <v>99</v>
      </c>
      <c r="J749" s="2">
        <v>92</v>
      </c>
      <c r="K749" s="2">
        <v>58</v>
      </c>
      <c r="L749" s="2">
        <v>521</v>
      </c>
      <c r="M749" s="2" t="s">
        <v>1168</v>
      </c>
      <c r="N749" s="2" t="s">
        <v>1061</v>
      </c>
      <c r="O749" t="s">
        <v>1087</v>
      </c>
      <c r="P749" t="s">
        <v>779</v>
      </c>
      <c r="Q749" t="s">
        <v>228</v>
      </c>
      <c r="R749" t="s">
        <v>141</v>
      </c>
      <c r="S749" t="s">
        <v>247</v>
      </c>
      <c r="T749" t="s">
        <v>271</v>
      </c>
      <c r="U749" t="s">
        <v>2363</v>
      </c>
      <c r="V749" t="s">
        <v>1062</v>
      </c>
      <c r="W749" t="s">
        <v>1063</v>
      </c>
      <c r="X749" t="s">
        <v>912</v>
      </c>
      <c r="Y749" t="s">
        <v>246</v>
      </c>
      <c r="Z749" t="s">
        <v>148</v>
      </c>
      <c r="AA749" t="s">
        <v>1104</v>
      </c>
      <c r="AB749" t="s">
        <v>172</v>
      </c>
      <c r="AC749" t="s">
        <v>141</v>
      </c>
      <c r="AD749" t="s">
        <v>271</v>
      </c>
      <c r="AE749" t="s">
        <v>247</v>
      </c>
      <c r="AF749" t="s">
        <v>228</v>
      </c>
      <c r="AG749" t="s">
        <v>1078</v>
      </c>
      <c r="AH749" t="s">
        <v>766</v>
      </c>
      <c r="AI749" t="s">
        <v>759</v>
      </c>
      <c r="AJ749" t="s">
        <v>1079</v>
      </c>
      <c r="AK749" t="s">
        <v>146</v>
      </c>
      <c r="AL749" t="s">
        <v>321</v>
      </c>
      <c r="AM749" t="s">
        <v>136</v>
      </c>
      <c r="AN749" t="s">
        <v>1080</v>
      </c>
      <c r="AO749" t="s">
        <v>9</v>
      </c>
      <c r="AP749" t="s">
        <v>230</v>
      </c>
      <c r="AQ749" t="s">
        <v>380</v>
      </c>
      <c r="AR749" t="s">
        <v>765</v>
      </c>
      <c r="AS749" t="s">
        <v>1095</v>
      </c>
      <c r="AT749" t="s">
        <v>917</v>
      </c>
      <c r="AU749" t="s">
        <v>231</v>
      </c>
      <c r="AV749" t="s">
        <v>1082</v>
      </c>
      <c r="AW749" t="s">
        <v>1037</v>
      </c>
      <c r="AX749" t="s">
        <v>1083</v>
      </c>
      <c r="AY749" t="s">
        <v>963</v>
      </c>
      <c r="AZ749" t="s">
        <v>976</v>
      </c>
      <c r="BA749" t="s">
        <v>1003</v>
      </c>
      <c r="BB749" t="s">
        <v>232</v>
      </c>
      <c r="BC749" t="s">
        <v>183</v>
      </c>
      <c r="BD749" t="s">
        <v>322</v>
      </c>
      <c r="BE749" t="s">
        <v>785</v>
      </c>
      <c r="BF749" t="s">
        <v>1021</v>
      </c>
      <c r="BG749" t="s">
        <v>1027</v>
      </c>
      <c r="BH749" t="s">
        <v>143</v>
      </c>
      <c r="BI749" t="s">
        <v>1022</v>
      </c>
      <c r="BJ749" t="s">
        <v>293</v>
      </c>
      <c r="BK749" t="s">
        <v>756</v>
      </c>
      <c r="BL749" t="s">
        <v>757</v>
      </c>
      <c r="BM749" t="s">
        <v>233</v>
      </c>
      <c r="BN749" t="s">
        <v>973</v>
      </c>
      <c r="BO749" t="s">
        <v>760</v>
      </c>
      <c r="BP749" t="s">
        <v>1087</v>
      </c>
      <c r="BQ749" t="s">
        <v>1157</v>
      </c>
      <c r="BR749" t="s">
        <v>2339</v>
      </c>
      <c r="BS749" t="s">
        <v>234</v>
      </c>
      <c r="BT749" t="s">
        <v>272</v>
      </c>
      <c r="BU749" t="s">
        <v>772</v>
      </c>
      <c r="BV749" t="s">
        <v>1138</v>
      </c>
      <c r="BW749" t="s">
        <v>239</v>
      </c>
      <c r="BX749" t="s">
        <v>241</v>
      </c>
      <c r="BY749" t="s">
        <v>220</v>
      </c>
      <c r="BZ749" t="s">
        <v>1228</v>
      </c>
      <c r="CA749" t="s">
        <v>322</v>
      </c>
      <c r="CB749" t="s">
        <v>483</v>
      </c>
      <c r="CC749" t="s">
        <v>769</v>
      </c>
      <c r="CD749" t="s">
        <v>223</v>
      </c>
      <c r="CE749" t="s">
        <v>273</v>
      </c>
      <c r="CF749" t="s">
        <v>478</v>
      </c>
      <c r="CG749" t="s">
        <v>170</v>
      </c>
      <c r="CH749" t="s">
        <v>1037</v>
      </c>
      <c r="CI749" t="s">
        <v>1214</v>
      </c>
      <c r="CJ749" t="s">
        <v>1104</v>
      </c>
      <c r="CK749" t="s">
        <v>805</v>
      </c>
      <c r="CL749" t="s">
        <v>806</v>
      </c>
    </row>
    <row r="750" spans="1:100">
      <c r="A750" s="40">
        <v>700</v>
      </c>
      <c r="B750" s="40" t="s">
        <v>2833</v>
      </c>
      <c r="C750" s="2" t="s">
        <v>2834</v>
      </c>
      <c r="D750" s="2" t="s">
        <v>894</v>
      </c>
      <c r="E750" s="2"/>
      <c r="F750" s="2">
        <v>95</v>
      </c>
      <c r="G750" s="2">
        <v>65</v>
      </c>
      <c r="H750" s="2">
        <v>65</v>
      </c>
      <c r="I750" s="2">
        <v>110</v>
      </c>
      <c r="J750" s="2">
        <v>130</v>
      </c>
      <c r="K750" s="2">
        <v>60</v>
      </c>
      <c r="L750" s="2">
        <v>525</v>
      </c>
      <c r="M750" s="2" t="s">
        <v>1129</v>
      </c>
      <c r="N750" s="2" t="s">
        <v>1061</v>
      </c>
      <c r="O750" t="s">
        <v>219</v>
      </c>
      <c r="P750" t="s">
        <v>266</v>
      </c>
      <c r="Q750" t="s">
        <v>220</v>
      </c>
      <c r="R750" t="s">
        <v>781</v>
      </c>
      <c r="S750" t="s">
        <v>925</v>
      </c>
      <c r="T750" t="s">
        <v>2343</v>
      </c>
      <c r="U750" t="s">
        <v>309</v>
      </c>
      <c r="V750" t="s">
        <v>2344</v>
      </c>
      <c r="W750" t="s">
        <v>941</v>
      </c>
      <c r="X750" t="s">
        <v>2379</v>
      </c>
      <c r="Y750" t="s">
        <v>228</v>
      </c>
      <c r="Z750" t="s">
        <v>2381</v>
      </c>
      <c r="AA750" t="s">
        <v>986</v>
      </c>
      <c r="AB750" t="s">
        <v>785</v>
      </c>
      <c r="AC750" t="s">
        <v>1062</v>
      </c>
      <c r="AD750" t="s">
        <v>1063</v>
      </c>
      <c r="AE750" t="s">
        <v>1151</v>
      </c>
      <c r="AF750" t="s">
        <v>912</v>
      </c>
      <c r="AG750" t="s">
        <v>148</v>
      </c>
      <c r="AH750" t="s">
        <v>172</v>
      </c>
      <c r="AI750" t="s">
        <v>752</v>
      </c>
      <c r="AJ750" t="s">
        <v>247</v>
      </c>
      <c r="AK750" t="s">
        <v>228</v>
      </c>
      <c r="AL750" t="s">
        <v>1078</v>
      </c>
      <c r="AM750" t="s">
        <v>766</v>
      </c>
      <c r="AN750" t="s">
        <v>759</v>
      </c>
      <c r="AO750" t="s">
        <v>1079</v>
      </c>
      <c r="AP750" t="s">
        <v>1080</v>
      </c>
      <c r="AQ750" t="s">
        <v>256</v>
      </c>
      <c r="AR750" t="s">
        <v>174</v>
      </c>
      <c r="AS750" t="s">
        <v>230</v>
      </c>
      <c r="AT750" t="s">
        <v>380</v>
      </c>
      <c r="AU750" t="s">
        <v>917</v>
      </c>
      <c r="AV750" t="s">
        <v>231</v>
      </c>
      <c r="AW750" t="s">
        <v>1082</v>
      </c>
      <c r="AX750" t="s">
        <v>1037</v>
      </c>
      <c r="AY750" t="s">
        <v>1083</v>
      </c>
      <c r="AZ750" t="s">
        <v>1036</v>
      </c>
      <c r="BA750" t="s">
        <v>976</v>
      </c>
      <c r="BB750" t="s">
        <v>232</v>
      </c>
      <c r="BC750" t="s">
        <v>785</v>
      </c>
      <c r="BD750" t="s">
        <v>756</v>
      </c>
      <c r="BE750" t="s">
        <v>757</v>
      </c>
      <c r="BF750" t="s">
        <v>233</v>
      </c>
      <c r="BG750" t="s">
        <v>2342</v>
      </c>
      <c r="BH750" t="s">
        <v>2339</v>
      </c>
      <c r="BI750" t="s">
        <v>234</v>
      </c>
      <c r="BJ750" t="s">
        <v>751</v>
      </c>
      <c r="BK750" t="s">
        <v>770</v>
      </c>
      <c r="BL750" t="s">
        <v>1220</v>
      </c>
      <c r="BM750" t="s">
        <v>754</v>
      </c>
      <c r="BN750" t="s">
        <v>781</v>
      </c>
      <c r="BO750" t="s">
        <v>957</v>
      </c>
      <c r="BP750" t="s">
        <v>958</v>
      </c>
      <c r="BQ750" t="s">
        <v>918</v>
      </c>
      <c r="BR750" t="s">
        <v>950</v>
      </c>
      <c r="BS750" t="s">
        <v>913</v>
      </c>
      <c r="BT750" t="s">
        <v>992</v>
      </c>
      <c r="BU750" t="s">
        <v>1043</v>
      </c>
      <c r="BV750" t="s">
        <v>1041</v>
      </c>
      <c r="BW750" t="s">
        <v>239</v>
      </c>
      <c r="BX750" t="s">
        <v>241</v>
      </c>
      <c r="BY750" t="s">
        <v>2333</v>
      </c>
      <c r="BZ750" t="s">
        <v>310</v>
      </c>
      <c r="CA750" t="s">
        <v>258</v>
      </c>
      <c r="CB750" t="s">
        <v>913</v>
      </c>
      <c r="CC750" t="s">
        <v>223</v>
      </c>
      <c r="CD750" t="s">
        <v>788</v>
      </c>
      <c r="CE750" t="s">
        <v>225</v>
      </c>
      <c r="CF750" t="s">
        <v>1013</v>
      </c>
      <c r="CG750" t="s">
        <v>805</v>
      </c>
      <c r="CH750" t="s">
        <v>806</v>
      </c>
    </row>
    <row r="751" spans="1:100">
      <c r="A751" s="40">
        <v>701</v>
      </c>
      <c r="B751" s="40" t="s">
        <v>2835</v>
      </c>
      <c r="C751" s="2" t="s">
        <v>2836</v>
      </c>
      <c r="D751" s="2" t="s">
        <v>18</v>
      </c>
      <c r="E751" s="2" t="s">
        <v>20</v>
      </c>
      <c r="F751" s="2">
        <v>78</v>
      </c>
      <c r="G751" s="2">
        <v>92</v>
      </c>
      <c r="H751" s="2">
        <v>75</v>
      </c>
      <c r="I751" s="2">
        <v>74</v>
      </c>
      <c r="J751" s="2">
        <v>63</v>
      </c>
      <c r="K751" s="2">
        <v>118</v>
      </c>
      <c r="L751" s="2">
        <v>500</v>
      </c>
      <c r="M751" s="2" t="s">
        <v>1168</v>
      </c>
      <c r="N751" s="2" t="s">
        <v>1061</v>
      </c>
      <c r="O751" t="s">
        <v>219</v>
      </c>
      <c r="P751" t="s">
        <v>1220</v>
      </c>
      <c r="Q751" t="s">
        <v>1030</v>
      </c>
      <c r="R751" t="s">
        <v>435</v>
      </c>
      <c r="S751" t="s">
        <v>264</v>
      </c>
      <c r="T751" t="s">
        <v>1119</v>
      </c>
      <c r="U751" t="s">
        <v>1096</v>
      </c>
      <c r="V751" t="s">
        <v>779</v>
      </c>
      <c r="W751" t="s">
        <v>974</v>
      </c>
      <c r="X751" t="s">
        <v>2359</v>
      </c>
      <c r="Y751" t="s">
        <v>175</v>
      </c>
      <c r="Z751" t="s">
        <v>916</v>
      </c>
      <c r="AA751" t="s">
        <v>1121</v>
      </c>
      <c r="AB751" t="s">
        <v>566</v>
      </c>
      <c r="AC751" t="s">
        <v>316</v>
      </c>
      <c r="AD751" t="s">
        <v>1039</v>
      </c>
      <c r="AE751" t="s">
        <v>435</v>
      </c>
      <c r="AF751" t="s">
        <v>1062</v>
      </c>
      <c r="AG751" t="s">
        <v>226</v>
      </c>
      <c r="AH751" t="s">
        <v>138</v>
      </c>
      <c r="AI751" t="s">
        <v>227</v>
      </c>
      <c r="AJ751" t="s">
        <v>1063</v>
      </c>
      <c r="AK751" t="s">
        <v>1030</v>
      </c>
      <c r="AL751" t="s">
        <v>148</v>
      </c>
      <c r="AM751" t="s">
        <v>1175</v>
      </c>
      <c r="AN751" t="s">
        <v>172</v>
      </c>
      <c r="AO751" t="s">
        <v>752</v>
      </c>
      <c r="AP751" t="s">
        <v>1126</v>
      </c>
      <c r="AQ751" t="s">
        <v>1078</v>
      </c>
      <c r="AR751" t="s">
        <v>766</v>
      </c>
      <c r="AS751" t="s">
        <v>1119</v>
      </c>
      <c r="AT751" t="s">
        <v>1079</v>
      </c>
      <c r="AU751" t="s">
        <v>1080</v>
      </c>
      <c r="AV751" t="s">
        <v>256</v>
      </c>
      <c r="AW751" t="s">
        <v>1094</v>
      </c>
      <c r="AX751" t="s">
        <v>230</v>
      </c>
      <c r="AY751" t="s">
        <v>1095</v>
      </c>
      <c r="AZ751" t="s">
        <v>1096</v>
      </c>
      <c r="BA751" t="s">
        <v>951</v>
      </c>
      <c r="BB751" t="s">
        <v>917</v>
      </c>
      <c r="BC751" t="s">
        <v>231</v>
      </c>
      <c r="BD751" t="s">
        <v>1082</v>
      </c>
      <c r="BE751" t="s">
        <v>1172</v>
      </c>
      <c r="BF751" t="s">
        <v>1037</v>
      </c>
      <c r="BG751" t="s">
        <v>1125</v>
      </c>
      <c r="BH751" t="s">
        <v>1102</v>
      </c>
      <c r="BI751" t="s">
        <v>776</v>
      </c>
      <c r="BJ751" t="s">
        <v>974</v>
      </c>
      <c r="BK751" t="s">
        <v>1039</v>
      </c>
      <c r="BL751" t="s">
        <v>1020</v>
      </c>
      <c r="BM751" t="s">
        <v>995</v>
      </c>
      <c r="BN751" t="s">
        <v>1036</v>
      </c>
      <c r="BO751" t="s">
        <v>976</v>
      </c>
      <c r="BP751" t="s">
        <v>183</v>
      </c>
      <c r="BQ751" t="s">
        <v>145</v>
      </c>
      <c r="BR751" t="s">
        <v>143</v>
      </c>
      <c r="BS751" t="s">
        <v>1018</v>
      </c>
      <c r="BT751" t="s">
        <v>997</v>
      </c>
      <c r="BU751" t="s">
        <v>977</v>
      </c>
      <c r="BV751" t="s">
        <v>756</v>
      </c>
      <c r="BW751" t="s">
        <v>757</v>
      </c>
      <c r="BX751" t="s">
        <v>1014</v>
      </c>
      <c r="BY751" t="s">
        <v>233</v>
      </c>
      <c r="BZ751" t="s">
        <v>760</v>
      </c>
      <c r="CA751" t="s">
        <v>2398</v>
      </c>
      <c r="CB751" t="s">
        <v>2339</v>
      </c>
      <c r="CC751" t="s">
        <v>234</v>
      </c>
      <c r="CD751" t="s">
        <v>788</v>
      </c>
      <c r="CE751" t="s">
        <v>989</v>
      </c>
      <c r="CF751" t="s">
        <v>1577</v>
      </c>
      <c r="CG751" t="s">
        <v>1035</v>
      </c>
      <c r="CH751" t="s">
        <v>1181</v>
      </c>
      <c r="CI751" t="s">
        <v>239</v>
      </c>
      <c r="CJ751" t="s">
        <v>241</v>
      </c>
      <c r="CK751" t="s">
        <v>805</v>
      </c>
      <c r="CL751" t="s">
        <v>806</v>
      </c>
    </row>
    <row r="752" spans="1:100">
      <c r="A752" s="40">
        <v>702</v>
      </c>
      <c r="B752" s="40" t="s">
        <v>2837</v>
      </c>
      <c r="C752" s="2" t="s">
        <v>2838</v>
      </c>
      <c r="D752" s="2" t="s">
        <v>17</v>
      </c>
      <c r="E752" s="2" t="s">
        <v>894</v>
      </c>
      <c r="F752" s="2">
        <v>67</v>
      </c>
      <c r="G752" s="2">
        <v>58</v>
      </c>
      <c r="H752" s="2">
        <v>57</v>
      </c>
      <c r="I752" s="2">
        <v>81</v>
      </c>
      <c r="J752" s="2">
        <v>67</v>
      </c>
      <c r="K752" s="2">
        <v>101</v>
      </c>
      <c r="L752" s="2">
        <v>431</v>
      </c>
      <c r="M752" s="2" t="s">
        <v>1188</v>
      </c>
      <c r="N752" s="2" t="s">
        <v>1061</v>
      </c>
      <c r="O752" t="s">
        <v>219</v>
      </c>
      <c r="P752" t="s">
        <v>266</v>
      </c>
      <c r="Q752" t="s">
        <v>346</v>
      </c>
      <c r="R752" t="s">
        <v>1140</v>
      </c>
      <c r="S752" t="s">
        <v>781</v>
      </c>
      <c r="T752" t="s">
        <v>2388</v>
      </c>
      <c r="U752" t="s">
        <v>2385</v>
      </c>
      <c r="V752" t="s">
        <v>322</v>
      </c>
      <c r="W752" t="s">
        <v>1045</v>
      </c>
      <c r="X752" t="s">
        <v>231</v>
      </c>
      <c r="Y752" t="s">
        <v>753</v>
      </c>
      <c r="Z752" t="s">
        <v>963</v>
      </c>
      <c r="AA752" t="s">
        <v>1577</v>
      </c>
      <c r="AB752" t="s">
        <v>2395</v>
      </c>
      <c r="AC752" t="s">
        <v>321</v>
      </c>
      <c r="AD752" t="s">
        <v>1138</v>
      </c>
      <c r="AE752" t="s">
        <v>1062</v>
      </c>
      <c r="AF752" t="s">
        <v>226</v>
      </c>
      <c r="AG752" t="s">
        <v>1063</v>
      </c>
      <c r="AH752" t="s">
        <v>148</v>
      </c>
      <c r="AI752" t="s">
        <v>172</v>
      </c>
      <c r="AJ752" t="s">
        <v>752</v>
      </c>
      <c r="AK752" t="s">
        <v>1078</v>
      </c>
      <c r="AL752" t="s">
        <v>766</v>
      </c>
      <c r="AM752" t="s">
        <v>1079</v>
      </c>
      <c r="AN752" t="s">
        <v>146</v>
      </c>
      <c r="AO752" t="s">
        <v>321</v>
      </c>
      <c r="AP752" t="s">
        <v>1080</v>
      </c>
      <c r="AQ752" t="s">
        <v>256</v>
      </c>
      <c r="AR752" t="s">
        <v>230</v>
      </c>
      <c r="AS752" t="s">
        <v>1096</v>
      </c>
      <c r="AT752" t="s">
        <v>917</v>
      </c>
      <c r="AU752" t="s">
        <v>231</v>
      </c>
      <c r="AV752" t="s">
        <v>1082</v>
      </c>
      <c r="AW752" t="s">
        <v>1117</v>
      </c>
      <c r="AX752" t="s">
        <v>1037</v>
      </c>
      <c r="AY752" t="s">
        <v>974</v>
      </c>
      <c r="AZ752" t="s">
        <v>963</v>
      </c>
      <c r="BA752" t="s">
        <v>1036</v>
      </c>
      <c r="BB752" t="s">
        <v>976</v>
      </c>
      <c r="BC752" t="s">
        <v>232</v>
      </c>
      <c r="BD752" t="s">
        <v>1045</v>
      </c>
      <c r="BE752" t="s">
        <v>322</v>
      </c>
      <c r="BF752" t="s">
        <v>977</v>
      </c>
      <c r="BG752" t="s">
        <v>756</v>
      </c>
      <c r="BH752" t="s">
        <v>757</v>
      </c>
      <c r="BI752" t="s">
        <v>1014</v>
      </c>
      <c r="BJ752" t="s">
        <v>233</v>
      </c>
      <c r="BK752" t="s">
        <v>1047</v>
      </c>
      <c r="BL752" t="s">
        <v>2339</v>
      </c>
      <c r="BM752" t="s">
        <v>234</v>
      </c>
      <c r="BN752" t="s">
        <v>925</v>
      </c>
      <c r="BO752" t="s">
        <v>913</v>
      </c>
      <c r="BP752" t="s">
        <v>2346</v>
      </c>
      <c r="BQ752" t="s">
        <v>239</v>
      </c>
      <c r="BR752" t="s">
        <v>241</v>
      </c>
      <c r="BS752" t="s">
        <v>805</v>
      </c>
      <c r="BT752" t="s">
        <v>806</v>
      </c>
    </row>
    <row r="753" spans="1:84">
      <c r="A753" s="40">
        <v>703</v>
      </c>
      <c r="B753" s="40" t="s">
        <v>2839</v>
      </c>
      <c r="C753" s="2" t="s">
        <v>2840</v>
      </c>
      <c r="D753" s="2" t="s">
        <v>25</v>
      </c>
      <c r="E753" s="2" t="s">
        <v>894</v>
      </c>
      <c r="F753" s="2">
        <v>50</v>
      </c>
      <c r="G753" s="2">
        <v>50</v>
      </c>
      <c r="H753" s="2">
        <v>150</v>
      </c>
      <c r="I753" s="2">
        <v>50</v>
      </c>
      <c r="J753" s="2">
        <v>150</v>
      </c>
      <c r="K753" s="2">
        <v>50</v>
      </c>
      <c r="L753" s="2">
        <v>500</v>
      </c>
      <c r="M753" s="2" t="s">
        <v>1131</v>
      </c>
      <c r="N753" s="2" t="s">
        <v>1061</v>
      </c>
      <c r="O753" t="s">
        <v>219</v>
      </c>
      <c r="P753" t="s">
        <v>284</v>
      </c>
      <c r="Q753" t="s">
        <v>483</v>
      </c>
      <c r="R753" t="s">
        <v>632</v>
      </c>
      <c r="S753" t="s">
        <v>1109</v>
      </c>
      <c r="T753" t="s">
        <v>380</v>
      </c>
      <c r="U753" t="s">
        <v>1007</v>
      </c>
      <c r="V753" t="s">
        <v>1182</v>
      </c>
      <c r="W753" t="s">
        <v>170</v>
      </c>
      <c r="X753" t="s">
        <v>770</v>
      </c>
      <c r="Y753" t="s">
        <v>941</v>
      </c>
      <c r="Z753" t="s">
        <v>1169</v>
      </c>
      <c r="AA753" t="s">
        <v>183</v>
      </c>
      <c r="AB753" t="s">
        <v>2381</v>
      </c>
      <c r="AC753" t="s">
        <v>228</v>
      </c>
      <c r="AD753" t="s">
        <v>759</v>
      </c>
      <c r="AE753" t="s">
        <v>1062</v>
      </c>
      <c r="AF753" t="s">
        <v>1063</v>
      </c>
      <c r="AG753" t="s">
        <v>912</v>
      </c>
      <c r="AH753" t="s">
        <v>148</v>
      </c>
      <c r="AI753" t="s">
        <v>1104</v>
      </c>
      <c r="AJ753" t="s">
        <v>172</v>
      </c>
      <c r="AK753" t="s">
        <v>752</v>
      </c>
      <c r="AL753" t="s">
        <v>228</v>
      </c>
      <c r="AM753" t="s">
        <v>1078</v>
      </c>
      <c r="AN753" t="s">
        <v>759</v>
      </c>
      <c r="AO753" t="s">
        <v>1079</v>
      </c>
      <c r="AP753" t="s">
        <v>1109</v>
      </c>
      <c r="AQ753" t="s">
        <v>1080</v>
      </c>
      <c r="AR753" t="s">
        <v>9</v>
      </c>
      <c r="AS753" t="s">
        <v>230</v>
      </c>
      <c r="AT753" t="s">
        <v>380</v>
      </c>
      <c r="AU753" t="s">
        <v>765</v>
      </c>
      <c r="AV753" t="s">
        <v>1095</v>
      </c>
      <c r="AW753" t="s">
        <v>917</v>
      </c>
      <c r="AX753" t="s">
        <v>231</v>
      </c>
      <c r="AY753" t="s">
        <v>1082</v>
      </c>
      <c r="AZ753" t="s">
        <v>1037</v>
      </c>
      <c r="BA753" t="s">
        <v>485</v>
      </c>
      <c r="BB753" t="s">
        <v>1003</v>
      </c>
      <c r="BC753" t="s">
        <v>232</v>
      </c>
      <c r="BD753" t="s">
        <v>183</v>
      </c>
      <c r="BE753" t="s">
        <v>980</v>
      </c>
      <c r="BF753" t="s">
        <v>785</v>
      </c>
      <c r="BG753" t="s">
        <v>143</v>
      </c>
      <c r="BH753" t="s">
        <v>756</v>
      </c>
      <c r="BI753" t="s">
        <v>757</v>
      </c>
      <c r="BJ753" t="s">
        <v>233</v>
      </c>
      <c r="BK753" t="s">
        <v>1012</v>
      </c>
      <c r="BL753" t="s">
        <v>1087</v>
      </c>
      <c r="BM753" t="s">
        <v>2342</v>
      </c>
      <c r="BN753" t="s">
        <v>2339</v>
      </c>
      <c r="BO753" t="s">
        <v>234</v>
      </c>
      <c r="BP753" t="s">
        <v>239</v>
      </c>
      <c r="BQ753" t="s">
        <v>241</v>
      </c>
      <c r="BR753" t="s">
        <v>805</v>
      </c>
      <c r="BS753" t="s">
        <v>806</v>
      </c>
    </row>
    <row r="754" spans="1:84">
      <c r="A754" s="40">
        <v>704</v>
      </c>
      <c r="B754" s="40" t="s">
        <v>2841</v>
      </c>
      <c r="C754" s="2" t="s">
        <v>2842</v>
      </c>
      <c r="D754" s="2" t="s">
        <v>16</v>
      </c>
      <c r="E754" s="2"/>
      <c r="F754" s="2">
        <v>45</v>
      </c>
      <c r="G754" s="2">
        <v>50</v>
      </c>
      <c r="H754" s="2">
        <v>35</v>
      </c>
      <c r="I754" s="2">
        <v>55</v>
      </c>
      <c r="J754" s="2">
        <v>75</v>
      </c>
      <c r="K754" s="2">
        <v>40</v>
      </c>
      <c r="L754" s="2">
        <v>300</v>
      </c>
      <c r="M754" s="2" t="s">
        <v>2843</v>
      </c>
      <c r="N754" s="2" t="s">
        <v>1061</v>
      </c>
      <c r="O754" t="s">
        <v>219</v>
      </c>
      <c r="P754" t="s">
        <v>267</v>
      </c>
      <c r="Q754" t="s">
        <v>402</v>
      </c>
      <c r="R754" t="s">
        <v>1078</v>
      </c>
      <c r="S754" t="s">
        <v>347</v>
      </c>
      <c r="T754" t="s">
        <v>762</v>
      </c>
      <c r="U754" t="s">
        <v>766</v>
      </c>
      <c r="V754" t="s">
        <v>770</v>
      </c>
      <c r="W754" t="s">
        <v>364</v>
      </c>
      <c r="X754" t="s">
        <v>1105</v>
      </c>
      <c r="Y754" t="s">
        <v>967</v>
      </c>
      <c r="Z754" t="s">
        <v>1062</v>
      </c>
      <c r="AA754" t="s">
        <v>1063</v>
      </c>
      <c r="AB754" t="s">
        <v>148</v>
      </c>
      <c r="AC754" t="s">
        <v>172</v>
      </c>
      <c r="AD754" t="s">
        <v>752</v>
      </c>
      <c r="AE754" t="s">
        <v>1078</v>
      </c>
      <c r="AF754" t="s">
        <v>766</v>
      </c>
      <c r="AG754" t="s">
        <v>1079</v>
      </c>
      <c r="AH754" t="s">
        <v>146</v>
      </c>
      <c r="AI754" t="s">
        <v>1080</v>
      </c>
      <c r="AJ754" t="s">
        <v>230</v>
      </c>
      <c r="AK754" t="s">
        <v>186</v>
      </c>
      <c r="AL754" t="s">
        <v>1081</v>
      </c>
      <c r="AM754" t="s">
        <v>917</v>
      </c>
      <c r="AN754" t="s">
        <v>231</v>
      </c>
      <c r="AO754" t="s">
        <v>1082</v>
      </c>
      <c r="AP754" t="s">
        <v>1037</v>
      </c>
      <c r="AQ754" t="s">
        <v>143</v>
      </c>
      <c r="AR754" t="s">
        <v>2369</v>
      </c>
      <c r="AS754" t="s">
        <v>756</v>
      </c>
      <c r="AT754" t="s">
        <v>757</v>
      </c>
      <c r="AU754" t="s">
        <v>233</v>
      </c>
      <c r="AV754" t="s">
        <v>2339</v>
      </c>
      <c r="AW754" t="s">
        <v>234</v>
      </c>
      <c r="AX754" t="s">
        <v>259</v>
      </c>
      <c r="AY754" t="s">
        <v>517</v>
      </c>
      <c r="AZ754" t="s">
        <v>751</v>
      </c>
      <c r="BA754" t="s">
        <v>761</v>
      </c>
      <c r="BB754" t="s">
        <v>936</v>
      </c>
      <c r="BC754" t="s">
        <v>239</v>
      </c>
      <c r="BD754" t="s">
        <v>241</v>
      </c>
      <c r="BE754" t="s">
        <v>805</v>
      </c>
      <c r="BF754" t="s">
        <v>806</v>
      </c>
    </row>
    <row r="755" spans="1:84">
      <c r="A755" s="40">
        <v>705</v>
      </c>
      <c r="B755" s="40" t="s">
        <v>2844</v>
      </c>
      <c r="C755" s="2" t="s">
        <v>2845</v>
      </c>
      <c r="D755" s="2" t="s">
        <v>16</v>
      </c>
      <c r="E755" s="2"/>
      <c r="F755" s="2">
        <v>68</v>
      </c>
      <c r="G755" s="2">
        <v>75</v>
      </c>
      <c r="H755" s="2">
        <v>53</v>
      </c>
      <c r="I755" s="2">
        <v>83</v>
      </c>
      <c r="J755" s="2">
        <v>113</v>
      </c>
      <c r="K755" s="2">
        <v>60</v>
      </c>
      <c r="L755" s="2">
        <v>452</v>
      </c>
      <c r="M755" s="2" t="s">
        <v>2614</v>
      </c>
      <c r="N755" s="2" t="s">
        <v>1061</v>
      </c>
      <c r="O755" t="s">
        <v>967</v>
      </c>
      <c r="P755" t="s">
        <v>1062</v>
      </c>
      <c r="Q755" t="s">
        <v>1063</v>
      </c>
      <c r="R755" t="s">
        <v>148</v>
      </c>
      <c r="S755" t="s">
        <v>172</v>
      </c>
      <c r="T755" t="s">
        <v>752</v>
      </c>
      <c r="U755" t="s">
        <v>141</v>
      </c>
      <c r="V755" t="s">
        <v>271</v>
      </c>
      <c r="W755" t="s">
        <v>1078</v>
      </c>
      <c r="X755" t="s">
        <v>766</v>
      </c>
      <c r="Y755" t="s">
        <v>1079</v>
      </c>
      <c r="Z755" t="s">
        <v>146</v>
      </c>
      <c r="AA755" t="s">
        <v>1080</v>
      </c>
      <c r="AB755" t="s">
        <v>230</v>
      </c>
      <c r="AC755" t="s">
        <v>186</v>
      </c>
      <c r="AD755" t="s">
        <v>1081</v>
      </c>
      <c r="AE755" t="s">
        <v>917</v>
      </c>
      <c r="AF755" t="s">
        <v>231</v>
      </c>
      <c r="AG755" t="s">
        <v>1082</v>
      </c>
      <c r="AH755" t="s">
        <v>1037</v>
      </c>
      <c r="AI755" t="s">
        <v>143</v>
      </c>
      <c r="AJ755" t="s">
        <v>2369</v>
      </c>
      <c r="AK755" t="s">
        <v>756</v>
      </c>
      <c r="AL755" t="s">
        <v>757</v>
      </c>
      <c r="AM755" t="s">
        <v>233</v>
      </c>
      <c r="AN755" t="s">
        <v>2339</v>
      </c>
      <c r="AO755" t="s">
        <v>234</v>
      </c>
      <c r="AP755" t="s">
        <v>259</v>
      </c>
      <c r="AQ755" t="s">
        <v>517</v>
      </c>
      <c r="AR755" t="s">
        <v>751</v>
      </c>
      <c r="AS755" t="s">
        <v>761</v>
      </c>
      <c r="AT755" t="s">
        <v>936</v>
      </c>
      <c r="AU755" t="s">
        <v>239</v>
      </c>
      <c r="AV755" t="s">
        <v>241</v>
      </c>
      <c r="AW755" t="s">
        <v>219</v>
      </c>
      <c r="AX755" t="s">
        <v>267</v>
      </c>
      <c r="AY755" t="s">
        <v>402</v>
      </c>
      <c r="AZ755" t="s">
        <v>1078</v>
      </c>
      <c r="BA755" t="s">
        <v>347</v>
      </c>
      <c r="BB755" t="s">
        <v>762</v>
      </c>
      <c r="BC755" t="s">
        <v>766</v>
      </c>
      <c r="BD755" t="s">
        <v>770</v>
      </c>
      <c r="BE755" t="s">
        <v>364</v>
      </c>
      <c r="BF755" t="s">
        <v>1105</v>
      </c>
      <c r="BG755" t="s">
        <v>805</v>
      </c>
      <c r="BH755" t="s">
        <v>806</v>
      </c>
    </row>
    <row r="756" spans="1:84">
      <c r="A756" s="40">
        <v>706</v>
      </c>
      <c r="B756" s="40" t="s">
        <v>2846</v>
      </c>
      <c r="C756" s="2" t="s">
        <v>2847</v>
      </c>
      <c r="D756" s="2" t="s">
        <v>16</v>
      </c>
      <c r="E756" s="2"/>
      <c r="F756" s="2">
        <v>90</v>
      </c>
      <c r="G756" s="2">
        <v>100</v>
      </c>
      <c r="H756" s="2">
        <v>70</v>
      </c>
      <c r="I756" s="2">
        <v>110</v>
      </c>
      <c r="J756" s="2">
        <v>150</v>
      </c>
      <c r="K756" s="2">
        <v>80</v>
      </c>
      <c r="L756" s="2">
        <v>600</v>
      </c>
      <c r="M756" s="2" t="s">
        <v>1103</v>
      </c>
      <c r="N756" s="2" t="s">
        <v>1061</v>
      </c>
      <c r="O756" t="s">
        <v>971</v>
      </c>
      <c r="P756" t="s">
        <v>179</v>
      </c>
      <c r="Q756" t="s">
        <v>1088</v>
      </c>
      <c r="R756" t="s">
        <v>764</v>
      </c>
      <c r="S756" t="s">
        <v>1062</v>
      </c>
      <c r="T756" t="s">
        <v>227</v>
      </c>
      <c r="U756" t="s">
        <v>1063</v>
      </c>
      <c r="V756" t="s">
        <v>148</v>
      </c>
      <c r="W756" t="s">
        <v>1104</v>
      </c>
      <c r="X756" t="s">
        <v>172</v>
      </c>
      <c r="Y756" t="s">
        <v>752</v>
      </c>
      <c r="Z756" t="s">
        <v>141</v>
      </c>
      <c r="AA756" t="s">
        <v>271</v>
      </c>
      <c r="AB756" t="s">
        <v>247</v>
      </c>
      <c r="AC756" t="s">
        <v>1078</v>
      </c>
      <c r="AD756" t="s">
        <v>766</v>
      </c>
      <c r="AE756" t="s">
        <v>1079</v>
      </c>
      <c r="AF756" t="s">
        <v>146</v>
      </c>
      <c r="AG756" t="s">
        <v>321</v>
      </c>
      <c r="AH756" t="s">
        <v>136</v>
      </c>
      <c r="AI756" t="s">
        <v>1080</v>
      </c>
      <c r="AJ756" t="s">
        <v>230</v>
      </c>
      <c r="AK756" t="s">
        <v>186</v>
      </c>
      <c r="AL756" t="s">
        <v>254</v>
      </c>
      <c r="AM756" t="s">
        <v>1081</v>
      </c>
      <c r="AN756" t="s">
        <v>257</v>
      </c>
      <c r="AO756" t="s">
        <v>917</v>
      </c>
      <c r="AP756" t="s">
        <v>231</v>
      </c>
      <c r="AQ756" t="s">
        <v>1082</v>
      </c>
      <c r="AR756" t="s">
        <v>1037</v>
      </c>
      <c r="AS756" t="s">
        <v>1102</v>
      </c>
      <c r="AT756" t="s">
        <v>1031</v>
      </c>
      <c r="AU756" t="s">
        <v>976</v>
      </c>
      <c r="AV756" t="s">
        <v>1021</v>
      </c>
      <c r="AW756" t="s">
        <v>143</v>
      </c>
      <c r="AX756" t="s">
        <v>1022</v>
      </c>
      <c r="AY756" t="s">
        <v>2369</v>
      </c>
      <c r="AZ756" t="s">
        <v>756</v>
      </c>
      <c r="BA756" t="s">
        <v>757</v>
      </c>
      <c r="BB756" t="s">
        <v>233</v>
      </c>
      <c r="BC756" t="s">
        <v>760</v>
      </c>
      <c r="BD756" t="s">
        <v>2339</v>
      </c>
      <c r="BE756" t="s">
        <v>234</v>
      </c>
      <c r="BF756" t="s">
        <v>259</v>
      </c>
      <c r="BG756" t="s">
        <v>517</v>
      </c>
      <c r="BH756" t="s">
        <v>751</v>
      </c>
      <c r="BI756" t="s">
        <v>761</v>
      </c>
      <c r="BJ756" t="s">
        <v>936</v>
      </c>
      <c r="BK756" t="s">
        <v>239</v>
      </c>
      <c r="BL756" t="s">
        <v>241</v>
      </c>
      <c r="BM756" t="s">
        <v>219</v>
      </c>
      <c r="BN756" t="s">
        <v>267</v>
      </c>
      <c r="BO756" t="s">
        <v>402</v>
      </c>
      <c r="BP756" t="s">
        <v>1078</v>
      </c>
      <c r="BQ756" t="s">
        <v>347</v>
      </c>
      <c r="BR756" t="s">
        <v>762</v>
      </c>
      <c r="BS756" t="s">
        <v>766</v>
      </c>
      <c r="BT756" t="s">
        <v>770</v>
      </c>
      <c r="BU756" t="s">
        <v>364</v>
      </c>
      <c r="BV756" t="s">
        <v>1105</v>
      </c>
      <c r="BW756" t="s">
        <v>967</v>
      </c>
      <c r="BX756" t="s">
        <v>805</v>
      </c>
      <c r="BY756" t="s">
        <v>806</v>
      </c>
    </row>
    <row r="757" spans="1:84">
      <c r="A757" s="40">
        <v>707</v>
      </c>
      <c r="B757" s="40" t="s">
        <v>2848</v>
      </c>
      <c r="C757" s="2" t="s">
        <v>2849</v>
      </c>
      <c r="D757" s="2" t="s">
        <v>26</v>
      </c>
      <c r="E757" s="2" t="s">
        <v>894</v>
      </c>
      <c r="F757" s="2">
        <v>57</v>
      </c>
      <c r="G757" s="2">
        <v>80</v>
      </c>
      <c r="H757" s="2">
        <v>91</v>
      </c>
      <c r="I757" s="2">
        <v>80</v>
      </c>
      <c r="J757" s="2">
        <v>87</v>
      </c>
      <c r="K757" s="2">
        <v>75</v>
      </c>
      <c r="L757" s="2">
        <v>470</v>
      </c>
      <c r="M757" s="2" t="s">
        <v>1120</v>
      </c>
      <c r="N757" s="2" t="s">
        <v>1061</v>
      </c>
      <c r="O757" t="s">
        <v>219</v>
      </c>
      <c r="P757" t="s">
        <v>2352</v>
      </c>
      <c r="Q757" t="s">
        <v>2354</v>
      </c>
      <c r="R757" t="s">
        <v>1130</v>
      </c>
      <c r="S757" t="s">
        <v>1202</v>
      </c>
      <c r="T757" t="s">
        <v>1215</v>
      </c>
      <c r="U757" t="s">
        <v>2344</v>
      </c>
      <c r="V757" t="s">
        <v>2340</v>
      </c>
      <c r="W757" t="s">
        <v>1167</v>
      </c>
      <c r="X757" t="s">
        <v>951</v>
      </c>
      <c r="Y757" t="s">
        <v>1206</v>
      </c>
      <c r="Z757" t="s">
        <v>927</v>
      </c>
      <c r="AA757" t="s">
        <v>937</v>
      </c>
      <c r="AB757" t="s">
        <v>2395</v>
      </c>
      <c r="AC757" t="s">
        <v>1032</v>
      </c>
      <c r="AD757" t="s">
        <v>1451</v>
      </c>
      <c r="AE757" t="s">
        <v>1062</v>
      </c>
      <c r="AF757" t="s">
        <v>1063</v>
      </c>
      <c r="AG757" t="s">
        <v>1151</v>
      </c>
      <c r="AH757" t="s">
        <v>912</v>
      </c>
      <c r="AI757" t="s">
        <v>148</v>
      </c>
      <c r="AJ757" t="s">
        <v>172</v>
      </c>
      <c r="AK757" t="s">
        <v>752</v>
      </c>
      <c r="AL757" t="s">
        <v>247</v>
      </c>
      <c r="AM757" t="s">
        <v>228</v>
      </c>
      <c r="AN757" t="s">
        <v>1078</v>
      </c>
      <c r="AO757" t="s">
        <v>766</v>
      </c>
      <c r="AP757" t="s">
        <v>759</v>
      </c>
      <c r="AQ757" t="s">
        <v>1079</v>
      </c>
      <c r="AR757" t="s">
        <v>1080</v>
      </c>
      <c r="AS757" t="s">
        <v>9</v>
      </c>
      <c r="AT757" t="s">
        <v>230</v>
      </c>
      <c r="AU757" t="s">
        <v>380</v>
      </c>
      <c r="AV757" t="s">
        <v>951</v>
      </c>
      <c r="AW757" t="s">
        <v>917</v>
      </c>
      <c r="AX757" t="s">
        <v>231</v>
      </c>
      <c r="AY757" t="s">
        <v>1082</v>
      </c>
      <c r="AZ757" t="s">
        <v>1117</v>
      </c>
      <c r="BA757" t="s">
        <v>1037</v>
      </c>
      <c r="BB757" t="s">
        <v>976</v>
      </c>
      <c r="BC757" t="s">
        <v>322</v>
      </c>
      <c r="BD757" t="s">
        <v>785</v>
      </c>
      <c r="BE757" t="s">
        <v>756</v>
      </c>
      <c r="BF757" t="s">
        <v>757</v>
      </c>
      <c r="BG757" t="s">
        <v>233</v>
      </c>
      <c r="BH757" t="s">
        <v>973</v>
      </c>
      <c r="BI757" t="s">
        <v>2342</v>
      </c>
      <c r="BJ757" t="s">
        <v>2339</v>
      </c>
      <c r="BK757" t="s">
        <v>234</v>
      </c>
      <c r="BL757" t="s">
        <v>1204</v>
      </c>
      <c r="BM757" t="s">
        <v>177</v>
      </c>
      <c r="BN757" t="s">
        <v>239</v>
      </c>
      <c r="BO757" t="s">
        <v>241</v>
      </c>
      <c r="BP757" t="s">
        <v>805</v>
      </c>
      <c r="BQ757" t="s">
        <v>806</v>
      </c>
    </row>
    <row r="758" spans="1:84">
      <c r="A758" s="40">
        <v>708</v>
      </c>
      <c r="B758" s="40" t="s">
        <v>2850</v>
      </c>
      <c r="C758" s="2" t="s">
        <v>2851</v>
      </c>
      <c r="D758" s="2" t="s">
        <v>10</v>
      </c>
      <c r="E758" s="2" t="s">
        <v>21</v>
      </c>
      <c r="F758" s="2">
        <v>43</v>
      </c>
      <c r="G758" s="2">
        <v>70</v>
      </c>
      <c r="H758" s="2">
        <v>48</v>
      </c>
      <c r="I758" s="2">
        <v>50</v>
      </c>
      <c r="J758" s="2">
        <v>60</v>
      </c>
      <c r="K758" s="2">
        <v>38</v>
      </c>
      <c r="L758" s="2">
        <v>309</v>
      </c>
      <c r="M758" s="2" t="s">
        <v>1165</v>
      </c>
      <c r="N758" s="2" t="s">
        <v>1061</v>
      </c>
      <c r="O758" t="s">
        <v>219</v>
      </c>
      <c r="P758" t="s">
        <v>387</v>
      </c>
      <c r="Q758" t="s">
        <v>1130</v>
      </c>
      <c r="R758" t="s">
        <v>215</v>
      </c>
      <c r="S758" t="s">
        <v>1085</v>
      </c>
      <c r="T758" t="s">
        <v>774</v>
      </c>
      <c r="U758" t="s">
        <v>142</v>
      </c>
      <c r="V758" t="s">
        <v>751</v>
      </c>
      <c r="W758" t="s">
        <v>956</v>
      </c>
      <c r="X758" t="s">
        <v>2361</v>
      </c>
      <c r="Y758" t="s">
        <v>793</v>
      </c>
      <c r="Z758" t="s">
        <v>2392</v>
      </c>
      <c r="AA758" t="s">
        <v>1218</v>
      </c>
      <c r="AB758" t="s">
        <v>2034</v>
      </c>
      <c r="AC758" t="s">
        <v>1062</v>
      </c>
      <c r="AD758" t="s">
        <v>226</v>
      </c>
      <c r="AE758" t="s">
        <v>227</v>
      </c>
      <c r="AF758" t="s">
        <v>1063</v>
      </c>
      <c r="AG758" t="s">
        <v>148</v>
      </c>
      <c r="AH758" t="s">
        <v>172</v>
      </c>
      <c r="AI758" t="s">
        <v>752</v>
      </c>
      <c r="AJ758" t="s">
        <v>1078</v>
      </c>
      <c r="AK758" t="s">
        <v>759</v>
      </c>
      <c r="AL758" t="s">
        <v>1079</v>
      </c>
      <c r="AM758" t="s">
        <v>229</v>
      </c>
      <c r="AN758" t="s">
        <v>1080</v>
      </c>
      <c r="AO758" t="s">
        <v>256</v>
      </c>
      <c r="AP758" t="s">
        <v>9</v>
      </c>
      <c r="AQ758" t="s">
        <v>174</v>
      </c>
      <c r="AR758" t="s">
        <v>230</v>
      </c>
      <c r="AS758" t="s">
        <v>380</v>
      </c>
      <c r="AT758" t="s">
        <v>917</v>
      </c>
      <c r="AU758" t="s">
        <v>231</v>
      </c>
      <c r="AV758" t="s">
        <v>1082</v>
      </c>
      <c r="AW758" t="s">
        <v>1117</v>
      </c>
      <c r="AX758" t="s">
        <v>1037</v>
      </c>
      <c r="AY758" t="s">
        <v>970</v>
      </c>
      <c r="AZ758" t="s">
        <v>956</v>
      </c>
      <c r="BA758" t="s">
        <v>1005</v>
      </c>
      <c r="BB758" t="s">
        <v>1021</v>
      </c>
      <c r="BC758" t="s">
        <v>143</v>
      </c>
      <c r="BD758" t="s">
        <v>997</v>
      </c>
      <c r="BE758" t="s">
        <v>293</v>
      </c>
      <c r="BF758" t="s">
        <v>977</v>
      </c>
      <c r="BG758" t="s">
        <v>756</v>
      </c>
      <c r="BH758" t="s">
        <v>757</v>
      </c>
      <c r="BI758" t="s">
        <v>233</v>
      </c>
      <c r="BJ758" t="s">
        <v>1012</v>
      </c>
      <c r="BK758" t="s">
        <v>760</v>
      </c>
      <c r="BL758" t="s">
        <v>1087</v>
      </c>
      <c r="BM758" t="s">
        <v>1157</v>
      </c>
      <c r="BN758" t="s">
        <v>2339</v>
      </c>
      <c r="BO758" t="s">
        <v>234</v>
      </c>
      <c r="BP758" t="s">
        <v>927</v>
      </c>
      <c r="BQ758" t="s">
        <v>923</v>
      </c>
      <c r="BR758" t="s">
        <v>1139</v>
      </c>
      <c r="BS758" t="s">
        <v>2410</v>
      </c>
      <c r="BT758" t="s">
        <v>239</v>
      </c>
      <c r="BU758" t="s">
        <v>241</v>
      </c>
      <c r="BV758" t="s">
        <v>805</v>
      </c>
      <c r="BW758" t="s">
        <v>806</v>
      </c>
    </row>
    <row r="759" spans="1:84">
      <c r="A759" s="40">
        <v>709</v>
      </c>
      <c r="B759" s="40" t="s">
        <v>2852</v>
      </c>
      <c r="C759" s="2" t="s">
        <v>2853</v>
      </c>
      <c r="D759" s="2" t="s">
        <v>10</v>
      </c>
      <c r="E759" s="2" t="s">
        <v>21</v>
      </c>
      <c r="F759" s="2">
        <v>85</v>
      </c>
      <c r="G759" s="2">
        <v>110</v>
      </c>
      <c r="H759" s="2">
        <v>76</v>
      </c>
      <c r="I759" s="2">
        <v>65</v>
      </c>
      <c r="J759" s="2">
        <v>82</v>
      </c>
      <c r="K759" s="2">
        <v>56</v>
      </c>
      <c r="L759" s="2">
        <v>474</v>
      </c>
      <c r="M759" s="2" t="s">
        <v>1141</v>
      </c>
      <c r="N759" s="2" t="s">
        <v>1061</v>
      </c>
      <c r="O759" t="s">
        <v>219</v>
      </c>
      <c r="P759" t="s">
        <v>387</v>
      </c>
      <c r="Q759" t="s">
        <v>1130</v>
      </c>
      <c r="R759" t="s">
        <v>215</v>
      </c>
      <c r="S759" t="s">
        <v>1085</v>
      </c>
      <c r="T759" t="s">
        <v>774</v>
      </c>
      <c r="U759" t="s">
        <v>142</v>
      </c>
      <c r="V759" t="s">
        <v>751</v>
      </c>
      <c r="W759" t="s">
        <v>956</v>
      </c>
      <c r="X759" t="s">
        <v>2361</v>
      </c>
      <c r="Y759" t="s">
        <v>793</v>
      </c>
      <c r="Z759" t="s">
        <v>2392</v>
      </c>
      <c r="AA759" t="s">
        <v>1218</v>
      </c>
      <c r="AB759" t="s">
        <v>1005</v>
      </c>
      <c r="AC759" t="s">
        <v>2034</v>
      </c>
      <c r="AD759" t="s">
        <v>1062</v>
      </c>
      <c r="AE759" t="s">
        <v>226</v>
      </c>
      <c r="AF759" t="s">
        <v>227</v>
      </c>
      <c r="AG759" t="s">
        <v>1063</v>
      </c>
      <c r="AH759" t="s">
        <v>1030</v>
      </c>
      <c r="AI759" t="s">
        <v>912</v>
      </c>
      <c r="AJ759" t="s">
        <v>148</v>
      </c>
      <c r="AK759" t="s">
        <v>172</v>
      </c>
      <c r="AL759" t="s">
        <v>752</v>
      </c>
      <c r="AM759" t="s">
        <v>247</v>
      </c>
      <c r="AN759" t="s">
        <v>1078</v>
      </c>
      <c r="AO759" t="s">
        <v>759</v>
      </c>
      <c r="AP759" t="s">
        <v>1079</v>
      </c>
      <c r="AQ759" t="s">
        <v>229</v>
      </c>
      <c r="AR759" t="s">
        <v>136</v>
      </c>
      <c r="AS759" t="s">
        <v>1080</v>
      </c>
      <c r="AT759" t="s">
        <v>256</v>
      </c>
      <c r="AU759" t="s">
        <v>9</v>
      </c>
      <c r="AV759" t="s">
        <v>174</v>
      </c>
      <c r="AW759" t="s">
        <v>230</v>
      </c>
      <c r="AX759" t="s">
        <v>380</v>
      </c>
      <c r="AY759" t="s">
        <v>917</v>
      </c>
      <c r="AZ759" t="s">
        <v>231</v>
      </c>
      <c r="BA759" t="s">
        <v>1082</v>
      </c>
      <c r="BB759" t="s">
        <v>1117</v>
      </c>
      <c r="BC759" t="s">
        <v>1037</v>
      </c>
      <c r="BD759" t="s">
        <v>1102</v>
      </c>
      <c r="BE759" t="s">
        <v>970</v>
      </c>
      <c r="BF759" t="s">
        <v>956</v>
      </c>
      <c r="BG759" t="s">
        <v>1005</v>
      </c>
      <c r="BH759" t="s">
        <v>976</v>
      </c>
      <c r="BI759" t="s">
        <v>1021</v>
      </c>
      <c r="BJ759" t="s">
        <v>143</v>
      </c>
      <c r="BK759" t="s">
        <v>1018</v>
      </c>
      <c r="BL759" t="s">
        <v>997</v>
      </c>
      <c r="BM759" t="s">
        <v>293</v>
      </c>
      <c r="BN759" t="s">
        <v>977</v>
      </c>
      <c r="BO759" t="s">
        <v>756</v>
      </c>
      <c r="BP759" t="s">
        <v>757</v>
      </c>
      <c r="BQ759" t="s">
        <v>233</v>
      </c>
      <c r="BR759" t="s">
        <v>1012</v>
      </c>
      <c r="BS759" t="s">
        <v>760</v>
      </c>
      <c r="BT759" t="s">
        <v>1087</v>
      </c>
      <c r="BU759" t="s">
        <v>1157</v>
      </c>
      <c r="BV759" t="s">
        <v>2398</v>
      </c>
      <c r="BW759" t="s">
        <v>2339</v>
      </c>
      <c r="BX759" t="s">
        <v>234</v>
      </c>
      <c r="BY759" t="s">
        <v>927</v>
      </c>
      <c r="BZ759" t="s">
        <v>923</v>
      </c>
      <c r="CA759" t="s">
        <v>1139</v>
      </c>
      <c r="CB759" t="s">
        <v>2410</v>
      </c>
      <c r="CC759" t="s">
        <v>239</v>
      </c>
      <c r="CD759" t="s">
        <v>241</v>
      </c>
      <c r="CE759" t="s">
        <v>805</v>
      </c>
      <c r="CF759" t="s">
        <v>806</v>
      </c>
    </row>
    <row r="760" spans="1:84">
      <c r="A760" s="40">
        <v>710.1</v>
      </c>
      <c r="B760" s="40" t="s">
        <v>2854</v>
      </c>
      <c r="C760" s="2" t="s">
        <v>2855</v>
      </c>
      <c r="D760" s="2" t="s">
        <v>10</v>
      </c>
      <c r="E760" s="2" t="s">
        <v>21</v>
      </c>
      <c r="F760" s="2">
        <v>49</v>
      </c>
      <c r="G760" s="2">
        <v>66</v>
      </c>
      <c r="H760" s="2">
        <v>70</v>
      </c>
      <c r="I760" s="2">
        <v>44</v>
      </c>
      <c r="J760" s="2">
        <v>55</v>
      </c>
      <c r="K760" s="2">
        <v>51</v>
      </c>
      <c r="L760" s="2">
        <v>335</v>
      </c>
      <c r="M760" s="2" t="s">
        <v>1075</v>
      </c>
      <c r="N760" s="2" t="s">
        <v>1061</v>
      </c>
      <c r="O760" t="s">
        <v>387</v>
      </c>
      <c r="P760" t="s">
        <v>952</v>
      </c>
      <c r="Q760" t="s">
        <v>1130</v>
      </c>
      <c r="R760" t="s">
        <v>1092</v>
      </c>
      <c r="S760" t="s">
        <v>2408</v>
      </c>
      <c r="T760" t="s">
        <v>1017</v>
      </c>
      <c r="U760" t="s">
        <v>224</v>
      </c>
      <c r="V760" t="s">
        <v>142</v>
      </c>
      <c r="W760" t="s">
        <v>1190</v>
      </c>
      <c r="X760" t="s">
        <v>1006</v>
      </c>
      <c r="Y760" t="s">
        <v>174</v>
      </c>
      <c r="Z760" t="s">
        <v>794</v>
      </c>
      <c r="AA760" t="s">
        <v>1004</v>
      </c>
      <c r="AB760" t="s">
        <v>1062</v>
      </c>
      <c r="AC760" t="s">
        <v>1063</v>
      </c>
      <c r="AD760" t="s">
        <v>148</v>
      </c>
      <c r="AE760" t="s">
        <v>172</v>
      </c>
      <c r="AF760" t="s">
        <v>752</v>
      </c>
      <c r="AG760" t="s">
        <v>228</v>
      </c>
      <c r="AH760" t="s">
        <v>1078</v>
      </c>
      <c r="AI760" t="s">
        <v>759</v>
      </c>
      <c r="AJ760" t="s">
        <v>1079</v>
      </c>
      <c r="AK760" t="s">
        <v>229</v>
      </c>
      <c r="AL760" t="s">
        <v>1080</v>
      </c>
      <c r="AM760" t="s">
        <v>9</v>
      </c>
      <c r="AN760" t="s">
        <v>174</v>
      </c>
      <c r="AO760" t="s">
        <v>230</v>
      </c>
      <c r="AP760" t="s">
        <v>254</v>
      </c>
      <c r="AQ760" t="s">
        <v>1081</v>
      </c>
      <c r="AR760" t="s">
        <v>257</v>
      </c>
      <c r="AS760" t="s">
        <v>917</v>
      </c>
      <c r="AT760" t="s">
        <v>1097</v>
      </c>
      <c r="AU760" t="s">
        <v>231</v>
      </c>
      <c r="AV760" t="s">
        <v>1082</v>
      </c>
      <c r="AW760" t="s">
        <v>1117</v>
      </c>
      <c r="AX760" t="s">
        <v>1037</v>
      </c>
      <c r="AY760" t="s">
        <v>970</v>
      </c>
      <c r="AZ760" t="s">
        <v>963</v>
      </c>
      <c r="BA760" t="s">
        <v>1031</v>
      </c>
      <c r="BB760" t="s">
        <v>956</v>
      </c>
      <c r="BC760" t="s">
        <v>485</v>
      </c>
      <c r="BD760" t="s">
        <v>232</v>
      </c>
      <c r="BE760" t="s">
        <v>980</v>
      </c>
      <c r="BF760" t="s">
        <v>143</v>
      </c>
      <c r="BG760" t="s">
        <v>293</v>
      </c>
      <c r="BH760" t="s">
        <v>977</v>
      </c>
      <c r="BI760" t="s">
        <v>756</v>
      </c>
      <c r="BJ760" t="s">
        <v>757</v>
      </c>
      <c r="BK760" t="s">
        <v>233</v>
      </c>
      <c r="BL760" t="s">
        <v>1012</v>
      </c>
      <c r="BM760" t="s">
        <v>760</v>
      </c>
      <c r="BN760" t="s">
        <v>1087</v>
      </c>
      <c r="BO760" t="s">
        <v>1157</v>
      </c>
      <c r="BP760" t="s">
        <v>2339</v>
      </c>
      <c r="BQ760" t="s">
        <v>234</v>
      </c>
      <c r="BR760" t="s">
        <v>340</v>
      </c>
      <c r="BS760" t="s">
        <v>793</v>
      </c>
      <c r="BT760" t="s">
        <v>1139</v>
      </c>
      <c r="BU760" t="s">
        <v>239</v>
      </c>
      <c r="BV760" t="s">
        <v>241</v>
      </c>
      <c r="BW760" t="s">
        <v>805</v>
      </c>
      <c r="BX760" t="s">
        <v>806</v>
      </c>
    </row>
    <row r="761" spans="1:84">
      <c r="A761" s="40">
        <v>710.2</v>
      </c>
      <c r="B761" s="40" t="s">
        <v>2856</v>
      </c>
      <c r="C761" s="2" t="s">
        <v>2857</v>
      </c>
      <c r="D761" s="2" t="s">
        <v>10</v>
      </c>
      <c r="E761" s="2" t="s">
        <v>21</v>
      </c>
      <c r="F761" s="2">
        <v>44</v>
      </c>
      <c r="G761" s="2">
        <v>66</v>
      </c>
      <c r="H761" s="2">
        <v>70</v>
      </c>
      <c r="I761" s="2">
        <v>44</v>
      </c>
      <c r="J761" s="2">
        <v>55</v>
      </c>
      <c r="K761" s="2">
        <v>56</v>
      </c>
      <c r="L761" s="2">
        <v>335</v>
      </c>
      <c r="M761" s="2" t="s">
        <v>1075</v>
      </c>
      <c r="N761" s="2" t="s">
        <v>1061</v>
      </c>
      <c r="O761" t="s">
        <v>387</v>
      </c>
      <c r="P761" t="s">
        <v>952</v>
      </c>
      <c r="Q761" t="s">
        <v>1130</v>
      </c>
      <c r="R761" t="s">
        <v>1092</v>
      </c>
      <c r="S761" t="s">
        <v>2408</v>
      </c>
      <c r="T761" t="s">
        <v>1017</v>
      </c>
      <c r="U761" t="s">
        <v>224</v>
      </c>
      <c r="V761" t="s">
        <v>142</v>
      </c>
      <c r="W761" t="s">
        <v>1190</v>
      </c>
      <c r="X761" t="s">
        <v>1006</v>
      </c>
      <c r="Y761" t="s">
        <v>174</v>
      </c>
      <c r="Z761" t="s">
        <v>794</v>
      </c>
      <c r="AA761" t="s">
        <v>1004</v>
      </c>
      <c r="AB761" t="s">
        <v>1062</v>
      </c>
      <c r="AC761" t="s">
        <v>1063</v>
      </c>
      <c r="AD761" t="s">
        <v>148</v>
      </c>
      <c r="AE761" t="s">
        <v>172</v>
      </c>
      <c r="AF761" t="s">
        <v>752</v>
      </c>
      <c r="AG761" t="s">
        <v>228</v>
      </c>
      <c r="AH761" t="s">
        <v>1078</v>
      </c>
      <c r="AI761" t="s">
        <v>759</v>
      </c>
      <c r="AJ761" t="s">
        <v>1079</v>
      </c>
      <c r="AK761" t="s">
        <v>229</v>
      </c>
      <c r="AL761" t="s">
        <v>1080</v>
      </c>
      <c r="AM761" t="s">
        <v>9</v>
      </c>
      <c r="AN761" t="s">
        <v>174</v>
      </c>
      <c r="AO761" t="s">
        <v>230</v>
      </c>
      <c r="AP761" t="s">
        <v>254</v>
      </c>
      <c r="AQ761" t="s">
        <v>1081</v>
      </c>
      <c r="AR761" t="s">
        <v>257</v>
      </c>
      <c r="AS761" t="s">
        <v>917</v>
      </c>
      <c r="AT761" t="s">
        <v>1097</v>
      </c>
      <c r="AU761" t="s">
        <v>231</v>
      </c>
      <c r="AV761" t="s">
        <v>1082</v>
      </c>
      <c r="AW761" t="s">
        <v>1117</v>
      </c>
      <c r="AX761" t="s">
        <v>1037</v>
      </c>
      <c r="AY761" t="s">
        <v>970</v>
      </c>
      <c r="AZ761" t="s">
        <v>963</v>
      </c>
      <c r="BA761" t="s">
        <v>1031</v>
      </c>
      <c r="BB761" t="s">
        <v>956</v>
      </c>
      <c r="BC761" t="s">
        <v>485</v>
      </c>
      <c r="BD761" t="s">
        <v>232</v>
      </c>
      <c r="BE761" t="s">
        <v>980</v>
      </c>
      <c r="BF761" t="s">
        <v>143</v>
      </c>
      <c r="BG761" t="s">
        <v>293</v>
      </c>
      <c r="BH761" t="s">
        <v>977</v>
      </c>
      <c r="BI761" t="s">
        <v>756</v>
      </c>
      <c r="BJ761" t="s">
        <v>757</v>
      </c>
      <c r="BK761" t="s">
        <v>233</v>
      </c>
      <c r="BL761" t="s">
        <v>1012</v>
      </c>
      <c r="BM761" t="s">
        <v>760</v>
      </c>
      <c r="BN761" t="s">
        <v>1087</v>
      </c>
      <c r="BO761" t="s">
        <v>1157</v>
      </c>
      <c r="BP761" t="s">
        <v>2339</v>
      </c>
      <c r="BQ761" t="s">
        <v>234</v>
      </c>
      <c r="BR761" t="s">
        <v>340</v>
      </c>
      <c r="BS761" t="s">
        <v>793</v>
      </c>
      <c r="BT761" t="s">
        <v>1139</v>
      </c>
      <c r="BU761" t="s">
        <v>239</v>
      </c>
      <c r="BV761" t="s">
        <v>241</v>
      </c>
      <c r="BW761" t="s">
        <v>805</v>
      </c>
      <c r="BX761" t="s">
        <v>806</v>
      </c>
    </row>
    <row r="762" spans="1:84">
      <c r="A762" s="40">
        <v>710.3</v>
      </c>
      <c r="B762" s="40" t="s">
        <v>2858</v>
      </c>
      <c r="C762" s="2" t="s">
        <v>2859</v>
      </c>
      <c r="D762" s="2" t="s">
        <v>10</v>
      </c>
      <c r="E762" s="2" t="s">
        <v>21</v>
      </c>
      <c r="F762" s="2">
        <v>54</v>
      </c>
      <c r="G762" s="2">
        <v>66</v>
      </c>
      <c r="H762" s="2">
        <v>70</v>
      </c>
      <c r="I762" s="2">
        <v>44</v>
      </c>
      <c r="J762" s="2">
        <v>55</v>
      </c>
      <c r="K762" s="2">
        <v>46</v>
      </c>
      <c r="L762" s="2">
        <v>335</v>
      </c>
      <c r="M762" s="2" t="s">
        <v>1075</v>
      </c>
      <c r="N762" s="2" t="s">
        <v>1061</v>
      </c>
      <c r="O762" t="s">
        <v>387</v>
      </c>
      <c r="P762" t="s">
        <v>952</v>
      </c>
      <c r="Q762" t="s">
        <v>1130</v>
      </c>
      <c r="R762" t="s">
        <v>1092</v>
      </c>
      <c r="S762" t="s">
        <v>2408</v>
      </c>
      <c r="T762" t="s">
        <v>1017</v>
      </c>
      <c r="U762" t="s">
        <v>224</v>
      </c>
      <c r="V762" t="s">
        <v>142</v>
      </c>
      <c r="W762" t="s">
        <v>1190</v>
      </c>
      <c r="X762" t="s">
        <v>1006</v>
      </c>
      <c r="Y762" t="s">
        <v>174</v>
      </c>
      <c r="Z762" t="s">
        <v>794</v>
      </c>
      <c r="AA762" t="s">
        <v>1004</v>
      </c>
      <c r="AB762" t="s">
        <v>1062</v>
      </c>
      <c r="AC762" t="s">
        <v>1063</v>
      </c>
      <c r="AD762" t="s">
        <v>148</v>
      </c>
      <c r="AE762" t="s">
        <v>172</v>
      </c>
      <c r="AF762" t="s">
        <v>752</v>
      </c>
      <c r="AG762" t="s">
        <v>228</v>
      </c>
      <c r="AH762" t="s">
        <v>1078</v>
      </c>
      <c r="AI762" t="s">
        <v>759</v>
      </c>
      <c r="AJ762" t="s">
        <v>1079</v>
      </c>
      <c r="AK762" t="s">
        <v>229</v>
      </c>
      <c r="AL762" t="s">
        <v>1080</v>
      </c>
      <c r="AM762" t="s">
        <v>9</v>
      </c>
      <c r="AN762" t="s">
        <v>174</v>
      </c>
      <c r="AO762" t="s">
        <v>230</v>
      </c>
      <c r="AP762" t="s">
        <v>254</v>
      </c>
      <c r="AQ762" t="s">
        <v>1081</v>
      </c>
      <c r="AR762" t="s">
        <v>257</v>
      </c>
      <c r="AS762" t="s">
        <v>917</v>
      </c>
      <c r="AT762" t="s">
        <v>1097</v>
      </c>
      <c r="AU762" t="s">
        <v>231</v>
      </c>
      <c r="AV762" t="s">
        <v>1082</v>
      </c>
      <c r="AW762" t="s">
        <v>1117</v>
      </c>
      <c r="AX762" t="s">
        <v>1037</v>
      </c>
      <c r="AY762" t="s">
        <v>970</v>
      </c>
      <c r="AZ762" t="s">
        <v>963</v>
      </c>
      <c r="BA762" t="s">
        <v>1031</v>
      </c>
      <c r="BB762" t="s">
        <v>956</v>
      </c>
      <c r="BC762" t="s">
        <v>485</v>
      </c>
      <c r="BD762" t="s">
        <v>232</v>
      </c>
      <c r="BE762" t="s">
        <v>980</v>
      </c>
      <c r="BF762" t="s">
        <v>143</v>
      </c>
      <c r="BG762" t="s">
        <v>293</v>
      </c>
      <c r="BH762" t="s">
        <v>977</v>
      </c>
      <c r="BI762" t="s">
        <v>756</v>
      </c>
      <c r="BJ762" t="s">
        <v>757</v>
      </c>
      <c r="BK762" t="s">
        <v>233</v>
      </c>
      <c r="BL762" t="s">
        <v>1012</v>
      </c>
      <c r="BM762" t="s">
        <v>760</v>
      </c>
      <c r="BN762" t="s">
        <v>1087</v>
      </c>
      <c r="BO762" t="s">
        <v>1157</v>
      </c>
      <c r="BP762" t="s">
        <v>2339</v>
      </c>
      <c r="BQ762" t="s">
        <v>234</v>
      </c>
      <c r="BR762" t="s">
        <v>340</v>
      </c>
      <c r="BS762" t="s">
        <v>793</v>
      </c>
      <c r="BT762" t="s">
        <v>1139</v>
      </c>
      <c r="BU762" t="s">
        <v>239</v>
      </c>
      <c r="BV762" t="s">
        <v>241</v>
      </c>
      <c r="BW762" t="s">
        <v>805</v>
      </c>
      <c r="BX762" t="s">
        <v>806</v>
      </c>
    </row>
    <row r="763" spans="1:84">
      <c r="A763" s="40">
        <v>710.4</v>
      </c>
      <c r="B763" s="40" t="s">
        <v>2860</v>
      </c>
      <c r="C763" s="2" t="s">
        <v>2861</v>
      </c>
      <c r="D763" s="2" t="s">
        <v>10</v>
      </c>
      <c r="E763" s="2" t="s">
        <v>21</v>
      </c>
      <c r="F763" s="2">
        <v>59</v>
      </c>
      <c r="G763" s="2">
        <v>66</v>
      </c>
      <c r="H763" s="2">
        <v>70</v>
      </c>
      <c r="I763" s="2">
        <v>44</v>
      </c>
      <c r="J763" s="2">
        <v>55</v>
      </c>
      <c r="K763" s="2">
        <v>41</v>
      </c>
      <c r="L763" s="2">
        <v>335</v>
      </c>
      <c r="M763" s="2" t="s">
        <v>1075</v>
      </c>
      <c r="N763" s="2" t="s">
        <v>1061</v>
      </c>
      <c r="O763" t="s">
        <v>387</v>
      </c>
      <c r="P763" t="s">
        <v>952</v>
      </c>
      <c r="Q763" t="s">
        <v>1130</v>
      </c>
      <c r="R763" t="s">
        <v>1092</v>
      </c>
      <c r="S763" t="s">
        <v>2408</v>
      </c>
      <c r="T763" t="s">
        <v>1017</v>
      </c>
      <c r="U763" t="s">
        <v>224</v>
      </c>
      <c r="V763" t="s">
        <v>142</v>
      </c>
      <c r="W763" t="s">
        <v>1190</v>
      </c>
      <c r="X763" t="s">
        <v>1006</v>
      </c>
      <c r="Y763" t="s">
        <v>174</v>
      </c>
      <c r="Z763" t="s">
        <v>794</v>
      </c>
      <c r="AA763" t="s">
        <v>1004</v>
      </c>
      <c r="AB763" t="s">
        <v>1062</v>
      </c>
      <c r="AC763" t="s">
        <v>1063</v>
      </c>
      <c r="AD763" t="s">
        <v>148</v>
      </c>
      <c r="AE763" t="s">
        <v>172</v>
      </c>
      <c r="AF763" t="s">
        <v>752</v>
      </c>
      <c r="AG763" t="s">
        <v>228</v>
      </c>
      <c r="AH763" t="s">
        <v>1078</v>
      </c>
      <c r="AI763" t="s">
        <v>759</v>
      </c>
      <c r="AJ763" t="s">
        <v>1079</v>
      </c>
      <c r="AK763" t="s">
        <v>229</v>
      </c>
      <c r="AL763" t="s">
        <v>1080</v>
      </c>
      <c r="AM763" t="s">
        <v>9</v>
      </c>
      <c r="AN763" t="s">
        <v>174</v>
      </c>
      <c r="AO763" t="s">
        <v>230</v>
      </c>
      <c r="AP763" t="s">
        <v>254</v>
      </c>
      <c r="AQ763" t="s">
        <v>1081</v>
      </c>
      <c r="AR763" t="s">
        <v>257</v>
      </c>
      <c r="AS763" t="s">
        <v>917</v>
      </c>
      <c r="AT763" t="s">
        <v>1097</v>
      </c>
      <c r="AU763" t="s">
        <v>231</v>
      </c>
      <c r="AV763" t="s">
        <v>1082</v>
      </c>
      <c r="AW763" t="s">
        <v>1117</v>
      </c>
      <c r="AX763" t="s">
        <v>1037</v>
      </c>
      <c r="AY763" t="s">
        <v>970</v>
      </c>
      <c r="AZ763" t="s">
        <v>963</v>
      </c>
      <c r="BA763" t="s">
        <v>1031</v>
      </c>
      <c r="BB763" t="s">
        <v>956</v>
      </c>
      <c r="BC763" t="s">
        <v>485</v>
      </c>
      <c r="BD763" t="s">
        <v>232</v>
      </c>
      <c r="BE763" t="s">
        <v>980</v>
      </c>
      <c r="BF763" t="s">
        <v>143</v>
      </c>
      <c r="BG763" t="s">
        <v>293</v>
      </c>
      <c r="BH763" t="s">
        <v>977</v>
      </c>
      <c r="BI763" t="s">
        <v>756</v>
      </c>
      <c r="BJ763" t="s">
        <v>757</v>
      </c>
      <c r="BK763" t="s">
        <v>233</v>
      </c>
      <c r="BL763" t="s">
        <v>1012</v>
      </c>
      <c r="BM763" t="s">
        <v>760</v>
      </c>
      <c r="BN763" t="s">
        <v>1087</v>
      </c>
      <c r="BO763" t="s">
        <v>1157</v>
      </c>
      <c r="BP763" t="s">
        <v>2339</v>
      </c>
      <c r="BQ763" t="s">
        <v>234</v>
      </c>
      <c r="BR763" t="s">
        <v>340</v>
      </c>
      <c r="BS763" t="s">
        <v>793</v>
      </c>
      <c r="BT763" t="s">
        <v>1139</v>
      </c>
      <c r="BU763" t="s">
        <v>239</v>
      </c>
      <c r="BV763" t="s">
        <v>241</v>
      </c>
      <c r="BW763" t="s">
        <v>805</v>
      </c>
      <c r="BX763" t="s">
        <v>806</v>
      </c>
    </row>
    <row r="764" spans="1:84">
      <c r="A764" s="40">
        <v>711.1</v>
      </c>
      <c r="B764" s="40" t="s">
        <v>2862</v>
      </c>
      <c r="C764" s="2" t="s">
        <v>2863</v>
      </c>
      <c r="D764" s="2" t="s">
        <v>10</v>
      </c>
      <c r="E764" s="2" t="s">
        <v>21</v>
      </c>
      <c r="F764" s="2">
        <v>65</v>
      </c>
      <c r="G764" s="2">
        <v>90</v>
      </c>
      <c r="H764" s="2">
        <v>122</v>
      </c>
      <c r="I764" s="2">
        <v>58</v>
      </c>
      <c r="J764" s="2">
        <v>75</v>
      </c>
      <c r="K764" s="2">
        <v>84</v>
      </c>
      <c r="L764" s="2">
        <v>494</v>
      </c>
      <c r="M764" s="2" t="s">
        <v>1158</v>
      </c>
      <c r="N764" s="2" t="s">
        <v>1061</v>
      </c>
      <c r="O764" t="s">
        <v>387</v>
      </c>
      <c r="P764" t="s">
        <v>952</v>
      </c>
      <c r="Q764" t="s">
        <v>1130</v>
      </c>
      <c r="R764" t="s">
        <v>1092</v>
      </c>
      <c r="S764" t="s">
        <v>2408</v>
      </c>
      <c r="T764" t="s">
        <v>1017</v>
      </c>
      <c r="U764" t="s">
        <v>224</v>
      </c>
      <c r="V764" t="s">
        <v>142</v>
      </c>
      <c r="W764" t="s">
        <v>1190</v>
      </c>
      <c r="X764" t="s">
        <v>1006</v>
      </c>
      <c r="Y764" t="s">
        <v>174</v>
      </c>
      <c r="Z764" t="s">
        <v>794</v>
      </c>
      <c r="AA764" t="s">
        <v>1004</v>
      </c>
      <c r="AB764" t="s">
        <v>2392</v>
      </c>
      <c r="AC764" t="s">
        <v>2408</v>
      </c>
      <c r="AD764" t="s">
        <v>174</v>
      </c>
      <c r="AE764" t="s">
        <v>485</v>
      </c>
      <c r="AF764" t="s">
        <v>1062</v>
      </c>
      <c r="AG764" t="s">
        <v>1063</v>
      </c>
      <c r="AH764" t="s">
        <v>148</v>
      </c>
      <c r="AI764" t="s">
        <v>172</v>
      </c>
      <c r="AJ764" t="s">
        <v>752</v>
      </c>
      <c r="AK764" t="s">
        <v>247</v>
      </c>
      <c r="AL764" t="s">
        <v>228</v>
      </c>
      <c r="AM764" t="s">
        <v>1078</v>
      </c>
      <c r="AN764" t="s">
        <v>759</v>
      </c>
      <c r="AO764" t="s">
        <v>1079</v>
      </c>
      <c r="AP764" t="s">
        <v>229</v>
      </c>
      <c r="AQ764" t="s">
        <v>1080</v>
      </c>
      <c r="AR764" t="s">
        <v>9</v>
      </c>
      <c r="AS764" t="s">
        <v>174</v>
      </c>
      <c r="AT764" t="s">
        <v>230</v>
      </c>
      <c r="AU764" t="s">
        <v>254</v>
      </c>
      <c r="AV764" t="s">
        <v>1081</v>
      </c>
      <c r="AW764" t="s">
        <v>257</v>
      </c>
      <c r="AX764" t="s">
        <v>917</v>
      </c>
      <c r="AY764" t="s">
        <v>1097</v>
      </c>
      <c r="AZ764" t="s">
        <v>231</v>
      </c>
      <c r="BA764" t="s">
        <v>1082</v>
      </c>
      <c r="BB764" t="s">
        <v>1117</v>
      </c>
      <c r="BC764" t="s">
        <v>1037</v>
      </c>
      <c r="BD764" t="s">
        <v>1102</v>
      </c>
      <c r="BE764" t="s">
        <v>970</v>
      </c>
      <c r="BF764" t="s">
        <v>963</v>
      </c>
      <c r="BG764" t="s">
        <v>1031</v>
      </c>
      <c r="BH764" t="s">
        <v>956</v>
      </c>
      <c r="BI764" t="s">
        <v>485</v>
      </c>
      <c r="BJ764" t="s">
        <v>976</v>
      </c>
      <c r="BK764" t="s">
        <v>232</v>
      </c>
      <c r="BL764" t="s">
        <v>980</v>
      </c>
      <c r="BM764" t="s">
        <v>143</v>
      </c>
      <c r="BN764" t="s">
        <v>293</v>
      </c>
      <c r="BO764" t="s">
        <v>977</v>
      </c>
      <c r="BP764" t="s">
        <v>756</v>
      </c>
      <c r="BQ764" t="s">
        <v>757</v>
      </c>
      <c r="BR764" t="s">
        <v>233</v>
      </c>
      <c r="BS764" t="s">
        <v>1012</v>
      </c>
      <c r="BT764" t="s">
        <v>760</v>
      </c>
      <c r="BU764" t="s">
        <v>1087</v>
      </c>
      <c r="BV764" t="s">
        <v>1157</v>
      </c>
      <c r="BW764" t="s">
        <v>2339</v>
      </c>
      <c r="BX764" t="s">
        <v>234</v>
      </c>
      <c r="BY764" t="s">
        <v>340</v>
      </c>
      <c r="BZ764" t="s">
        <v>793</v>
      </c>
      <c r="CA764" t="s">
        <v>1139</v>
      </c>
      <c r="CB764" t="s">
        <v>239</v>
      </c>
      <c r="CC764" t="s">
        <v>241</v>
      </c>
      <c r="CD764" t="s">
        <v>805</v>
      </c>
      <c r="CE764" t="s">
        <v>806</v>
      </c>
    </row>
    <row r="765" spans="1:84">
      <c r="A765" s="40">
        <v>711.2</v>
      </c>
      <c r="B765" s="40" t="s">
        <v>2864</v>
      </c>
      <c r="C765" s="2" t="s">
        <v>2865</v>
      </c>
      <c r="D765" s="2" t="s">
        <v>10</v>
      </c>
      <c r="E765" s="2" t="s">
        <v>21</v>
      </c>
      <c r="F765" s="2">
        <v>55</v>
      </c>
      <c r="G765" s="2">
        <v>85</v>
      </c>
      <c r="H765" s="2">
        <v>122</v>
      </c>
      <c r="I765" s="2">
        <v>58</v>
      </c>
      <c r="J765" s="2">
        <v>75</v>
      </c>
      <c r="K765" s="2">
        <v>99</v>
      </c>
      <c r="L765" s="2">
        <v>494</v>
      </c>
      <c r="M765" s="2" t="s">
        <v>1158</v>
      </c>
      <c r="N765" s="2" t="s">
        <v>1061</v>
      </c>
      <c r="O765" t="s">
        <v>387</v>
      </c>
      <c r="P765" t="s">
        <v>952</v>
      </c>
      <c r="Q765" t="s">
        <v>1130</v>
      </c>
      <c r="R765" t="s">
        <v>1092</v>
      </c>
      <c r="S765" t="s">
        <v>2408</v>
      </c>
      <c r="T765" t="s">
        <v>1017</v>
      </c>
      <c r="U765" t="s">
        <v>224</v>
      </c>
      <c r="V765" t="s">
        <v>142</v>
      </c>
      <c r="W765" t="s">
        <v>1190</v>
      </c>
      <c r="X765" t="s">
        <v>1006</v>
      </c>
      <c r="Y765" t="s">
        <v>174</v>
      </c>
      <c r="Z765" t="s">
        <v>794</v>
      </c>
      <c r="AA765" t="s">
        <v>1004</v>
      </c>
      <c r="AB765" t="s">
        <v>2392</v>
      </c>
      <c r="AC765" t="s">
        <v>2408</v>
      </c>
      <c r="AD765" t="s">
        <v>174</v>
      </c>
      <c r="AE765" t="s">
        <v>485</v>
      </c>
      <c r="AF765" t="s">
        <v>1062</v>
      </c>
      <c r="AG765" t="s">
        <v>1063</v>
      </c>
      <c r="AH765" t="s">
        <v>148</v>
      </c>
      <c r="AI765" t="s">
        <v>172</v>
      </c>
      <c r="AJ765" t="s">
        <v>752</v>
      </c>
      <c r="AK765" t="s">
        <v>247</v>
      </c>
      <c r="AL765" t="s">
        <v>228</v>
      </c>
      <c r="AM765" t="s">
        <v>1078</v>
      </c>
      <c r="AN765" t="s">
        <v>759</v>
      </c>
      <c r="AO765" t="s">
        <v>1079</v>
      </c>
      <c r="AP765" t="s">
        <v>229</v>
      </c>
      <c r="AQ765" t="s">
        <v>1080</v>
      </c>
      <c r="AR765" t="s">
        <v>9</v>
      </c>
      <c r="AS765" t="s">
        <v>174</v>
      </c>
      <c r="AT765" t="s">
        <v>230</v>
      </c>
      <c r="AU765" t="s">
        <v>254</v>
      </c>
      <c r="AV765" t="s">
        <v>1081</v>
      </c>
      <c r="AW765" t="s">
        <v>257</v>
      </c>
      <c r="AX765" t="s">
        <v>917</v>
      </c>
      <c r="AY765" t="s">
        <v>1097</v>
      </c>
      <c r="AZ765" t="s">
        <v>231</v>
      </c>
      <c r="BA765" t="s">
        <v>1082</v>
      </c>
      <c r="BB765" t="s">
        <v>1117</v>
      </c>
      <c r="BC765" t="s">
        <v>1037</v>
      </c>
      <c r="BD765" t="s">
        <v>1102</v>
      </c>
      <c r="BE765" t="s">
        <v>970</v>
      </c>
      <c r="BF765" t="s">
        <v>963</v>
      </c>
      <c r="BG765" t="s">
        <v>1031</v>
      </c>
      <c r="BH765" t="s">
        <v>956</v>
      </c>
      <c r="BI765" t="s">
        <v>485</v>
      </c>
      <c r="BJ765" t="s">
        <v>976</v>
      </c>
      <c r="BK765" t="s">
        <v>232</v>
      </c>
      <c r="BL765" t="s">
        <v>980</v>
      </c>
      <c r="BM765" t="s">
        <v>143</v>
      </c>
      <c r="BN765" t="s">
        <v>293</v>
      </c>
      <c r="BO765" t="s">
        <v>977</v>
      </c>
      <c r="BP765" t="s">
        <v>756</v>
      </c>
      <c r="BQ765" t="s">
        <v>757</v>
      </c>
      <c r="BR765" t="s">
        <v>233</v>
      </c>
      <c r="BS765" t="s">
        <v>1012</v>
      </c>
      <c r="BT765" t="s">
        <v>760</v>
      </c>
      <c r="BU765" t="s">
        <v>1087</v>
      </c>
      <c r="BV765" t="s">
        <v>1157</v>
      </c>
      <c r="BW765" t="s">
        <v>2339</v>
      </c>
      <c r="BX765" t="s">
        <v>234</v>
      </c>
      <c r="BY765" t="s">
        <v>340</v>
      </c>
      <c r="BZ765" t="s">
        <v>793</v>
      </c>
      <c r="CA765" t="s">
        <v>1139</v>
      </c>
      <c r="CB765" t="s">
        <v>239</v>
      </c>
      <c r="CC765" t="s">
        <v>241</v>
      </c>
      <c r="CD765" t="s">
        <v>805</v>
      </c>
      <c r="CE765" t="s">
        <v>806</v>
      </c>
    </row>
    <row r="766" spans="1:84">
      <c r="A766" s="40">
        <v>711.3</v>
      </c>
      <c r="B766" s="40" t="s">
        <v>2866</v>
      </c>
      <c r="C766" s="2" t="s">
        <v>2867</v>
      </c>
      <c r="D766" s="2" t="s">
        <v>10</v>
      </c>
      <c r="E766" s="2" t="s">
        <v>21</v>
      </c>
      <c r="F766" s="2">
        <v>75</v>
      </c>
      <c r="G766" s="2">
        <v>95</v>
      </c>
      <c r="H766" s="2">
        <v>122</v>
      </c>
      <c r="I766" s="2">
        <v>58</v>
      </c>
      <c r="J766" s="2">
        <v>75</v>
      </c>
      <c r="K766" s="2">
        <v>69</v>
      </c>
      <c r="L766" s="2">
        <v>494</v>
      </c>
      <c r="M766" s="2" t="s">
        <v>1158</v>
      </c>
      <c r="N766" s="2" t="s">
        <v>1061</v>
      </c>
      <c r="O766" t="s">
        <v>387</v>
      </c>
      <c r="P766" t="s">
        <v>952</v>
      </c>
      <c r="Q766" t="s">
        <v>1130</v>
      </c>
      <c r="R766" t="s">
        <v>1092</v>
      </c>
      <c r="S766" t="s">
        <v>2408</v>
      </c>
      <c r="T766" t="s">
        <v>1017</v>
      </c>
      <c r="U766" t="s">
        <v>224</v>
      </c>
      <c r="V766" t="s">
        <v>142</v>
      </c>
      <c r="W766" t="s">
        <v>1190</v>
      </c>
      <c r="X766" t="s">
        <v>1006</v>
      </c>
      <c r="Y766" t="s">
        <v>174</v>
      </c>
      <c r="Z766" t="s">
        <v>794</v>
      </c>
      <c r="AA766" t="s">
        <v>1004</v>
      </c>
      <c r="AB766" t="s">
        <v>2392</v>
      </c>
      <c r="AC766" t="s">
        <v>2408</v>
      </c>
      <c r="AD766" t="s">
        <v>174</v>
      </c>
      <c r="AE766" t="s">
        <v>485</v>
      </c>
      <c r="AF766" t="s">
        <v>1062</v>
      </c>
      <c r="AG766" t="s">
        <v>1063</v>
      </c>
      <c r="AH766" t="s">
        <v>148</v>
      </c>
      <c r="AI766" t="s">
        <v>172</v>
      </c>
      <c r="AJ766" t="s">
        <v>752</v>
      </c>
      <c r="AK766" t="s">
        <v>247</v>
      </c>
      <c r="AL766" t="s">
        <v>228</v>
      </c>
      <c r="AM766" t="s">
        <v>1078</v>
      </c>
      <c r="AN766" t="s">
        <v>759</v>
      </c>
      <c r="AO766" t="s">
        <v>1079</v>
      </c>
      <c r="AP766" t="s">
        <v>229</v>
      </c>
      <c r="AQ766" t="s">
        <v>1080</v>
      </c>
      <c r="AR766" t="s">
        <v>9</v>
      </c>
      <c r="AS766" t="s">
        <v>174</v>
      </c>
      <c r="AT766" t="s">
        <v>230</v>
      </c>
      <c r="AU766" t="s">
        <v>254</v>
      </c>
      <c r="AV766" t="s">
        <v>1081</v>
      </c>
      <c r="AW766" t="s">
        <v>257</v>
      </c>
      <c r="AX766" t="s">
        <v>917</v>
      </c>
      <c r="AY766" t="s">
        <v>1097</v>
      </c>
      <c r="AZ766" t="s">
        <v>231</v>
      </c>
      <c r="BA766" t="s">
        <v>1082</v>
      </c>
      <c r="BB766" t="s">
        <v>1117</v>
      </c>
      <c r="BC766" t="s">
        <v>1037</v>
      </c>
      <c r="BD766" t="s">
        <v>1102</v>
      </c>
      <c r="BE766" t="s">
        <v>970</v>
      </c>
      <c r="BF766" t="s">
        <v>963</v>
      </c>
      <c r="BG766" t="s">
        <v>1031</v>
      </c>
      <c r="BH766" t="s">
        <v>956</v>
      </c>
      <c r="BI766" t="s">
        <v>485</v>
      </c>
      <c r="BJ766" t="s">
        <v>976</v>
      </c>
      <c r="BK766" t="s">
        <v>232</v>
      </c>
      <c r="BL766" t="s">
        <v>980</v>
      </c>
      <c r="BM766" t="s">
        <v>143</v>
      </c>
      <c r="BN766" t="s">
        <v>293</v>
      </c>
      <c r="BO766" t="s">
        <v>977</v>
      </c>
      <c r="BP766" t="s">
        <v>756</v>
      </c>
      <c r="BQ766" t="s">
        <v>757</v>
      </c>
      <c r="BR766" t="s">
        <v>233</v>
      </c>
      <c r="BS766" t="s">
        <v>1012</v>
      </c>
      <c r="BT766" t="s">
        <v>760</v>
      </c>
      <c r="BU766" t="s">
        <v>1087</v>
      </c>
      <c r="BV766" t="s">
        <v>1157</v>
      </c>
      <c r="BW766" t="s">
        <v>2339</v>
      </c>
      <c r="BX766" t="s">
        <v>234</v>
      </c>
      <c r="BY766" t="s">
        <v>340</v>
      </c>
      <c r="BZ766" t="s">
        <v>793</v>
      </c>
      <c r="CA766" t="s">
        <v>1139</v>
      </c>
      <c r="CB766" t="s">
        <v>239</v>
      </c>
      <c r="CC766" t="s">
        <v>241</v>
      </c>
      <c r="CD766" t="s">
        <v>805</v>
      </c>
      <c r="CE766" t="s">
        <v>806</v>
      </c>
    </row>
    <row r="767" spans="1:84">
      <c r="A767" s="40">
        <v>711.4</v>
      </c>
      <c r="B767" s="40" t="s">
        <v>2868</v>
      </c>
      <c r="C767" s="2" t="s">
        <v>2869</v>
      </c>
      <c r="D767" s="2" t="s">
        <v>10</v>
      </c>
      <c r="E767" s="2" t="s">
        <v>21</v>
      </c>
      <c r="F767" s="2">
        <v>85</v>
      </c>
      <c r="G767" s="2">
        <v>100</v>
      </c>
      <c r="H767" s="2">
        <v>122</v>
      </c>
      <c r="I767" s="2">
        <v>58</v>
      </c>
      <c r="J767" s="2">
        <v>75</v>
      </c>
      <c r="K767" s="2">
        <v>54</v>
      </c>
      <c r="L767" s="2">
        <v>494</v>
      </c>
      <c r="M767" s="2" t="s">
        <v>1158</v>
      </c>
      <c r="N767" s="2" t="s">
        <v>1061</v>
      </c>
      <c r="O767" t="s">
        <v>387</v>
      </c>
      <c r="P767" t="s">
        <v>952</v>
      </c>
      <c r="Q767" t="s">
        <v>1130</v>
      </c>
      <c r="R767" t="s">
        <v>1092</v>
      </c>
      <c r="S767" t="s">
        <v>2408</v>
      </c>
      <c r="T767" t="s">
        <v>1017</v>
      </c>
      <c r="U767" t="s">
        <v>224</v>
      </c>
      <c r="V767" t="s">
        <v>142</v>
      </c>
      <c r="W767" t="s">
        <v>1190</v>
      </c>
      <c r="X767" t="s">
        <v>1006</v>
      </c>
      <c r="Y767" t="s">
        <v>174</v>
      </c>
      <c r="Z767" t="s">
        <v>794</v>
      </c>
      <c r="AA767" t="s">
        <v>1004</v>
      </c>
      <c r="AB767" t="s">
        <v>2392</v>
      </c>
      <c r="AC767" t="s">
        <v>2408</v>
      </c>
      <c r="AD767" t="s">
        <v>174</v>
      </c>
      <c r="AE767" t="s">
        <v>485</v>
      </c>
      <c r="AF767" t="s">
        <v>1062</v>
      </c>
      <c r="AG767" t="s">
        <v>1063</v>
      </c>
      <c r="AH767" t="s">
        <v>148</v>
      </c>
      <c r="AI767" t="s">
        <v>172</v>
      </c>
      <c r="AJ767" t="s">
        <v>752</v>
      </c>
      <c r="AK767" t="s">
        <v>247</v>
      </c>
      <c r="AL767" t="s">
        <v>228</v>
      </c>
      <c r="AM767" t="s">
        <v>1078</v>
      </c>
      <c r="AN767" t="s">
        <v>759</v>
      </c>
      <c r="AO767" t="s">
        <v>1079</v>
      </c>
      <c r="AP767" t="s">
        <v>229</v>
      </c>
      <c r="AQ767" t="s">
        <v>1080</v>
      </c>
      <c r="AR767" t="s">
        <v>9</v>
      </c>
      <c r="AS767" t="s">
        <v>174</v>
      </c>
      <c r="AT767" t="s">
        <v>230</v>
      </c>
      <c r="AU767" t="s">
        <v>254</v>
      </c>
      <c r="AV767" t="s">
        <v>1081</v>
      </c>
      <c r="AW767" t="s">
        <v>257</v>
      </c>
      <c r="AX767" t="s">
        <v>917</v>
      </c>
      <c r="AY767" t="s">
        <v>1097</v>
      </c>
      <c r="AZ767" t="s">
        <v>231</v>
      </c>
      <c r="BA767" t="s">
        <v>1082</v>
      </c>
      <c r="BB767" t="s">
        <v>1117</v>
      </c>
      <c r="BC767" t="s">
        <v>1037</v>
      </c>
      <c r="BD767" t="s">
        <v>1102</v>
      </c>
      <c r="BE767" t="s">
        <v>970</v>
      </c>
      <c r="BF767" t="s">
        <v>963</v>
      </c>
      <c r="BG767" t="s">
        <v>1031</v>
      </c>
      <c r="BH767" t="s">
        <v>956</v>
      </c>
      <c r="BI767" t="s">
        <v>485</v>
      </c>
      <c r="BJ767" t="s">
        <v>976</v>
      </c>
      <c r="BK767" t="s">
        <v>232</v>
      </c>
      <c r="BL767" t="s">
        <v>980</v>
      </c>
      <c r="BM767" t="s">
        <v>143</v>
      </c>
      <c r="BN767" t="s">
        <v>293</v>
      </c>
      <c r="BO767" t="s">
        <v>977</v>
      </c>
      <c r="BP767" t="s">
        <v>756</v>
      </c>
      <c r="BQ767" t="s">
        <v>757</v>
      </c>
      <c r="BR767" t="s">
        <v>233</v>
      </c>
      <c r="BS767" t="s">
        <v>1012</v>
      </c>
      <c r="BT767" t="s">
        <v>760</v>
      </c>
      <c r="BU767" t="s">
        <v>1087</v>
      </c>
      <c r="BV767" t="s">
        <v>1157</v>
      </c>
      <c r="BW767" t="s">
        <v>2339</v>
      </c>
      <c r="BX767" t="s">
        <v>234</v>
      </c>
      <c r="BY767" t="s">
        <v>340</v>
      </c>
      <c r="BZ767" t="s">
        <v>793</v>
      </c>
      <c r="CA767" t="s">
        <v>1139</v>
      </c>
      <c r="CB767" t="s">
        <v>239</v>
      </c>
      <c r="CC767" t="s">
        <v>241</v>
      </c>
      <c r="CD767" t="s">
        <v>805</v>
      </c>
      <c r="CE767" t="s">
        <v>806</v>
      </c>
    </row>
    <row r="768" spans="1:84">
      <c r="A768" s="40">
        <v>712</v>
      </c>
      <c r="B768" s="40" t="s">
        <v>2870</v>
      </c>
      <c r="C768" s="2" t="s">
        <v>2871</v>
      </c>
      <c r="D768" s="2" t="s">
        <v>23</v>
      </c>
      <c r="E768" s="2"/>
      <c r="F768" s="2">
        <v>55</v>
      </c>
      <c r="G768" s="2">
        <v>69</v>
      </c>
      <c r="H768" s="2">
        <v>85</v>
      </c>
      <c r="I768" s="2">
        <v>32</v>
      </c>
      <c r="J768" s="2">
        <v>35</v>
      </c>
      <c r="K768" s="2">
        <v>28</v>
      </c>
      <c r="L768" s="2">
        <v>304</v>
      </c>
      <c r="M768" s="2" t="s">
        <v>1071</v>
      </c>
      <c r="N768" s="2" t="s">
        <v>1061</v>
      </c>
      <c r="O768" t="s">
        <v>219</v>
      </c>
      <c r="P768" t="s">
        <v>258</v>
      </c>
      <c r="Q768" t="s">
        <v>284</v>
      </c>
      <c r="R768" t="s">
        <v>1228</v>
      </c>
      <c r="S768" t="s">
        <v>769</v>
      </c>
      <c r="T768" t="s">
        <v>223</v>
      </c>
      <c r="U768" t="s">
        <v>751</v>
      </c>
      <c r="V768" t="s">
        <v>983</v>
      </c>
      <c r="W768" t="s">
        <v>1178</v>
      </c>
      <c r="X768" t="s">
        <v>173</v>
      </c>
      <c r="Y768" t="s">
        <v>1214</v>
      </c>
      <c r="Z768" t="s">
        <v>271</v>
      </c>
      <c r="AA768" t="s">
        <v>459</v>
      </c>
      <c r="AB768" t="s">
        <v>225</v>
      </c>
      <c r="AC768" t="s">
        <v>1062</v>
      </c>
      <c r="AD768" t="s">
        <v>144</v>
      </c>
      <c r="AE768" t="s">
        <v>227</v>
      </c>
      <c r="AF768" t="s">
        <v>1063</v>
      </c>
      <c r="AG768" t="s">
        <v>148</v>
      </c>
      <c r="AH768" t="s">
        <v>1104</v>
      </c>
      <c r="AI768" t="s">
        <v>172</v>
      </c>
      <c r="AJ768" t="s">
        <v>141</v>
      </c>
      <c r="AK768" t="s">
        <v>271</v>
      </c>
      <c r="AL768" t="s">
        <v>1078</v>
      </c>
      <c r="AM768" t="s">
        <v>766</v>
      </c>
      <c r="AN768" t="s">
        <v>759</v>
      </c>
      <c r="AO768" t="s">
        <v>1079</v>
      </c>
      <c r="AP768" t="s">
        <v>1080</v>
      </c>
      <c r="AQ768" t="s">
        <v>230</v>
      </c>
      <c r="AR768" t="s">
        <v>1095</v>
      </c>
      <c r="AS768" t="s">
        <v>917</v>
      </c>
      <c r="AT768" t="s">
        <v>231</v>
      </c>
      <c r="AU768" t="s">
        <v>1082</v>
      </c>
      <c r="AV768" t="s">
        <v>1037</v>
      </c>
      <c r="AW768" t="s">
        <v>1003</v>
      </c>
      <c r="AX768" t="s">
        <v>232</v>
      </c>
      <c r="AY768" t="s">
        <v>183</v>
      </c>
      <c r="AZ768" t="s">
        <v>980</v>
      </c>
      <c r="BA768" t="s">
        <v>1027</v>
      </c>
      <c r="BB768" t="s">
        <v>143</v>
      </c>
      <c r="BC768" t="s">
        <v>756</v>
      </c>
      <c r="BD768" t="s">
        <v>757</v>
      </c>
      <c r="BE768" t="s">
        <v>233</v>
      </c>
      <c r="BF768" t="s">
        <v>973</v>
      </c>
      <c r="BG768" t="s">
        <v>760</v>
      </c>
      <c r="BH768" t="s">
        <v>2339</v>
      </c>
      <c r="BI768" t="s">
        <v>234</v>
      </c>
      <c r="BJ768" t="s">
        <v>273</v>
      </c>
      <c r="BK768" t="s">
        <v>772</v>
      </c>
      <c r="BL768" t="s">
        <v>239</v>
      </c>
      <c r="BM768" t="s">
        <v>241</v>
      </c>
      <c r="BN768" t="s">
        <v>805</v>
      </c>
      <c r="BO768" t="s">
        <v>806</v>
      </c>
    </row>
    <row r="769" spans="1:82">
      <c r="A769" s="40">
        <v>713</v>
      </c>
      <c r="B769" s="40" t="s">
        <v>2872</v>
      </c>
      <c r="C769" s="2" t="s">
        <v>2873</v>
      </c>
      <c r="D769" s="2" t="s">
        <v>23</v>
      </c>
      <c r="E769" s="2"/>
      <c r="F769" s="2">
        <v>95</v>
      </c>
      <c r="G769" s="2">
        <v>117</v>
      </c>
      <c r="H769" s="2">
        <v>184</v>
      </c>
      <c r="I769" s="2">
        <v>44</v>
      </c>
      <c r="J769" s="2">
        <v>46</v>
      </c>
      <c r="K769" s="2">
        <v>28</v>
      </c>
      <c r="L769" s="2">
        <v>514</v>
      </c>
      <c r="M769" s="2" t="s">
        <v>1165</v>
      </c>
      <c r="N769" s="2" t="s">
        <v>1061</v>
      </c>
      <c r="O769" t="s">
        <v>219</v>
      </c>
      <c r="P769" t="s">
        <v>258</v>
      </c>
      <c r="Q769" t="s">
        <v>284</v>
      </c>
      <c r="R769" t="s">
        <v>177</v>
      </c>
      <c r="S769" t="s">
        <v>1214</v>
      </c>
      <c r="T769" t="s">
        <v>271</v>
      </c>
      <c r="U769" t="s">
        <v>459</v>
      </c>
      <c r="V769" t="s">
        <v>225</v>
      </c>
      <c r="W769" t="s">
        <v>237</v>
      </c>
      <c r="X769" t="s">
        <v>777</v>
      </c>
      <c r="Y769" t="s">
        <v>1062</v>
      </c>
      <c r="Z769" t="s">
        <v>144</v>
      </c>
      <c r="AA769" t="s">
        <v>227</v>
      </c>
      <c r="AB769" t="s">
        <v>1063</v>
      </c>
      <c r="AC769" t="s">
        <v>246</v>
      </c>
      <c r="AD769" t="s">
        <v>148</v>
      </c>
      <c r="AE769" t="s">
        <v>1104</v>
      </c>
      <c r="AF769" t="s">
        <v>172</v>
      </c>
      <c r="AG769" t="s">
        <v>141</v>
      </c>
      <c r="AH769" t="s">
        <v>271</v>
      </c>
      <c r="AI769" t="s">
        <v>247</v>
      </c>
      <c r="AJ769" t="s">
        <v>1078</v>
      </c>
      <c r="AK769" t="s">
        <v>766</v>
      </c>
      <c r="AL769" t="s">
        <v>759</v>
      </c>
      <c r="AM769" t="s">
        <v>1079</v>
      </c>
      <c r="AN769" t="s">
        <v>136</v>
      </c>
      <c r="AO769" t="s">
        <v>1080</v>
      </c>
      <c r="AP769" t="s">
        <v>230</v>
      </c>
      <c r="AQ769" t="s">
        <v>1095</v>
      </c>
      <c r="AR769" t="s">
        <v>917</v>
      </c>
      <c r="AS769" t="s">
        <v>231</v>
      </c>
      <c r="AT769" t="s">
        <v>1082</v>
      </c>
      <c r="AU769" t="s">
        <v>1037</v>
      </c>
      <c r="AV769" t="s">
        <v>976</v>
      </c>
      <c r="AW769" t="s">
        <v>1003</v>
      </c>
      <c r="AX769" t="s">
        <v>232</v>
      </c>
      <c r="AY769" t="s">
        <v>183</v>
      </c>
      <c r="AZ769" t="s">
        <v>980</v>
      </c>
      <c r="BA769" t="s">
        <v>1021</v>
      </c>
      <c r="BB769" t="s">
        <v>1027</v>
      </c>
      <c r="BC769" t="s">
        <v>143</v>
      </c>
      <c r="BD769" t="s">
        <v>756</v>
      </c>
      <c r="BE769" t="s">
        <v>757</v>
      </c>
      <c r="BF769" t="s">
        <v>233</v>
      </c>
      <c r="BG769" t="s">
        <v>973</v>
      </c>
      <c r="BH769" t="s">
        <v>760</v>
      </c>
      <c r="BI769" t="s">
        <v>2339</v>
      </c>
      <c r="BJ769" t="s">
        <v>234</v>
      </c>
      <c r="BK769" t="s">
        <v>273</v>
      </c>
      <c r="BL769" t="s">
        <v>772</v>
      </c>
      <c r="BM769" t="s">
        <v>239</v>
      </c>
      <c r="BN769" t="s">
        <v>241</v>
      </c>
      <c r="BO769" t="s">
        <v>1228</v>
      </c>
      <c r="BP769" t="s">
        <v>769</v>
      </c>
      <c r="BQ769" t="s">
        <v>223</v>
      </c>
      <c r="BR769" t="s">
        <v>751</v>
      </c>
      <c r="BS769" t="s">
        <v>983</v>
      </c>
      <c r="BT769" t="s">
        <v>1178</v>
      </c>
      <c r="BU769" t="s">
        <v>173</v>
      </c>
      <c r="BV769" t="s">
        <v>805</v>
      </c>
      <c r="BW769" t="s">
        <v>806</v>
      </c>
    </row>
    <row r="770" spans="1:82">
      <c r="A770" s="40">
        <v>714</v>
      </c>
      <c r="B770" s="40" t="s">
        <v>2874</v>
      </c>
      <c r="C770" s="2" t="s">
        <v>2875</v>
      </c>
      <c r="D770" s="2" t="s">
        <v>20</v>
      </c>
      <c r="E770" s="2" t="s">
        <v>16</v>
      </c>
      <c r="F770" s="2">
        <v>40</v>
      </c>
      <c r="G770" s="2">
        <v>30</v>
      </c>
      <c r="H770" s="2">
        <v>35</v>
      </c>
      <c r="I770" s="2">
        <v>45</v>
      </c>
      <c r="J770" s="2">
        <v>40</v>
      </c>
      <c r="K770" s="2">
        <v>55</v>
      </c>
      <c r="L770" s="2">
        <v>245</v>
      </c>
      <c r="M770" s="2" t="s">
        <v>1112</v>
      </c>
      <c r="N770" s="2" t="s">
        <v>1061</v>
      </c>
      <c r="O770" t="s">
        <v>219</v>
      </c>
      <c r="P770" t="s">
        <v>290</v>
      </c>
      <c r="Q770" t="s">
        <v>324</v>
      </c>
      <c r="R770" t="s">
        <v>397</v>
      </c>
      <c r="S770" t="s">
        <v>289</v>
      </c>
      <c r="T770" t="s">
        <v>258</v>
      </c>
      <c r="U770" t="s">
        <v>264</v>
      </c>
      <c r="V770" t="s">
        <v>306</v>
      </c>
      <c r="W770" t="s">
        <v>1118</v>
      </c>
      <c r="X770" t="s">
        <v>1119</v>
      </c>
      <c r="Y770" t="s">
        <v>332</v>
      </c>
      <c r="Z770" t="s">
        <v>1009</v>
      </c>
      <c r="AA770" t="s">
        <v>291</v>
      </c>
      <c r="AB770" t="s">
        <v>320</v>
      </c>
      <c r="AC770" t="s">
        <v>1101</v>
      </c>
      <c r="AD770" t="s">
        <v>1122</v>
      </c>
      <c r="AE770" t="s">
        <v>1062</v>
      </c>
      <c r="AF770" t="s">
        <v>226</v>
      </c>
      <c r="AG770" t="s">
        <v>138</v>
      </c>
      <c r="AH770" t="s">
        <v>1063</v>
      </c>
      <c r="AI770" t="s">
        <v>148</v>
      </c>
      <c r="AJ770" t="s">
        <v>172</v>
      </c>
      <c r="AK770" t="s">
        <v>752</v>
      </c>
      <c r="AL770" t="s">
        <v>1126</v>
      </c>
      <c r="AM770" t="s">
        <v>1078</v>
      </c>
      <c r="AN770" t="s">
        <v>1119</v>
      </c>
      <c r="AO770" t="s">
        <v>1079</v>
      </c>
      <c r="AP770" t="s">
        <v>229</v>
      </c>
      <c r="AQ770" t="s">
        <v>1080</v>
      </c>
      <c r="AR770" t="s">
        <v>9</v>
      </c>
      <c r="AS770" t="s">
        <v>174</v>
      </c>
      <c r="AT770" t="s">
        <v>1094</v>
      </c>
      <c r="AU770" t="s">
        <v>230</v>
      </c>
      <c r="AV770" t="s">
        <v>1096</v>
      </c>
      <c r="AW770" t="s">
        <v>951</v>
      </c>
      <c r="AX770" t="s">
        <v>917</v>
      </c>
      <c r="AY770" t="s">
        <v>231</v>
      </c>
      <c r="AZ770" t="s">
        <v>1082</v>
      </c>
      <c r="BA770" t="s">
        <v>1117</v>
      </c>
      <c r="BB770" t="s">
        <v>1037</v>
      </c>
      <c r="BC770" t="s">
        <v>1083</v>
      </c>
      <c r="BD770" t="s">
        <v>1125</v>
      </c>
      <c r="BE770" t="s">
        <v>1020</v>
      </c>
      <c r="BF770" t="s">
        <v>1005</v>
      </c>
      <c r="BG770" t="s">
        <v>1018</v>
      </c>
      <c r="BH770" t="s">
        <v>293</v>
      </c>
      <c r="BI770" t="s">
        <v>756</v>
      </c>
      <c r="BJ770" t="s">
        <v>757</v>
      </c>
      <c r="BK770" t="s">
        <v>1014</v>
      </c>
      <c r="BL770" t="s">
        <v>233</v>
      </c>
      <c r="BM770" t="s">
        <v>1047</v>
      </c>
      <c r="BN770" t="s">
        <v>1157</v>
      </c>
      <c r="BO770" t="s">
        <v>2339</v>
      </c>
      <c r="BP770" t="s">
        <v>234</v>
      </c>
      <c r="BQ770" t="s">
        <v>1136</v>
      </c>
      <c r="BR770" t="s">
        <v>239</v>
      </c>
      <c r="BS770" t="s">
        <v>241</v>
      </c>
      <c r="BT770" t="s">
        <v>805</v>
      </c>
      <c r="BU770" t="s">
        <v>806</v>
      </c>
    </row>
    <row r="771" spans="1:82">
      <c r="A771" s="40">
        <v>715</v>
      </c>
      <c r="B771" s="40" t="s">
        <v>2876</v>
      </c>
      <c r="C771" s="2" t="s">
        <v>2877</v>
      </c>
      <c r="D771" s="2" t="s">
        <v>20</v>
      </c>
      <c r="E771" s="2" t="s">
        <v>16</v>
      </c>
      <c r="F771" s="2">
        <v>85</v>
      </c>
      <c r="G771" s="2">
        <v>70</v>
      </c>
      <c r="H771" s="2">
        <v>80</v>
      </c>
      <c r="I771" s="2">
        <v>97</v>
      </c>
      <c r="J771" s="2">
        <v>80</v>
      </c>
      <c r="K771" s="2">
        <v>123</v>
      </c>
      <c r="L771" s="2">
        <v>535</v>
      </c>
      <c r="M771" s="2" t="s">
        <v>1177</v>
      </c>
      <c r="N771" s="2" t="s">
        <v>1061</v>
      </c>
      <c r="O771" t="s">
        <v>219</v>
      </c>
      <c r="P771" t="s">
        <v>290</v>
      </c>
      <c r="Q771" t="s">
        <v>324</v>
      </c>
      <c r="R771" t="s">
        <v>784</v>
      </c>
      <c r="S771" t="s">
        <v>1101</v>
      </c>
      <c r="T771" t="s">
        <v>1122</v>
      </c>
      <c r="U771" t="s">
        <v>967</v>
      </c>
      <c r="V771" t="s">
        <v>2337</v>
      </c>
      <c r="W771" t="s">
        <v>1062</v>
      </c>
      <c r="X771" t="s">
        <v>226</v>
      </c>
      <c r="Y771" t="s">
        <v>138</v>
      </c>
      <c r="Z771" t="s">
        <v>1063</v>
      </c>
      <c r="AA771" t="s">
        <v>1030</v>
      </c>
      <c r="AB771" t="s">
        <v>1093</v>
      </c>
      <c r="AC771" t="s">
        <v>148</v>
      </c>
      <c r="AD771" t="s">
        <v>172</v>
      </c>
      <c r="AE771" t="s">
        <v>752</v>
      </c>
      <c r="AF771" t="s">
        <v>1126</v>
      </c>
      <c r="AG771" t="s">
        <v>247</v>
      </c>
      <c r="AH771" t="s">
        <v>1078</v>
      </c>
      <c r="AI771" t="s">
        <v>1119</v>
      </c>
      <c r="AJ771" t="s">
        <v>1079</v>
      </c>
      <c r="AK771" t="s">
        <v>229</v>
      </c>
      <c r="AL771" t="s">
        <v>1080</v>
      </c>
      <c r="AM771" t="s">
        <v>9</v>
      </c>
      <c r="AN771" t="s">
        <v>174</v>
      </c>
      <c r="AO771" t="s">
        <v>1094</v>
      </c>
      <c r="AP771" t="s">
        <v>230</v>
      </c>
      <c r="AQ771" t="s">
        <v>254</v>
      </c>
      <c r="AR771" t="s">
        <v>1096</v>
      </c>
      <c r="AS771" t="s">
        <v>951</v>
      </c>
      <c r="AT771" t="s">
        <v>917</v>
      </c>
      <c r="AU771" t="s">
        <v>231</v>
      </c>
      <c r="AV771" t="s">
        <v>1082</v>
      </c>
      <c r="AW771" t="s">
        <v>1117</v>
      </c>
      <c r="AX771" t="s">
        <v>1037</v>
      </c>
      <c r="AY771" t="s">
        <v>1083</v>
      </c>
      <c r="AZ771" t="s">
        <v>1125</v>
      </c>
      <c r="BA771" t="s">
        <v>1102</v>
      </c>
      <c r="BB771" t="s">
        <v>1020</v>
      </c>
      <c r="BC771" t="s">
        <v>1005</v>
      </c>
      <c r="BD771" t="s">
        <v>976</v>
      </c>
      <c r="BE771" t="s">
        <v>1018</v>
      </c>
      <c r="BF771" t="s">
        <v>293</v>
      </c>
      <c r="BG771" t="s">
        <v>756</v>
      </c>
      <c r="BH771" t="s">
        <v>757</v>
      </c>
      <c r="BI771" t="s">
        <v>1014</v>
      </c>
      <c r="BJ771" t="s">
        <v>233</v>
      </c>
      <c r="BK771" t="s">
        <v>1047</v>
      </c>
      <c r="BL771" t="s">
        <v>1157</v>
      </c>
      <c r="BM771" t="s">
        <v>2339</v>
      </c>
      <c r="BN771" t="s">
        <v>234</v>
      </c>
      <c r="BO771" t="s">
        <v>1136</v>
      </c>
      <c r="BP771" t="s">
        <v>239</v>
      </c>
      <c r="BQ771" t="s">
        <v>241</v>
      </c>
      <c r="BR771" t="s">
        <v>397</v>
      </c>
      <c r="BS771" t="s">
        <v>289</v>
      </c>
      <c r="BT771" t="s">
        <v>258</v>
      </c>
      <c r="BU771" t="s">
        <v>264</v>
      </c>
      <c r="BV771" t="s">
        <v>306</v>
      </c>
      <c r="BW771" t="s">
        <v>1118</v>
      </c>
      <c r="BX771" t="s">
        <v>1119</v>
      </c>
      <c r="BY771" t="s">
        <v>332</v>
      </c>
      <c r="BZ771" t="s">
        <v>1009</v>
      </c>
      <c r="CA771" t="s">
        <v>291</v>
      </c>
      <c r="CB771" t="s">
        <v>320</v>
      </c>
      <c r="CC771" t="s">
        <v>805</v>
      </c>
      <c r="CD771" t="s">
        <v>806</v>
      </c>
    </row>
    <row r="772" spans="1:82">
      <c r="A772" s="40">
        <v>716</v>
      </c>
      <c r="B772" s="40" t="s">
        <v>2878</v>
      </c>
      <c r="C772" s="2" t="s">
        <v>2879</v>
      </c>
      <c r="D772" s="2" t="s">
        <v>894</v>
      </c>
      <c r="E772" s="2"/>
      <c r="F772" s="2">
        <v>126</v>
      </c>
      <c r="G772" s="2">
        <v>131</v>
      </c>
      <c r="H772" s="2">
        <v>95</v>
      </c>
      <c r="I772" s="2">
        <v>131</v>
      </c>
      <c r="J772" s="2">
        <v>98</v>
      </c>
      <c r="K772" s="2">
        <v>99</v>
      </c>
      <c r="L772" s="2">
        <v>680</v>
      </c>
      <c r="M772" s="2" t="s">
        <v>1162</v>
      </c>
      <c r="N772" s="2" t="s">
        <v>1061</v>
      </c>
      <c r="O772" t="s">
        <v>223</v>
      </c>
      <c r="P772" t="s">
        <v>478</v>
      </c>
      <c r="Q772" t="s">
        <v>228</v>
      </c>
      <c r="R772" t="s">
        <v>1085</v>
      </c>
      <c r="S772" t="s">
        <v>1153</v>
      </c>
      <c r="T772" t="s">
        <v>1200</v>
      </c>
      <c r="U772" t="s">
        <v>797</v>
      </c>
      <c r="V772" t="s">
        <v>978</v>
      </c>
      <c r="W772" t="s">
        <v>2381</v>
      </c>
      <c r="X772" t="s">
        <v>2365</v>
      </c>
      <c r="Y772" t="s">
        <v>993</v>
      </c>
      <c r="Z772" t="s">
        <v>2034</v>
      </c>
      <c r="AA772" t="s">
        <v>785</v>
      </c>
      <c r="AB772" t="s">
        <v>2379</v>
      </c>
      <c r="AC772" t="s">
        <v>1087</v>
      </c>
      <c r="AD772" t="s">
        <v>1174</v>
      </c>
      <c r="AE772" t="s">
        <v>976</v>
      </c>
      <c r="AF772" t="s">
        <v>764</v>
      </c>
      <c r="AG772" t="s">
        <v>1062</v>
      </c>
      <c r="AH772" t="s">
        <v>1063</v>
      </c>
      <c r="AI772" t="s">
        <v>1151</v>
      </c>
      <c r="AJ772" t="s">
        <v>912</v>
      </c>
      <c r="AK772" t="s">
        <v>246</v>
      </c>
      <c r="AL772" t="s">
        <v>148</v>
      </c>
      <c r="AM772" t="s">
        <v>1104</v>
      </c>
      <c r="AN772" t="s">
        <v>172</v>
      </c>
      <c r="AO772" t="s">
        <v>752</v>
      </c>
      <c r="AP772" t="s">
        <v>247</v>
      </c>
      <c r="AQ772" t="s">
        <v>228</v>
      </c>
      <c r="AR772" t="s">
        <v>1078</v>
      </c>
      <c r="AS772" t="s">
        <v>766</v>
      </c>
      <c r="AT772" t="s">
        <v>1079</v>
      </c>
      <c r="AU772" t="s">
        <v>146</v>
      </c>
      <c r="AV772" t="s">
        <v>321</v>
      </c>
      <c r="AW772" t="s">
        <v>1080</v>
      </c>
      <c r="AX772" t="s">
        <v>9</v>
      </c>
      <c r="AY772" t="s">
        <v>230</v>
      </c>
      <c r="AZ772" t="s">
        <v>380</v>
      </c>
      <c r="BA772" t="s">
        <v>917</v>
      </c>
      <c r="BB772" t="s">
        <v>231</v>
      </c>
      <c r="BC772" t="s">
        <v>1037</v>
      </c>
      <c r="BD772" t="s">
        <v>1083</v>
      </c>
      <c r="BE772" t="s">
        <v>1102</v>
      </c>
      <c r="BF772" t="s">
        <v>976</v>
      </c>
      <c r="BG772" t="s">
        <v>232</v>
      </c>
      <c r="BH772" t="s">
        <v>322</v>
      </c>
      <c r="BI772" t="s">
        <v>143</v>
      </c>
      <c r="BJ772" t="s">
        <v>977</v>
      </c>
      <c r="BK772" t="s">
        <v>756</v>
      </c>
      <c r="BL772" t="s">
        <v>757</v>
      </c>
      <c r="BM772" t="s">
        <v>233</v>
      </c>
      <c r="BN772" t="s">
        <v>973</v>
      </c>
      <c r="BO772" t="s">
        <v>1087</v>
      </c>
      <c r="BP772" t="s">
        <v>2342</v>
      </c>
      <c r="BQ772" t="s">
        <v>2339</v>
      </c>
      <c r="BR772" t="s">
        <v>234</v>
      </c>
      <c r="BS772" t="s">
        <v>239</v>
      </c>
      <c r="BT772" t="s">
        <v>241</v>
      </c>
      <c r="BU772" t="s">
        <v>805</v>
      </c>
      <c r="BV772" t="s">
        <v>806</v>
      </c>
    </row>
    <row r="773" spans="1:82">
      <c r="A773" s="40">
        <v>717</v>
      </c>
      <c r="B773" s="40" t="s">
        <v>2880</v>
      </c>
      <c r="C773" s="2" t="s">
        <v>2881</v>
      </c>
      <c r="D773" s="2" t="s">
        <v>15</v>
      </c>
      <c r="E773" s="2" t="s">
        <v>20</v>
      </c>
      <c r="F773" s="2">
        <v>126</v>
      </c>
      <c r="G773" s="2">
        <v>131</v>
      </c>
      <c r="H773" s="2">
        <v>95</v>
      </c>
      <c r="I773" s="2">
        <v>131</v>
      </c>
      <c r="J773" s="2">
        <v>98</v>
      </c>
      <c r="K773" s="2">
        <v>99</v>
      </c>
      <c r="L773" s="2">
        <v>680</v>
      </c>
      <c r="M773" s="2" t="s">
        <v>1075</v>
      </c>
      <c r="N773" s="2" t="s">
        <v>1061</v>
      </c>
      <c r="O773" t="s">
        <v>332</v>
      </c>
      <c r="P773" t="s">
        <v>230</v>
      </c>
      <c r="Q773" t="s">
        <v>1126</v>
      </c>
      <c r="R773" t="s">
        <v>1119</v>
      </c>
      <c r="S773" t="s">
        <v>1101</v>
      </c>
      <c r="T773" t="s">
        <v>1122</v>
      </c>
      <c r="U773" t="s">
        <v>340</v>
      </c>
      <c r="V773" t="s">
        <v>1157</v>
      </c>
      <c r="W773" t="s">
        <v>1040</v>
      </c>
      <c r="X773" t="s">
        <v>2386</v>
      </c>
      <c r="Y773" t="s">
        <v>1167</v>
      </c>
      <c r="Z773" t="s">
        <v>2392</v>
      </c>
      <c r="AA773" t="s">
        <v>9</v>
      </c>
      <c r="AB773" t="s">
        <v>180</v>
      </c>
      <c r="AC773" t="s">
        <v>1102</v>
      </c>
      <c r="AD773" t="s">
        <v>1008</v>
      </c>
      <c r="AE773" t="s">
        <v>247</v>
      </c>
      <c r="AF773" t="s">
        <v>316</v>
      </c>
      <c r="AG773" t="s">
        <v>1062</v>
      </c>
      <c r="AH773" t="s">
        <v>226</v>
      </c>
      <c r="AI773" t="s">
        <v>138</v>
      </c>
      <c r="AJ773" t="s">
        <v>1063</v>
      </c>
      <c r="AK773" t="s">
        <v>1030</v>
      </c>
      <c r="AL773" t="s">
        <v>1093</v>
      </c>
      <c r="AM773" t="s">
        <v>148</v>
      </c>
      <c r="AN773" t="s">
        <v>172</v>
      </c>
      <c r="AO773" t="s">
        <v>752</v>
      </c>
      <c r="AP773" t="s">
        <v>247</v>
      </c>
      <c r="AQ773" t="s">
        <v>1078</v>
      </c>
      <c r="AR773" t="s">
        <v>766</v>
      </c>
      <c r="AS773" t="s">
        <v>1119</v>
      </c>
      <c r="AT773" t="s">
        <v>1079</v>
      </c>
      <c r="AU773" t="s">
        <v>1080</v>
      </c>
      <c r="AV773" t="s">
        <v>174</v>
      </c>
      <c r="AW773" t="s">
        <v>230</v>
      </c>
      <c r="AX773" t="s">
        <v>1096</v>
      </c>
      <c r="AY773" t="s">
        <v>951</v>
      </c>
      <c r="AZ773" t="s">
        <v>917</v>
      </c>
      <c r="BA773" t="s">
        <v>231</v>
      </c>
      <c r="BB773" t="s">
        <v>1117</v>
      </c>
      <c r="BC773" t="s">
        <v>1037</v>
      </c>
      <c r="BD773" t="s">
        <v>1125</v>
      </c>
      <c r="BE773" t="s">
        <v>1102</v>
      </c>
      <c r="BF773" t="s">
        <v>1039</v>
      </c>
      <c r="BG773" t="s">
        <v>1020</v>
      </c>
      <c r="BH773" t="s">
        <v>969</v>
      </c>
      <c r="BI773" t="s">
        <v>1005</v>
      </c>
      <c r="BJ773" t="s">
        <v>976</v>
      </c>
      <c r="BK773" t="s">
        <v>143</v>
      </c>
      <c r="BL773" t="s">
        <v>293</v>
      </c>
      <c r="BM773" t="s">
        <v>756</v>
      </c>
      <c r="BN773" t="s">
        <v>757</v>
      </c>
      <c r="BO773" t="s">
        <v>1014</v>
      </c>
      <c r="BP773" t="s">
        <v>233</v>
      </c>
      <c r="BQ773" t="s">
        <v>1040</v>
      </c>
      <c r="BR773" t="s">
        <v>1157</v>
      </c>
      <c r="BS773" t="s">
        <v>2339</v>
      </c>
      <c r="BT773" t="s">
        <v>234</v>
      </c>
      <c r="BU773" t="s">
        <v>239</v>
      </c>
      <c r="BV773" t="s">
        <v>241</v>
      </c>
      <c r="BW773" t="s">
        <v>805</v>
      </c>
      <c r="BX773" t="s">
        <v>806</v>
      </c>
    </row>
    <row r="774" spans="1:82">
      <c r="A774" s="40">
        <v>718</v>
      </c>
      <c r="B774" s="40" t="s">
        <v>2882</v>
      </c>
      <c r="C774" s="2" t="s">
        <v>2883</v>
      </c>
      <c r="D774" s="2" t="s">
        <v>16</v>
      </c>
      <c r="E774" s="2" t="s">
        <v>22</v>
      </c>
      <c r="F774" s="2">
        <v>108</v>
      </c>
      <c r="G774" s="2">
        <v>100</v>
      </c>
      <c r="H774" s="2">
        <v>121</v>
      </c>
      <c r="I774" s="2">
        <v>81</v>
      </c>
      <c r="J774" s="2">
        <v>95</v>
      </c>
      <c r="K774" s="2">
        <v>95</v>
      </c>
      <c r="L774" s="2">
        <v>600</v>
      </c>
      <c r="M774" s="2" t="s">
        <v>1208</v>
      </c>
      <c r="N774" s="2" t="s">
        <v>1061</v>
      </c>
      <c r="O774" t="s">
        <v>240</v>
      </c>
      <c r="P774" t="s">
        <v>258</v>
      </c>
      <c r="Q774" t="s">
        <v>256</v>
      </c>
      <c r="R774" t="s">
        <v>272</v>
      </c>
      <c r="S774" t="s">
        <v>139</v>
      </c>
      <c r="T774" t="s">
        <v>765</v>
      </c>
      <c r="U774" t="s">
        <v>759</v>
      </c>
      <c r="V774" t="s">
        <v>762</v>
      </c>
      <c r="W774" t="s">
        <v>1021</v>
      </c>
      <c r="X774" t="s">
        <v>2374</v>
      </c>
      <c r="Y774" t="s">
        <v>136</v>
      </c>
      <c r="Z774" t="s">
        <v>777</v>
      </c>
      <c r="AA774" t="s">
        <v>1226</v>
      </c>
      <c r="AB774" t="s">
        <v>967</v>
      </c>
      <c r="AC774" t="s">
        <v>915</v>
      </c>
      <c r="AD774" t="s">
        <v>1135</v>
      </c>
      <c r="AE774" t="s">
        <v>791</v>
      </c>
      <c r="AF774" t="s">
        <v>764</v>
      </c>
      <c r="AG774" t="s">
        <v>1062</v>
      </c>
      <c r="AH774" t="s">
        <v>227</v>
      </c>
      <c r="AI774" t="s">
        <v>1063</v>
      </c>
      <c r="AJ774" t="s">
        <v>148</v>
      </c>
      <c r="AK774" t="s">
        <v>172</v>
      </c>
      <c r="AL774" t="s">
        <v>752</v>
      </c>
      <c r="AM774" t="s">
        <v>247</v>
      </c>
      <c r="AN774" t="s">
        <v>1078</v>
      </c>
      <c r="AO774" t="s">
        <v>1079</v>
      </c>
      <c r="AP774" t="s">
        <v>136</v>
      </c>
      <c r="AQ774" t="s">
        <v>1080</v>
      </c>
      <c r="AR774" t="s">
        <v>256</v>
      </c>
      <c r="AS774" t="s">
        <v>1094</v>
      </c>
      <c r="AT774" t="s">
        <v>230</v>
      </c>
      <c r="AU774" t="s">
        <v>186</v>
      </c>
      <c r="AV774" t="s">
        <v>765</v>
      </c>
      <c r="AW774" t="s">
        <v>917</v>
      </c>
      <c r="AX774" t="s">
        <v>231</v>
      </c>
      <c r="AY774" t="s">
        <v>1037</v>
      </c>
      <c r="AZ774" t="s">
        <v>1102</v>
      </c>
      <c r="BA774" t="s">
        <v>976</v>
      </c>
      <c r="BB774" t="s">
        <v>183</v>
      </c>
      <c r="BC774" t="s">
        <v>1021</v>
      </c>
      <c r="BD774" t="s">
        <v>143</v>
      </c>
      <c r="BE774" t="s">
        <v>1022</v>
      </c>
      <c r="BF774" t="s">
        <v>977</v>
      </c>
      <c r="BG774" t="s">
        <v>756</v>
      </c>
      <c r="BH774" t="s">
        <v>757</v>
      </c>
      <c r="BI774" t="s">
        <v>233</v>
      </c>
      <c r="BJ774" t="s">
        <v>760</v>
      </c>
      <c r="BK774" t="s">
        <v>2339</v>
      </c>
      <c r="BL774" t="s">
        <v>234</v>
      </c>
      <c r="BM774" t="s">
        <v>239</v>
      </c>
      <c r="BN774" t="s">
        <v>241</v>
      </c>
      <c r="BO774" t="s">
        <v>805</v>
      </c>
      <c r="BP774" t="s">
        <v>806</v>
      </c>
    </row>
    <row r="775" spans="1:82">
      <c r="A775" s="2"/>
      <c r="B775" s="2"/>
      <c r="C775" s="2"/>
      <c r="D775" s="2"/>
      <c r="E775" s="2"/>
      <c r="F775" s="2"/>
      <c r="G775" s="2"/>
      <c r="H775" s="2"/>
      <c r="I775" s="2"/>
      <c r="J775" s="2"/>
      <c r="K775" s="2"/>
      <c r="L775" s="2"/>
      <c r="M775" s="2"/>
      <c r="N775" s="2"/>
    </row>
  </sheetData>
  <dataConsolidate/>
  <conditionalFormatting sqref="D2:E774">
    <cfRule type="containsText" dxfId="1211" priority="757" stopIfTrue="1" operator="containsText" text="Ghost">
      <formula>NOT(ISERROR(SEARCH("Ghost",D2)))</formula>
    </cfRule>
    <cfRule type="containsText" dxfId="1210" priority="758" stopIfTrue="1" operator="containsText" text="Psychic">
      <formula>NOT(ISERROR(SEARCH("Psychic",D2)))</formula>
    </cfRule>
    <cfRule type="containsText" dxfId="1209" priority="759" stopIfTrue="1" operator="containsText" text="Normal">
      <formula>NOT(ISERROR(SEARCH("Normal",D2)))</formula>
    </cfRule>
    <cfRule type="containsText" dxfId="1208" priority="760" stopIfTrue="1" operator="containsText" text="Fire">
      <formula>NOT(ISERROR(SEARCH("Fire",D2)))</formula>
    </cfRule>
    <cfRule type="containsText" dxfId="1207" priority="761" stopIfTrue="1" operator="containsText" text="Bug">
      <formula>NOT(ISERROR(SEARCH("Bug",D2)))</formula>
    </cfRule>
    <cfRule type="containsText" dxfId="1206" priority="762" stopIfTrue="1" operator="containsText" text="Dark">
      <formula>NOT(ISERROR(SEARCH("Dark",D2)))</formula>
    </cfRule>
    <cfRule type="containsText" dxfId="1205" priority="763" stopIfTrue="1" operator="containsText" text="Dragon">
      <formula>NOT(ISERROR(SEARCH("Dragon",D2)))</formula>
    </cfRule>
    <cfRule type="containsText" dxfId="1204" priority="764" stopIfTrue="1" operator="containsText" text="Electric">
      <formula>NOT(ISERROR(SEARCH("Electric",D2)))</formula>
    </cfRule>
    <cfRule type="containsText" dxfId="1203" priority="765" stopIfTrue="1" operator="containsText" text="Fighting">
      <formula>NOT(ISERROR(SEARCH("Fighting",D2)))</formula>
    </cfRule>
    <cfRule type="containsText" dxfId="1202" priority="766" stopIfTrue="1" operator="containsText" text="Flying">
      <formula>NOT(ISERROR(SEARCH("Flying",D2)))</formula>
    </cfRule>
    <cfRule type="containsText" dxfId="1201" priority="767" stopIfTrue="1" operator="containsText" text="Grass">
      <formula>NOT(ISERROR(SEARCH("Grass",D2)))</formula>
    </cfRule>
    <cfRule type="containsText" dxfId="1200" priority="768" stopIfTrue="1" operator="containsText" text="Ground">
      <formula>NOT(ISERROR(SEARCH("Ground",D2)))</formula>
    </cfRule>
    <cfRule type="containsText" dxfId="1199" priority="769" stopIfTrue="1" operator="containsText" text="Ice">
      <formula>NOT(ISERROR(SEARCH("Ice",D2)))</formula>
    </cfRule>
    <cfRule type="containsText" dxfId="1198" priority="770" stopIfTrue="1" operator="containsText" text="Poison">
      <formula>NOT(ISERROR(SEARCH("Poison",D2)))</formula>
    </cfRule>
    <cfRule type="containsText" dxfId="1197" priority="771" stopIfTrue="1" operator="containsText" text="Rock">
      <formula>NOT(ISERROR(SEARCH("Rock",D2)))</formula>
    </cfRule>
    <cfRule type="containsText" dxfId="1196" priority="772" stopIfTrue="1" operator="containsText" text="Steel">
      <formula>NOT(ISERROR(SEARCH("Steel",D2)))</formula>
    </cfRule>
    <cfRule type="containsText" dxfId="1195" priority="773" stopIfTrue="1" operator="containsText" text="Water">
      <formula>NOT(ISERROR(SEARCH("Water",D2)))</formula>
    </cfRule>
    <cfRule type="containsText" dxfId="1194" priority="774" stopIfTrue="1" operator="containsText" text="Status">
      <formula>NOT(ISERROR(SEARCH("Status",D2)))</formula>
    </cfRule>
    <cfRule type="containsText" dxfId="1193" priority="775" stopIfTrue="1" operator="containsText" text="Physical">
      <formula>NOT(ISERROR(SEARCH("Physical",D2)))</formula>
    </cfRule>
    <cfRule type="containsText" dxfId="1192" priority="776" stopIfTrue="1" operator="containsText" text="Special">
      <formula>NOT(ISERROR(SEARCH("Special",D2)))</formula>
    </cfRule>
  </conditionalFormatting>
  <conditionalFormatting sqref="D3:E3">
    <cfRule type="containsText" dxfId="1191" priority="736" stopIfTrue="1" operator="containsText" text="Ghost">
      <formula>NOT(ISERROR(SEARCH("Ghost",D3)))</formula>
    </cfRule>
    <cfRule type="containsText" dxfId="1190" priority="737" stopIfTrue="1" operator="containsText" text="Psychic">
      <formula>NOT(ISERROR(SEARCH("Psychic",D3)))</formula>
    </cfRule>
    <cfRule type="containsText" dxfId="1189" priority="738" stopIfTrue="1" operator="containsText" text="Normal">
      <formula>NOT(ISERROR(SEARCH("Normal",D3)))</formula>
    </cfRule>
    <cfRule type="containsText" dxfId="1188" priority="739" stopIfTrue="1" operator="containsText" text="Fire">
      <formula>NOT(ISERROR(SEARCH("Fire",D3)))</formula>
    </cfRule>
    <cfRule type="containsText" dxfId="1187" priority="740" stopIfTrue="1" operator="containsText" text="Bug">
      <formula>NOT(ISERROR(SEARCH("Bug",D3)))</formula>
    </cfRule>
    <cfRule type="containsText" dxfId="1186" priority="741" stopIfTrue="1" operator="containsText" text="Dark">
      <formula>NOT(ISERROR(SEARCH("Dark",D3)))</formula>
    </cfRule>
    <cfRule type="containsText" dxfId="1185" priority="742" stopIfTrue="1" operator="containsText" text="Dragon">
      <formula>NOT(ISERROR(SEARCH("Dragon",D3)))</formula>
    </cfRule>
    <cfRule type="containsText" dxfId="1184" priority="743" stopIfTrue="1" operator="containsText" text="Electric">
      <formula>NOT(ISERROR(SEARCH("Electric",D3)))</formula>
    </cfRule>
    <cfRule type="containsText" dxfId="1183" priority="744" stopIfTrue="1" operator="containsText" text="Fairy">
      <formula>NOT(ISERROR(SEARCH("Fairy",D3)))</formula>
    </cfRule>
    <cfRule type="containsText" dxfId="1182" priority="745" stopIfTrue="1" operator="containsText" text="Fighting">
      <formula>NOT(ISERROR(SEARCH("Fighting",D3)))</formula>
    </cfRule>
    <cfRule type="containsText" dxfId="1181" priority="746" stopIfTrue="1" operator="containsText" text="Flying">
      <formula>NOT(ISERROR(SEARCH("Flying",D3)))</formula>
    </cfRule>
    <cfRule type="containsText" dxfId="1180" priority="747" stopIfTrue="1" operator="containsText" text="Grass">
      <formula>NOT(ISERROR(SEARCH("Grass",D3)))</formula>
    </cfRule>
    <cfRule type="containsText" dxfId="1179" priority="748" stopIfTrue="1" operator="containsText" text="Ground">
      <formula>NOT(ISERROR(SEARCH("Ground",D3)))</formula>
    </cfRule>
    <cfRule type="containsText" dxfId="1178" priority="749" stopIfTrue="1" operator="containsText" text="Ice">
      <formula>NOT(ISERROR(SEARCH("Ice",D3)))</formula>
    </cfRule>
    <cfRule type="containsText" dxfId="1177" priority="750" stopIfTrue="1" operator="containsText" text="Poison">
      <formula>NOT(ISERROR(SEARCH("Poison",D3)))</formula>
    </cfRule>
    <cfRule type="containsText" dxfId="1176" priority="751" stopIfTrue="1" operator="containsText" text="Rock">
      <formula>NOT(ISERROR(SEARCH("Rock",D3)))</formula>
    </cfRule>
    <cfRule type="containsText" dxfId="1175" priority="752" stopIfTrue="1" operator="containsText" text="Steel">
      <formula>NOT(ISERROR(SEARCH("Steel",D3)))</formula>
    </cfRule>
    <cfRule type="containsText" dxfId="1174" priority="753" stopIfTrue="1" operator="containsText" text="Water">
      <formula>NOT(ISERROR(SEARCH("Water",D3)))</formula>
    </cfRule>
    <cfRule type="containsText" dxfId="1173" priority="754" stopIfTrue="1" operator="containsText" text="Status">
      <formula>NOT(ISERROR(SEARCH("Status",D3)))</formula>
    </cfRule>
    <cfRule type="containsText" dxfId="1172" priority="755" stopIfTrue="1" operator="containsText" text="Physical">
      <formula>NOT(ISERROR(SEARCH("Physical",D3)))</formula>
    </cfRule>
    <cfRule type="containsText" dxfId="1171" priority="756" stopIfTrue="1" operator="containsText" text="Special">
      <formula>NOT(ISERROR(SEARCH("Special",D3)))</formula>
    </cfRule>
  </conditionalFormatting>
  <conditionalFormatting sqref="D3:E775">
    <cfRule type="containsText" dxfId="1170" priority="1" stopIfTrue="1" operator="containsText" text="Ghost">
      <formula>NOT(ISERROR(SEARCH("Ghost",D3)))</formula>
    </cfRule>
    <cfRule type="containsText" dxfId="1169" priority="2" stopIfTrue="1" operator="containsText" text="Psychic">
      <formula>NOT(ISERROR(SEARCH("Psychic",D3)))</formula>
    </cfRule>
    <cfRule type="containsText" dxfId="1168" priority="3" stopIfTrue="1" operator="containsText" text="Normal">
      <formula>NOT(ISERROR(SEARCH("Normal",D3)))</formula>
    </cfRule>
    <cfRule type="containsText" dxfId="1167" priority="4" stopIfTrue="1" operator="containsText" text="Fire">
      <formula>NOT(ISERROR(SEARCH("Fire",D3)))</formula>
    </cfRule>
    <cfRule type="containsText" dxfId="1166" priority="5" stopIfTrue="1" operator="containsText" text="Bug">
      <formula>NOT(ISERROR(SEARCH("Bug",D3)))</formula>
    </cfRule>
    <cfRule type="containsText" dxfId="1165" priority="6" stopIfTrue="1" operator="containsText" text="Dark">
      <formula>NOT(ISERROR(SEARCH("Dark",D3)))</formula>
    </cfRule>
    <cfRule type="containsText" dxfId="1164" priority="7" stopIfTrue="1" operator="containsText" text="Dragon">
      <formula>NOT(ISERROR(SEARCH("Dragon",D3)))</formula>
    </cfRule>
    <cfRule type="containsText" dxfId="1163" priority="8" stopIfTrue="1" operator="containsText" text="Electric">
      <formula>NOT(ISERROR(SEARCH("Electric",D3)))</formula>
    </cfRule>
    <cfRule type="containsText" dxfId="1162" priority="9" stopIfTrue="1" operator="containsText" text="Fairy">
      <formula>NOT(ISERROR(SEARCH("Fairy",D3)))</formula>
    </cfRule>
    <cfRule type="containsText" dxfId="1161" priority="10" stopIfTrue="1" operator="containsText" text="Fighting">
      <formula>NOT(ISERROR(SEARCH("Fighting",D3)))</formula>
    </cfRule>
    <cfRule type="containsText" dxfId="1160" priority="11" stopIfTrue="1" operator="containsText" text="Flying">
      <formula>NOT(ISERROR(SEARCH("Flying",D3)))</formula>
    </cfRule>
    <cfRule type="containsText" dxfId="1159" priority="12" stopIfTrue="1" operator="containsText" text="Grass">
      <formula>NOT(ISERROR(SEARCH("Grass",D3)))</formula>
    </cfRule>
    <cfRule type="containsText" dxfId="1158" priority="13" stopIfTrue="1" operator="containsText" text="Ground">
      <formula>NOT(ISERROR(SEARCH("Ground",D3)))</formula>
    </cfRule>
    <cfRule type="containsText" dxfId="1157" priority="14" stopIfTrue="1" operator="containsText" text="Ice">
      <formula>NOT(ISERROR(SEARCH("Ice",D3)))</formula>
    </cfRule>
    <cfRule type="containsText" dxfId="1156" priority="15" stopIfTrue="1" operator="containsText" text="Poison">
      <formula>NOT(ISERROR(SEARCH("Poison",D3)))</formula>
    </cfRule>
    <cfRule type="containsText" dxfId="1155" priority="16" stopIfTrue="1" operator="containsText" text="Rock">
      <formula>NOT(ISERROR(SEARCH("Rock",D3)))</formula>
    </cfRule>
    <cfRule type="containsText" dxfId="1154" priority="17" stopIfTrue="1" operator="containsText" text="Steel">
      <formula>NOT(ISERROR(SEARCH("Steel",D3)))</formula>
    </cfRule>
    <cfRule type="containsText" dxfId="1153" priority="18" stopIfTrue="1" operator="containsText" text="Water">
      <formula>NOT(ISERROR(SEARCH("Water",D3)))</formula>
    </cfRule>
    <cfRule type="containsText" dxfId="1152" priority="19" stopIfTrue="1" operator="containsText" text="Status">
      <formula>NOT(ISERROR(SEARCH("Status",D3)))</formula>
    </cfRule>
    <cfRule type="containsText" dxfId="1151" priority="20" stopIfTrue="1" operator="containsText" text="Physical">
      <formula>NOT(ISERROR(SEARCH("Physical",D3)))</formula>
    </cfRule>
    <cfRule type="containsText" dxfId="1150" priority="21" stopIfTrue="1" operator="containsText" text="Special">
      <formula>NOT(ISERROR(SEARCH("Special",D3)))</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vesSheet"/>
  <dimension ref="A1:G609"/>
  <sheetViews>
    <sheetView zoomScaleNormal="100" workbookViewId="0">
      <pane ySplit="1" topLeftCell="A2" activePane="bottomLeft" state="frozen"/>
      <selection pane="bottomLeft" activeCell="A2" sqref="A2"/>
    </sheetView>
  </sheetViews>
  <sheetFormatPr defaultRowHeight="15"/>
  <cols>
    <col min="1" max="1" width="16" bestFit="1" customWidth="1"/>
    <col min="2" max="2" width="9.85546875" bestFit="1" customWidth="1"/>
    <col min="3" max="3" width="13.42578125" bestFit="1" customWidth="1"/>
    <col min="4" max="4" width="11.28515625" bestFit="1" customWidth="1"/>
    <col min="5" max="5" width="13.28515625" bestFit="1" customWidth="1"/>
    <col min="6" max="6" width="7.85546875" bestFit="1" customWidth="1"/>
    <col min="7" max="7" width="115.7109375" style="26" bestFit="1" customWidth="1"/>
  </cols>
  <sheetData>
    <row r="1" spans="1:7">
      <c r="A1" s="2" t="s">
        <v>847</v>
      </c>
      <c r="B1" s="2" t="s">
        <v>37</v>
      </c>
      <c r="C1" s="2" t="s">
        <v>888</v>
      </c>
      <c r="D1" s="2" t="s">
        <v>6</v>
      </c>
      <c r="E1" s="2" t="s">
        <v>7</v>
      </c>
      <c r="F1" s="2" t="s">
        <v>8</v>
      </c>
      <c r="G1" s="2" t="s">
        <v>187</v>
      </c>
    </row>
    <row r="2" spans="1:7">
      <c r="A2" s="2" t="s">
        <v>847</v>
      </c>
      <c r="B2" s="2" t="s">
        <v>37</v>
      </c>
      <c r="C2" s="2" t="s">
        <v>888</v>
      </c>
      <c r="D2" s="2" t="s">
        <v>6</v>
      </c>
      <c r="E2" s="2" t="s">
        <v>7</v>
      </c>
      <c r="F2" s="2" t="s">
        <v>8</v>
      </c>
      <c r="G2" s="2" t="s">
        <v>187</v>
      </c>
    </row>
    <row r="3" spans="1:7">
      <c r="A3" s="2" t="s">
        <v>402</v>
      </c>
      <c r="B3" s="2" t="s">
        <v>21</v>
      </c>
      <c r="C3" s="2" t="s">
        <v>661</v>
      </c>
      <c r="D3" s="2">
        <v>20</v>
      </c>
      <c r="E3" s="2">
        <v>100</v>
      </c>
      <c r="F3" s="2">
        <v>25</v>
      </c>
      <c r="G3" s="2" t="s">
        <v>662</v>
      </c>
    </row>
    <row r="4" spans="1:7">
      <c r="A4" s="2" t="s">
        <v>339</v>
      </c>
      <c r="B4" s="2" t="s">
        <v>11</v>
      </c>
      <c r="C4" s="2" t="s">
        <v>661</v>
      </c>
      <c r="D4" s="2">
        <v>40</v>
      </c>
      <c r="E4" s="2">
        <v>100</v>
      </c>
      <c r="F4" s="2">
        <v>30</v>
      </c>
      <c r="G4" s="2" t="s">
        <v>663</v>
      </c>
    </row>
    <row r="5" spans="1:7">
      <c r="A5" s="2" t="s">
        <v>517</v>
      </c>
      <c r="B5" s="2" t="s">
        <v>11</v>
      </c>
      <c r="C5" s="2" t="s">
        <v>664</v>
      </c>
      <c r="D5" s="2" t="s">
        <v>102</v>
      </c>
      <c r="E5" s="2" t="s">
        <v>102</v>
      </c>
      <c r="F5" s="2">
        <v>40</v>
      </c>
      <c r="G5" s="2" t="s">
        <v>665</v>
      </c>
    </row>
    <row r="6" spans="1:7">
      <c r="A6" s="2" t="s">
        <v>306</v>
      </c>
      <c r="B6" s="2" t="s">
        <v>9</v>
      </c>
      <c r="C6" s="2" t="s">
        <v>664</v>
      </c>
      <c r="D6" s="2" t="s">
        <v>102</v>
      </c>
      <c r="E6" s="2" t="s">
        <v>102</v>
      </c>
      <c r="F6" s="2">
        <v>30</v>
      </c>
      <c r="G6" s="2" t="s">
        <v>666</v>
      </c>
    </row>
    <row r="7" spans="1:7">
      <c r="A7" s="2" t="s">
        <v>235</v>
      </c>
      <c r="B7" s="2" t="s">
        <v>9</v>
      </c>
      <c r="C7" s="2" t="s">
        <v>664</v>
      </c>
      <c r="D7" s="2" t="s">
        <v>102</v>
      </c>
      <c r="E7" s="2" t="s">
        <v>102</v>
      </c>
      <c r="F7" s="2">
        <v>20</v>
      </c>
      <c r="G7" s="2" t="s">
        <v>667</v>
      </c>
    </row>
    <row r="8" spans="1:7">
      <c r="A8" s="2" t="s">
        <v>478</v>
      </c>
      <c r="B8" s="2" t="s">
        <v>23</v>
      </c>
      <c r="C8" s="2" t="s">
        <v>661</v>
      </c>
      <c r="D8" s="2">
        <v>65</v>
      </c>
      <c r="E8" s="2">
        <v>100</v>
      </c>
      <c r="F8" s="2">
        <v>20</v>
      </c>
      <c r="G8" s="2" t="s">
        <v>668</v>
      </c>
    </row>
    <row r="9" spans="1:7">
      <c r="A9" s="2" t="s">
        <v>553</v>
      </c>
      <c r="B9" s="2" t="s">
        <v>24</v>
      </c>
      <c r="C9" s="2" t="s">
        <v>669</v>
      </c>
      <c r="D9" s="2">
        <v>15</v>
      </c>
      <c r="E9" s="2">
        <v>85</v>
      </c>
      <c r="F9" s="2">
        <v>20</v>
      </c>
      <c r="G9" s="2" t="s">
        <v>670</v>
      </c>
    </row>
    <row r="10" spans="1:7">
      <c r="A10" s="2" t="s">
        <v>455</v>
      </c>
      <c r="B10" s="2" t="s">
        <v>9</v>
      </c>
      <c r="C10" s="2" t="s">
        <v>664</v>
      </c>
      <c r="D10" s="2" t="s">
        <v>102</v>
      </c>
      <c r="E10" s="2" t="s">
        <v>102</v>
      </c>
      <c r="F10" s="2">
        <v>30</v>
      </c>
      <c r="G10" s="2" t="s">
        <v>665</v>
      </c>
    </row>
    <row r="11" spans="1:7">
      <c r="A11" s="2" t="s">
        <v>347</v>
      </c>
      <c r="B11" s="2" t="s">
        <v>24</v>
      </c>
      <c r="C11" s="2" t="s">
        <v>669</v>
      </c>
      <c r="D11" s="2" t="s">
        <v>102</v>
      </c>
      <c r="E11" s="2" t="s">
        <v>102</v>
      </c>
      <c r="F11" s="2">
        <v>10</v>
      </c>
      <c r="G11" s="2" t="s">
        <v>671</v>
      </c>
    </row>
    <row r="12" spans="1:7">
      <c r="A12" s="2" t="s">
        <v>240</v>
      </c>
      <c r="B12" s="2" t="s">
        <v>24</v>
      </c>
      <c r="C12" s="2" t="s">
        <v>669</v>
      </c>
      <c r="D12" s="2">
        <v>15</v>
      </c>
      <c r="E12" s="2">
        <v>85</v>
      </c>
      <c r="F12" s="2">
        <v>20</v>
      </c>
      <c r="G12" s="2" t="s">
        <v>672</v>
      </c>
    </row>
    <row r="13" spans="1:7">
      <c r="A13" s="2" t="s">
        <v>258</v>
      </c>
      <c r="B13" s="2" t="s">
        <v>15</v>
      </c>
      <c r="C13" s="2" t="s">
        <v>669</v>
      </c>
      <c r="D13" s="2">
        <v>60</v>
      </c>
      <c r="E13" s="2">
        <v>100</v>
      </c>
      <c r="F13" s="2">
        <v>25</v>
      </c>
      <c r="G13" s="2" t="s">
        <v>673</v>
      </c>
    </row>
    <row r="14" spans="1:7">
      <c r="A14" s="2" t="s">
        <v>271</v>
      </c>
      <c r="B14" s="2" t="s">
        <v>23</v>
      </c>
      <c r="C14" s="2" t="s">
        <v>661</v>
      </c>
      <c r="D14" s="2">
        <v>120</v>
      </c>
      <c r="E14" s="2">
        <v>70</v>
      </c>
      <c r="F14" s="2">
        <v>5</v>
      </c>
      <c r="G14" s="2" t="s">
        <v>674</v>
      </c>
    </row>
    <row r="15" spans="1:7">
      <c r="A15" s="2" t="s">
        <v>364</v>
      </c>
      <c r="B15" s="2" t="s">
        <v>24</v>
      </c>
      <c r="C15" s="2" t="s">
        <v>669</v>
      </c>
      <c r="D15" s="2">
        <v>85</v>
      </c>
      <c r="E15" s="2">
        <v>100</v>
      </c>
      <c r="F15" s="2">
        <v>15</v>
      </c>
      <c r="G15" s="2" t="s">
        <v>675</v>
      </c>
    </row>
    <row r="16" spans="1:7">
      <c r="A16" s="2" t="s">
        <v>559</v>
      </c>
      <c r="B16" s="2" t="s">
        <v>22</v>
      </c>
      <c r="C16" s="2" t="s">
        <v>669</v>
      </c>
      <c r="D16" s="2">
        <v>65</v>
      </c>
      <c r="E16" s="2">
        <v>85</v>
      </c>
      <c r="F16" s="2">
        <v>20</v>
      </c>
      <c r="G16" s="2" t="s">
        <v>673</v>
      </c>
    </row>
    <row r="17" spans="1:7">
      <c r="A17" s="2" t="s">
        <v>560</v>
      </c>
      <c r="B17" s="2" t="s">
        <v>22</v>
      </c>
      <c r="C17" s="2" t="s">
        <v>669</v>
      </c>
      <c r="D17" s="2">
        <v>50</v>
      </c>
      <c r="E17" s="2">
        <v>90</v>
      </c>
      <c r="F17" s="2">
        <v>10</v>
      </c>
      <c r="G17" s="2" t="s">
        <v>676</v>
      </c>
    </row>
    <row r="18" spans="1:7">
      <c r="A18" s="2" t="s">
        <v>267</v>
      </c>
      <c r="B18" s="2" t="s">
        <v>27</v>
      </c>
      <c r="C18" s="2" t="s">
        <v>661</v>
      </c>
      <c r="D18" s="2">
        <v>20</v>
      </c>
      <c r="E18" s="2">
        <v>100</v>
      </c>
      <c r="F18" s="2">
        <v>30</v>
      </c>
      <c r="G18" s="2" t="s">
        <v>677</v>
      </c>
    </row>
    <row r="19" spans="1:7">
      <c r="A19" s="2" t="s">
        <v>446</v>
      </c>
      <c r="B19" s="2" t="s">
        <v>27</v>
      </c>
      <c r="C19" s="2" t="s">
        <v>661</v>
      </c>
      <c r="D19" s="2">
        <v>65</v>
      </c>
      <c r="E19" s="2">
        <v>100</v>
      </c>
      <c r="F19" s="2">
        <v>20</v>
      </c>
      <c r="G19" s="2" t="s">
        <v>677</v>
      </c>
    </row>
    <row r="20" spans="1:7">
      <c r="A20" s="2" t="s">
        <v>522</v>
      </c>
      <c r="B20" s="2" t="s">
        <v>27</v>
      </c>
      <c r="C20" s="2" t="s">
        <v>669</v>
      </c>
      <c r="D20" s="2">
        <v>35</v>
      </c>
      <c r="E20" s="2">
        <v>85</v>
      </c>
      <c r="F20" s="2">
        <v>10</v>
      </c>
      <c r="G20" s="2" t="s">
        <v>672</v>
      </c>
    </row>
    <row r="21" spans="1:7">
      <c r="A21" s="2" t="s">
        <v>570</v>
      </c>
      <c r="B21" s="2" t="s">
        <v>24</v>
      </c>
      <c r="C21" s="2" t="s">
        <v>669</v>
      </c>
      <c r="D21" s="2">
        <v>18</v>
      </c>
      <c r="E21" s="2">
        <v>85</v>
      </c>
      <c r="F21" s="2">
        <v>15</v>
      </c>
      <c r="G21" s="2" t="s">
        <v>670</v>
      </c>
    </row>
    <row r="22" spans="1:7">
      <c r="A22" s="2" t="s">
        <v>387</v>
      </c>
      <c r="B22" s="2" t="s">
        <v>10</v>
      </c>
      <c r="C22" s="2" t="s">
        <v>664</v>
      </c>
      <c r="D22" s="2" t="s">
        <v>102</v>
      </c>
      <c r="E22" s="2">
        <v>100</v>
      </c>
      <c r="F22" s="2">
        <v>10</v>
      </c>
      <c r="G22" s="2" t="s">
        <v>678</v>
      </c>
    </row>
    <row r="23" spans="1:7">
      <c r="A23" s="2" t="s">
        <v>287</v>
      </c>
      <c r="B23" s="2" t="s">
        <v>9</v>
      </c>
      <c r="C23" s="2" t="s">
        <v>661</v>
      </c>
      <c r="D23" s="2">
        <v>50</v>
      </c>
      <c r="E23" s="2">
        <v>100</v>
      </c>
      <c r="F23" s="2">
        <v>25</v>
      </c>
      <c r="G23" s="2" t="s">
        <v>679</v>
      </c>
    </row>
    <row r="24" spans="1:7">
      <c r="A24" s="2" t="s">
        <v>477</v>
      </c>
      <c r="B24" s="2" t="s">
        <v>24</v>
      </c>
      <c r="C24" s="2" t="s">
        <v>669</v>
      </c>
      <c r="D24" s="2">
        <v>10</v>
      </c>
      <c r="E24" s="2">
        <v>100</v>
      </c>
      <c r="F24" s="2">
        <v>35</v>
      </c>
      <c r="G24" s="2" t="s">
        <v>680</v>
      </c>
    </row>
    <row r="25" spans="1:7">
      <c r="A25" s="2" t="s">
        <v>633</v>
      </c>
      <c r="B25" s="2" t="s">
        <v>24</v>
      </c>
      <c r="C25" s="2" t="s">
        <v>664</v>
      </c>
      <c r="D25" s="2" t="s">
        <v>102</v>
      </c>
      <c r="E25" s="2" t="s">
        <v>102</v>
      </c>
      <c r="F25" s="2">
        <v>30</v>
      </c>
      <c r="G25" s="2" t="s">
        <v>681</v>
      </c>
    </row>
    <row r="26" spans="1:7">
      <c r="A26" s="2" t="s">
        <v>259</v>
      </c>
      <c r="B26" s="2" t="s">
        <v>18</v>
      </c>
      <c r="C26" s="2" t="s">
        <v>669</v>
      </c>
      <c r="D26" s="2" t="s">
        <v>102</v>
      </c>
      <c r="E26" s="2">
        <v>100</v>
      </c>
      <c r="F26" s="2">
        <v>20</v>
      </c>
      <c r="G26" s="2" t="s">
        <v>682</v>
      </c>
    </row>
    <row r="27" spans="1:7">
      <c r="A27" s="2" t="s">
        <v>544</v>
      </c>
      <c r="B27" s="2" t="s">
        <v>27</v>
      </c>
      <c r="C27" s="2" t="s">
        <v>669</v>
      </c>
      <c r="D27" s="2">
        <v>90</v>
      </c>
      <c r="E27" s="2">
        <v>90</v>
      </c>
      <c r="F27" s="2">
        <v>10</v>
      </c>
      <c r="G27" s="2" t="s">
        <v>683</v>
      </c>
    </row>
    <row r="28" spans="1:7">
      <c r="A28" s="2" t="s">
        <v>226</v>
      </c>
      <c r="B28" s="2" t="s">
        <v>24</v>
      </c>
      <c r="C28" s="2" t="s">
        <v>669</v>
      </c>
      <c r="D28" s="2">
        <v>50</v>
      </c>
      <c r="E28" s="2">
        <v>95</v>
      </c>
      <c r="F28" s="2">
        <v>30</v>
      </c>
      <c r="G28" s="2"/>
    </row>
    <row r="29" spans="1:7">
      <c r="A29" s="2" t="s">
        <v>353</v>
      </c>
      <c r="B29" s="2" t="s">
        <v>24</v>
      </c>
      <c r="C29" s="2" t="s">
        <v>664</v>
      </c>
      <c r="D29" s="2" t="s">
        <v>102</v>
      </c>
      <c r="E29" s="2" t="s">
        <v>102</v>
      </c>
      <c r="F29" s="2">
        <v>40</v>
      </c>
      <c r="G29" s="2" t="s">
        <v>684</v>
      </c>
    </row>
    <row r="30" spans="1:7">
      <c r="A30" s="2" t="s">
        <v>256</v>
      </c>
      <c r="B30" s="2" t="s">
        <v>22</v>
      </c>
      <c r="C30" s="2" t="s">
        <v>669</v>
      </c>
      <c r="D30" s="2">
        <v>80</v>
      </c>
      <c r="E30" s="2">
        <v>100</v>
      </c>
      <c r="F30" s="2">
        <v>10</v>
      </c>
      <c r="G30" s="2" t="s">
        <v>685</v>
      </c>
    </row>
    <row r="31" spans="1:7">
      <c r="A31" s="2" t="s">
        <v>340</v>
      </c>
      <c r="B31" s="2" t="s">
        <v>24</v>
      </c>
      <c r="C31" s="2" t="s">
        <v>664</v>
      </c>
      <c r="D31" s="2" t="s">
        <v>102</v>
      </c>
      <c r="E31" s="2">
        <v>100</v>
      </c>
      <c r="F31" s="2">
        <v>20</v>
      </c>
      <c r="G31" s="2" t="s">
        <v>686</v>
      </c>
    </row>
    <row r="32" spans="1:7">
      <c r="A32" s="2" t="s">
        <v>588</v>
      </c>
      <c r="B32" s="2" t="s">
        <v>24</v>
      </c>
      <c r="C32" s="2" t="s">
        <v>669</v>
      </c>
      <c r="D32" s="2">
        <v>70</v>
      </c>
      <c r="E32" s="2">
        <v>100</v>
      </c>
      <c r="F32" s="2">
        <v>10</v>
      </c>
      <c r="G32" s="2" t="s">
        <v>679</v>
      </c>
    </row>
    <row r="33" spans="1:7">
      <c r="A33" s="2" t="s">
        <v>359</v>
      </c>
      <c r="B33" s="2" t="s">
        <v>18</v>
      </c>
      <c r="C33" s="2" t="s">
        <v>669</v>
      </c>
      <c r="D33" s="2">
        <v>30</v>
      </c>
      <c r="E33" s="2">
        <v>100</v>
      </c>
      <c r="F33" s="2">
        <v>30</v>
      </c>
      <c r="G33" s="2" t="s">
        <v>676</v>
      </c>
    </row>
    <row r="34" spans="1:7">
      <c r="A34" s="2" t="s">
        <v>230</v>
      </c>
      <c r="B34" s="2" t="s">
        <v>24</v>
      </c>
      <c r="C34" s="2" t="s">
        <v>664</v>
      </c>
      <c r="D34" s="2" t="s">
        <v>102</v>
      </c>
      <c r="E34" s="2" t="s">
        <v>102</v>
      </c>
      <c r="F34" s="2">
        <v>15</v>
      </c>
      <c r="G34" s="2" t="s">
        <v>687</v>
      </c>
    </row>
    <row r="35" spans="1:7">
      <c r="A35" s="2" t="s">
        <v>225</v>
      </c>
      <c r="B35" s="2" t="s">
        <v>24</v>
      </c>
      <c r="C35" s="2" t="s">
        <v>669</v>
      </c>
      <c r="D35" s="2">
        <v>120</v>
      </c>
      <c r="E35" s="2">
        <v>100</v>
      </c>
      <c r="F35" s="2">
        <v>15</v>
      </c>
      <c r="G35" s="2" t="s">
        <v>688</v>
      </c>
    </row>
    <row r="36" spans="1:7">
      <c r="A36" s="2" t="s">
        <v>348</v>
      </c>
      <c r="B36" s="2" t="s">
        <v>24</v>
      </c>
      <c r="C36" s="2" t="s">
        <v>669</v>
      </c>
      <c r="D36" s="2">
        <v>15</v>
      </c>
      <c r="E36" s="2">
        <v>85</v>
      </c>
      <c r="F36" s="2">
        <v>10</v>
      </c>
      <c r="G36" s="2" t="s">
        <v>670</v>
      </c>
    </row>
    <row r="37" spans="1:7">
      <c r="A37" s="2" t="s">
        <v>252</v>
      </c>
      <c r="B37" s="2" t="s">
        <v>16</v>
      </c>
      <c r="C37" s="2" t="s">
        <v>661</v>
      </c>
      <c r="D37" s="2" t="s">
        <v>102</v>
      </c>
      <c r="E37" s="2">
        <v>100</v>
      </c>
      <c r="F37" s="2">
        <v>10</v>
      </c>
      <c r="G37" s="2" t="s">
        <v>689</v>
      </c>
    </row>
    <row r="38" spans="1:7">
      <c r="A38" s="2" t="s">
        <v>293</v>
      </c>
      <c r="B38" s="2" t="s">
        <v>9</v>
      </c>
      <c r="C38" s="2" t="s">
        <v>661</v>
      </c>
      <c r="D38" s="2">
        <v>100</v>
      </c>
      <c r="E38" s="2">
        <v>100</v>
      </c>
      <c r="F38" s="2">
        <v>15</v>
      </c>
      <c r="G38" s="2" t="s">
        <v>690</v>
      </c>
    </row>
    <row r="39" spans="1:7">
      <c r="A39" s="2" t="s">
        <v>331</v>
      </c>
      <c r="B39" s="2" t="s">
        <v>20</v>
      </c>
      <c r="C39" s="2" t="s">
        <v>669</v>
      </c>
      <c r="D39" s="2">
        <v>80</v>
      </c>
      <c r="E39" s="2">
        <v>100</v>
      </c>
      <c r="F39" s="2">
        <v>20</v>
      </c>
      <c r="G39" s="2"/>
    </row>
    <row r="40" spans="1:7">
      <c r="A40" s="2" t="s">
        <v>136</v>
      </c>
      <c r="B40" s="2" t="s">
        <v>22</v>
      </c>
      <c r="C40" s="2" t="s">
        <v>669</v>
      </c>
      <c r="D40" s="2">
        <v>100</v>
      </c>
      <c r="E40" s="2">
        <v>100</v>
      </c>
      <c r="F40" s="2">
        <v>10</v>
      </c>
      <c r="G40" s="2" t="s">
        <v>691</v>
      </c>
    </row>
    <row r="41" spans="1:7">
      <c r="A41" s="2" t="s">
        <v>556</v>
      </c>
      <c r="B41" s="2" t="s">
        <v>24</v>
      </c>
      <c r="C41" s="2" t="s">
        <v>669</v>
      </c>
      <c r="D41" s="2">
        <v>100</v>
      </c>
      <c r="E41" s="2">
        <v>75</v>
      </c>
      <c r="F41" s="2">
        <v>10</v>
      </c>
      <c r="G41" s="2"/>
    </row>
    <row r="42" spans="1:7">
      <c r="A42" s="2" t="s">
        <v>250</v>
      </c>
      <c r="B42" s="2" t="s">
        <v>19</v>
      </c>
      <c r="C42" s="2" t="s">
        <v>661</v>
      </c>
      <c r="D42" s="2">
        <v>40</v>
      </c>
      <c r="E42" s="2">
        <v>100</v>
      </c>
      <c r="F42" s="2">
        <v>25</v>
      </c>
      <c r="G42" s="2" t="s">
        <v>692</v>
      </c>
    </row>
    <row r="43" spans="1:7">
      <c r="A43" s="2" t="s">
        <v>485</v>
      </c>
      <c r="B43" s="2" t="s">
        <v>24</v>
      </c>
      <c r="C43" s="2" t="s">
        <v>669</v>
      </c>
      <c r="D43" s="2">
        <v>250</v>
      </c>
      <c r="E43" s="2">
        <v>100</v>
      </c>
      <c r="F43" s="2">
        <v>5</v>
      </c>
      <c r="G43" s="2" t="s">
        <v>693</v>
      </c>
    </row>
    <row r="44" spans="1:7">
      <c r="A44" s="2" t="s">
        <v>257</v>
      </c>
      <c r="B44" s="2" t="s">
        <v>19</v>
      </c>
      <c r="C44" s="2" t="s">
        <v>661</v>
      </c>
      <c r="D44" s="2">
        <v>120</v>
      </c>
      <c r="E44" s="2">
        <v>85</v>
      </c>
      <c r="F44" s="2">
        <v>5</v>
      </c>
      <c r="G44" s="2" t="s">
        <v>692</v>
      </c>
    </row>
    <row r="45" spans="1:7">
      <c r="A45" s="2" t="s">
        <v>137</v>
      </c>
      <c r="B45" s="2" t="s">
        <v>19</v>
      </c>
      <c r="C45" s="2" t="s">
        <v>669</v>
      </c>
      <c r="D45" s="2">
        <v>75</v>
      </c>
      <c r="E45" s="2">
        <v>100</v>
      </c>
      <c r="F45" s="2">
        <v>15</v>
      </c>
      <c r="G45" s="2" t="s">
        <v>692</v>
      </c>
    </row>
    <row r="46" spans="1:7">
      <c r="A46" s="2" t="s">
        <v>255</v>
      </c>
      <c r="B46" s="2" t="s">
        <v>19</v>
      </c>
      <c r="C46" s="2" t="s">
        <v>661</v>
      </c>
      <c r="D46" s="2">
        <v>35</v>
      </c>
      <c r="E46" s="2">
        <v>85</v>
      </c>
      <c r="F46" s="2">
        <v>15</v>
      </c>
      <c r="G46" s="2" t="s">
        <v>672</v>
      </c>
    </row>
    <row r="47" spans="1:7">
      <c r="A47" s="2" t="s">
        <v>419</v>
      </c>
      <c r="B47" s="2" t="s">
        <v>22</v>
      </c>
      <c r="C47" s="2" t="s">
        <v>669</v>
      </c>
      <c r="D47" s="2" t="s">
        <v>102</v>
      </c>
      <c r="E47" s="2" t="s">
        <v>102</v>
      </c>
      <c r="F47" s="2">
        <v>5</v>
      </c>
      <c r="G47" s="2" t="s">
        <v>694</v>
      </c>
    </row>
    <row r="48" spans="1:7">
      <c r="A48" s="2" t="s">
        <v>254</v>
      </c>
      <c r="B48" s="2" t="s">
        <v>19</v>
      </c>
      <c r="C48" s="2" t="s">
        <v>661</v>
      </c>
      <c r="D48" s="2">
        <v>95</v>
      </c>
      <c r="E48" s="2">
        <v>100</v>
      </c>
      <c r="F48" s="2">
        <v>15</v>
      </c>
      <c r="G48" s="2" t="s">
        <v>692</v>
      </c>
    </row>
    <row r="49" spans="1:7">
      <c r="A49" s="2" t="s">
        <v>232</v>
      </c>
      <c r="B49" s="2" t="s">
        <v>24</v>
      </c>
      <c r="C49" s="2" t="s">
        <v>664</v>
      </c>
      <c r="D49" s="2" t="s">
        <v>102</v>
      </c>
      <c r="E49" s="2">
        <v>100</v>
      </c>
      <c r="F49" s="2">
        <v>20</v>
      </c>
      <c r="G49" s="2" t="s">
        <v>695</v>
      </c>
    </row>
    <row r="50" spans="1:7">
      <c r="A50" s="2" t="s">
        <v>138</v>
      </c>
      <c r="B50" s="2" t="s">
        <v>20</v>
      </c>
      <c r="C50" s="2" t="s">
        <v>669</v>
      </c>
      <c r="D50" s="2">
        <v>90</v>
      </c>
      <c r="E50" s="2">
        <v>95</v>
      </c>
      <c r="F50" s="2">
        <v>15</v>
      </c>
      <c r="G50" s="2" t="s">
        <v>696</v>
      </c>
    </row>
    <row r="51" spans="1:7">
      <c r="A51" s="2" t="s">
        <v>302</v>
      </c>
      <c r="B51" s="2" t="s">
        <v>24</v>
      </c>
      <c r="C51" s="2" t="s">
        <v>664</v>
      </c>
      <c r="D51" s="2" t="s">
        <v>102</v>
      </c>
      <c r="E51" s="2" t="s">
        <v>102</v>
      </c>
      <c r="F51" s="2">
        <v>30</v>
      </c>
      <c r="G51" s="2" t="s">
        <v>697</v>
      </c>
    </row>
    <row r="52" spans="1:7">
      <c r="A52" s="2" t="s">
        <v>301</v>
      </c>
      <c r="B52" s="2" t="s">
        <v>24</v>
      </c>
      <c r="C52" s="2" t="s">
        <v>669</v>
      </c>
      <c r="D52" s="2">
        <v>15</v>
      </c>
      <c r="E52" s="2">
        <v>85</v>
      </c>
      <c r="F52" s="2">
        <v>20</v>
      </c>
      <c r="G52" s="2" t="s">
        <v>670</v>
      </c>
    </row>
    <row r="53" spans="1:7">
      <c r="A53" s="2" t="s">
        <v>323</v>
      </c>
      <c r="B53" s="2" t="s">
        <v>24</v>
      </c>
      <c r="C53" s="2" t="s">
        <v>669</v>
      </c>
      <c r="D53" s="2">
        <v>18</v>
      </c>
      <c r="E53" s="2">
        <v>80</v>
      </c>
      <c r="F53" s="2">
        <v>15</v>
      </c>
      <c r="G53" s="2" t="s">
        <v>670</v>
      </c>
    </row>
    <row r="54" spans="1:7">
      <c r="A54" s="2" t="s">
        <v>139</v>
      </c>
      <c r="B54" s="2" t="s">
        <v>24</v>
      </c>
      <c r="C54" s="2" t="s">
        <v>664</v>
      </c>
      <c r="D54" s="2" t="s">
        <v>102</v>
      </c>
      <c r="E54" s="2">
        <v>90</v>
      </c>
      <c r="F54" s="2">
        <v>30</v>
      </c>
      <c r="G54" s="2" t="s">
        <v>698</v>
      </c>
    </row>
    <row r="55" spans="1:7">
      <c r="A55" s="2" t="s">
        <v>220</v>
      </c>
      <c r="B55" s="2" t="s">
        <v>24</v>
      </c>
      <c r="C55" s="2" t="s">
        <v>664</v>
      </c>
      <c r="D55" s="2" t="s">
        <v>102</v>
      </c>
      <c r="E55" s="2">
        <v>100</v>
      </c>
      <c r="F55" s="2">
        <v>40</v>
      </c>
      <c r="G55" s="2" t="s">
        <v>699</v>
      </c>
    </row>
    <row r="56" spans="1:7">
      <c r="A56" s="2" t="s">
        <v>215</v>
      </c>
      <c r="B56" s="2" t="s">
        <v>24</v>
      </c>
      <c r="C56" s="2" t="s">
        <v>664</v>
      </c>
      <c r="D56" s="2" t="s">
        <v>102</v>
      </c>
      <c r="E56" s="2" t="s">
        <v>102</v>
      </c>
      <c r="F56" s="2">
        <v>40</v>
      </c>
      <c r="G56" s="2" t="s">
        <v>700</v>
      </c>
    </row>
    <row r="57" spans="1:7">
      <c r="A57" s="2" t="s">
        <v>543</v>
      </c>
      <c r="B57" s="2" t="s">
        <v>24</v>
      </c>
      <c r="C57" s="2" t="s">
        <v>669</v>
      </c>
      <c r="D57" s="2" t="s">
        <v>102</v>
      </c>
      <c r="E57" s="2" t="s">
        <v>102</v>
      </c>
      <c r="F57" s="2">
        <v>5</v>
      </c>
      <c r="G57" s="2" t="s">
        <v>694</v>
      </c>
    </row>
    <row r="58" spans="1:7">
      <c r="A58" s="2" t="s">
        <v>289</v>
      </c>
      <c r="B58" s="2" t="s">
        <v>20</v>
      </c>
      <c r="C58" s="2" t="s">
        <v>661</v>
      </c>
      <c r="D58" s="2">
        <v>40</v>
      </c>
      <c r="E58" s="2">
        <v>100</v>
      </c>
      <c r="F58" s="2">
        <v>35</v>
      </c>
      <c r="G58" s="2" t="s">
        <v>701</v>
      </c>
    </row>
    <row r="59" spans="1:7">
      <c r="A59" s="2" t="s">
        <v>284</v>
      </c>
      <c r="B59" s="2" t="s">
        <v>24</v>
      </c>
      <c r="C59" s="2" t="s">
        <v>664</v>
      </c>
      <c r="D59" s="2" t="s">
        <v>102</v>
      </c>
      <c r="E59" s="2" t="s">
        <v>102</v>
      </c>
      <c r="F59" s="2">
        <v>30</v>
      </c>
      <c r="G59" s="2" t="s">
        <v>684</v>
      </c>
    </row>
    <row r="60" spans="1:7">
      <c r="A60" s="2" t="s">
        <v>272</v>
      </c>
      <c r="B60" s="2" t="s">
        <v>23</v>
      </c>
      <c r="C60" s="2" t="s">
        <v>664</v>
      </c>
      <c r="D60" s="2" t="s">
        <v>102</v>
      </c>
      <c r="E60" s="2" t="s">
        <v>102</v>
      </c>
      <c r="F60" s="2">
        <v>30</v>
      </c>
      <c r="G60" s="2" t="s">
        <v>702</v>
      </c>
    </row>
    <row r="61" spans="1:7">
      <c r="A61" s="2" t="s">
        <v>420</v>
      </c>
      <c r="B61" s="2" t="s">
        <v>24</v>
      </c>
      <c r="C61" s="2" t="s">
        <v>669</v>
      </c>
      <c r="D61" s="2">
        <v>70</v>
      </c>
      <c r="E61" s="2">
        <v>100</v>
      </c>
      <c r="F61" s="2">
        <v>15</v>
      </c>
      <c r="G61" s="2" t="s">
        <v>673</v>
      </c>
    </row>
    <row r="62" spans="1:7">
      <c r="A62" s="2" t="s">
        <v>566</v>
      </c>
      <c r="B62" s="2" t="s">
        <v>18</v>
      </c>
      <c r="C62" s="2" t="s">
        <v>669</v>
      </c>
      <c r="D62" s="2">
        <v>130</v>
      </c>
      <c r="E62" s="2">
        <v>90</v>
      </c>
      <c r="F62" s="2">
        <v>10</v>
      </c>
      <c r="G62" s="2" t="s">
        <v>703</v>
      </c>
    </row>
    <row r="63" spans="1:7">
      <c r="A63" s="2" t="s">
        <v>367</v>
      </c>
      <c r="B63" s="2" t="s">
        <v>24</v>
      </c>
      <c r="C63" s="2" t="s">
        <v>669</v>
      </c>
      <c r="D63" s="2">
        <v>65</v>
      </c>
      <c r="E63" s="2">
        <v>100</v>
      </c>
      <c r="F63" s="2">
        <v>25</v>
      </c>
      <c r="G63" s="2"/>
    </row>
    <row r="64" spans="1:7">
      <c r="A64" s="2" t="s">
        <v>368</v>
      </c>
      <c r="B64" s="2" t="s">
        <v>24</v>
      </c>
      <c r="C64" s="2" t="s">
        <v>669</v>
      </c>
      <c r="D64" s="2" t="s">
        <v>102</v>
      </c>
      <c r="E64" s="2" t="s">
        <v>102</v>
      </c>
      <c r="F64" s="2">
        <v>5</v>
      </c>
      <c r="G64" s="2" t="s">
        <v>694</v>
      </c>
    </row>
    <row r="65" spans="1:7">
      <c r="A65" s="2" t="s">
        <v>140</v>
      </c>
      <c r="B65" s="2" t="s">
        <v>27</v>
      </c>
      <c r="C65" s="2" t="s">
        <v>661</v>
      </c>
      <c r="D65" s="2">
        <v>120</v>
      </c>
      <c r="E65" s="2">
        <v>80</v>
      </c>
      <c r="F65" s="2">
        <v>5</v>
      </c>
      <c r="G65" s="2"/>
    </row>
    <row r="66" spans="1:7">
      <c r="A66" s="2" t="s">
        <v>247</v>
      </c>
      <c r="B66" s="2" t="s">
        <v>24</v>
      </c>
      <c r="C66" s="2" t="s">
        <v>661</v>
      </c>
      <c r="D66" s="2">
        <v>150</v>
      </c>
      <c r="E66" s="2">
        <v>90</v>
      </c>
      <c r="F66" s="2">
        <v>5</v>
      </c>
      <c r="G66" s="2" t="s">
        <v>704</v>
      </c>
    </row>
    <row r="67" spans="1:7">
      <c r="A67" s="2" t="s">
        <v>319</v>
      </c>
      <c r="B67" s="2" t="s">
        <v>24</v>
      </c>
      <c r="C67" s="2" t="s">
        <v>669</v>
      </c>
      <c r="D67" s="2">
        <v>80</v>
      </c>
      <c r="E67" s="2">
        <v>90</v>
      </c>
      <c r="F67" s="2">
        <v>15</v>
      </c>
      <c r="G67" s="2" t="s">
        <v>673</v>
      </c>
    </row>
    <row r="68" spans="1:7">
      <c r="A68" s="2" t="s">
        <v>388</v>
      </c>
      <c r="B68" s="2" t="s">
        <v>9</v>
      </c>
      <c r="C68" s="2" t="s">
        <v>664</v>
      </c>
      <c r="D68" s="2" t="s">
        <v>102</v>
      </c>
      <c r="E68" s="2">
        <v>60</v>
      </c>
      <c r="F68" s="2">
        <v>20</v>
      </c>
      <c r="G68" s="2" t="s">
        <v>705</v>
      </c>
    </row>
    <row r="69" spans="1:7">
      <c r="A69" s="2" t="s">
        <v>141</v>
      </c>
      <c r="B69" s="2" t="s">
        <v>23</v>
      </c>
      <c r="C69" s="2" t="s">
        <v>661</v>
      </c>
      <c r="D69" s="2">
        <v>95</v>
      </c>
      <c r="E69" s="2">
        <v>100</v>
      </c>
      <c r="F69" s="2">
        <v>10</v>
      </c>
      <c r="G69" s="2" t="s">
        <v>674</v>
      </c>
    </row>
    <row r="70" spans="1:7">
      <c r="A70" s="2" t="s">
        <v>274</v>
      </c>
      <c r="B70" s="2" t="s">
        <v>23</v>
      </c>
      <c r="C70" s="2" t="s">
        <v>669</v>
      </c>
      <c r="D70" s="2">
        <v>75</v>
      </c>
      <c r="E70" s="2">
        <v>100</v>
      </c>
      <c r="F70" s="2">
        <v>15</v>
      </c>
      <c r="G70" s="2" t="s">
        <v>674</v>
      </c>
    </row>
    <row r="71" spans="1:7">
      <c r="A71" s="2" t="s">
        <v>565</v>
      </c>
      <c r="B71" s="2" t="s">
        <v>18</v>
      </c>
      <c r="C71" s="2" t="s">
        <v>669</v>
      </c>
      <c r="D71" s="2">
        <v>100</v>
      </c>
      <c r="E71" s="2">
        <v>95</v>
      </c>
      <c r="F71" s="2">
        <v>10</v>
      </c>
      <c r="G71" s="2" t="s">
        <v>703</v>
      </c>
    </row>
    <row r="72" spans="1:7">
      <c r="A72" s="2" t="s">
        <v>435</v>
      </c>
      <c r="B72" s="2" t="s">
        <v>18</v>
      </c>
      <c r="C72" s="2" t="s">
        <v>669</v>
      </c>
      <c r="D72" s="2">
        <v>50</v>
      </c>
      <c r="E72" s="2">
        <v>100</v>
      </c>
      <c r="F72" s="2">
        <v>25</v>
      </c>
      <c r="G72" s="2" t="s">
        <v>683</v>
      </c>
    </row>
    <row r="73" spans="1:7">
      <c r="A73" s="2" t="s">
        <v>458</v>
      </c>
      <c r="B73" s="2" t="s">
        <v>9</v>
      </c>
      <c r="C73" s="2" t="s">
        <v>664</v>
      </c>
      <c r="D73" s="2" t="s">
        <v>102</v>
      </c>
      <c r="E73" s="2">
        <v>80</v>
      </c>
      <c r="F73" s="2">
        <v>15</v>
      </c>
      <c r="G73" s="2" t="s">
        <v>695</v>
      </c>
    </row>
    <row r="74" spans="1:7">
      <c r="A74" s="2" t="s">
        <v>397</v>
      </c>
      <c r="B74" s="2" t="s">
        <v>14</v>
      </c>
      <c r="C74" s="2" t="s">
        <v>669</v>
      </c>
      <c r="D74" s="2">
        <v>20</v>
      </c>
      <c r="E74" s="2">
        <v>100</v>
      </c>
      <c r="F74" s="2">
        <v>15</v>
      </c>
      <c r="G74" s="2" t="s">
        <v>662</v>
      </c>
    </row>
    <row r="75" spans="1:7">
      <c r="A75" s="2" t="s">
        <v>142</v>
      </c>
      <c r="B75" s="2" t="s">
        <v>21</v>
      </c>
      <c r="C75" s="2" t="s">
        <v>664</v>
      </c>
      <c r="D75" s="2" t="s">
        <v>102</v>
      </c>
      <c r="E75" s="2">
        <v>90</v>
      </c>
      <c r="F75" s="2">
        <v>10</v>
      </c>
      <c r="G75" s="2" t="s">
        <v>706</v>
      </c>
    </row>
    <row r="76" spans="1:7">
      <c r="A76" s="2" t="s">
        <v>330</v>
      </c>
      <c r="B76" s="2" t="s">
        <v>24</v>
      </c>
      <c r="C76" s="2" t="s">
        <v>664</v>
      </c>
      <c r="D76" s="2" t="s">
        <v>102</v>
      </c>
      <c r="E76" s="2">
        <v>100</v>
      </c>
      <c r="F76" s="2">
        <v>30</v>
      </c>
      <c r="G76" s="2" t="s">
        <v>707</v>
      </c>
    </row>
    <row r="77" spans="1:7">
      <c r="A77" s="2" t="s">
        <v>511</v>
      </c>
      <c r="B77" s="2" t="s">
        <v>10</v>
      </c>
      <c r="C77" s="2" t="s">
        <v>669</v>
      </c>
      <c r="D77" s="2">
        <v>20</v>
      </c>
      <c r="E77" s="2">
        <v>100</v>
      </c>
      <c r="F77" s="2">
        <v>30</v>
      </c>
      <c r="G77" s="2" t="s">
        <v>675</v>
      </c>
    </row>
    <row r="78" spans="1:7">
      <c r="A78" s="2" t="s">
        <v>228</v>
      </c>
      <c r="B78" s="2" t="s">
        <v>9</v>
      </c>
      <c r="C78" s="2" t="s">
        <v>664</v>
      </c>
      <c r="D78" s="2" t="s">
        <v>102</v>
      </c>
      <c r="E78" s="2" t="s">
        <v>102</v>
      </c>
      <c r="F78" s="2">
        <v>30</v>
      </c>
      <c r="G78" s="2" t="s">
        <v>708</v>
      </c>
    </row>
    <row r="79" spans="1:7">
      <c r="A79" s="2" t="s">
        <v>605</v>
      </c>
      <c r="B79" s="2" t="s">
        <v>24</v>
      </c>
      <c r="C79" s="2" t="s">
        <v>664</v>
      </c>
      <c r="D79" s="2" t="s">
        <v>102</v>
      </c>
      <c r="E79" s="2">
        <v>75</v>
      </c>
      <c r="F79" s="2">
        <v>10</v>
      </c>
      <c r="G79" s="2" t="s">
        <v>709</v>
      </c>
    </row>
    <row r="80" spans="1:7">
      <c r="A80" s="2" t="s">
        <v>432</v>
      </c>
      <c r="B80" s="2" t="s">
        <v>18</v>
      </c>
      <c r="C80" s="2" t="s">
        <v>669</v>
      </c>
      <c r="D80" s="2" t="s">
        <v>102</v>
      </c>
      <c r="E80" s="2">
        <v>100</v>
      </c>
      <c r="F80" s="2">
        <v>20</v>
      </c>
      <c r="G80" s="2" t="s">
        <v>710</v>
      </c>
    </row>
    <row r="81" spans="1:7">
      <c r="A81" s="2" t="s">
        <v>437</v>
      </c>
      <c r="B81" s="2" t="s">
        <v>9</v>
      </c>
      <c r="C81" s="2" t="s">
        <v>664</v>
      </c>
      <c r="D81" s="2" t="s">
        <v>102</v>
      </c>
      <c r="E81" s="2" t="s">
        <v>102</v>
      </c>
      <c r="F81" s="2">
        <v>40</v>
      </c>
      <c r="G81" s="2" t="s">
        <v>711</v>
      </c>
    </row>
    <row r="82" spans="1:7">
      <c r="A82" s="2" t="s">
        <v>403</v>
      </c>
      <c r="B82" s="2" t="s">
        <v>21</v>
      </c>
      <c r="C82" s="2" t="s">
        <v>661</v>
      </c>
      <c r="D82" s="2">
        <v>40</v>
      </c>
      <c r="E82" s="2">
        <v>100</v>
      </c>
      <c r="F82" s="2">
        <v>15</v>
      </c>
      <c r="G82" s="2" t="s">
        <v>662</v>
      </c>
    </row>
    <row r="83" spans="1:7">
      <c r="A83" s="2" t="s">
        <v>567</v>
      </c>
      <c r="B83" s="2" t="s">
        <v>24</v>
      </c>
      <c r="C83" s="2" t="s">
        <v>669</v>
      </c>
      <c r="D83" s="2">
        <v>120</v>
      </c>
      <c r="E83" s="2">
        <v>75</v>
      </c>
      <c r="F83" s="2">
        <v>5</v>
      </c>
      <c r="G83" s="2"/>
    </row>
    <row r="84" spans="1:7">
      <c r="A84" s="2" t="s">
        <v>486</v>
      </c>
      <c r="B84" s="2" t="s">
        <v>24</v>
      </c>
      <c r="C84" s="2" t="s">
        <v>669</v>
      </c>
      <c r="D84" s="2">
        <v>80</v>
      </c>
      <c r="E84" s="2">
        <v>85</v>
      </c>
      <c r="F84" s="2">
        <v>20</v>
      </c>
      <c r="G84" s="2"/>
    </row>
    <row r="85" spans="1:7">
      <c r="A85" s="2" t="s">
        <v>379</v>
      </c>
      <c r="B85" s="2" t="s">
        <v>24</v>
      </c>
      <c r="C85" s="2" t="s">
        <v>664</v>
      </c>
      <c r="D85" s="2" t="s">
        <v>102</v>
      </c>
      <c r="E85" s="2" t="s">
        <v>102</v>
      </c>
      <c r="F85" s="2">
        <v>10</v>
      </c>
      <c r="G85" s="2" t="s">
        <v>712</v>
      </c>
    </row>
    <row r="86" spans="1:7">
      <c r="A86" s="2" t="s">
        <v>381</v>
      </c>
      <c r="B86" s="2" t="s">
        <v>24</v>
      </c>
      <c r="C86" s="2" t="s">
        <v>664</v>
      </c>
      <c r="D86" s="2" t="s">
        <v>102</v>
      </c>
      <c r="E86" s="2" t="s">
        <v>102</v>
      </c>
      <c r="F86" s="2">
        <v>10</v>
      </c>
      <c r="G86" s="2" t="s">
        <v>713</v>
      </c>
    </row>
    <row r="87" spans="1:7">
      <c r="A87" s="2" t="s">
        <v>378</v>
      </c>
      <c r="B87" s="2" t="s">
        <v>24</v>
      </c>
      <c r="C87" s="2" t="s">
        <v>664</v>
      </c>
      <c r="D87" s="2" t="s">
        <v>102</v>
      </c>
      <c r="E87" s="2" t="s">
        <v>102</v>
      </c>
      <c r="F87" s="2">
        <v>20</v>
      </c>
      <c r="G87" s="2" t="s">
        <v>714</v>
      </c>
    </row>
    <row r="88" spans="1:7">
      <c r="A88" s="2" t="s">
        <v>311</v>
      </c>
      <c r="B88" s="2" t="s">
        <v>20</v>
      </c>
      <c r="C88" s="2" t="s">
        <v>664</v>
      </c>
      <c r="D88" s="2" t="s">
        <v>102</v>
      </c>
      <c r="E88" s="2" t="s">
        <v>102</v>
      </c>
      <c r="F88" s="2">
        <v>20</v>
      </c>
      <c r="G88" s="2" t="s">
        <v>715</v>
      </c>
    </row>
    <row r="89" spans="1:7">
      <c r="A89" s="2" t="s">
        <v>273</v>
      </c>
      <c r="B89" s="2" t="s">
        <v>23</v>
      </c>
      <c r="C89" s="2" t="s">
        <v>664</v>
      </c>
      <c r="D89" s="2" t="s">
        <v>102</v>
      </c>
      <c r="E89" s="2" t="s">
        <v>102</v>
      </c>
      <c r="F89" s="2">
        <v>30</v>
      </c>
      <c r="G89" s="2" t="s">
        <v>716</v>
      </c>
    </row>
    <row r="90" spans="1:7">
      <c r="A90" s="2" t="s">
        <v>528</v>
      </c>
      <c r="B90" s="2" t="s">
        <v>10</v>
      </c>
      <c r="C90" s="2" t="s">
        <v>661</v>
      </c>
      <c r="D90" s="2" t="s">
        <v>102</v>
      </c>
      <c r="E90" s="2">
        <v>100</v>
      </c>
      <c r="F90" s="2">
        <v>15</v>
      </c>
      <c r="G90" s="2" t="s">
        <v>717</v>
      </c>
    </row>
    <row r="91" spans="1:7">
      <c r="A91" s="2" t="s">
        <v>425</v>
      </c>
      <c r="B91" s="2" t="s">
        <v>24</v>
      </c>
      <c r="C91" s="2" t="s">
        <v>669</v>
      </c>
      <c r="D91" s="2">
        <v>40</v>
      </c>
      <c r="E91" s="2">
        <v>100</v>
      </c>
      <c r="F91" s="2">
        <v>20</v>
      </c>
      <c r="G91" s="2" t="s">
        <v>718</v>
      </c>
    </row>
    <row r="92" spans="1:7">
      <c r="A92" s="2" t="s">
        <v>329</v>
      </c>
      <c r="B92" s="2" t="s">
        <v>20</v>
      </c>
      <c r="C92" s="2" t="s">
        <v>669</v>
      </c>
      <c r="D92" s="2">
        <v>35</v>
      </c>
      <c r="E92" s="2">
        <v>100</v>
      </c>
      <c r="F92" s="2">
        <v>35</v>
      </c>
      <c r="G92" s="2"/>
    </row>
    <row r="93" spans="1:7">
      <c r="A93" s="2" t="s">
        <v>236</v>
      </c>
      <c r="B93" s="2" t="s">
        <v>21</v>
      </c>
      <c r="C93" s="2" t="s">
        <v>661</v>
      </c>
      <c r="D93" s="2">
        <v>120</v>
      </c>
      <c r="E93" s="2">
        <v>100</v>
      </c>
      <c r="F93" s="2">
        <v>10</v>
      </c>
      <c r="G93" s="2" t="s">
        <v>719</v>
      </c>
    </row>
    <row r="94" spans="1:7">
      <c r="A94" s="2" t="s">
        <v>305</v>
      </c>
      <c r="B94" s="2" t="s">
        <v>14</v>
      </c>
      <c r="C94" s="2" t="s">
        <v>669</v>
      </c>
      <c r="D94" s="2">
        <v>14</v>
      </c>
      <c r="E94" s="2">
        <v>85</v>
      </c>
      <c r="F94" s="2">
        <v>20</v>
      </c>
      <c r="G94" s="2" t="s">
        <v>670</v>
      </c>
    </row>
    <row r="95" spans="1:7">
      <c r="A95" s="2" t="s">
        <v>516</v>
      </c>
      <c r="B95" s="2" t="s">
        <v>11</v>
      </c>
      <c r="C95" s="2" t="s">
        <v>664</v>
      </c>
      <c r="D95" s="2" t="s">
        <v>102</v>
      </c>
      <c r="E95" s="2">
        <v>85</v>
      </c>
      <c r="F95" s="2">
        <v>40</v>
      </c>
      <c r="G95" s="2" t="s">
        <v>720</v>
      </c>
    </row>
    <row r="96" spans="1:7">
      <c r="A96" s="2" t="s">
        <v>296</v>
      </c>
      <c r="B96" s="2" t="s">
        <v>11</v>
      </c>
      <c r="C96" s="2" t="s">
        <v>669</v>
      </c>
      <c r="D96" s="2">
        <v>15</v>
      </c>
      <c r="E96" s="2">
        <v>100</v>
      </c>
      <c r="F96" s="2">
        <v>35</v>
      </c>
      <c r="G96" s="2" t="s">
        <v>721</v>
      </c>
    </row>
    <row r="97" spans="1:7">
      <c r="A97" s="2" t="s">
        <v>221</v>
      </c>
      <c r="B97" s="2" t="s">
        <v>11</v>
      </c>
      <c r="C97" s="2" t="s">
        <v>664</v>
      </c>
      <c r="D97" s="2" t="s">
        <v>102</v>
      </c>
      <c r="E97" s="2">
        <v>75</v>
      </c>
      <c r="F97" s="2">
        <v>35</v>
      </c>
      <c r="G97" s="2" t="s">
        <v>720</v>
      </c>
    </row>
    <row r="98" spans="1:7">
      <c r="A98" s="2" t="s">
        <v>376</v>
      </c>
      <c r="B98" s="2" t="s">
        <v>24</v>
      </c>
      <c r="C98" s="2" t="s">
        <v>669</v>
      </c>
      <c r="D98" s="2">
        <v>40</v>
      </c>
      <c r="E98" s="2">
        <v>100</v>
      </c>
      <c r="F98" s="2">
        <v>35</v>
      </c>
      <c r="G98" s="2"/>
    </row>
    <row r="99" spans="1:7">
      <c r="A99" s="2" t="s">
        <v>292</v>
      </c>
      <c r="B99" s="2" t="s">
        <v>9</v>
      </c>
      <c r="C99" s="2" t="s">
        <v>661</v>
      </c>
      <c r="D99" s="2">
        <v>65</v>
      </c>
      <c r="E99" s="2">
        <v>100</v>
      </c>
      <c r="F99" s="2">
        <v>20</v>
      </c>
      <c r="G99" s="2" t="s">
        <v>679</v>
      </c>
    </row>
    <row r="100" spans="1:7">
      <c r="A100" s="2" t="s">
        <v>9</v>
      </c>
      <c r="B100" s="2" t="s">
        <v>9</v>
      </c>
      <c r="C100" s="2" t="s">
        <v>661</v>
      </c>
      <c r="D100" s="2">
        <v>90</v>
      </c>
      <c r="E100" s="2">
        <v>100</v>
      </c>
      <c r="F100" s="2">
        <v>10</v>
      </c>
      <c r="G100" s="2" t="s">
        <v>663</v>
      </c>
    </row>
    <row r="101" spans="1:7">
      <c r="A101" s="2" t="s">
        <v>529</v>
      </c>
      <c r="B101" s="2" t="s">
        <v>9</v>
      </c>
      <c r="C101" s="2" t="s">
        <v>661</v>
      </c>
      <c r="D101" s="2" t="s">
        <v>102</v>
      </c>
      <c r="E101" s="2">
        <v>80</v>
      </c>
      <c r="F101" s="2">
        <v>15</v>
      </c>
      <c r="G101" s="2" t="s">
        <v>722</v>
      </c>
    </row>
    <row r="102" spans="1:7">
      <c r="A102" s="2" t="s">
        <v>310</v>
      </c>
      <c r="B102" s="2" t="s">
        <v>24</v>
      </c>
      <c r="C102" s="2" t="s">
        <v>669</v>
      </c>
      <c r="D102" s="2">
        <v>40</v>
      </c>
      <c r="E102" s="2">
        <v>100</v>
      </c>
      <c r="F102" s="2">
        <v>30</v>
      </c>
      <c r="G102" s="2" t="s">
        <v>723</v>
      </c>
    </row>
    <row r="103" spans="1:7">
      <c r="A103" s="2" t="s">
        <v>304</v>
      </c>
      <c r="B103" s="2" t="s">
        <v>24</v>
      </c>
      <c r="C103" s="2" t="s">
        <v>669</v>
      </c>
      <c r="D103" s="2">
        <v>20</v>
      </c>
      <c r="E103" s="2">
        <v>100</v>
      </c>
      <c r="F103" s="2">
        <v>20</v>
      </c>
      <c r="G103" s="2" t="s">
        <v>724</v>
      </c>
    </row>
    <row r="104" spans="1:7">
      <c r="A104" s="2" t="s">
        <v>224</v>
      </c>
      <c r="B104" s="2" t="s">
        <v>21</v>
      </c>
      <c r="C104" s="2" t="s">
        <v>669</v>
      </c>
      <c r="D104" s="2">
        <v>55</v>
      </c>
      <c r="E104" s="2">
        <v>95</v>
      </c>
      <c r="F104" s="2">
        <v>25</v>
      </c>
      <c r="G104" s="2" t="s">
        <v>683</v>
      </c>
    </row>
    <row r="105" spans="1:7">
      <c r="A105" s="2" t="s">
        <v>332</v>
      </c>
      <c r="B105" s="2" t="s">
        <v>24</v>
      </c>
      <c r="C105" s="2" t="s">
        <v>661</v>
      </c>
      <c r="D105" s="2">
        <v>80</v>
      </c>
      <c r="E105" s="2">
        <v>100</v>
      </c>
      <c r="F105" s="2">
        <v>10</v>
      </c>
      <c r="G105" s="2" t="s">
        <v>725</v>
      </c>
    </row>
    <row r="106" spans="1:7">
      <c r="A106" s="2" t="s">
        <v>459</v>
      </c>
      <c r="B106" s="2" t="s">
        <v>24</v>
      </c>
      <c r="C106" s="2" t="s">
        <v>664</v>
      </c>
      <c r="D106" s="2" t="s">
        <v>102</v>
      </c>
      <c r="E106" s="2" t="s">
        <v>102</v>
      </c>
      <c r="F106" s="2">
        <v>10</v>
      </c>
      <c r="G106" s="2" t="s">
        <v>726</v>
      </c>
    </row>
    <row r="107" spans="1:7">
      <c r="A107" s="2" t="s">
        <v>380</v>
      </c>
      <c r="B107" s="2" t="s">
        <v>9</v>
      </c>
      <c r="C107" s="2" t="s">
        <v>664</v>
      </c>
      <c r="D107" s="2" t="s">
        <v>102</v>
      </c>
      <c r="E107" s="2" t="s">
        <v>102</v>
      </c>
      <c r="F107" s="2">
        <v>20</v>
      </c>
      <c r="G107" s="2" t="s">
        <v>727</v>
      </c>
    </row>
    <row r="108" spans="1:7">
      <c r="A108" s="2" t="s">
        <v>231</v>
      </c>
      <c r="B108" s="2" t="s">
        <v>9</v>
      </c>
      <c r="C108" s="2" t="s">
        <v>664</v>
      </c>
      <c r="D108" s="2" t="s">
        <v>102</v>
      </c>
      <c r="E108" s="2" t="s">
        <v>102</v>
      </c>
      <c r="F108" s="2">
        <v>10</v>
      </c>
      <c r="G108" s="2" t="s">
        <v>728</v>
      </c>
    </row>
    <row r="109" spans="1:7">
      <c r="A109" s="2" t="s">
        <v>246</v>
      </c>
      <c r="B109" s="2" t="s">
        <v>24</v>
      </c>
      <c r="C109" s="2" t="s">
        <v>664</v>
      </c>
      <c r="D109" s="2" t="s">
        <v>102</v>
      </c>
      <c r="E109" s="2">
        <v>100</v>
      </c>
      <c r="F109" s="2">
        <v>20</v>
      </c>
      <c r="G109" s="2" t="s">
        <v>729</v>
      </c>
    </row>
    <row r="110" spans="1:7">
      <c r="A110" s="2" t="s">
        <v>143</v>
      </c>
      <c r="B110" s="2" t="s">
        <v>25</v>
      </c>
      <c r="C110" s="2" t="s">
        <v>669</v>
      </c>
      <c r="D110" s="2">
        <v>75</v>
      </c>
      <c r="E110" s="2">
        <v>90</v>
      </c>
      <c r="F110" s="2">
        <v>10</v>
      </c>
      <c r="G110" s="2" t="s">
        <v>673</v>
      </c>
    </row>
    <row r="111" spans="1:7">
      <c r="A111" s="2" t="s">
        <v>483</v>
      </c>
      <c r="B111" s="2" t="s">
        <v>25</v>
      </c>
      <c r="C111" s="2" t="s">
        <v>669</v>
      </c>
      <c r="D111" s="2">
        <v>50</v>
      </c>
      <c r="E111" s="2">
        <v>90</v>
      </c>
      <c r="F111" s="2">
        <v>15</v>
      </c>
      <c r="G111" s="2"/>
    </row>
    <row r="112" spans="1:7">
      <c r="A112" s="2" t="s">
        <v>464</v>
      </c>
      <c r="B112" s="2" t="s">
        <v>18</v>
      </c>
      <c r="C112" s="2" t="s">
        <v>669</v>
      </c>
      <c r="D112" s="2">
        <v>60</v>
      </c>
      <c r="E112" s="2">
        <v>85</v>
      </c>
      <c r="F112" s="2">
        <v>15</v>
      </c>
      <c r="G112" s="2" t="s">
        <v>673</v>
      </c>
    </row>
    <row r="113" spans="1:7">
      <c r="A113" s="2" t="s">
        <v>309</v>
      </c>
      <c r="B113" s="2" t="s">
        <v>22</v>
      </c>
      <c r="C113" s="2" t="s">
        <v>664</v>
      </c>
      <c r="D113" s="2" t="s">
        <v>102</v>
      </c>
      <c r="E113" s="2">
        <v>100</v>
      </c>
      <c r="F113" s="2">
        <v>15</v>
      </c>
      <c r="G113" s="2" t="s">
        <v>695</v>
      </c>
    </row>
    <row r="114" spans="1:7">
      <c r="A114" s="2" t="s">
        <v>249</v>
      </c>
      <c r="B114" s="2" t="s">
        <v>24</v>
      </c>
      <c r="C114" s="2" t="s">
        <v>669</v>
      </c>
      <c r="D114" s="2">
        <v>40</v>
      </c>
      <c r="E114" s="2">
        <v>100</v>
      </c>
      <c r="F114" s="2">
        <v>35</v>
      </c>
      <c r="G114" s="2"/>
    </row>
    <row r="115" spans="1:7">
      <c r="A115" s="2" t="s">
        <v>324</v>
      </c>
      <c r="B115" s="2" t="s">
        <v>24</v>
      </c>
      <c r="C115" s="2" t="s">
        <v>664</v>
      </c>
      <c r="D115" s="2" t="s">
        <v>102</v>
      </c>
      <c r="E115" s="2">
        <v>85</v>
      </c>
      <c r="F115" s="2">
        <v>40</v>
      </c>
      <c r="G115" s="2" t="s">
        <v>730</v>
      </c>
    </row>
    <row r="116" spans="1:7">
      <c r="A116" s="2" t="s">
        <v>436</v>
      </c>
      <c r="B116" s="2" t="s">
        <v>18</v>
      </c>
      <c r="C116" s="2" t="s">
        <v>669</v>
      </c>
      <c r="D116" s="2" t="s">
        <v>102</v>
      </c>
      <c r="E116" s="2">
        <v>100</v>
      </c>
      <c r="F116" s="2">
        <v>20</v>
      </c>
      <c r="G116" s="2" t="s">
        <v>717</v>
      </c>
    </row>
    <row r="117" spans="1:7">
      <c r="A117" s="2" t="s">
        <v>484</v>
      </c>
      <c r="B117" s="2" t="s">
        <v>24</v>
      </c>
      <c r="C117" s="2" t="s">
        <v>669</v>
      </c>
      <c r="D117" s="2">
        <v>200</v>
      </c>
      <c r="E117" s="2">
        <v>100</v>
      </c>
      <c r="F117" s="2">
        <v>5</v>
      </c>
      <c r="G117" s="2" t="s">
        <v>693</v>
      </c>
    </row>
    <row r="118" spans="1:7">
      <c r="A118" s="2" t="s">
        <v>632</v>
      </c>
      <c r="B118" s="2" t="s">
        <v>24</v>
      </c>
      <c r="C118" s="2" t="s">
        <v>664</v>
      </c>
      <c r="D118" s="2" t="s">
        <v>102</v>
      </c>
      <c r="E118" s="2" t="s">
        <v>102</v>
      </c>
      <c r="F118" s="2">
        <v>30</v>
      </c>
      <c r="G118" s="2" t="s">
        <v>711</v>
      </c>
    </row>
    <row r="119" spans="1:7">
      <c r="A119" s="2" t="s">
        <v>377</v>
      </c>
      <c r="B119" s="2" t="s">
        <v>24</v>
      </c>
      <c r="C119" s="2" t="s">
        <v>664</v>
      </c>
      <c r="D119" s="2" t="s">
        <v>102</v>
      </c>
      <c r="E119" s="2">
        <v>55</v>
      </c>
      <c r="F119" s="2">
        <v>15</v>
      </c>
      <c r="G119" s="2" t="s">
        <v>709</v>
      </c>
    </row>
    <row r="120" spans="1:7">
      <c r="A120" s="2" t="s">
        <v>237</v>
      </c>
      <c r="B120" s="2" t="s">
        <v>24</v>
      </c>
      <c r="C120" s="2" t="s">
        <v>669</v>
      </c>
      <c r="D120" s="2">
        <v>100</v>
      </c>
      <c r="E120" s="2">
        <v>100</v>
      </c>
      <c r="F120" s="2">
        <v>15</v>
      </c>
      <c r="G120" s="2" t="s">
        <v>731</v>
      </c>
    </row>
    <row r="121" spans="1:7">
      <c r="A121" s="2" t="s">
        <v>316</v>
      </c>
      <c r="B121" s="2" t="s">
        <v>20</v>
      </c>
      <c r="C121" s="2" t="s">
        <v>669</v>
      </c>
      <c r="D121" s="2">
        <v>140</v>
      </c>
      <c r="E121" s="2">
        <v>90</v>
      </c>
      <c r="F121" s="2">
        <v>5</v>
      </c>
      <c r="G121" s="2" t="s">
        <v>732</v>
      </c>
    </row>
    <row r="122" spans="1:7">
      <c r="A122" s="2" t="s">
        <v>341</v>
      </c>
      <c r="B122" s="2" t="s">
        <v>24</v>
      </c>
      <c r="C122" s="2" t="s">
        <v>669</v>
      </c>
      <c r="D122" s="2">
        <v>80</v>
      </c>
      <c r="E122" s="2">
        <v>75</v>
      </c>
      <c r="F122" s="2">
        <v>20</v>
      </c>
      <c r="G122" s="2"/>
    </row>
    <row r="123" spans="1:7">
      <c r="A123" s="2" t="s">
        <v>253</v>
      </c>
      <c r="B123" s="2" t="s">
        <v>24</v>
      </c>
      <c r="C123" s="2" t="s">
        <v>669</v>
      </c>
      <c r="D123" s="2">
        <v>70</v>
      </c>
      <c r="E123" s="2">
        <v>100</v>
      </c>
      <c r="F123" s="2">
        <v>20</v>
      </c>
      <c r="G123" s="2" t="s">
        <v>683</v>
      </c>
    </row>
    <row r="124" spans="1:7">
      <c r="A124" s="2" t="s">
        <v>222</v>
      </c>
      <c r="B124" s="2" t="s">
        <v>21</v>
      </c>
      <c r="C124" s="2" t="s">
        <v>664</v>
      </c>
      <c r="D124" s="2" t="s">
        <v>102</v>
      </c>
      <c r="E124" s="2">
        <v>75</v>
      </c>
      <c r="F124" s="2">
        <v>15</v>
      </c>
      <c r="G124" s="2" t="s">
        <v>709</v>
      </c>
    </row>
    <row r="125" spans="1:7">
      <c r="A125" s="2" t="s">
        <v>238</v>
      </c>
      <c r="B125" s="2" t="s">
        <v>11</v>
      </c>
      <c r="C125" s="2" t="s">
        <v>661</v>
      </c>
      <c r="D125" s="2">
        <v>65</v>
      </c>
      <c r="E125" s="2">
        <v>100</v>
      </c>
      <c r="F125" s="2">
        <v>20</v>
      </c>
      <c r="G125" s="2" t="s">
        <v>733</v>
      </c>
    </row>
    <row r="126" spans="1:7">
      <c r="A126" s="2" t="s">
        <v>530</v>
      </c>
      <c r="B126" s="2" t="s">
        <v>11</v>
      </c>
      <c r="C126" s="2" t="s">
        <v>661</v>
      </c>
      <c r="D126" s="2">
        <v>20</v>
      </c>
      <c r="E126" s="2">
        <v>70</v>
      </c>
      <c r="F126" s="2">
        <v>20</v>
      </c>
      <c r="G126" s="2" t="s">
        <v>733</v>
      </c>
    </row>
    <row r="127" spans="1:7">
      <c r="A127" s="2" t="s">
        <v>251</v>
      </c>
      <c r="B127" s="2" t="s">
        <v>24</v>
      </c>
      <c r="C127" s="2" t="s">
        <v>664</v>
      </c>
      <c r="D127" s="2" t="s">
        <v>102</v>
      </c>
      <c r="E127" s="2">
        <v>100</v>
      </c>
      <c r="F127" s="2">
        <v>20</v>
      </c>
      <c r="G127" s="2" t="s">
        <v>695</v>
      </c>
    </row>
    <row r="128" spans="1:7">
      <c r="A128" s="2" t="s">
        <v>583</v>
      </c>
      <c r="B128" s="2" t="s">
        <v>24</v>
      </c>
      <c r="C128" s="2" t="s">
        <v>664</v>
      </c>
      <c r="D128" s="2" t="s">
        <v>102</v>
      </c>
      <c r="E128" s="2" t="s">
        <v>102</v>
      </c>
      <c r="F128" s="2">
        <v>10</v>
      </c>
      <c r="G128" s="2" t="s">
        <v>726</v>
      </c>
    </row>
    <row r="129" spans="1:7">
      <c r="A129" s="2" t="s">
        <v>229</v>
      </c>
      <c r="B129" s="2" t="s">
        <v>21</v>
      </c>
      <c r="C129" s="2" t="s">
        <v>661</v>
      </c>
      <c r="D129" s="2">
        <v>120</v>
      </c>
      <c r="E129" s="2">
        <v>100</v>
      </c>
      <c r="F129" s="2">
        <v>10</v>
      </c>
      <c r="G129" s="2" t="s">
        <v>734</v>
      </c>
    </row>
    <row r="130" spans="1:7">
      <c r="A130" s="2" t="s">
        <v>502</v>
      </c>
      <c r="B130" s="2" t="s">
        <v>24</v>
      </c>
      <c r="C130" s="2" t="s">
        <v>661</v>
      </c>
      <c r="D130" s="2" t="s">
        <v>102</v>
      </c>
      <c r="E130" s="2">
        <v>90</v>
      </c>
      <c r="F130" s="2">
        <v>20</v>
      </c>
      <c r="G130" s="2" t="s">
        <v>735</v>
      </c>
    </row>
    <row r="131" spans="1:7">
      <c r="A131" s="2" t="s">
        <v>525</v>
      </c>
      <c r="B131" s="2" t="s">
        <v>24</v>
      </c>
      <c r="C131" s="2" t="s">
        <v>669</v>
      </c>
      <c r="D131" s="2">
        <v>20</v>
      </c>
      <c r="E131" s="2">
        <v>100</v>
      </c>
      <c r="F131" s="2">
        <v>15</v>
      </c>
      <c r="G131" s="2" t="s">
        <v>670</v>
      </c>
    </row>
    <row r="132" spans="1:7">
      <c r="A132" s="2" t="s">
        <v>382</v>
      </c>
      <c r="B132" s="2" t="s">
        <v>24</v>
      </c>
      <c r="C132" s="2" t="s">
        <v>664</v>
      </c>
      <c r="D132" s="2" t="s">
        <v>102</v>
      </c>
      <c r="E132" s="2" t="s">
        <v>102</v>
      </c>
      <c r="F132" s="2">
        <v>40</v>
      </c>
      <c r="G132" s="2" t="s">
        <v>736</v>
      </c>
    </row>
    <row r="133" spans="1:7">
      <c r="A133" s="2" t="s">
        <v>410</v>
      </c>
      <c r="B133" s="2" t="s">
        <v>21</v>
      </c>
      <c r="C133" s="2" t="s">
        <v>664</v>
      </c>
      <c r="D133" s="2" t="s">
        <v>102</v>
      </c>
      <c r="E133" s="2">
        <v>100</v>
      </c>
      <c r="F133" s="2">
        <v>15</v>
      </c>
      <c r="G133" s="2" t="s">
        <v>737</v>
      </c>
    </row>
    <row r="134" spans="1:7">
      <c r="A134" s="2" t="s">
        <v>493</v>
      </c>
      <c r="B134" s="2" t="s">
        <v>24</v>
      </c>
      <c r="C134" s="2" t="s">
        <v>669</v>
      </c>
      <c r="D134" s="2">
        <v>65</v>
      </c>
      <c r="E134" s="2">
        <v>100</v>
      </c>
      <c r="F134" s="2">
        <v>20</v>
      </c>
      <c r="G134" s="2" t="s">
        <v>673</v>
      </c>
    </row>
    <row r="135" spans="1:7">
      <c r="A135" s="2" t="s">
        <v>227</v>
      </c>
      <c r="B135" s="2" t="s">
        <v>24</v>
      </c>
      <c r="C135" s="2" t="s">
        <v>669</v>
      </c>
      <c r="D135" s="2">
        <v>80</v>
      </c>
      <c r="E135" s="2">
        <v>100</v>
      </c>
      <c r="F135" s="2">
        <v>15</v>
      </c>
      <c r="G135" s="2"/>
    </row>
    <row r="136" spans="1:7">
      <c r="A136" s="2" t="s">
        <v>281</v>
      </c>
      <c r="B136" s="2" t="s">
        <v>14</v>
      </c>
      <c r="C136" s="2" t="s">
        <v>664</v>
      </c>
      <c r="D136" s="2" t="s">
        <v>102</v>
      </c>
      <c r="E136" s="2">
        <v>95</v>
      </c>
      <c r="F136" s="2">
        <v>40</v>
      </c>
      <c r="G136" s="2" t="s">
        <v>738</v>
      </c>
    </row>
    <row r="137" spans="1:7">
      <c r="A137" s="2" t="s">
        <v>739</v>
      </c>
      <c r="B137" s="2" t="s">
        <v>24</v>
      </c>
      <c r="C137" s="2" t="s">
        <v>669</v>
      </c>
      <c r="D137" s="2">
        <v>50</v>
      </c>
      <c r="E137" s="2">
        <v>100</v>
      </c>
      <c r="F137" s="2" t="s">
        <v>102</v>
      </c>
      <c r="G137" s="2" t="s">
        <v>740</v>
      </c>
    </row>
    <row r="138" spans="1:7">
      <c r="A138" s="2" t="s">
        <v>288</v>
      </c>
      <c r="B138" s="2" t="s">
        <v>21</v>
      </c>
      <c r="C138" s="2" t="s">
        <v>664</v>
      </c>
      <c r="D138" s="2" t="s">
        <v>102</v>
      </c>
      <c r="E138" s="2">
        <v>75</v>
      </c>
      <c r="F138" s="2">
        <v>30</v>
      </c>
      <c r="G138" s="2" t="s">
        <v>698</v>
      </c>
    </row>
    <row r="139" spans="1:7">
      <c r="A139" s="2" t="s">
        <v>451</v>
      </c>
      <c r="B139" s="2" t="s">
        <v>18</v>
      </c>
      <c r="C139" s="2" t="s">
        <v>669</v>
      </c>
      <c r="D139" s="2">
        <v>80</v>
      </c>
      <c r="E139" s="2">
        <v>80</v>
      </c>
      <c r="F139" s="2">
        <v>25</v>
      </c>
      <c r="G139" s="2" t="s">
        <v>688</v>
      </c>
    </row>
    <row r="140" spans="1:7">
      <c r="A140" s="2" t="s">
        <v>233</v>
      </c>
      <c r="B140" s="2" t="s">
        <v>24</v>
      </c>
      <c r="C140" s="2" t="s">
        <v>664</v>
      </c>
      <c r="D140" s="2" t="s">
        <v>102</v>
      </c>
      <c r="E140" s="2" t="s">
        <v>102</v>
      </c>
      <c r="F140" s="2">
        <v>10</v>
      </c>
      <c r="G140" s="2" t="s">
        <v>741</v>
      </c>
    </row>
    <row r="141" spans="1:7">
      <c r="A141" s="2" t="s">
        <v>320</v>
      </c>
      <c r="B141" s="2" t="s">
        <v>24</v>
      </c>
      <c r="C141" s="2" t="s">
        <v>669</v>
      </c>
      <c r="D141" s="2" t="s">
        <v>102</v>
      </c>
      <c r="E141" s="2">
        <v>90</v>
      </c>
      <c r="F141" s="2">
        <v>10</v>
      </c>
      <c r="G141" s="2" t="s">
        <v>742</v>
      </c>
    </row>
    <row r="142" spans="1:7">
      <c r="A142" s="2" t="s">
        <v>290</v>
      </c>
      <c r="B142" s="2" t="s">
        <v>24</v>
      </c>
      <c r="C142" s="2" t="s">
        <v>664</v>
      </c>
      <c r="D142" s="2" t="s">
        <v>102</v>
      </c>
      <c r="E142" s="2">
        <v>55</v>
      </c>
      <c r="F142" s="2">
        <v>20</v>
      </c>
      <c r="G142" s="2" t="s">
        <v>678</v>
      </c>
    </row>
    <row r="143" spans="1:7">
      <c r="A143" s="2" t="s">
        <v>144</v>
      </c>
      <c r="B143" s="2" t="s">
        <v>27</v>
      </c>
      <c r="C143" s="2" t="s">
        <v>661</v>
      </c>
      <c r="D143" s="2">
        <v>95</v>
      </c>
      <c r="E143" s="2">
        <v>100</v>
      </c>
      <c r="F143" s="2">
        <v>15</v>
      </c>
      <c r="G143" s="2"/>
    </row>
    <row r="144" spans="1:7">
      <c r="A144" s="2" t="s">
        <v>354</v>
      </c>
      <c r="B144" s="2" t="s">
        <v>24</v>
      </c>
      <c r="C144" s="2" t="s">
        <v>661</v>
      </c>
      <c r="D144" s="2">
        <v>60</v>
      </c>
      <c r="E144" s="2" t="s">
        <v>102</v>
      </c>
      <c r="F144" s="2">
        <v>20</v>
      </c>
      <c r="G144" s="2" t="s">
        <v>743</v>
      </c>
    </row>
    <row r="145" spans="1:7">
      <c r="A145" s="2" t="s">
        <v>145</v>
      </c>
      <c r="B145" s="2" t="s">
        <v>24</v>
      </c>
      <c r="C145" s="2" t="s">
        <v>664</v>
      </c>
      <c r="D145" s="2" t="s">
        <v>102</v>
      </c>
      <c r="E145" s="2" t="s">
        <v>102</v>
      </c>
      <c r="F145" s="2">
        <v>30</v>
      </c>
      <c r="G145" s="2" t="s">
        <v>744</v>
      </c>
    </row>
    <row r="146" spans="1:7">
      <c r="A146" s="2" t="s">
        <v>219</v>
      </c>
      <c r="B146" s="2" t="s">
        <v>24</v>
      </c>
      <c r="C146" s="2" t="s">
        <v>669</v>
      </c>
      <c r="D146" s="2">
        <v>50</v>
      </c>
      <c r="E146" s="2">
        <v>100</v>
      </c>
      <c r="F146" s="2">
        <v>35</v>
      </c>
      <c r="G146" s="2"/>
    </row>
    <row r="147" spans="1:7">
      <c r="A147" s="2" t="s">
        <v>266</v>
      </c>
      <c r="B147" s="2" t="s">
        <v>24</v>
      </c>
      <c r="C147" s="2" t="s">
        <v>664</v>
      </c>
      <c r="D147" s="2" t="s">
        <v>102</v>
      </c>
      <c r="E147" s="2">
        <v>100</v>
      </c>
      <c r="F147" s="2">
        <v>30</v>
      </c>
      <c r="G147" s="2" t="s">
        <v>707</v>
      </c>
    </row>
    <row r="148" spans="1:7">
      <c r="A148" s="2" t="s">
        <v>223</v>
      </c>
      <c r="B148" s="2" t="s">
        <v>24</v>
      </c>
      <c r="C148" s="2" t="s">
        <v>669</v>
      </c>
      <c r="D148" s="2">
        <v>90</v>
      </c>
      <c r="E148" s="2">
        <v>85</v>
      </c>
      <c r="F148" s="2">
        <v>20</v>
      </c>
      <c r="G148" s="2" t="s">
        <v>688</v>
      </c>
    </row>
    <row r="149" spans="1:7">
      <c r="A149" s="2" t="s">
        <v>454</v>
      </c>
      <c r="B149" s="2" t="s">
        <v>9</v>
      </c>
      <c r="C149" s="2" t="s">
        <v>664</v>
      </c>
      <c r="D149" s="2" t="s">
        <v>102</v>
      </c>
      <c r="E149" s="2" t="s">
        <v>102</v>
      </c>
      <c r="F149" s="2">
        <v>20</v>
      </c>
      <c r="G149" s="2" t="s">
        <v>745</v>
      </c>
    </row>
    <row r="150" spans="1:7">
      <c r="A150" s="2" t="s">
        <v>373</v>
      </c>
      <c r="B150" s="2" t="s">
        <v>24</v>
      </c>
      <c r="C150" s="2" t="s">
        <v>669</v>
      </c>
      <c r="D150" s="2">
        <v>120</v>
      </c>
      <c r="E150" s="2">
        <v>100</v>
      </c>
      <c r="F150" s="2">
        <v>10</v>
      </c>
      <c r="G150" s="2" t="s">
        <v>719</v>
      </c>
    </row>
    <row r="151" spans="1:7">
      <c r="A151" s="2" t="s">
        <v>321</v>
      </c>
      <c r="B151" s="2" t="s">
        <v>17</v>
      </c>
      <c r="C151" s="2" t="s">
        <v>661</v>
      </c>
      <c r="D151" s="2">
        <v>120</v>
      </c>
      <c r="E151" s="2">
        <v>70</v>
      </c>
      <c r="F151" s="2">
        <v>10</v>
      </c>
      <c r="G151" s="2" t="s">
        <v>675</v>
      </c>
    </row>
    <row r="152" spans="1:7">
      <c r="A152" s="2" t="s">
        <v>322</v>
      </c>
      <c r="B152" s="2" t="s">
        <v>17</v>
      </c>
      <c r="C152" s="2" t="s">
        <v>664</v>
      </c>
      <c r="D152" s="2" t="s">
        <v>102</v>
      </c>
      <c r="E152" s="2">
        <v>100</v>
      </c>
      <c r="F152" s="2">
        <v>20</v>
      </c>
      <c r="G152" s="2" t="s">
        <v>698</v>
      </c>
    </row>
    <row r="153" spans="1:7">
      <c r="A153" s="2" t="s">
        <v>147</v>
      </c>
      <c r="B153" s="2" t="s">
        <v>17</v>
      </c>
      <c r="C153" s="2" t="s">
        <v>669</v>
      </c>
      <c r="D153" s="2">
        <v>75</v>
      </c>
      <c r="E153" s="2">
        <v>100</v>
      </c>
      <c r="F153" s="2">
        <v>15</v>
      </c>
      <c r="G153" s="2" t="s">
        <v>675</v>
      </c>
    </row>
    <row r="154" spans="1:7">
      <c r="A154" s="2" t="s">
        <v>346</v>
      </c>
      <c r="B154" s="2" t="s">
        <v>17</v>
      </c>
      <c r="C154" s="2" t="s">
        <v>661</v>
      </c>
      <c r="D154" s="2">
        <v>40</v>
      </c>
      <c r="E154" s="2">
        <v>100</v>
      </c>
      <c r="F154" s="2">
        <v>30</v>
      </c>
      <c r="G154" s="2" t="s">
        <v>675</v>
      </c>
    </row>
    <row r="155" spans="1:7">
      <c r="A155" s="2" t="s">
        <v>146</v>
      </c>
      <c r="B155" s="2" t="s">
        <v>17</v>
      </c>
      <c r="C155" s="2" t="s">
        <v>661</v>
      </c>
      <c r="D155" s="2">
        <v>95</v>
      </c>
      <c r="E155" s="2">
        <v>100</v>
      </c>
      <c r="F155" s="2">
        <v>15</v>
      </c>
      <c r="G155" s="2" t="s">
        <v>675</v>
      </c>
    </row>
    <row r="156" spans="1:7">
      <c r="A156" s="2" t="s">
        <v>148</v>
      </c>
      <c r="B156" s="2" t="s">
        <v>11</v>
      </c>
      <c r="C156" s="2" t="s">
        <v>664</v>
      </c>
      <c r="D156" s="2" t="s">
        <v>102</v>
      </c>
      <c r="E156" s="2">
        <v>90</v>
      </c>
      <c r="F156" s="2">
        <v>10</v>
      </c>
      <c r="G156" s="2" t="s">
        <v>746</v>
      </c>
    </row>
    <row r="157" spans="1:7">
      <c r="A157" s="2" t="s">
        <v>621</v>
      </c>
      <c r="B157" s="2" t="s">
        <v>24</v>
      </c>
      <c r="C157" s="2" t="s">
        <v>664</v>
      </c>
      <c r="D157" s="2" t="s">
        <v>102</v>
      </c>
      <c r="E157" s="2" t="s">
        <v>102</v>
      </c>
      <c r="F157" s="2">
        <v>10</v>
      </c>
      <c r="G157" s="2" t="s">
        <v>747</v>
      </c>
    </row>
    <row r="158" spans="1:7">
      <c r="A158" s="2" t="s">
        <v>333</v>
      </c>
      <c r="B158" s="2" t="s">
        <v>24</v>
      </c>
      <c r="C158" s="2" t="s">
        <v>661</v>
      </c>
      <c r="D158" s="2">
        <v>80</v>
      </c>
      <c r="E158" s="2">
        <v>100</v>
      </c>
      <c r="F158" s="2">
        <v>10</v>
      </c>
      <c r="G158" s="2" t="s">
        <v>748</v>
      </c>
    </row>
    <row r="159" spans="1:7">
      <c r="A159" s="2" t="s">
        <v>303</v>
      </c>
      <c r="B159" s="2" t="s">
        <v>14</v>
      </c>
      <c r="C159" s="2" t="s">
        <v>669</v>
      </c>
      <c r="D159" s="2">
        <v>25</v>
      </c>
      <c r="E159" s="2">
        <v>100</v>
      </c>
      <c r="F159" s="2">
        <v>20</v>
      </c>
      <c r="G159" s="2" t="s">
        <v>749</v>
      </c>
    </row>
    <row r="160" spans="1:7">
      <c r="A160" s="2" t="s">
        <v>542</v>
      </c>
      <c r="B160" s="2" t="s">
        <v>24</v>
      </c>
      <c r="C160" s="2" t="s">
        <v>669</v>
      </c>
      <c r="D160" s="2">
        <v>55</v>
      </c>
      <c r="E160" s="2">
        <v>100</v>
      </c>
      <c r="F160" s="2">
        <v>30</v>
      </c>
      <c r="G160" s="2"/>
    </row>
    <row r="161" spans="1:7">
      <c r="A161" s="2" t="s">
        <v>149</v>
      </c>
      <c r="B161" s="2" t="s">
        <v>21</v>
      </c>
      <c r="C161" s="2" t="s">
        <v>669</v>
      </c>
      <c r="D161" s="2">
        <v>35</v>
      </c>
      <c r="E161" s="2">
        <v>100</v>
      </c>
      <c r="F161" s="2">
        <v>15</v>
      </c>
      <c r="G161" s="2"/>
    </row>
    <row r="162" spans="1:7">
      <c r="A162" s="2" t="s">
        <v>269</v>
      </c>
      <c r="B162" s="2" t="s">
        <v>27</v>
      </c>
      <c r="C162" s="2" t="s">
        <v>661</v>
      </c>
      <c r="D162" s="2">
        <v>40</v>
      </c>
      <c r="E162" s="2">
        <v>100</v>
      </c>
      <c r="F162" s="2">
        <v>25</v>
      </c>
      <c r="G162" s="2"/>
    </row>
    <row r="163" spans="1:7">
      <c r="A163" s="2" t="s">
        <v>270</v>
      </c>
      <c r="B163" s="2" t="s">
        <v>27</v>
      </c>
      <c r="C163" s="2" t="s">
        <v>669</v>
      </c>
      <c r="D163" s="2">
        <v>80</v>
      </c>
      <c r="E163" s="2">
        <v>100</v>
      </c>
      <c r="F163" s="2">
        <v>15</v>
      </c>
      <c r="G163" s="2" t="s">
        <v>673</v>
      </c>
    </row>
    <row r="164" spans="1:7">
      <c r="A164" s="2" t="s">
        <v>291</v>
      </c>
      <c r="B164" s="2" t="s">
        <v>24</v>
      </c>
      <c r="C164" s="2" t="s">
        <v>664</v>
      </c>
      <c r="D164" s="2" t="s">
        <v>102</v>
      </c>
      <c r="E164" s="2">
        <v>100</v>
      </c>
      <c r="F164" s="2">
        <v>20</v>
      </c>
      <c r="G164" s="2" t="s">
        <v>729</v>
      </c>
    </row>
    <row r="165" spans="1:7">
      <c r="A165" s="2" t="s">
        <v>264</v>
      </c>
      <c r="B165" s="2" t="s">
        <v>20</v>
      </c>
      <c r="C165" s="2" t="s">
        <v>669</v>
      </c>
      <c r="D165" s="2">
        <v>60</v>
      </c>
      <c r="E165" s="2">
        <v>100</v>
      </c>
      <c r="F165" s="2">
        <v>35</v>
      </c>
      <c r="G165" s="2"/>
    </row>
    <row r="166" spans="1:7">
      <c r="A166" s="2" t="s">
        <v>268</v>
      </c>
      <c r="B166" s="2" t="s">
        <v>27</v>
      </c>
      <c r="C166" s="2" t="s">
        <v>664</v>
      </c>
      <c r="D166" s="2" t="s">
        <v>102</v>
      </c>
      <c r="E166" s="2" t="s">
        <v>102</v>
      </c>
      <c r="F166" s="2">
        <v>40</v>
      </c>
      <c r="G166" s="2" t="s">
        <v>684</v>
      </c>
    </row>
    <row r="167" spans="1:7">
      <c r="A167" s="2" t="s">
        <v>338</v>
      </c>
      <c r="B167" s="2" t="s">
        <v>24</v>
      </c>
      <c r="C167" s="2" t="s">
        <v>669</v>
      </c>
      <c r="D167" s="2">
        <v>15</v>
      </c>
      <c r="E167" s="2">
        <v>90</v>
      </c>
      <c r="F167" s="2">
        <v>20</v>
      </c>
      <c r="G167" s="2" t="s">
        <v>672</v>
      </c>
    </row>
    <row r="168" spans="1:7">
      <c r="A168" s="2" t="s">
        <v>1445</v>
      </c>
      <c r="B168" s="2" t="s">
        <v>20</v>
      </c>
      <c r="C168" s="2" t="s">
        <v>661</v>
      </c>
      <c r="D168" s="2">
        <v>100</v>
      </c>
      <c r="E168" s="2">
        <v>95</v>
      </c>
      <c r="F168" s="2">
        <v>5</v>
      </c>
      <c r="G168" s="2" t="s">
        <v>683</v>
      </c>
    </row>
    <row r="169" spans="1:7">
      <c r="A169" s="2" t="s">
        <v>170</v>
      </c>
      <c r="B169" s="2" t="s">
        <v>25</v>
      </c>
      <c r="C169" s="2" t="s">
        <v>661</v>
      </c>
      <c r="D169" s="2">
        <v>60</v>
      </c>
      <c r="E169" s="2">
        <v>100</v>
      </c>
      <c r="F169" s="2">
        <v>5</v>
      </c>
      <c r="G169" s="2" t="s">
        <v>2043</v>
      </c>
    </row>
    <row r="170" spans="1:7">
      <c r="A170" s="2" t="s">
        <v>1082</v>
      </c>
      <c r="B170" s="2" t="s">
        <v>24</v>
      </c>
      <c r="C170" s="2" t="s">
        <v>664</v>
      </c>
      <c r="D170" s="2" t="s">
        <v>102</v>
      </c>
      <c r="E170" s="2">
        <v>100</v>
      </c>
      <c r="F170" s="2">
        <v>15</v>
      </c>
      <c r="G170" s="2" t="s">
        <v>2044</v>
      </c>
    </row>
    <row r="171" spans="1:7">
      <c r="A171" s="2" t="s">
        <v>788</v>
      </c>
      <c r="B171" s="2" t="s">
        <v>24</v>
      </c>
      <c r="C171" s="2" t="s">
        <v>664</v>
      </c>
      <c r="D171" s="2" t="s">
        <v>102</v>
      </c>
      <c r="E171" s="2" t="s">
        <v>102</v>
      </c>
      <c r="F171" s="2">
        <v>40</v>
      </c>
      <c r="G171" s="2" t="s">
        <v>2045</v>
      </c>
    </row>
    <row r="172" spans="1:7">
      <c r="A172" s="2" t="s">
        <v>763</v>
      </c>
      <c r="B172" s="2" t="s">
        <v>15</v>
      </c>
      <c r="C172" s="2" t="s">
        <v>669</v>
      </c>
      <c r="D172" s="2" t="s">
        <v>102</v>
      </c>
      <c r="E172" s="2">
        <v>100</v>
      </c>
      <c r="F172" s="2">
        <v>30</v>
      </c>
      <c r="G172" s="2" t="s">
        <v>2046</v>
      </c>
    </row>
    <row r="173" spans="1:7">
      <c r="A173" s="2" t="s">
        <v>1099</v>
      </c>
      <c r="B173" s="2" t="s">
        <v>24</v>
      </c>
      <c r="C173" s="2" t="s">
        <v>664</v>
      </c>
      <c r="D173" s="2" t="s">
        <v>102</v>
      </c>
      <c r="E173" s="2" t="s">
        <v>102</v>
      </c>
      <c r="F173" s="2">
        <v>10</v>
      </c>
      <c r="G173" s="2" t="s">
        <v>2047</v>
      </c>
    </row>
    <row r="174" spans="1:7">
      <c r="A174" s="2" t="s">
        <v>1219</v>
      </c>
      <c r="B174" s="2" t="s">
        <v>22</v>
      </c>
      <c r="C174" s="2" t="s">
        <v>669</v>
      </c>
      <c r="D174" s="2">
        <v>25</v>
      </c>
      <c r="E174" s="2">
        <v>90</v>
      </c>
      <c r="F174" s="2">
        <v>10</v>
      </c>
      <c r="G174" s="2" t="s">
        <v>670</v>
      </c>
    </row>
    <row r="175" spans="1:7">
      <c r="A175" s="2" t="s">
        <v>781</v>
      </c>
      <c r="B175" s="2" t="s">
        <v>894</v>
      </c>
      <c r="C175" s="2" t="s">
        <v>664</v>
      </c>
      <c r="D175" s="2" t="s">
        <v>102</v>
      </c>
      <c r="E175" s="2">
        <v>100</v>
      </c>
      <c r="F175" s="2">
        <v>20</v>
      </c>
      <c r="G175" s="2" t="s">
        <v>2048</v>
      </c>
    </row>
    <row r="176" spans="1:7">
      <c r="A176" s="2" t="s">
        <v>1233</v>
      </c>
      <c r="B176" s="2" t="s">
        <v>24</v>
      </c>
      <c r="C176" s="2" t="s">
        <v>664</v>
      </c>
      <c r="D176" s="2" t="s">
        <v>102</v>
      </c>
      <c r="E176" s="2" t="s">
        <v>102</v>
      </c>
      <c r="F176" s="2">
        <v>30</v>
      </c>
      <c r="G176" s="2" t="s">
        <v>2049</v>
      </c>
    </row>
    <row r="177" spans="1:7">
      <c r="A177" s="2" t="s">
        <v>1297</v>
      </c>
      <c r="B177" s="2" t="s">
        <v>21</v>
      </c>
      <c r="C177" s="2" t="s">
        <v>664</v>
      </c>
      <c r="D177" s="2" t="s">
        <v>102</v>
      </c>
      <c r="E177" s="2">
        <v>100</v>
      </c>
      <c r="F177" s="2">
        <v>40</v>
      </c>
      <c r="G177" s="2" t="s">
        <v>2050</v>
      </c>
    </row>
    <row r="178" spans="1:7">
      <c r="A178" s="2" t="s">
        <v>1171</v>
      </c>
      <c r="B178" s="2" t="s">
        <v>18</v>
      </c>
      <c r="C178" s="2" t="s">
        <v>669</v>
      </c>
      <c r="D178" s="2">
        <v>100</v>
      </c>
      <c r="E178" s="2">
        <v>80</v>
      </c>
      <c r="F178" s="2">
        <v>5</v>
      </c>
      <c r="G178" s="2" t="s">
        <v>683</v>
      </c>
    </row>
    <row r="179" spans="1:7">
      <c r="A179" s="2" t="s">
        <v>777</v>
      </c>
      <c r="B179" s="2" t="s">
        <v>15</v>
      </c>
      <c r="C179" s="2" t="s">
        <v>669</v>
      </c>
      <c r="D179" s="2">
        <v>80</v>
      </c>
      <c r="E179" s="2">
        <v>100</v>
      </c>
      <c r="F179" s="2">
        <v>15</v>
      </c>
      <c r="G179" s="2" t="s">
        <v>2051</v>
      </c>
    </row>
    <row r="180" spans="1:7">
      <c r="A180" s="2" t="s">
        <v>751</v>
      </c>
      <c r="B180" s="2" t="s">
        <v>10</v>
      </c>
      <c r="C180" s="2" t="s">
        <v>664</v>
      </c>
      <c r="D180" s="2" t="s">
        <v>102</v>
      </c>
      <c r="E180" s="2" t="s">
        <v>102</v>
      </c>
      <c r="F180" s="2">
        <v>10</v>
      </c>
      <c r="G180" s="2" t="s">
        <v>2052</v>
      </c>
    </row>
    <row r="181" spans="1:7">
      <c r="A181" s="2" t="s">
        <v>793</v>
      </c>
      <c r="B181" s="2" t="s">
        <v>10</v>
      </c>
      <c r="C181" s="2" t="s">
        <v>664</v>
      </c>
      <c r="D181" s="2" t="s">
        <v>102</v>
      </c>
      <c r="E181" s="2" t="s">
        <v>102</v>
      </c>
      <c r="F181" s="2">
        <v>5</v>
      </c>
      <c r="G181" s="2" t="s">
        <v>2053</v>
      </c>
    </row>
    <row r="182" spans="1:7">
      <c r="A182" s="2" t="s">
        <v>1220</v>
      </c>
      <c r="B182" s="2" t="s">
        <v>18</v>
      </c>
      <c r="C182" s="2" t="s">
        <v>664</v>
      </c>
      <c r="D182" s="2" t="s">
        <v>102</v>
      </c>
      <c r="E182" s="2" t="s">
        <v>102</v>
      </c>
      <c r="F182" s="2">
        <v>5</v>
      </c>
      <c r="G182" s="2" t="s">
        <v>2054</v>
      </c>
    </row>
    <row r="183" spans="1:7">
      <c r="A183" s="2" t="s">
        <v>762</v>
      </c>
      <c r="B183" s="2" t="s">
        <v>16</v>
      </c>
      <c r="C183" s="2" t="s">
        <v>661</v>
      </c>
      <c r="D183" s="2">
        <v>60</v>
      </c>
      <c r="E183" s="2">
        <v>100</v>
      </c>
      <c r="F183" s="2">
        <v>20</v>
      </c>
      <c r="G183" s="2" t="s">
        <v>675</v>
      </c>
    </row>
    <row r="184" spans="1:7">
      <c r="A184" s="2" t="s">
        <v>1179</v>
      </c>
      <c r="B184" s="2" t="s">
        <v>18</v>
      </c>
      <c r="C184" s="2" t="s">
        <v>669</v>
      </c>
      <c r="D184" s="2">
        <v>100</v>
      </c>
      <c r="E184" s="2">
        <v>50</v>
      </c>
      <c r="F184" s="2">
        <v>5</v>
      </c>
      <c r="G184" s="2" t="s">
        <v>678</v>
      </c>
    </row>
    <row r="185" spans="1:7">
      <c r="A185" s="2" t="s">
        <v>779</v>
      </c>
      <c r="B185" s="2" t="s">
        <v>24</v>
      </c>
      <c r="C185" s="2" t="s">
        <v>664</v>
      </c>
      <c r="D185" s="2" t="s">
        <v>102</v>
      </c>
      <c r="E185" s="2">
        <v>100</v>
      </c>
      <c r="F185" s="2">
        <v>5</v>
      </c>
      <c r="G185" s="2" t="s">
        <v>2055</v>
      </c>
    </row>
    <row r="186" spans="1:7">
      <c r="A186" s="2" t="s">
        <v>754</v>
      </c>
      <c r="B186" s="2" t="s">
        <v>24</v>
      </c>
      <c r="C186" s="2" t="s">
        <v>664</v>
      </c>
      <c r="D186" s="2" t="s">
        <v>102</v>
      </c>
      <c r="E186" s="2" t="s">
        <v>102</v>
      </c>
      <c r="F186" s="2">
        <v>10</v>
      </c>
      <c r="G186" s="2" t="s">
        <v>2056</v>
      </c>
    </row>
    <row r="187" spans="1:7">
      <c r="A187" s="2" t="s">
        <v>791</v>
      </c>
      <c r="B187" s="2" t="s">
        <v>24</v>
      </c>
      <c r="C187" s="2" t="s">
        <v>669</v>
      </c>
      <c r="D187" s="2">
        <v>80</v>
      </c>
      <c r="E187" s="2">
        <v>100</v>
      </c>
      <c r="F187" s="2">
        <v>5</v>
      </c>
      <c r="G187" s="2" t="s">
        <v>723</v>
      </c>
    </row>
    <row r="188" spans="1:7">
      <c r="A188" s="2" t="s">
        <v>774</v>
      </c>
      <c r="B188" s="2" t="s">
        <v>15</v>
      </c>
      <c r="C188" s="2" t="s">
        <v>669</v>
      </c>
      <c r="D188" s="2">
        <v>60</v>
      </c>
      <c r="E188" s="2" t="s">
        <v>102</v>
      </c>
      <c r="F188" s="2">
        <v>20</v>
      </c>
      <c r="G188" s="2" t="s">
        <v>743</v>
      </c>
    </row>
    <row r="189" spans="1:7">
      <c r="A189" s="2" t="s">
        <v>776</v>
      </c>
      <c r="B189" s="2" t="s">
        <v>24</v>
      </c>
      <c r="C189" s="2" t="s">
        <v>669</v>
      </c>
      <c r="D189" s="2">
        <v>40</v>
      </c>
      <c r="E189" s="2">
        <v>100</v>
      </c>
      <c r="F189" s="2">
        <v>40</v>
      </c>
      <c r="G189" s="2" t="s">
        <v>2057</v>
      </c>
    </row>
    <row r="190" spans="1:7">
      <c r="A190" s="2" t="s">
        <v>770</v>
      </c>
      <c r="B190" s="2" t="s">
        <v>24</v>
      </c>
      <c r="C190" s="2" t="s">
        <v>669</v>
      </c>
      <c r="D190" s="2" t="s">
        <v>102</v>
      </c>
      <c r="E190" s="2">
        <v>100</v>
      </c>
      <c r="F190" s="2">
        <v>15</v>
      </c>
      <c r="G190" s="2" t="s">
        <v>2058</v>
      </c>
    </row>
    <row r="191" spans="1:7">
      <c r="A191" s="2" t="s">
        <v>1127</v>
      </c>
      <c r="B191" s="2" t="s">
        <v>19</v>
      </c>
      <c r="C191" s="2" t="s">
        <v>669</v>
      </c>
      <c r="D191" s="2">
        <v>60</v>
      </c>
      <c r="E191" s="2">
        <v>100</v>
      </c>
      <c r="F191" s="2">
        <v>25</v>
      </c>
      <c r="G191" s="2" t="s">
        <v>692</v>
      </c>
    </row>
    <row r="192" spans="1:7">
      <c r="A192" s="2" t="s">
        <v>771</v>
      </c>
      <c r="B192" s="2" t="s">
        <v>24</v>
      </c>
      <c r="C192" s="2" t="s">
        <v>664</v>
      </c>
      <c r="D192" s="2" t="s">
        <v>102</v>
      </c>
      <c r="E192" s="2" t="s">
        <v>102</v>
      </c>
      <c r="F192" s="2">
        <v>40</v>
      </c>
      <c r="G192" s="2" t="s">
        <v>2059</v>
      </c>
    </row>
    <row r="193" spans="1:7">
      <c r="A193" s="2" t="s">
        <v>1079</v>
      </c>
      <c r="B193" s="2" t="s">
        <v>24</v>
      </c>
      <c r="C193" s="2" t="s">
        <v>669</v>
      </c>
      <c r="D193" s="2" t="s">
        <v>102</v>
      </c>
      <c r="E193" s="2">
        <v>100</v>
      </c>
      <c r="F193" s="2">
        <v>20</v>
      </c>
      <c r="G193" s="2" t="s">
        <v>2060</v>
      </c>
    </row>
    <row r="194" spans="1:7">
      <c r="A194" s="2" t="s">
        <v>758</v>
      </c>
      <c r="B194" s="2" t="s">
        <v>14</v>
      </c>
      <c r="C194" s="2" t="s">
        <v>669</v>
      </c>
      <c r="D194" s="2">
        <v>20</v>
      </c>
      <c r="E194" s="2">
        <v>95</v>
      </c>
      <c r="F194" s="2">
        <v>20</v>
      </c>
      <c r="G194" s="2" t="s">
        <v>2061</v>
      </c>
    </row>
    <row r="195" spans="1:7">
      <c r="A195" s="2" t="s">
        <v>790</v>
      </c>
      <c r="B195" s="2" t="s">
        <v>9</v>
      </c>
      <c r="C195" s="2" t="s">
        <v>661</v>
      </c>
      <c r="D195" s="2">
        <v>100</v>
      </c>
      <c r="E195" s="2">
        <v>100</v>
      </c>
      <c r="F195" s="2">
        <v>10</v>
      </c>
      <c r="G195" s="2" t="s">
        <v>2062</v>
      </c>
    </row>
    <row r="196" spans="1:7">
      <c r="A196" s="2" t="s">
        <v>171</v>
      </c>
      <c r="B196" s="2" t="s">
        <v>21</v>
      </c>
      <c r="C196" s="2" t="s">
        <v>661</v>
      </c>
      <c r="D196" s="2">
        <v>75</v>
      </c>
      <c r="E196" s="2">
        <v>100</v>
      </c>
      <c r="F196" s="2">
        <v>10</v>
      </c>
      <c r="G196" s="2" t="s">
        <v>662</v>
      </c>
    </row>
    <row r="197" spans="1:7">
      <c r="A197" s="2" t="s">
        <v>795</v>
      </c>
      <c r="B197" s="2" t="s">
        <v>24</v>
      </c>
      <c r="C197" s="2" t="s">
        <v>664</v>
      </c>
      <c r="D197" s="2" t="s">
        <v>102</v>
      </c>
      <c r="E197" s="2" t="s">
        <v>102</v>
      </c>
      <c r="F197" s="2">
        <v>5</v>
      </c>
      <c r="G197" s="2" t="s">
        <v>2063</v>
      </c>
    </row>
    <row r="198" spans="1:7">
      <c r="A198" s="2" t="s">
        <v>172</v>
      </c>
      <c r="B198" s="2" t="s">
        <v>24</v>
      </c>
      <c r="C198" s="2" t="s">
        <v>661</v>
      </c>
      <c r="D198" s="2" t="s">
        <v>102</v>
      </c>
      <c r="E198" s="2">
        <v>100</v>
      </c>
      <c r="F198" s="2">
        <v>15</v>
      </c>
      <c r="G198" s="2" t="s">
        <v>2064</v>
      </c>
    </row>
    <row r="199" spans="1:7">
      <c r="A199" s="2" t="s">
        <v>769</v>
      </c>
      <c r="B199" s="2" t="s">
        <v>23</v>
      </c>
      <c r="C199" s="2" t="s">
        <v>661</v>
      </c>
      <c r="D199" s="2">
        <v>55</v>
      </c>
      <c r="E199" s="2">
        <v>95</v>
      </c>
      <c r="F199" s="2">
        <v>15</v>
      </c>
      <c r="G199" s="2" t="s">
        <v>738</v>
      </c>
    </row>
    <row r="200" spans="1:7">
      <c r="A200" s="2" t="s">
        <v>761</v>
      </c>
      <c r="B200" s="2" t="s">
        <v>26</v>
      </c>
      <c r="C200" s="2" t="s">
        <v>669</v>
      </c>
      <c r="D200" s="2">
        <v>100</v>
      </c>
      <c r="E200" s="2">
        <v>75</v>
      </c>
      <c r="F200" s="2">
        <v>15</v>
      </c>
      <c r="G200" s="2" t="s">
        <v>2051</v>
      </c>
    </row>
    <row r="201" spans="1:7">
      <c r="A201" s="2" t="s">
        <v>1204</v>
      </c>
      <c r="B201" s="2" t="s">
        <v>24</v>
      </c>
      <c r="C201" s="2" t="s">
        <v>664</v>
      </c>
      <c r="D201" s="2" t="s">
        <v>102</v>
      </c>
      <c r="E201" s="2" t="s">
        <v>102</v>
      </c>
      <c r="F201" s="2">
        <v>5</v>
      </c>
      <c r="G201" s="2" t="s">
        <v>2065</v>
      </c>
    </row>
    <row r="202" spans="1:7">
      <c r="A202" s="2" t="s">
        <v>1223</v>
      </c>
      <c r="B202" s="2" t="s">
        <v>18</v>
      </c>
      <c r="C202" s="2" t="s">
        <v>669</v>
      </c>
      <c r="D202" s="2">
        <v>40</v>
      </c>
      <c r="E202" s="2">
        <v>100</v>
      </c>
      <c r="F202" s="2">
        <v>30</v>
      </c>
      <c r="G202" s="2" t="s">
        <v>723</v>
      </c>
    </row>
    <row r="203" spans="1:7">
      <c r="A203" s="2" t="s">
        <v>789</v>
      </c>
      <c r="B203" s="2" t="s">
        <v>22</v>
      </c>
      <c r="C203" s="2" t="s">
        <v>669</v>
      </c>
      <c r="D203" s="2" t="s">
        <v>102</v>
      </c>
      <c r="E203" s="2">
        <v>100</v>
      </c>
      <c r="F203" s="2">
        <v>30</v>
      </c>
      <c r="G203" s="2" t="s">
        <v>2066</v>
      </c>
    </row>
    <row r="204" spans="1:7">
      <c r="A204" s="2" t="s">
        <v>787</v>
      </c>
      <c r="B204" s="2" t="s">
        <v>24</v>
      </c>
      <c r="C204" s="2" t="s">
        <v>664</v>
      </c>
      <c r="D204" s="2" t="s">
        <v>102</v>
      </c>
      <c r="E204" s="2" t="s">
        <v>102</v>
      </c>
      <c r="F204" s="2">
        <v>5</v>
      </c>
      <c r="G204" s="2" t="s">
        <v>2067</v>
      </c>
    </row>
    <row r="205" spans="1:7">
      <c r="A205" s="2" t="s">
        <v>797</v>
      </c>
      <c r="B205" s="2" t="s">
        <v>14</v>
      </c>
      <c r="C205" s="2" t="s">
        <v>669</v>
      </c>
      <c r="D205" s="2">
        <v>120</v>
      </c>
      <c r="E205" s="2">
        <v>85</v>
      </c>
      <c r="F205" s="2">
        <v>10</v>
      </c>
      <c r="G205" s="2"/>
    </row>
    <row r="206" spans="1:7">
      <c r="A206" s="2" t="s">
        <v>783</v>
      </c>
      <c r="B206" s="2" t="s">
        <v>26</v>
      </c>
      <c r="C206" s="2" t="s">
        <v>669</v>
      </c>
      <c r="D206" s="2">
        <v>50</v>
      </c>
      <c r="E206" s="2">
        <v>95</v>
      </c>
      <c r="F206" s="2">
        <v>35</v>
      </c>
      <c r="G206" s="2" t="s">
        <v>2068</v>
      </c>
    </row>
    <row r="207" spans="1:7">
      <c r="A207" s="2" t="s">
        <v>1427</v>
      </c>
      <c r="B207" s="2" t="s">
        <v>24</v>
      </c>
      <c r="C207" s="2" t="s">
        <v>664</v>
      </c>
      <c r="D207" s="2" t="s">
        <v>102</v>
      </c>
      <c r="E207" s="2" t="s">
        <v>102</v>
      </c>
      <c r="F207" s="2">
        <v>10</v>
      </c>
      <c r="G207" s="2" t="s">
        <v>2069</v>
      </c>
    </row>
    <row r="208" spans="1:7">
      <c r="A208" s="2" t="s">
        <v>792</v>
      </c>
      <c r="B208" s="2" t="s">
        <v>24</v>
      </c>
      <c r="C208" s="2" t="s">
        <v>664</v>
      </c>
      <c r="D208" s="2" t="s">
        <v>102</v>
      </c>
      <c r="E208" s="2" t="s">
        <v>102</v>
      </c>
      <c r="F208" s="2">
        <v>5</v>
      </c>
      <c r="G208" s="2" t="s">
        <v>2070</v>
      </c>
    </row>
    <row r="209" spans="1:7">
      <c r="A209" s="2" t="s">
        <v>772</v>
      </c>
      <c r="B209" s="2" t="s">
        <v>9</v>
      </c>
      <c r="C209" s="2" t="s">
        <v>661</v>
      </c>
      <c r="D209" s="2" t="s">
        <v>102</v>
      </c>
      <c r="E209" s="2">
        <v>100</v>
      </c>
      <c r="F209" s="2">
        <v>20</v>
      </c>
      <c r="G209" s="2" t="s">
        <v>2071</v>
      </c>
    </row>
    <row r="210" spans="1:7">
      <c r="A210" s="2" t="s">
        <v>784</v>
      </c>
      <c r="B210" s="2" t="s">
        <v>894</v>
      </c>
      <c r="C210" s="2" t="s">
        <v>664</v>
      </c>
      <c r="D210" s="2" t="s">
        <v>102</v>
      </c>
      <c r="E210" s="2" t="s">
        <v>102</v>
      </c>
      <c r="F210" s="2">
        <v>5</v>
      </c>
      <c r="G210" s="2" t="s">
        <v>2072</v>
      </c>
    </row>
    <row r="211" spans="1:7">
      <c r="A211" s="2" t="s">
        <v>1164</v>
      </c>
      <c r="B211" s="2" t="s">
        <v>24</v>
      </c>
      <c r="C211" s="2" t="s">
        <v>664</v>
      </c>
      <c r="D211" s="2" t="s">
        <v>102</v>
      </c>
      <c r="E211" s="2" t="s">
        <v>102</v>
      </c>
      <c r="F211" s="2">
        <v>5</v>
      </c>
      <c r="G211" s="2" t="s">
        <v>2072</v>
      </c>
    </row>
    <row r="212" spans="1:7">
      <c r="A212" s="2" t="s">
        <v>755</v>
      </c>
      <c r="B212" s="2" t="s">
        <v>22</v>
      </c>
      <c r="C212" s="2" t="s">
        <v>661</v>
      </c>
      <c r="D212" s="2">
        <v>20</v>
      </c>
      <c r="E212" s="2">
        <v>100</v>
      </c>
      <c r="F212" s="2">
        <v>10</v>
      </c>
      <c r="G212" s="2" t="s">
        <v>695</v>
      </c>
    </row>
    <row r="213" spans="1:7">
      <c r="A213" s="2" t="s">
        <v>1217</v>
      </c>
      <c r="B213" s="2" t="s">
        <v>10</v>
      </c>
      <c r="C213" s="2" t="s">
        <v>661</v>
      </c>
      <c r="D213" s="2" t="s">
        <v>102</v>
      </c>
      <c r="E213" s="2">
        <v>100</v>
      </c>
      <c r="F213" s="2">
        <v>15</v>
      </c>
      <c r="G213" s="2" t="s">
        <v>2073</v>
      </c>
    </row>
    <row r="214" spans="1:7">
      <c r="A214" s="2" t="s">
        <v>1225</v>
      </c>
      <c r="B214" s="2" t="s">
        <v>27</v>
      </c>
      <c r="C214" s="2" t="s">
        <v>661</v>
      </c>
      <c r="D214" s="2">
        <v>65</v>
      </c>
      <c r="E214" s="2">
        <v>85</v>
      </c>
      <c r="F214" s="2">
        <v>10</v>
      </c>
      <c r="G214" s="2" t="s">
        <v>2074</v>
      </c>
    </row>
    <row r="215" spans="1:7">
      <c r="A215" s="2" t="s">
        <v>764</v>
      </c>
      <c r="B215" s="2" t="s">
        <v>16</v>
      </c>
      <c r="C215" s="2" t="s">
        <v>669</v>
      </c>
      <c r="D215" s="2">
        <v>120</v>
      </c>
      <c r="E215" s="2">
        <v>100</v>
      </c>
      <c r="F215" s="2">
        <v>10</v>
      </c>
      <c r="G215" s="2" t="s">
        <v>719</v>
      </c>
    </row>
    <row r="216" spans="1:7">
      <c r="A216" s="2" t="s">
        <v>794</v>
      </c>
      <c r="B216" s="2" t="s">
        <v>24</v>
      </c>
      <c r="C216" s="2" t="s">
        <v>664</v>
      </c>
      <c r="D216" s="2" t="s">
        <v>102</v>
      </c>
      <c r="E216" s="2" t="s">
        <v>102</v>
      </c>
      <c r="F216" s="2">
        <v>20</v>
      </c>
      <c r="G216" s="2" t="s">
        <v>2075</v>
      </c>
    </row>
    <row r="217" spans="1:7">
      <c r="A217" s="2" t="s">
        <v>786</v>
      </c>
      <c r="B217" s="2" t="s">
        <v>24</v>
      </c>
      <c r="C217" s="2" t="s">
        <v>664</v>
      </c>
      <c r="D217" s="2" t="s">
        <v>102</v>
      </c>
      <c r="E217" s="2" t="s">
        <v>102</v>
      </c>
      <c r="F217" s="2">
        <v>5</v>
      </c>
      <c r="G217" s="2" t="s">
        <v>2076</v>
      </c>
    </row>
    <row r="218" spans="1:7">
      <c r="A218" s="2" t="s">
        <v>1228</v>
      </c>
      <c r="B218" s="2" t="s">
        <v>23</v>
      </c>
      <c r="C218" s="2" t="s">
        <v>661</v>
      </c>
      <c r="D218" s="2">
        <v>40</v>
      </c>
      <c r="E218" s="2">
        <v>100</v>
      </c>
      <c r="F218" s="2">
        <v>25</v>
      </c>
      <c r="G218" s="2" t="s">
        <v>674</v>
      </c>
    </row>
    <row r="219" spans="1:7">
      <c r="A219" s="2" t="s">
        <v>780</v>
      </c>
      <c r="B219" s="2" t="s">
        <v>24</v>
      </c>
      <c r="C219" s="2" t="s">
        <v>669</v>
      </c>
      <c r="D219" s="2" t="s">
        <v>102</v>
      </c>
      <c r="E219" s="2">
        <v>90</v>
      </c>
      <c r="F219" s="2">
        <v>15</v>
      </c>
      <c r="G219" s="2" t="s">
        <v>2077</v>
      </c>
    </row>
    <row r="220" spans="1:7">
      <c r="A220" s="2" t="s">
        <v>1078</v>
      </c>
      <c r="B220" s="2" t="s">
        <v>24</v>
      </c>
      <c r="C220" s="2" t="s">
        <v>664</v>
      </c>
      <c r="D220" s="2" t="s">
        <v>102</v>
      </c>
      <c r="E220" s="2" t="s">
        <v>102</v>
      </c>
      <c r="F220" s="2">
        <v>10</v>
      </c>
      <c r="G220" s="2" t="s">
        <v>2078</v>
      </c>
    </row>
    <row r="221" spans="1:7">
      <c r="A221" s="2" t="s">
        <v>785</v>
      </c>
      <c r="B221" s="2" t="s">
        <v>24</v>
      </c>
      <c r="C221" s="2" t="s">
        <v>664</v>
      </c>
      <c r="D221" s="2" t="s">
        <v>102</v>
      </c>
      <c r="E221" s="2" t="s">
        <v>102</v>
      </c>
      <c r="F221" s="2">
        <v>10</v>
      </c>
      <c r="G221" s="2" t="s">
        <v>2079</v>
      </c>
    </row>
    <row r="222" spans="1:7">
      <c r="A222" s="2" t="s">
        <v>773</v>
      </c>
      <c r="B222" s="2" t="s">
        <v>15</v>
      </c>
      <c r="C222" s="2" t="s">
        <v>669</v>
      </c>
      <c r="D222" s="2">
        <v>40</v>
      </c>
      <c r="E222" s="2">
        <v>100</v>
      </c>
      <c r="F222" s="2">
        <v>20</v>
      </c>
      <c r="G222" s="2" t="s">
        <v>2080</v>
      </c>
    </row>
    <row r="223" spans="1:7">
      <c r="A223" s="2" t="s">
        <v>766</v>
      </c>
      <c r="B223" s="2" t="s">
        <v>27</v>
      </c>
      <c r="C223" s="2" t="s">
        <v>664</v>
      </c>
      <c r="D223" s="2" t="s">
        <v>102</v>
      </c>
      <c r="E223" s="2" t="s">
        <v>102</v>
      </c>
      <c r="F223" s="2">
        <v>5</v>
      </c>
      <c r="G223" s="2" t="s">
        <v>2081</v>
      </c>
    </row>
    <row r="224" spans="1:7">
      <c r="A224" s="2" t="s">
        <v>173</v>
      </c>
      <c r="B224" s="2" t="s">
        <v>24</v>
      </c>
      <c r="C224" s="2" t="s">
        <v>669</v>
      </c>
      <c r="D224" s="2">
        <v>20</v>
      </c>
      <c r="E224" s="2">
        <v>100</v>
      </c>
      <c r="F224" s="2">
        <v>40</v>
      </c>
      <c r="G224" s="2" t="s">
        <v>2082</v>
      </c>
    </row>
    <row r="225" spans="1:7">
      <c r="A225" s="2" t="s">
        <v>1080</v>
      </c>
      <c r="B225" s="2" t="s">
        <v>24</v>
      </c>
      <c r="C225" s="2" t="s">
        <v>669</v>
      </c>
      <c r="D225" s="2" t="s">
        <v>102</v>
      </c>
      <c r="E225" s="2">
        <v>100</v>
      </c>
      <c r="F225" s="2">
        <v>20</v>
      </c>
      <c r="G225" s="2" t="s">
        <v>2083</v>
      </c>
    </row>
    <row r="226" spans="1:7">
      <c r="A226" s="2" t="s">
        <v>775</v>
      </c>
      <c r="B226" s="2" t="s">
        <v>18</v>
      </c>
      <c r="C226" s="2" t="s">
        <v>669</v>
      </c>
      <c r="D226" s="2" t="s">
        <v>102</v>
      </c>
      <c r="E226" s="2">
        <v>100</v>
      </c>
      <c r="F226" s="2">
        <v>15</v>
      </c>
      <c r="G226" s="2" t="s">
        <v>2058</v>
      </c>
    </row>
    <row r="227" spans="1:7">
      <c r="A227" s="2" t="s">
        <v>760</v>
      </c>
      <c r="B227" s="2" t="s">
        <v>18</v>
      </c>
      <c r="C227" s="2" t="s">
        <v>669</v>
      </c>
      <c r="D227" s="2">
        <v>40</v>
      </c>
      <c r="E227" s="2">
        <v>100</v>
      </c>
      <c r="F227" s="2">
        <v>15</v>
      </c>
      <c r="G227" s="2" t="s">
        <v>2051</v>
      </c>
    </row>
    <row r="228" spans="1:7">
      <c r="A228" s="2" t="s">
        <v>768</v>
      </c>
      <c r="B228" s="2" t="s">
        <v>25</v>
      </c>
      <c r="C228" s="2" t="s">
        <v>669</v>
      </c>
      <c r="D228" s="2">
        <v>30</v>
      </c>
      <c r="E228" s="2">
        <v>90</v>
      </c>
      <c r="F228" s="2">
        <v>20</v>
      </c>
      <c r="G228" s="2" t="s">
        <v>2084</v>
      </c>
    </row>
    <row r="229" spans="1:7">
      <c r="A229" s="2" t="s">
        <v>1448</v>
      </c>
      <c r="B229" s="2" t="s">
        <v>19</v>
      </c>
      <c r="C229" s="2" t="s">
        <v>669</v>
      </c>
      <c r="D229" s="2">
        <v>100</v>
      </c>
      <c r="E229" s="2">
        <v>95</v>
      </c>
      <c r="F229" s="2">
        <v>5</v>
      </c>
      <c r="G229" s="2" t="s">
        <v>692</v>
      </c>
    </row>
    <row r="230" spans="1:7">
      <c r="A230" s="2" t="s">
        <v>759</v>
      </c>
      <c r="B230" s="2" t="s">
        <v>24</v>
      </c>
      <c r="C230" s="2" t="s">
        <v>664</v>
      </c>
      <c r="D230" s="2" t="s">
        <v>102</v>
      </c>
      <c r="E230" s="2" t="s">
        <v>102</v>
      </c>
      <c r="F230" s="2">
        <v>25</v>
      </c>
      <c r="G230" s="2" t="s">
        <v>2085</v>
      </c>
    </row>
    <row r="231" spans="1:7">
      <c r="A231" s="2" t="s">
        <v>765</v>
      </c>
      <c r="B231" s="2" t="s">
        <v>25</v>
      </c>
      <c r="C231" s="2" t="s">
        <v>664</v>
      </c>
      <c r="D231" s="2" t="s">
        <v>102</v>
      </c>
      <c r="E231" s="2" t="s">
        <v>102</v>
      </c>
      <c r="F231" s="2">
        <v>10</v>
      </c>
      <c r="G231" s="2" t="s">
        <v>2086</v>
      </c>
    </row>
    <row r="232" spans="1:7">
      <c r="A232" s="2" t="s">
        <v>1092</v>
      </c>
      <c r="B232" s="2" t="s">
        <v>24</v>
      </c>
      <c r="C232" s="2" t="s">
        <v>664</v>
      </c>
      <c r="D232" s="2" t="s">
        <v>102</v>
      </c>
      <c r="E232" s="2">
        <v>100</v>
      </c>
      <c r="F232" s="2">
        <v>10</v>
      </c>
      <c r="G232" s="2" t="s">
        <v>2050</v>
      </c>
    </row>
    <row r="233" spans="1:7">
      <c r="A233" s="2" t="s">
        <v>174</v>
      </c>
      <c r="B233" s="2" t="s">
        <v>10</v>
      </c>
      <c r="C233" s="2" t="s">
        <v>661</v>
      </c>
      <c r="D233" s="2">
        <v>80</v>
      </c>
      <c r="E233" s="2">
        <v>100</v>
      </c>
      <c r="F233" s="2">
        <v>15</v>
      </c>
      <c r="G233" s="2" t="s">
        <v>663</v>
      </c>
    </row>
    <row r="234" spans="1:7">
      <c r="A234" s="2" t="s">
        <v>1413</v>
      </c>
      <c r="B234" s="2" t="s">
        <v>24</v>
      </c>
      <c r="C234" s="2" t="s">
        <v>664</v>
      </c>
      <c r="D234" s="2" t="s">
        <v>102</v>
      </c>
      <c r="E234" s="2" t="s">
        <v>102</v>
      </c>
      <c r="F234" s="2">
        <v>1</v>
      </c>
      <c r="G234" s="2" t="s">
        <v>2087</v>
      </c>
    </row>
    <row r="235" spans="1:7">
      <c r="A235" s="2" t="s">
        <v>757</v>
      </c>
      <c r="B235" s="2" t="s">
        <v>24</v>
      </c>
      <c r="C235" s="2" t="s">
        <v>664</v>
      </c>
      <c r="D235" s="2" t="s">
        <v>102</v>
      </c>
      <c r="E235" s="2" t="s">
        <v>102</v>
      </c>
      <c r="F235" s="2">
        <v>10</v>
      </c>
      <c r="G235" s="2" t="s">
        <v>2088</v>
      </c>
    </row>
    <row r="236" spans="1:7">
      <c r="A236" s="2" t="s">
        <v>1081</v>
      </c>
      <c r="B236" s="2" t="s">
        <v>11</v>
      </c>
      <c r="C236" s="2" t="s">
        <v>661</v>
      </c>
      <c r="D236" s="2">
        <v>90</v>
      </c>
      <c r="E236" s="2">
        <v>100</v>
      </c>
      <c r="F236" s="2">
        <v>10</v>
      </c>
      <c r="G236" s="2" t="s">
        <v>733</v>
      </c>
    </row>
    <row r="237" spans="1:7">
      <c r="A237" s="2" t="s">
        <v>753</v>
      </c>
      <c r="B237" s="2" t="s">
        <v>24</v>
      </c>
      <c r="C237" s="2" t="s">
        <v>661</v>
      </c>
      <c r="D237" s="2">
        <v>40</v>
      </c>
      <c r="E237" s="2">
        <v>100</v>
      </c>
      <c r="F237" s="2">
        <v>15</v>
      </c>
      <c r="G237" s="2" t="s">
        <v>2089</v>
      </c>
    </row>
    <row r="238" spans="1:7">
      <c r="A238" s="2" t="s">
        <v>1203</v>
      </c>
      <c r="B238" s="2" t="s">
        <v>17</v>
      </c>
      <c r="C238" s="2" t="s">
        <v>669</v>
      </c>
      <c r="D238" s="2">
        <v>65</v>
      </c>
      <c r="E238" s="2">
        <v>100</v>
      </c>
      <c r="F238" s="2">
        <v>20</v>
      </c>
      <c r="G238" s="2" t="s">
        <v>675</v>
      </c>
    </row>
    <row r="239" spans="1:7">
      <c r="A239" s="2" t="s">
        <v>1271</v>
      </c>
      <c r="B239" s="2" t="s">
        <v>14</v>
      </c>
      <c r="C239" s="2" t="s">
        <v>664</v>
      </c>
      <c r="D239" s="2" t="s">
        <v>102</v>
      </c>
      <c r="E239" s="2" t="s">
        <v>102</v>
      </c>
      <c r="F239" s="2">
        <v>10</v>
      </c>
      <c r="G239" s="2" t="s">
        <v>2067</v>
      </c>
    </row>
    <row r="240" spans="1:7">
      <c r="A240" s="2" t="s">
        <v>1215</v>
      </c>
      <c r="B240" s="2" t="s">
        <v>22</v>
      </c>
      <c r="C240" s="2" t="s">
        <v>664</v>
      </c>
      <c r="D240" s="2" t="s">
        <v>102</v>
      </c>
      <c r="E240" s="2" t="s">
        <v>102</v>
      </c>
      <c r="F240" s="2">
        <v>20</v>
      </c>
      <c r="G240" s="2" t="s">
        <v>2090</v>
      </c>
    </row>
    <row r="241" spans="1:7">
      <c r="A241" s="2" t="s">
        <v>778</v>
      </c>
      <c r="B241" s="2" t="s">
        <v>10</v>
      </c>
      <c r="C241" s="2" t="s">
        <v>664</v>
      </c>
      <c r="D241" s="2" t="s">
        <v>102</v>
      </c>
      <c r="E241" s="2">
        <v>100</v>
      </c>
      <c r="F241" s="2">
        <v>10</v>
      </c>
      <c r="G241" s="2" t="s">
        <v>2091</v>
      </c>
    </row>
    <row r="242" spans="1:7">
      <c r="A242" s="2" t="s">
        <v>1125</v>
      </c>
      <c r="B242" s="2" t="s">
        <v>26</v>
      </c>
      <c r="C242" s="2" t="s">
        <v>669</v>
      </c>
      <c r="D242" s="2">
        <v>70</v>
      </c>
      <c r="E242" s="2">
        <v>90</v>
      </c>
      <c r="F242" s="2">
        <v>25</v>
      </c>
      <c r="G242" s="2" t="s">
        <v>2092</v>
      </c>
    </row>
    <row r="243" spans="1:7">
      <c r="A243" s="2" t="s">
        <v>752</v>
      </c>
      <c r="B243" s="2" t="s">
        <v>19</v>
      </c>
      <c r="C243" s="2" t="s">
        <v>664</v>
      </c>
      <c r="D243" s="2" t="s">
        <v>102</v>
      </c>
      <c r="E243" s="2" t="s">
        <v>102</v>
      </c>
      <c r="F243" s="2">
        <v>5</v>
      </c>
      <c r="G243" s="2" t="s">
        <v>2093</v>
      </c>
    </row>
    <row r="244" spans="1:7">
      <c r="A244" s="2" t="s">
        <v>756</v>
      </c>
      <c r="B244" s="2" t="s">
        <v>24</v>
      </c>
      <c r="C244" s="2" t="s">
        <v>664</v>
      </c>
      <c r="D244" s="2" t="s">
        <v>102</v>
      </c>
      <c r="E244" s="2">
        <v>90</v>
      </c>
      <c r="F244" s="2">
        <v>15</v>
      </c>
      <c r="G244" s="2" t="s">
        <v>2094</v>
      </c>
    </row>
    <row r="245" spans="1:7">
      <c r="A245" s="2" t="s">
        <v>782</v>
      </c>
      <c r="B245" s="2" t="s">
        <v>894</v>
      </c>
      <c r="C245" s="2" t="s">
        <v>664</v>
      </c>
      <c r="D245" s="2" t="s">
        <v>102</v>
      </c>
      <c r="E245" s="2">
        <v>75</v>
      </c>
      <c r="F245" s="2">
        <v>10</v>
      </c>
      <c r="G245" s="2" t="s">
        <v>678</v>
      </c>
    </row>
    <row r="246" spans="1:7">
      <c r="A246" s="2" t="s">
        <v>1076</v>
      </c>
      <c r="B246" s="2" t="s">
        <v>24</v>
      </c>
      <c r="C246" s="2" t="s">
        <v>664</v>
      </c>
      <c r="D246" s="2" t="s">
        <v>102</v>
      </c>
      <c r="E246" s="2" t="s">
        <v>102</v>
      </c>
      <c r="F246" s="2">
        <v>20</v>
      </c>
      <c r="G246" s="2" t="s">
        <v>2095</v>
      </c>
    </row>
    <row r="247" spans="1:7">
      <c r="A247" s="2" t="s">
        <v>750</v>
      </c>
      <c r="B247" s="2" t="s">
        <v>21</v>
      </c>
      <c r="C247" s="2" t="s">
        <v>664</v>
      </c>
      <c r="D247" s="2" t="s">
        <v>102</v>
      </c>
      <c r="E247" s="2" t="s">
        <v>102</v>
      </c>
      <c r="F247" s="2">
        <v>5</v>
      </c>
      <c r="G247" s="2" t="s">
        <v>2072</v>
      </c>
    </row>
    <row r="248" spans="1:7">
      <c r="A248" s="2" t="s">
        <v>1117</v>
      </c>
      <c r="B248" s="2" t="s">
        <v>15</v>
      </c>
      <c r="C248" s="2" t="s">
        <v>669</v>
      </c>
      <c r="D248" s="2">
        <v>40</v>
      </c>
      <c r="E248" s="2">
        <v>100</v>
      </c>
      <c r="F248" s="2">
        <v>10</v>
      </c>
      <c r="G248" s="2" t="s">
        <v>2096</v>
      </c>
    </row>
    <row r="249" spans="1:7">
      <c r="A249" s="2" t="s">
        <v>1418</v>
      </c>
      <c r="B249" s="2" t="s">
        <v>18</v>
      </c>
      <c r="C249" s="2" t="s">
        <v>669</v>
      </c>
      <c r="D249" s="2">
        <v>10</v>
      </c>
      <c r="E249" s="2">
        <v>90</v>
      </c>
      <c r="F249" s="2">
        <v>10</v>
      </c>
      <c r="G249" s="2" t="s">
        <v>2097</v>
      </c>
    </row>
    <row r="250" spans="1:7">
      <c r="A250" s="2" t="s">
        <v>796</v>
      </c>
      <c r="B250" s="2" t="s">
        <v>16</v>
      </c>
      <c r="C250" s="2" t="s">
        <v>661</v>
      </c>
      <c r="D250" s="2">
        <v>40</v>
      </c>
      <c r="E250" s="2">
        <v>100</v>
      </c>
      <c r="F250" s="2">
        <v>20</v>
      </c>
      <c r="G250" s="2" t="s">
        <v>2098</v>
      </c>
    </row>
    <row r="251" spans="1:7">
      <c r="A251" s="2" t="s">
        <v>1185</v>
      </c>
      <c r="B251" s="2" t="s">
        <v>18</v>
      </c>
      <c r="C251" s="2" t="s">
        <v>669</v>
      </c>
      <c r="D251" s="2">
        <v>70</v>
      </c>
      <c r="E251" s="2" t="s">
        <v>102</v>
      </c>
      <c r="F251" s="2">
        <v>10</v>
      </c>
      <c r="G251" s="2" t="s">
        <v>2099</v>
      </c>
    </row>
    <row r="252" spans="1:7">
      <c r="A252" s="2" t="s">
        <v>767</v>
      </c>
      <c r="B252" s="2" t="s">
        <v>27</v>
      </c>
      <c r="C252" s="2" t="s">
        <v>661</v>
      </c>
      <c r="D252" s="2">
        <v>35</v>
      </c>
      <c r="E252" s="2">
        <v>85</v>
      </c>
      <c r="F252" s="2">
        <v>15</v>
      </c>
      <c r="G252" s="2" t="s">
        <v>672</v>
      </c>
    </row>
    <row r="253" spans="1:7">
      <c r="A253" s="2" t="s">
        <v>1207</v>
      </c>
      <c r="B253" s="2" t="s">
        <v>17</v>
      </c>
      <c r="C253" s="2" t="s">
        <v>661</v>
      </c>
      <c r="D253" s="2">
        <v>120</v>
      </c>
      <c r="E253" s="2">
        <v>50</v>
      </c>
      <c r="F253" s="2">
        <v>5</v>
      </c>
      <c r="G253" s="2" t="s">
        <v>698</v>
      </c>
    </row>
    <row r="254" spans="1:7">
      <c r="A254" s="2" t="s">
        <v>1096</v>
      </c>
      <c r="B254" s="2" t="s">
        <v>20</v>
      </c>
      <c r="C254" s="2" t="s">
        <v>669</v>
      </c>
      <c r="D254" s="2">
        <v>60</v>
      </c>
      <c r="E254" s="2" t="s">
        <v>102</v>
      </c>
      <c r="F254" s="2">
        <v>20</v>
      </c>
      <c r="G254" s="2" t="s">
        <v>743</v>
      </c>
    </row>
    <row r="255" spans="1:7">
      <c r="A255" s="2" t="s">
        <v>1118</v>
      </c>
      <c r="B255" s="2" t="s">
        <v>20</v>
      </c>
      <c r="C255" s="2" t="s">
        <v>661</v>
      </c>
      <c r="D255" s="2">
        <v>55</v>
      </c>
      <c r="E255" s="2">
        <v>95</v>
      </c>
      <c r="F255" s="2">
        <v>25</v>
      </c>
      <c r="G255" s="2" t="s">
        <v>683</v>
      </c>
    </row>
    <row r="256" spans="1:7">
      <c r="A256" s="2" t="s">
        <v>1546</v>
      </c>
      <c r="B256" s="2" t="s">
        <v>18</v>
      </c>
      <c r="C256" s="2" t="s">
        <v>669</v>
      </c>
      <c r="D256" s="2">
        <v>15</v>
      </c>
      <c r="E256" s="2">
        <v>100</v>
      </c>
      <c r="F256" s="2">
        <v>20</v>
      </c>
      <c r="G256" s="2" t="s">
        <v>670</v>
      </c>
    </row>
    <row r="257" spans="1:7">
      <c r="A257" s="2" t="s">
        <v>1153</v>
      </c>
      <c r="B257" s="2" t="s">
        <v>21</v>
      </c>
      <c r="C257" s="2" t="s">
        <v>664</v>
      </c>
      <c r="D257" s="2" t="s">
        <v>102</v>
      </c>
      <c r="E257" s="2" t="s">
        <v>102</v>
      </c>
      <c r="F257" s="2">
        <v>5</v>
      </c>
      <c r="G257" s="2" t="s">
        <v>2100</v>
      </c>
    </row>
    <row r="258" spans="1:7">
      <c r="A258" s="2" t="s">
        <v>1166</v>
      </c>
      <c r="B258" s="2" t="s">
        <v>24</v>
      </c>
      <c r="C258" s="2" t="s">
        <v>664</v>
      </c>
      <c r="D258" s="2" t="s">
        <v>102</v>
      </c>
      <c r="E258" s="2" t="s">
        <v>102</v>
      </c>
      <c r="F258" s="2">
        <v>20</v>
      </c>
      <c r="G258" s="2" t="s">
        <v>2101</v>
      </c>
    </row>
    <row r="259" spans="1:7">
      <c r="A259" s="2" t="s">
        <v>1130</v>
      </c>
      <c r="B259" s="2" t="s">
        <v>10</v>
      </c>
      <c r="C259" s="2" t="s">
        <v>669</v>
      </c>
      <c r="D259" s="2">
        <v>30</v>
      </c>
      <c r="E259" s="2">
        <v>100</v>
      </c>
      <c r="F259" s="2">
        <v>15</v>
      </c>
      <c r="G259" s="2" t="s">
        <v>673</v>
      </c>
    </row>
    <row r="260" spans="1:7">
      <c r="A260" s="2" t="s">
        <v>910</v>
      </c>
      <c r="B260" s="2" t="s">
        <v>19</v>
      </c>
      <c r="C260" s="2" t="s">
        <v>661</v>
      </c>
      <c r="D260" s="2">
        <v>150</v>
      </c>
      <c r="E260" s="2">
        <v>90</v>
      </c>
      <c r="F260" s="2">
        <v>5</v>
      </c>
      <c r="G260" s="2" t="s">
        <v>704</v>
      </c>
    </row>
    <row r="261" spans="1:7">
      <c r="A261" s="2" t="s">
        <v>1222</v>
      </c>
      <c r="B261" s="2" t="s">
        <v>19</v>
      </c>
      <c r="C261" s="2" t="s">
        <v>669</v>
      </c>
      <c r="D261" s="2">
        <v>85</v>
      </c>
      <c r="E261" s="2">
        <v>90</v>
      </c>
      <c r="F261" s="2">
        <v>10</v>
      </c>
      <c r="G261" s="2" t="s">
        <v>2102</v>
      </c>
    </row>
    <row r="262" spans="1:7">
      <c r="A262" s="2" t="s">
        <v>911</v>
      </c>
      <c r="B262" s="2" t="s">
        <v>24</v>
      </c>
      <c r="C262" s="2" t="s">
        <v>664</v>
      </c>
      <c r="D262" s="2" t="s">
        <v>102</v>
      </c>
      <c r="E262" s="2" t="s">
        <v>102</v>
      </c>
      <c r="F262" s="2">
        <v>5</v>
      </c>
      <c r="G262" s="2" t="s">
        <v>2103</v>
      </c>
    </row>
    <row r="263" spans="1:7">
      <c r="A263" s="2" t="s">
        <v>175</v>
      </c>
      <c r="B263" s="2" t="s">
        <v>20</v>
      </c>
      <c r="C263" s="2" t="s">
        <v>669</v>
      </c>
      <c r="D263" s="2">
        <v>85</v>
      </c>
      <c r="E263" s="2">
        <v>85</v>
      </c>
      <c r="F263" s="2">
        <v>5</v>
      </c>
      <c r="G263" s="2" t="s">
        <v>2104</v>
      </c>
    </row>
    <row r="264" spans="1:7">
      <c r="A264" s="2" t="s">
        <v>1094</v>
      </c>
      <c r="B264" s="2" t="s">
        <v>18</v>
      </c>
      <c r="C264" s="2" t="s">
        <v>669</v>
      </c>
      <c r="D264" s="2">
        <v>75</v>
      </c>
      <c r="E264" s="2">
        <v>100</v>
      </c>
      <c r="F264" s="2">
        <v>15</v>
      </c>
      <c r="G264" s="2" t="s">
        <v>2105</v>
      </c>
    </row>
    <row r="265" spans="1:7">
      <c r="A265" s="2" t="s">
        <v>1175</v>
      </c>
      <c r="B265" s="2" t="s">
        <v>18</v>
      </c>
      <c r="C265" s="2" t="s">
        <v>664</v>
      </c>
      <c r="D265" s="2" t="s">
        <v>102</v>
      </c>
      <c r="E265" s="2" t="s">
        <v>102</v>
      </c>
      <c r="F265" s="2">
        <v>20</v>
      </c>
      <c r="G265" s="2" t="s">
        <v>2106</v>
      </c>
    </row>
    <row r="266" spans="1:7">
      <c r="A266" s="2" t="s">
        <v>1190</v>
      </c>
      <c r="B266" s="2" t="s">
        <v>21</v>
      </c>
      <c r="C266" s="2" t="s">
        <v>669</v>
      </c>
      <c r="D266" s="2">
        <v>25</v>
      </c>
      <c r="E266" s="2">
        <v>100</v>
      </c>
      <c r="F266" s="2">
        <v>30</v>
      </c>
      <c r="G266" s="2" t="s">
        <v>670</v>
      </c>
    </row>
    <row r="267" spans="1:7">
      <c r="A267" s="2" t="s">
        <v>912</v>
      </c>
      <c r="B267" s="2" t="s">
        <v>9</v>
      </c>
      <c r="C267" s="2" t="s">
        <v>664</v>
      </c>
      <c r="D267" s="2" t="s">
        <v>102</v>
      </c>
      <c r="E267" s="2" t="s">
        <v>102</v>
      </c>
      <c r="F267" s="2">
        <v>20</v>
      </c>
      <c r="G267" s="2" t="s">
        <v>2107</v>
      </c>
    </row>
    <row r="268" spans="1:7">
      <c r="A268" s="2" t="s">
        <v>1226</v>
      </c>
      <c r="B268" s="2" t="s">
        <v>24</v>
      </c>
      <c r="C268" s="2" t="s">
        <v>664</v>
      </c>
      <c r="D268" s="2" t="s">
        <v>102</v>
      </c>
      <c r="E268" s="2" t="s">
        <v>102</v>
      </c>
      <c r="F268" s="2">
        <v>20</v>
      </c>
      <c r="G268" s="2" t="s">
        <v>2108</v>
      </c>
    </row>
    <row r="269" spans="1:7">
      <c r="A269" s="2" t="s">
        <v>1140</v>
      </c>
      <c r="B269" s="2" t="s">
        <v>17</v>
      </c>
      <c r="C269" s="2" t="s">
        <v>664</v>
      </c>
      <c r="D269" s="2" t="s">
        <v>102</v>
      </c>
      <c r="E269" s="2" t="s">
        <v>102</v>
      </c>
      <c r="F269" s="2">
        <v>20</v>
      </c>
      <c r="G269" s="2" t="s">
        <v>2109</v>
      </c>
    </row>
    <row r="270" spans="1:7">
      <c r="A270" s="2" t="s">
        <v>1149</v>
      </c>
      <c r="B270" s="2" t="s">
        <v>9</v>
      </c>
      <c r="C270" s="2" t="s">
        <v>664</v>
      </c>
      <c r="D270" s="2" t="s">
        <v>102</v>
      </c>
      <c r="E270" s="2" t="s">
        <v>102</v>
      </c>
      <c r="F270" s="2">
        <v>20</v>
      </c>
      <c r="G270" s="2" t="s">
        <v>2110</v>
      </c>
    </row>
    <row r="271" spans="1:7">
      <c r="A271" s="2" t="s">
        <v>913</v>
      </c>
      <c r="B271" s="2" t="s">
        <v>24</v>
      </c>
      <c r="C271" s="2" t="s">
        <v>669</v>
      </c>
      <c r="D271" s="2">
        <v>60</v>
      </c>
      <c r="E271" s="2">
        <v>100</v>
      </c>
      <c r="F271" s="2">
        <v>40</v>
      </c>
      <c r="G271" s="2" t="s">
        <v>2111</v>
      </c>
    </row>
    <row r="272" spans="1:7">
      <c r="A272" s="2" t="s">
        <v>1143</v>
      </c>
      <c r="B272" s="2" t="s">
        <v>24</v>
      </c>
      <c r="C272" s="2" t="s">
        <v>669</v>
      </c>
      <c r="D272" s="2">
        <v>75</v>
      </c>
      <c r="E272" s="2">
        <v>95</v>
      </c>
      <c r="F272" s="2">
        <v>10</v>
      </c>
      <c r="G272" s="2" t="s">
        <v>2051</v>
      </c>
    </row>
    <row r="273" spans="1:7">
      <c r="A273" s="2" t="s">
        <v>914</v>
      </c>
      <c r="B273" s="2" t="s">
        <v>27</v>
      </c>
      <c r="C273" s="2" t="s">
        <v>669</v>
      </c>
      <c r="D273" s="2">
        <v>80</v>
      </c>
      <c r="E273" s="2">
        <v>100</v>
      </c>
      <c r="F273" s="2">
        <v>10</v>
      </c>
      <c r="G273" s="2" t="s">
        <v>2112</v>
      </c>
    </row>
    <row r="274" spans="1:7">
      <c r="A274" s="2" t="s">
        <v>1732</v>
      </c>
      <c r="B274" s="2" t="s">
        <v>26</v>
      </c>
      <c r="C274" s="2" t="s">
        <v>661</v>
      </c>
      <c r="D274" s="2">
        <v>140</v>
      </c>
      <c r="E274" s="2">
        <v>100</v>
      </c>
      <c r="F274" s="2">
        <v>5</v>
      </c>
      <c r="G274" s="2" t="s">
        <v>2062</v>
      </c>
    </row>
    <row r="275" spans="1:7">
      <c r="A275" s="2" t="s">
        <v>1093</v>
      </c>
      <c r="B275" s="2" t="s">
        <v>16</v>
      </c>
      <c r="C275" s="2" t="s">
        <v>669</v>
      </c>
      <c r="D275" s="2">
        <v>80</v>
      </c>
      <c r="E275" s="2">
        <v>100</v>
      </c>
      <c r="F275" s="2">
        <v>15</v>
      </c>
      <c r="G275" s="2"/>
    </row>
    <row r="276" spans="1:7">
      <c r="A276" s="2" t="s">
        <v>915</v>
      </c>
      <c r="B276" s="2" t="s">
        <v>16</v>
      </c>
      <c r="C276" s="2" t="s">
        <v>664</v>
      </c>
      <c r="D276" s="2" t="s">
        <v>102</v>
      </c>
      <c r="E276" s="2" t="s">
        <v>102</v>
      </c>
      <c r="F276" s="2">
        <v>20</v>
      </c>
      <c r="G276" s="2" t="s">
        <v>2113</v>
      </c>
    </row>
    <row r="277" spans="1:7">
      <c r="A277" s="2" t="s">
        <v>916</v>
      </c>
      <c r="B277" s="2" t="s">
        <v>24</v>
      </c>
      <c r="C277" s="2" t="s">
        <v>669</v>
      </c>
      <c r="D277" s="2" t="s">
        <v>102</v>
      </c>
      <c r="E277" s="2">
        <v>100</v>
      </c>
      <c r="F277" s="2">
        <v>5</v>
      </c>
      <c r="G277" s="2" t="s">
        <v>2114</v>
      </c>
    </row>
    <row r="278" spans="1:7">
      <c r="A278" s="2" t="s">
        <v>1244</v>
      </c>
      <c r="B278" s="2" t="s">
        <v>19</v>
      </c>
      <c r="C278" s="2" t="s">
        <v>661</v>
      </c>
      <c r="D278" s="2">
        <v>150</v>
      </c>
      <c r="E278" s="2">
        <v>100</v>
      </c>
      <c r="F278" s="2">
        <v>5</v>
      </c>
      <c r="G278" s="2" t="s">
        <v>2115</v>
      </c>
    </row>
    <row r="279" spans="1:7">
      <c r="A279" s="2" t="s">
        <v>1154</v>
      </c>
      <c r="B279" s="2" t="s">
        <v>9</v>
      </c>
      <c r="C279" s="2" t="s">
        <v>661</v>
      </c>
      <c r="D279" s="2">
        <v>80</v>
      </c>
      <c r="E279" s="2">
        <v>100</v>
      </c>
      <c r="F279" s="2">
        <v>30</v>
      </c>
      <c r="G279" s="2" t="s">
        <v>673</v>
      </c>
    </row>
    <row r="280" spans="1:7">
      <c r="A280" s="2" t="s">
        <v>917</v>
      </c>
      <c r="B280" s="2" t="s">
        <v>24</v>
      </c>
      <c r="C280" s="2" t="s">
        <v>669</v>
      </c>
      <c r="D280" s="2">
        <v>70</v>
      </c>
      <c r="E280" s="2">
        <v>100</v>
      </c>
      <c r="F280" s="2">
        <v>20</v>
      </c>
      <c r="G280" s="2" t="s">
        <v>2116</v>
      </c>
    </row>
    <row r="281" spans="1:7">
      <c r="A281" s="2" t="s">
        <v>176</v>
      </c>
      <c r="B281" s="2" t="s">
        <v>24</v>
      </c>
      <c r="C281" s="2" t="s">
        <v>669</v>
      </c>
      <c r="D281" s="2">
        <v>40</v>
      </c>
      <c r="E281" s="2">
        <v>100</v>
      </c>
      <c r="F281" s="2">
        <v>10</v>
      </c>
      <c r="G281" s="2" t="s">
        <v>2117</v>
      </c>
    </row>
    <row r="282" spans="1:7">
      <c r="A282" s="2" t="s">
        <v>918</v>
      </c>
      <c r="B282" s="2" t="s">
        <v>15</v>
      </c>
      <c r="C282" s="2" t="s">
        <v>664</v>
      </c>
      <c r="D282" s="2" t="s">
        <v>102</v>
      </c>
      <c r="E282" s="2">
        <v>100</v>
      </c>
      <c r="F282" s="2">
        <v>20</v>
      </c>
      <c r="G282" s="2" t="s">
        <v>2118</v>
      </c>
    </row>
    <row r="283" spans="1:7">
      <c r="A283" s="2" t="s">
        <v>1121</v>
      </c>
      <c r="B283" s="2" t="s">
        <v>20</v>
      </c>
      <c r="C283" s="2" t="s">
        <v>664</v>
      </c>
      <c r="D283" s="2" t="s">
        <v>102</v>
      </c>
      <c r="E283" s="2">
        <v>100</v>
      </c>
      <c r="F283" s="2">
        <v>15</v>
      </c>
      <c r="G283" s="2" t="s">
        <v>2048</v>
      </c>
    </row>
    <row r="284" spans="1:7">
      <c r="A284" s="2" t="s">
        <v>919</v>
      </c>
      <c r="B284" s="2" t="s">
        <v>15</v>
      </c>
      <c r="C284" s="2" t="s">
        <v>664</v>
      </c>
      <c r="D284" s="2" t="s">
        <v>102</v>
      </c>
      <c r="E284" s="2">
        <v>100</v>
      </c>
      <c r="F284" s="2">
        <v>15</v>
      </c>
      <c r="G284" s="2" t="s">
        <v>2119</v>
      </c>
    </row>
    <row r="285" spans="1:7">
      <c r="A285" s="2" t="s">
        <v>920</v>
      </c>
      <c r="B285" s="2" t="s">
        <v>18</v>
      </c>
      <c r="C285" s="2" t="s">
        <v>669</v>
      </c>
      <c r="D285" s="2">
        <v>150</v>
      </c>
      <c r="E285" s="2">
        <v>100</v>
      </c>
      <c r="F285" s="2">
        <v>20</v>
      </c>
      <c r="G285" s="2" t="s">
        <v>2120</v>
      </c>
    </row>
    <row r="286" spans="1:7">
      <c r="A286" s="2" t="s">
        <v>921</v>
      </c>
      <c r="B286" s="2" t="s">
        <v>24</v>
      </c>
      <c r="C286" s="2" t="s">
        <v>664</v>
      </c>
      <c r="D286" s="2" t="s">
        <v>102</v>
      </c>
      <c r="E286" s="2" t="s">
        <v>102</v>
      </c>
      <c r="F286" s="2">
        <v>20</v>
      </c>
      <c r="G286" s="2" t="s">
        <v>2121</v>
      </c>
    </row>
    <row r="287" spans="1:7">
      <c r="A287" s="2" t="s">
        <v>922</v>
      </c>
      <c r="B287" s="2" t="s">
        <v>21</v>
      </c>
      <c r="C287" s="2" t="s">
        <v>661</v>
      </c>
      <c r="D287" s="2">
        <v>150</v>
      </c>
      <c r="E287" s="2">
        <v>90</v>
      </c>
      <c r="F287" s="2">
        <v>5</v>
      </c>
      <c r="G287" s="2" t="s">
        <v>704</v>
      </c>
    </row>
    <row r="288" spans="1:7">
      <c r="A288" s="2" t="s">
        <v>1084</v>
      </c>
      <c r="B288" s="2" t="s">
        <v>21</v>
      </c>
      <c r="C288" s="2" t="s">
        <v>664</v>
      </c>
      <c r="D288" s="2" t="s">
        <v>102</v>
      </c>
      <c r="E288" s="2">
        <v>55</v>
      </c>
      <c r="F288" s="2">
        <v>15</v>
      </c>
      <c r="G288" s="2" t="s">
        <v>2122</v>
      </c>
    </row>
    <row r="289" spans="1:7">
      <c r="A289" s="2" t="s">
        <v>923</v>
      </c>
      <c r="B289" s="2" t="s">
        <v>10</v>
      </c>
      <c r="C289" s="2" t="s">
        <v>664</v>
      </c>
      <c r="D289" s="2" t="s">
        <v>102</v>
      </c>
      <c r="E289" s="2" t="s">
        <v>102</v>
      </c>
      <c r="F289" s="2">
        <v>5</v>
      </c>
      <c r="G289" s="2" t="s">
        <v>2123</v>
      </c>
    </row>
    <row r="290" spans="1:7">
      <c r="A290" s="2" t="s">
        <v>1104</v>
      </c>
      <c r="B290" s="2" t="s">
        <v>23</v>
      </c>
      <c r="C290" s="2" t="s">
        <v>664</v>
      </c>
      <c r="D290" s="2" t="s">
        <v>102</v>
      </c>
      <c r="E290" s="2" t="s">
        <v>102</v>
      </c>
      <c r="F290" s="2">
        <v>10</v>
      </c>
      <c r="G290" s="2" t="s">
        <v>2124</v>
      </c>
    </row>
    <row r="291" spans="1:7">
      <c r="A291" s="2" t="s">
        <v>924</v>
      </c>
      <c r="B291" s="2" t="s">
        <v>19</v>
      </c>
      <c r="C291" s="2" t="s">
        <v>661</v>
      </c>
      <c r="D291" s="2">
        <v>100</v>
      </c>
      <c r="E291" s="2">
        <v>90</v>
      </c>
      <c r="F291" s="2">
        <v>10</v>
      </c>
      <c r="G291" s="2" t="s">
        <v>692</v>
      </c>
    </row>
    <row r="292" spans="1:7">
      <c r="A292" s="2" t="s">
        <v>925</v>
      </c>
      <c r="B292" s="2" t="s">
        <v>24</v>
      </c>
      <c r="C292" s="2" t="s">
        <v>664</v>
      </c>
      <c r="D292" s="2" t="s">
        <v>102</v>
      </c>
      <c r="E292" s="2" t="s">
        <v>102</v>
      </c>
      <c r="F292" s="2">
        <v>20</v>
      </c>
      <c r="G292" s="2" t="s">
        <v>2125</v>
      </c>
    </row>
    <row r="293" spans="1:7">
      <c r="A293" s="2" t="s">
        <v>1155</v>
      </c>
      <c r="B293" s="2" t="s">
        <v>24</v>
      </c>
      <c r="C293" s="2" t="s">
        <v>664</v>
      </c>
      <c r="D293" s="2" t="s">
        <v>102</v>
      </c>
      <c r="E293" s="2" t="s">
        <v>102</v>
      </c>
      <c r="F293" s="2">
        <v>40</v>
      </c>
      <c r="G293" s="2" t="s">
        <v>711</v>
      </c>
    </row>
    <row r="294" spans="1:7">
      <c r="A294" s="2" t="s">
        <v>926</v>
      </c>
      <c r="B294" s="2" t="s">
        <v>27</v>
      </c>
      <c r="C294" s="2" t="s">
        <v>661</v>
      </c>
      <c r="D294" s="2">
        <v>150</v>
      </c>
      <c r="E294" s="2">
        <v>90</v>
      </c>
      <c r="F294" s="2">
        <v>5</v>
      </c>
      <c r="G294" s="2" t="s">
        <v>704</v>
      </c>
    </row>
    <row r="295" spans="1:7">
      <c r="A295" s="2" t="s">
        <v>1160</v>
      </c>
      <c r="B295" s="2" t="s">
        <v>24</v>
      </c>
      <c r="C295" s="2" t="s">
        <v>661</v>
      </c>
      <c r="D295" s="2">
        <v>90</v>
      </c>
      <c r="E295" s="2">
        <v>100</v>
      </c>
      <c r="F295" s="2">
        <v>10</v>
      </c>
      <c r="G295" s="2"/>
    </row>
    <row r="296" spans="1:7">
      <c r="A296" s="2" t="s">
        <v>1178</v>
      </c>
      <c r="B296" s="2" t="s">
        <v>23</v>
      </c>
      <c r="C296" s="2" t="s">
        <v>669</v>
      </c>
      <c r="D296" s="2">
        <v>30</v>
      </c>
      <c r="E296" s="2">
        <v>90</v>
      </c>
      <c r="F296" s="2">
        <v>20</v>
      </c>
      <c r="G296" s="2" t="s">
        <v>2084</v>
      </c>
    </row>
    <row r="297" spans="1:7">
      <c r="A297" s="2" t="s">
        <v>1209</v>
      </c>
      <c r="B297" s="2" t="s">
        <v>23</v>
      </c>
      <c r="C297" s="2" t="s">
        <v>669</v>
      </c>
      <c r="D297" s="2">
        <v>25</v>
      </c>
      <c r="E297" s="2">
        <v>100</v>
      </c>
      <c r="F297" s="2">
        <v>30</v>
      </c>
      <c r="G297" s="2" t="s">
        <v>670</v>
      </c>
    </row>
    <row r="298" spans="1:7">
      <c r="A298" s="2" t="s">
        <v>927</v>
      </c>
      <c r="B298" s="2" t="s">
        <v>9</v>
      </c>
      <c r="C298" s="2" t="s">
        <v>664</v>
      </c>
      <c r="D298" s="2" t="s">
        <v>102</v>
      </c>
      <c r="E298" s="2" t="s">
        <v>102</v>
      </c>
      <c r="F298" s="2">
        <v>10</v>
      </c>
      <c r="G298" s="2" t="s">
        <v>2126</v>
      </c>
    </row>
    <row r="299" spans="1:7">
      <c r="A299" s="2" t="s">
        <v>1085</v>
      </c>
      <c r="B299" s="2" t="s">
        <v>21</v>
      </c>
      <c r="C299" s="2" t="s">
        <v>664</v>
      </c>
      <c r="D299" s="2" t="s">
        <v>102</v>
      </c>
      <c r="E299" s="2" t="s">
        <v>102</v>
      </c>
      <c r="F299" s="2">
        <v>20</v>
      </c>
      <c r="G299" s="2" t="s">
        <v>2127</v>
      </c>
    </row>
    <row r="300" spans="1:7">
      <c r="A300" s="2" t="s">
        <v>177</v>
      </c>
      <c r="B300" s="2" t="s">
        <v>26</v>
      </c>
      <c r="C300" s="2" t="s">
        <v>664</v>
      </c>
      <c r="D300" s="2" t="s">
        <v>102</v>
      </c>
      <c r="E300" s="2" t="s">
        <v>102</v>
      </c>
      <c r="F300" s="2">
        <v>15</v>
      </c>
      <c r="G300" s="2" t="s">
        <v>665</v>
      </c>
    </row>
    <row r="301" spans="1:7">
      <c r="A301" s="2" t="s">
        <v>928</v>
      </c>
      <c r="B301" s="2" t="s">
        <v>15</v>
      </c>
      <c r="C301" s="2" t="s">
        <v>669</v>
      </c>
      <c r="D301" s="2">
        <v>20</v>
      </c>
      <c r="E301" s="2">
        <v>100</v>
      </c>
      <c r="F301" s="2">
        <v>20</v>
      </c>
      <c r="G301" s="2" t="s">
        <v>2128</v>
      </c>
    </row>
    <row r="302" spans="1:7">
      <c r="A302" s="2" t="s">
        <v>1194</v>
      </c>
      <c r="B302" s="2" t="s">
        <v>21</v>
      </c>
      <c r="C302" s="2" t="s">
        <v>669</v>
      </c>
      <c r="D302" s="2">
        <v>90</v>
      </c>
      <c r="E302" s="2">
        <v>100</v>
      </c>
      <c r="F302" s="2">
        <v>15</v>
      </c>
      <c r="G302" s="2" t="s">
        <v>683</v>
      </c>
    </row>
    <row r="303" spans="1:7">
      <c r="A303" s="2" t="s">
        <v>1723</v>
      </c>
      <c r="B303" s="2" t="s">
        <v>9</v>
      </c>
      <c r="C303" s="2" t="s">
        <v>661</v>
      </c>
      <c r="D303" s="2">
        <v>70</v>
      </c>
      <c r="E303" s="2">
        <v>100</v>
      </c>
      <c r="F303" s="2">
        <v>5</v>
      </c>
      <c r="G303" s="2" t="s">
        <v>663</v>
      </c>
    </row>
    <row r="304" spans="1:7">
      <c r="A304" s="2" t="s">
        <v>929</v>
      </c>
      <c r="B304" s="2" t="s">
        <v>9</v>
      </c>
      <c r="C304" s="2" t="s">
        <v>664</v>
      </c>
      <c r="D304" s="2" t="s">
        <v>102</v>
      </c>
      <c r="E304" s="2" t="s">
        <v>102</v>
      </c>
      <c r="F304" s="2">
        <v>15</v>
      </c>
      <c r="G304" s="2" t="s">
        <v>2129</v>
      </c>
    </row>
    <row r="305" spans="1:7">
      <c r="A305" s="2" t="s">
        <v>930</v>
      </c>
      <c r="B305" s="2" t="s">
        <v>21</v>
      </c>
      <c r="C305" s="2" t="s">
        <v>661</v>
      </c>
      <c r="D305" s="2">
        <v>60</v>
      </c>
      <c r="E305" s="2" t="s">
        <v>102</v>
      </c>
      <c r="F305" s="2">
        <v>20</v>
      </c>
      <c r="G305" s="2" t="s">
        <v>743</v>
      </c>
    </row>
    <row r="306" spans="1:7">
      <c r="A306" s="2" t="s">
        <v>931</v>
      </c>
      <c r="B306" s="2" t="s">
        <v>15</v>
      </c>
      <c r="C306" s="2" t="s">
        <v>664</v>
      </c>
      <c r="D306" s="2" t="s">
        <v>102</v>
      </c>
      <c r="E306" s="2">
        <v>100</v>
      </c>
      <c r="F306" s="2">
        <v>10</v>
      </c>
      <c r="G306" s="2" t="s">
        <v>2130</v>
      </c>
    </row>
    <row r="307" spans="1:7">
      <c r="A307" s="2" t="s">
        <v>1202</v>
      </c>
      <c r="B307" s="2" t="s">
        <v>26</v>
      </c>
      <c r="C307" s="2" t="s">
        <v>664</v>
      </c>
      <c r="D307" s="2" t="s">
        <v>102</v>
      </c>
      <c r="E307" s="2">
        <v>85</v>
      </c>
      <c r="F307" s="2">
        <v>40</v>
      </c>
      <c r="G307" s="2" t="s">
        <v>2118</v>
      </c>
    </row>
    <row r="308" spans="1:7">
      <c r="A308" s="2" t="s">
        <v>932</v>
      </c>
      <c r="B308" s="2" t="s">
        <v>26</v>
      </c>
      <c r="C308" s="2" t="s">
        <v>669</v>
      </c>
      <c r="D308" s="2">
        <v>100</v>
      </c>
      <c r="E308" s="2">
        <v>85</v>
      </c>
      <c r="F308" s="2">
        <v>10</v>
      </c>
      <c r="G308" s="2" t="s">
        <v>2068</v>
      </c>
    </row>
    <row r="309" spans="1:7">
      <c r="A309" s="2" t="s">
        <v>1720</v>
      </c>
      <c r="B309" s="2" t="s">
        <v>9</v>
      </c>
      <c r="C309" s="2" t="s">
        <v>661</v>
      </c>
      <c r="D309" s="2">
        <v>70</v>
      </c>
      <c r="E309" s="2">
        <v>100</v>
      </c>
      <c r="F309" s="2">
        <v>5</v>
      </c>
      <c r="G309" s="2" t="s">
        <v>2131</v>
      </c>
    </row>
    <row r="310" spans="1:7">
      <c r="A310" s="2" t="s">
        <v>1144</v>
      </c>
      <c r="B310" s="2" t="s">
        <v>22</v>
      </c>
      <c r="C310" s="2" t="s">
        <v>661</v>
      </c>
      <c r="D310" s="2">
        <v>55</v>
      </c>
      <c r="E310" s="2">
        <v>95</v>
      </c>
      <c r="F310" s="2">
        <v>15</v>
      </c>
      <c r="G310" s="2" t="s">
        <v>738</v>
      </c>
    </row>
    <row r="311" spans="1:7">
      <c r="A311" s="2" t="s">
        <v>933</v>
      </c>
      <c r="B311" s="2" t="s">
        <v>22</v>
      </c>
      <c r="C311" s="2" t="s">
        <v>664</v>
      </c>
      <c r="D311" s="2" t="s">
        <v>102</v>
      </c>
      <c r="E311" s="2" t="s">
        <v>102</v>
      </c>
      <c r="F311" s="2">
        <v>15</v>
      </c>
      <c r="G311" s="2" t="s">
        <v>2132</v>
      </c>
    </row>
    <row r="312" spans="1:7">
      <c r="A312" s="2" t="s">
        <v>1105</v>
      </c>
      <c r="B312" s="2" t="s">
        <v>27</v>
      </c>
      <c r="C312" s="2" t="s">
        <v>661</v>
      </c>
      <c r="D312" s="2">
        <v>95</v>
      </c>
      <c r="E312" s="2">
        <v>85</v>
      </c>
      <c r="F312" s="2">
        <v>10</v>
      </c>
      <c r="G312" s="2" t="s">
        <v>2074</v>
      </c>
    </row>
    <row r="313" spans="1:7">
      <c r="A313" s="2" t="s">
        <v>1087</v>
      </c>
      <c r="B313" s="2" t="s">
        <v>24</v>
      </c>
      <c r="C313" s="2" t="s">
        <v>664</v>
      </c>
      <c r="D313" s="2" t="s">
        <v>102</v>
      </c>
      <c r="E313" s="2" t="s">
        <v>102</v>
      </c>
      <c r="F313" s="2">
        <v>20</v>
      </c>
      <c r="G313" s="2" t="s">
        <v>2133</v>
      </c>
    </row>
    <row r="314" spans="1:7">
      <c r="A314" s="2" t="s">
        <v>1619</v>
      </c>
      <c r="B314" s="2" t="s">
        <v>21</v>
      </c>
      <c r="C314" s="2" t="s">
        <v>669</v>
      </c>
      <c r="D314" s="2">
        <v>60</v>
      </c>
      <c r="E314" s="2">
        <v>100</v>
      </c>
      <c r="F314" s="2">
        <v>15</v>
      </c>
      <c r="G314" s="2" t="s">
        <v>673</v>
      </c>
    </row>
    <row r="315" spans="1:7">
      <c r="A315" s="2" t="s">
        <v>934</v>
      </c>
      <c r="B315" s="2" t="s">
        <v>24</v>
      </c>
      <c r="C315" s="2" t="s">
        <v>664</v>
      </c>
      <c r="D315" s="2" t="s">
        <v>102</v>
      </c>
      <c r="E315" s="2" t="s">
        <v>102</v>
      </c>
      <c r="F315" s="2">
        <v>40</v>
      </c>
      <c r="G315" s="2" t="s">
        <v>2059</v>
      </c>
    </row>
    <row r="316" spans="1:7">
      <c r="A316" s="2" t="s">
        <v>1098</v>
      </c>
      <c r="B316" s="2" t="s">
        <v>19</v>
      </c>
      <c r="C316" s="2" t="s">
        <v>661</v>
      </c>
      <c r="D316" s="2">
        <v>140</v>
      </c>
      <c r="E316" s="2">
        <v>90</v>
      </c>
      <c r="F316" s="2">
        <v>5</v>
      </c>
      <c r="G316" s="2" t="s">
        <v>2134</v>
      </c>
    </row>
    <row r="317" spans="1:7">
      <c r="A317" s="2" t="s">
        <v>935</v>
      </c>
      <c r="B317" s="2" t="s">
        <v>11</v>
      </c>
      <c r="C317" s="2" t="s">
        <v>669</v>
      </c>
      <c r="D317" s="2">
        <v>50</v>
      </c>
      <c r="E317" s="2">
        <v>100</v>
      </c>
      <c r="F317" s="2">
        <v>15</v>
      </c>
      <c r="G317" s="2" t="s">
        <v>2135</v>
      </c>
    </row>
    <row r="318" spans="1:7">
      <c r="A318" s="2" t="s">
        <v>936</v>
      </c>
      <c r="B318" s="2" t="s">
        <v>11</v>
      </c>
      <c r="C318" s="2" t="s">
        <v>669</v>
      </c>
      <c r="D318" s="2">
        <v>50</v>
      </c>
      <c r="E318" s="2">
        <v>100</v>
      </c>
      <c r="F318" s="2">
        <v>25</v>
      </c>
      <c r="G318" s="2" t="s">
        <v>2136</v>
      </c>
    </row>
    <row r="319" spans="1:7">
      <c r="A319" s="2" t="s">
        <v>1735</v>
      </c>
      <c r="B319" s="2" t="s">
        <v>9</v>
      </c>
      <c r="C319" s="2" t="s">
        <v>661</v>
      </c>
      <c r="D319" s="2">
        <v>140</v>
      </c>
      <c r="E319" s="2">
        <v>90</v>
      </c>
      <c r="F319" s="2">
        <v>5</v>
      </c>
      <c r="G319" s="2" t="s">
        <v>2134</v>
      </c>
    </row>
    <row r="320" spans="1:7">
      <c r="A320" s="2" t="s">
        <v>937</v>
      </c>
      <c r="B320" s="2" t="s">
        <v>24</v>
      </c>
      <c r="C320" s="2" t="s">
        <v>664</v>
      </c>
      <c r="D320" s="2" t="s">
        <v>102</v>
      </c>
      <c r="E320" s="2" t="s">
        <v>102</v>
      </c>
      <c r="F320" s="2">
        <v>10</v>
      </c>
      <c r="G320" s="2" t="s">
        <v>2137</v>
      </c>
    </row>
    <row r="321" spans="1:7">
      <c r="A321" s="2" t="s">
        <v>1106</v>
      </c>
      <c r="B321" s="2" t="s">
        <v>24</v>
      </c>
      <c r="C321" s="2" t="s">
        <v>664</v>
      </c>
      <c r="D321" s="2" t="s">
        <v>102</v>
      </c>
      <c r="E321" s="2" t="s">
        <v>102</v>
      </c>
      <c r="F321" s="2">
        <v>20</v>
      </c>
      <c r="G321" s="2" t="s">
        <v>2138</v>
      </c>
    </row>
    <row r="322" spans="1:7">
      <c r="A322" s="2" t="s">
        <v>1128</v>
      </c>
      <c r="B322" s="2" t="s">
        <v>18</v>
      </c>
      <c r="C322" s="2" t="s">
        <v>669</v>
      </c>
      <c r="D322" s="2">
        <v>60</v>
      </c>
      <c r="E322" s="2">
        <v>100</v>
      </c>
      <c r="F322" s="2">
        <v>10</v>
      </c>
      <c r="G322" s="2" t="s">
        <v>2139</v>
      </c>
    </row>
    <row r="323" spans="1:7">
      <c r="A323" s="2" t="s">
        <v>1196</v>
      </c>
      <c r="B323" s="2" t="s">
        <v>25</v>
      </c>
      <c r="C323" s="2" t="s">
        <v>669</v>
      </c>
      <c r="D323" s="2">
        <v>25</v>
      </c>
      <c r="E323" s="2">
        <v>90</v>
      </c>
      <c r="F323" s="2">
        <v>10</v>
      </c>
      <c r="G323" s="2" t="s">
        <v>670</v>
      </c>
    </row>
    <row r="324" spans="1:7">
      <c r="A324" s="2" t="s">
        <v>1095</v>
      </c>
      <c r="B324" s="2" t="s">
        <v>25</v>
      </c>
      <c r="C324" s="2" t="s">
        <v>669</v>
      </c>
      <c r="D324" s="2">
        <v>50</v>
      </c>
      <c r="E324" s="2">
        <v>80</v>
      </c>
      <c r="F324" s="2">
        <v>10</v>
      </c>
      <c r="G324" s="2" t="s">
        <v>738</v>
      </c>
    </row>
    <row r="325" spans="1:7">
      <c r="A325" s="2" t="s">
        <v>938</v>
      </c>
      <c r="B325" s="2" t="s">
        <v>9</v>
      </c>
      <c r="C325" s="2" t="s">
        <v>664</v>
      </c>
      <c r="D325" s="2" t="s">
        <v>102</v>
      </c>
      <c r="E325" s="2" t="s">
        <v>102</v>
      </c>
      <c r="F325" s="2">
        <v>15</v>
      </c>
      <c r="G325" s="2" t="s">
        <v>2140</v>
      </c>
    </row>
    <row r="326" spans="1:7">
      <c r="A326" s="2" t="s">
        <v>939</v>
      </c>
      <c r="B326" s="2" t="s">
        <v>22</v>
      </c>
      <c r="C326" s="2" t="s">
        <v>669</v>
      </c>
      <c r="D326" s="2">
        <v>35</v>
      </c>
      <c r="E326" s="2">
        <v>85</v>
      </c>
      <c r="F326" s="2">
        <v>15</v>
      </c>
      <c r="G326" s="2" t="s">
        <v>672</v>
      </c>
    </row>
    <row r="327" spans="1:7">
      <c r="A327" s="2" t="s">
        <v>940</v>
      </c>
      <c r="B327" s="2" t="s">
        <v>24</v>
      </c>
      <c r="C327" s="2" t="s">
        <v>669</v>
      </c>
      <c r="D327" s="2">
        <v>70</v>
      </c>
      <c r="E327" s="2">
        <v>100</v>
      </c>
      <c r="F327" s="2">
        <v>20</v>
      </c>
      <c r="G327" s="2" t="s">
        <v>2141</v>
      </c>
    </row>
    <row r="328" spans="1:7">
      <c r="A328" s="2" t="s">
        <v>1211</v>
      </c>
      <c r="B328" s="2" t="s">
        <v>10</v>
      </c>
      <c r="C328" s="2" t="s">
        <v>669</v>
      </c>
      <c r="D328" s="2">
        <v>60</v>
      </c>
      <c r="E328" s="2" t="s">
        <v>102</v>
      </c>
      <c r="F328" s="2">
        <v>20</v>
      </c>
      <c r="G328" s="2" t="s">
        <v>743</v>
      </c>
    </row>
    <row r="329" spans="1:7">
      <c r="A329" s="2" t="s">
        <v>1210</v>
      </c>
      <c r="B329" s="2" t="s">
        <v>23</v>
      </c>
      <c r="C329" s="2" t="s">
        <v>661</v>
      </c>
      <c r="D329" s="2" t="s">
        <v>102</v>
      </c>
      <c r="E329" s="2" t="s">
        <v>102</v>
      </c>
      <c r="F329" s="2">
        <v>5</v>
      </c>
      <c r="G329" s="2" t="s">
        <v>694</v>
      </c>
    </row>
    <row r="330" spans="1:7">
      <c r="A330" s="2" t="s">
        <v>1230</v>
      </c>
      <c r="B330" s="2" t="s">
        <v>17</v>
      </c>
      <c r="C330" s="2" t="s">
        <v>661</v>
      </c>
      <c r="D330" s="2">
        <v>60</v>
      </c>
      <c r="E330" s="2" t="s">
        <v>102</v>
      </c>
      <c r="F330" s="2">
        <v>20</v>
      </c>
      <c r="G330" s="2" t="s">
        <v>743</v>
      </c>
    </row>
    <row r="331" spans="1:7">
      <c r="A331" s="2" t="s">
        <v>216</v>
      </c>
      <c r="B331" s="2" t="s">
        <v>14</v>
      </c>
      <c r="C331" s="2" t="s">
        <v>661</v>
      </c>
      <c r="D331" s="2">
        <v>75</v>
      </c>
      <c r="E331" s="2">
        <v>100</v>
      </c>
      <c r="F331" s="2">
        <v>15</v>
      </c>
      <c r="G331" s="2" t="s">
        <v>679</v>
      </c>
    </row>
    <row r="332" spans="1:7">
      <c r="A332" s="2" t="s">
        <v>1113</v>
      </c>
      <c r="B332" s="2" t="s">
        <v>14</v>
      </c>
      <c r="C332" s="2" t="s">
        <v>661</v>
      </c>
      <c r="D332" s="2">
        <v>60</v>
      </c>
      <c r="E332" s="2">
        <v>100</v>
      </c>
      <c r="F332" s="2">
        <v>5</v>
      </c>
      <c r="G332" s="2" t="s">
        <v>2142</v>
      </c>
    </row>
    <row r="333" spans="1:7">
      <c r="A333" s="2" t="s">
        <v>941</v>
      </c>
      <c r="B333" s="2" t="s">
        <v>9</v>
      </c>
      <c r="C333" s="2" t="s">
        <v>664</v>
      </c>
      <c r="D333" s="2" t="s">
        <v>102</v>
      </c>
      <c r="E333" s="2" t="s">
        <v>102</v>
      </c>
      <c r="F333" s="2">
        <v>10</v>
      </c>
      <c r="G333" s="2" t="s">
        <v>2143</v>
      </c>
    </row>
    <row r="334" spans="1:7">
      <c r="A334" s="2" t="s">
        <v>942</v>
      </c>
      <c r="B334" s="2" t="s">
        <v>18</v>
      </c>
      <c r="C334" s="2" t="s">
        <v>669</v>
      </c>
      <c r="D334" s="2">
        <v>85</v>
      </c>
      <c r="E334" s="2">
        <v>90</v>
      </c>
      <c r="F334" s="2">
        <v>15</v>
      </c>
      <c r="G334" s="2" t="s">
        <v>2144</v>
      </c>
    </row>
    <row r="335" spans="1:7">
      <c r="A335" s="2" t="s">
        <v>943</v>
      </c>
      <c r="B335" s="2" t="s">
        <v>24</v>
      </c>
      <c r="C335" s="2" t="s">
        <v>664</v>
      </c>
      <c r="D335" s="2" t="s">
        <v>102</v>
      </c>
      <c r="E335" s="2" t="s">
        <v>102</v>
      </c>
      <c r="F335" s="2">
        <v>10</v>
      </c>
      <c r="G335" s="2" t="s">
        <v>726</v>
      </c>
    </row>
    <row r="336" spans="1:7">
      <c r="A336" s="2" t="s">
        <v>944</v>
      </c>
      <c r="B336" s="2" t="s">
        <v>24</v>
      </c>
      <c r="C336" s="2" t="s">
        <v>669</v>
      </c>
      <c r="D336" s="2">
        <v>60</v>
      </c>
      <c r="E336" s="2">
        <v>100</v>
      </c>
      <c r="F336" s="2">
        <v>10</v>
      </c>
      <c r="G336" s="2" t="s">
        <v>2145</v>
      </c>
    </row>
    <row r="337" spans="1:7">
      <c r="A337" s="2" t="s">
        <v>945</v>
      </c>
      <c r="B337" s="2" t="s">
        <v>15</v>
      </c>
      <c r="C337" s="2" t="s">
        <v>664</v>
      </c>
      <c r="D337" s="2" t="s">
        <v>102</v>
      </c>
      <c r="E337" s="2" t="s">
        <v>102</v>
      </c>
      <c r="F337" s="2">
        <v>10</v>
      </c>
      <c r="G337" s="2" t="s">
        <v>2146</v>
      </c>
    </row>
    <row r="338" spans="1:7">
      <c r="A338" s="2" t="s">
        <v>1133</v>
      </c>
      <c r="B338" s="2" t="s">
        <v>24</v>
      </c>
      <c r="C338" s="2" t="s">
        <v>661</v>
      </c>
      <c r="D338" s="2" t="s">
        <v>102</v>
      </c>
      <c r="E338" s="2">
        <v>100</v>
      </c>
      <c r="F338" s="2">
        <v>10</v>
      </c>
      <c r="G338" s="2" t="s">
        <v>2147</v>
      </c>
    </row>
    <row r="339" spans="1:7">
      <c r="A339" s="2" t="s">
        <v>946</v>
      </c>
      <c r="B339" s="2" t="s">
        <v>24</v>
      </c>
      <c r="C339" s="2" t="s">
        <v>664</v>
      </c>
      <c r="D339" s="2" t="s">
        <v>102</v>
      </c>
      <c r="E339" s="2" t="s">
        <v>102</v>
      </c>
      <c r="F339" s="2">
        <v>20</v>
      </c>
      <c r="G339" s="2" t="s">
        <v>2148</v>
      </c>
    </row>
    <row r="340" spans="1:7">
      <c r="A340" s="2" t="s">
        <v>947</v>
      </c>
      <c r="B340" s="2" t="s">
        <v>18</v>
      </c>
      <c r="C340" s="2" t="s">
        <v>669</v>
      </c>
      <c r="D340" s="2">
        <v>120</v>
      </c>
      <c r="E340" s="2">
        <v>100</v>
      </c>
      <c r="F340" s="2">
        <v>5</v>
      </c>
      <c r="G340" s="2" t="s">
        <v>2149</v>
      </c>
    </row>
    <row r="341" spans="1:7">
      <c r="A341" s="2" t="s">
        <v>948</v>
      </c>
      <c r="B341" s="2" t="s">
        <v>24</v>
      </c>
      <c r="C341" s="2" t="s">
        <v>664</v>
      </c>
      <c r="D341" s="2" t="s">
        <v>102</v>
      </c>
      <c r="E341" s="2" t="s">
        <v>102</v>
      </c>
      <c r="F341" s="2">
        <v>10</v>
      </c>
      <c r="G341" s="2" t="s">
        <v>2150</v>
      </c>
    </row>
    <row r="342" spans="1:7">
      <c r="A342" s="2" t="s">
        <v>1582</v>
      </c>
      <c r="B342" s="2" t="s">
        <v>14</v>
      </c>
      <c r="C342" s="2" t="s">
        <v>664</v>
      </c>
      <c r="D342" s="2" t="s">
        <v>102</v>
      </c>
      <c r="E342" s="2" t="s">
        <v>102</v>
      </c>
      <c r="F342" s="2">
        <v>20</v>
      </c>
      <c r="G342" s="2" t="s">
        <v>2151</v>
      </c>
    </row>
    <row r="343" spans="1:7">
      <c r="A343" s="2" t="s">
        <v>1126</v>
      </c>
      <c r="B343" s="2" t="s">
        <v>15</v>
      </c>
      <c r="C343" s="2" t="s">
        <v>664</v>
      </c>
      <c r="D343" s="2" t="s">
        <v>102</v>
      </c>
      <c r="E343" s="2">
        <v>100</v>
      </c>
      <c r="F343" s="2">
        <v>20</v>
      </c>
      <c r="G343" s="2" t="s">
        <v>2152</v>
      </c>
    </row>
    <row r="344" spans="1:7">
      <c r="A344" s="2" t="s">
        <v>949</v>
      </c>
      <c r="B344" s="2" t="s">
        <v>24</v>
      </c>
      <c r="C344" s="2" t="s">
        <v>664</v>
      </c>
      <c r="D344" s="2" t="s">
        <v>102</v>
      </c>
      <c r="E344" s="2">
        <v>100</v>
      </c>
      <c r="F344" s="2">
        <v>20</v>
      </c>
      <c r="G344" s="2" t="s">
        <v>2153</v>
      </c>
    </row>
    <row r="345" spans="1:7">
      <c r="A345" s="2" t="s">
        <v>950</v>
      </c>
      <c r="B345" s="2" t="s">
        <v>24</v>
      </c>
      <c r="C345" s="2" t="s">
        <v>664</v>
      </c>
      <c r="D345" s="2" t="s">
        <v>102</v>
      </c>
      <c r="E345" s="2">
        <v>100</v>
      </c>
      <c r="F345" s="2">
        <v>20</v>
      </c>
      <c r="G345" s="2" t="s">
        <v>2154</v>
      </c>
    </row>
    <row r="346" spans="1:7">
      <c r="A346" s="2" t="s">
        <v>951</v>
      </c>
      <c r="B346" s="2" t="s">
        <v>15</v>
      </c>
      <c r="C346" s="2" t="s">
        <v>664</v>
      </c>
      <c r="D346" s="2" t="s">
        <v>102</v>
      </c>
      <c r="E346" s="2">
        <v>100</v>
      </c>
      <c r="F346" s="2">
        <v>15</v>
      </c>
      <c r="G346" s="2" t="s">
        <v>2155</v>
      </c>
    </row>
    <row r="347" spans="1:7">
      <c r="A347" s="2" t="s">
        <v>952</v>
      </c>
      <c r="B347" s="2" t="s">
        <v>9</v>
      </c>
      <c r="C347" s="2" t="s">
        <v>664</v>
      </c>
      <c r="D347" s="2" t="s">
        <v>102</v>
      </c>
      <c r="E347" s="2">
        <v>100</v>
      </c>
      <c r="F347" s="2">
        <v>10</v>
      </c>
      <c r="G347" s="2" t="s">
        <v>2156</v>
      </c>
    </row>
    <row r="348" spans="1:7">
      <c r="A348" s="2" t="s">
        <v>953</v>
      </c>
      <c r="B348" s="2" t="s">
        <v>24</v>
      </c>
      <c r="C348" s="2" t="s">
        <v>661</v>
      </c>
      <c r="D348" s="2">
        <v>90</v>
      </c>
      <c r="E348" s="2">
        <v>100</v>
      </c>
      <c r="F348" s="2">
        <v>10</v>
      </c>
      <c r="G348" s="2" t="s">
        <v>2157</v>
      </c>
    </row>
    <row r="349" spans="1:7">
      <c r="A349" s="2" t="s">
        <v>2158</v>
      </c>
      <c r="B349" s="2" t="s">
        <v>17</v>
      </c>
      <c r="C349" s="2" t="s">
        <v>669</v>
      </c>
      <c r="D349" s="2">
        <v>120</v>
      </c>
      <c r="E349" s="2">
        <v>100</v>
      </c>
      <c r="F349" s="2">
        <v>15</v>
      </c>
      <c r="G349" s="2" t="s">
        <v>2159</v>
      </c>
    </row>
    <row r="350" spans="1:7">
      <c r="A350" s="2" t="s">
        <v>954</v>
      </c>
      <c r="B350" s="2" t="s">
        <v>27</v>
      </c>
      <c r="C350" s="2" t="s">
        <v>661</v>
      </c>
      <c r="D350" s="2">
        <v>60</v>
      </c>
      <c r="E350" s="2">
        <v>100</v>
      </c>
      <c r="F350" s="2">
        <v>20</v>
      </c>
      <c r="G350" s="2" t="s">
        <v>679</v>
      </c>
    </row>
    <row r="351" spans="1:7">
      <c r="A351" s="2" t="s">
        <v>955</v>
      </c>
      <c r="B351" s="2" t="s">
        <v>27</v>
      </c>
      <c r="C351" s="2" t="s">
        <v>664</v>
      </c>
      <c r="D351" s="2" t="s">
        <v>102</v>
      </c>
      <c r="E351" s="2" t="s">
        <v>102</v>
      </c>
      <c r="F351" s="2">
        <v>15</v>
      </c>
      <c r="G351" s="2" t="s">
        <v>2160</v>
      </c>
    </row>
    <row r="352" spans="1:7">
      <c r="A352" s="2" t="s">
        <v>1107</v>
      </c>
      <c r="B352" s="2" t="s">
        <v>27</v>
      </c>
      <c r="C352" s="2" t="s">
        <v>661</v>
      </c>
      <c r="D352" s="2">
        <v>150</v>
      </c>
      <c r="E352" s="2">
        <v>100</v>
      </c>
      <c r="F352" s="2">
        <v>5</v>
      </c>
      <c r="G352" s="2" t="s">
        <v>2161</v>
      </c>
    </row>
    <row r="353" spans="1:7">
      <c r="A353" s="2" t="s">
        <v>1192</v>
      </c>
      <c r="B353" s="2" t="s">
        <v>24</v>
      </c>
      <c r="C353" s="2" t="s">
        <v>661</v>
      </c>
      <c r="D353" s="2">
        <v>50</v>
      </c>
      <c r="E353" s="2">
        <v>100</v>
      </c>
      <c r="F353" s="2">
        <v>10</v>
      </c>
      <c r="G353" s="2" t="s">
        <v>2162</v>
      </c>
    </row>
    <row r="354" spans="1:7">
      <c r="A354" s="2" t="s">
        <v>956</v>
      </c>
      <c r="B354" s="2" t="s">
        <v>19</v>
      </c>
      <c r="C354" s="2" t="s">
        <v>664</v>
      </c>
      <c r="D354" s="2" t="s">
        <v>102</v>
      </c>
      <c r="E354" s="2">
        <v>75</v>
      </c>
      <c r="F354" s="2">
        <v>15</v>
      </c>
      <c r="G354" s="2" t="s">
        <v>2163</v>
      </c>
    </row>
    <row r="355" spans="1:7">
      <c r="A355" s="2" t="s">
        <v>957</v>
      </c>
      <c r="B355" s="2" t="s">
        <v>24</v>
      </c>
      <c r="C355" s="2" t="s">
        <v>664</v>
      </c>
      <c r="D355" s="2" t="s">
        <v>102</v>
      </c>
      <c r="E355" s="2" t="s">
        <v>102</v>
      </c>
      <c r="F355" s="2">
        <v>10</v>
      </c>
      <c r="G355" s="2" t="s">
        <v>2164</v>
      </c>
    </row>
    <row r="356" spans="1:7">
      <c r="A356" s="2" t="s">
        <v>958</v>
      </c>
      <c r="B356" s="2" t="s">
        <v>24</v>
      </c>
      <c r="C356" s="2" t="s">
        <v>664</v>
      </c>
      <c r="D356" s="2" t="s">
        <v>102</v>
      </c>
      <c r="E356" s="2" t="s">
        <v>102</v>
      </c>
      <c r="F356" s="2">
        <v>10</v>
      </c>
      <c r="G356" s="2" t="s">
        <v>2165</v>
      </c>
    </row>
    <row r="357" spans="1:7">
      <c r="A357" s="2" t="s">
        <v>1195</v>
      </c>
      <c r="B357" s="2" t="s">
        <v>24</v>
      </c>
      <c r="C357" s="2" t="s">
        <v>664</v>
      </c>
      <c r="D357" s="2" t="s">
        <v>102</v>
      </c>
      <c r="E357" s="2" t="s">
        <v>102</v>
      </c>
      <c r="F357" s="2">
        <v>30</v>
      </c>
      <c r="G357" s="2" t="s">
        <v>2166</v>
      </c>
    </row>
    <row r="358" spans="1:7">
      <c r="A358" s="2" t="s">
        <v>1101</v>
      </c>
      <c r="B358" s="2" t="s">
        <v>20</v>
      </c>
      <c r="C358" s="2" t="s">
        <v>661</v>
      </c>
      <c r="D358" s="2">
        <v>75</v>
      </c>
      <c r="E358" s="2">
        <v>95</v>
      </c>
      <c r="F358" s="2">
        <v>20</v>
      </c>
      <c r="G358" s="2" t="s">
        <v>673</v>
      </c>
    </row>
    <row r="359" spans="1:7">
      <c r="A359" s="2" t="s">
        <v>959</v>
      </c>
      <c r="B359" s="2" t="s">
        <v>27</v>
      </c>
      <c r="C359" s="2" t="s">
        <v>669</v>
      </c>
      <c r="D359" s="2">
        <v>40</v>
      </c>
      <c r="E359" s="2">
        <v>100</v>
      </c>
      <c r="F359" s="2">
        <v>20</v>
      </c>
      <c r="G359" s="2" t="s">
        <v>723</v>
      </c>
    </row>
    <row r="360" spans="1:7">
      <c r="A360" s="2" t="s">
        <v>178</v>
      </c>
      <c r="B360" s="2" t="s">
        <v>27</v>
      </c>
      <c r="C360" s="2" t="s">
        <v>664</v>
      </c>
      <c r="D360" s="2" t="s">
        <v>102</v>
      </c>
      <c r="E360" s="2" t="s">
        <v>102</v>
      </c>
      <c r="F360" s="2">
        <v>20</v>
      </c>
      <c r="G360" s="2" t="s">
        <v>2167</v>
      </c>
    </row>
    <row r="361" spans="1:7">
      <c r="A361" s="2" t="s">
        <v>179</v>
      </c>
      <c r="B361" s="2" t="s">
        <v>27</v>
      </c>
      <c r="C361" s="2" t="s">
        <v>669</v>
      </c>
      <c r="D361" s="2">
        <v>90</v>
      </c>
      <c r="E361" s="2">
        <v>90</v>
      </c>
      <c r="F361" s="2">
        <v>10</v>
      </c>
      <c r="G361" s="2"/>
    </row>
    <row r="362" spans="1:7">
      <c r="A362" s="2" t="s">
        <v>960</v>
      </c>
      <c r="B362" s="2" t="s">
        <v>15</v>
      </c>
      <c r="C362" s="2" t="s">
        <v>669</v>
      </c>
      <c r="D362" s="2">
        <v>50</v>
      </c>
      <c r="E362" s="2">
        <v>100</v>
      </c>
      <c r="F362" s="2">
        <v>10</v>
      </c>
      <c r="G362" s="2" t="s">
        <v>2168</v>
      </c>
    </row>
    <row r="363" spans="1:7">
      <c r="A363" s="2" t="s">
        <v>1810</v>
      </c>
      <c r="B363" s="2" t="s">
        <v>14</v>
      </c>
      <c r="C363" s="2" t="s">
        <v>669</v>
      </c>
      <c r="D363" s="2">
        <v>90</v>
      </c>
      <c r="E363" s="2">
        <v>100</v>
      </c>
      <c r="F363" s="2">
        <v>15</v>
      </c>
      <c r="G363" s="2" t="s">
        <v>683</v>
      </c>
    </row>
    <row r="364" spans="1:7">
      <c r="A364" s="2" t="s">
        <v>1234</v>
      </c>
      <c r="B364" s="2" t="s">
        <v>18</v>
      </c>
      <c r="C364" s="2" t="s">
        <v>661</v>
      </c>
      <c r="D364" s="2">
        <v>90</v>
      </c>
      <c r="E364" s="2" t="s">
        <v>102</v>
      </c>
      <c r="F364" s="2">
        <v>20</v>
      </c>
      <c r="G364" s="2" t="s">
        <v>743</v>
      </c>
    </row>
    <row r="365" spans="1:7">
      <c r="A365" s="2" t="s">
        <v>1214</v>
      </c>
      <c r="B365" s="2" t="s">
        <v>23</v>
      </c>
      <c r="C365" s="2" t="s">
        <v>669</v>
      </c>
      <c r="D365" s="2">
        <v>60</v>
      </c>
      <c r="E365" s="2">
        <v>100</v>
      </c>
      <c r="F365" s="2">
        <v>10</v>
      </c>
      <c r="G365" s="2" t="s">
        <v>2169</v>
      </c>
    </row>
    <row r="366" spans="1:7">
      <c r="A366" s="2" t="s">
        <v>1123</v>
      </c>
      <c r="B366" s="2" t="s">
        <v>20</v>
      </c>
      <c r="C366" s="2" t="s">
        <v>669</v>
      </c>
      <c r="D366" s="2">
        <v>120</v>
      </c>
      <c r="E366" s="2">
        <v>100</v>
      </c>
      <c r="F366" s="2">
        <v>15</v>
      </c>
      <c r="G366" s="2" t="s">
        <v>688</v>
      </c>
    </row>
    <row r="367" spans="1:7">
      <c r="A367" s="2" t="s">
        <v>961</v>
      </c>
      <c r="B367" s="2" t="s">
        <v>27</v>
      </c>
      <c r="C367" s="2" t="s">
        <v>661</v>
      </c>
      <c r="D367" s="2">
        <v>65</v>
      </c>
      <c r="E367" s="2">
        <v>100</v>
      </c>
      <c r="F367" s="2">
        <v>10</v>
      </c>
      <c r="G367" s="2" t="s">
        <v>2170</v>
      </c>
    </row>
    <row r="368" spans="1:7">
      <c r="A368" s="2" t="s">
        <v>1110</v>
      </c>
      <c r="B368" s="2" t="s">
        <v>14</v>
      </c>
      <c r="C368" s="2" t="s">
        <v>669</v>
      </c>
      <c r="D368" s="2">
        <v>60</v>
      </c>
      <c r="E368" s="2">
        <v>100</v>
      </c>
      <c r="F368" s="2">
        <v>20</v>
      </c>
      <c r="G368" s="2" t="s">
        <v>2171</v>
      </c>
    </row>
    <row r="369" spans="1:7">
      <c r="A369" s="2" t="s">
        <v>1115</v>
      </c>
      <c r="B369" s="2" t="s">
        <v>14</v>
      </c>
      <c r="C369" s="2" t="s">
        <v>661</v>
      </c>
      <c r="D369" s="2">
        <v>90</v>
      </c>
      <c r="E369" s="2">
        <v>100</v>
      </c>
      <c r="F369" s="2">
        <v>10</v>
      </c>
      <c r="G369" s="2" t="s">
        <v>663</v>
      </c>
    </row>
    <row r="370" spans="1:7">
      <c r="A370" s="2" t="s">
        <v>1186</v>
      </c>
      <c r="B370" s="2" t="s">
        <v>26</v>
      </c>
      <c r="C370" s="2" t="s">
        <v>669</v>
      </c>
      <c r="D370" s="2">
        <v>40</v>
      </c>
      <c r="E370" s="2">
        <v>100</v>
      </c>
      <c r="F370" s="2">
        <v>30</v>
      </c>
      <c r="G370" s="2" t="s">
        <v>723</v>
      </c>
    </row>
    <row r="371" spans="1:7">
      <c r="A371" s="2" t="s">
        <v>962</v>
      </c>
      <c r="B371" s="2" t="s">
        <v>24</v>
      </c>
      <c r="C371" s="2" t="s">
        <v>664</v>
      </c>
      <c r="D371" s="2" t="s">
        <v>102</v>
      </c>
      <c r="E371" s="2">
        <v>100</v>
      </c>
      <c r="F371" s="2">
        <v>20</v>
      </c>
      <c r="G371" s="2" t="s">
        <v>2172</v>
      </c>
    </row>
    <row r="372" spans="1:7">
      <c r="A372" s="2" t="s">
        <v>963</v>
      </c>
      <c r="B372" s="2" t="s">
        <v>17</v>
      </c>
      <c r="C372" s="2" t="s">
        <v>661</v>
      </c>
      <c r="D372" s="2">
        <v>50</v>
      </c>
      <c r="E372" s="2">
        <v>90</v>
      </c>
      <c r="F372" s="2">
        <v>10</v>
      </c>
      <c r="G372" s="2" t="s">
        <v>2173</v>
      </c>
    </row>
    <row r="373" spans="1:7">
      <c r="A373" s="2" t="s">
        <v>1861</v>
      </c>
      <c r="B373" s="2" t="s">
        <v>20</v>
      </c>
      <c r="C373" s="2" t="s">
        <v>661</v>
      </c>
      <c r="D373" s="2">
        <v>60</v>
      </c>
      <c r="E373" s="2">
        <v>100</v>
      </c>
      <c r="F373" s="2">
        <v>20</v>
      </c>
      <c r="G373" s="2" t="s">
        <v>679</v>
      </c>
    </row>
    <row r="374" spans="1:7">
      <c r="A374" s="2" t="s">
        <v>1174</v>
      </c>
      <c r="B374" s="2" t="s">
        <v>18</v>
      </c>
      <c r="C374" s="2" t="s">
        <v>669</v>
      </c>
      <c r="D374" s="2">
        <v>120</v>
      </c>
      <c r="E374" s="2">
        <v>100</v>
      </c>
      <c r="F374" s="2">
        <v>5</v>
      </c>
      <c r="G374" s="2" t="s">
        <v>2174</v>
      </c>
    </row>
    <row r="375" spans="1:7">
      <c r="A375" s="2" t="s">
        <v>964</v>
      </c>
      <c r="B375" s="2" t="s">
        <v>24</v>
      </c>
      <c r="C375" s="2" t="s">
        <v>664</v>
      </c>
      <c r="D375" s="2" t="s">
        <v>102</v>
      </c>
      <c r="E375" s="2" t="s">
        <v>102</v>
      </c>
      <c r="F375" s="2">
        <v>20</v>
      </c>
      <c r="G375" s="2" t="s">
        <v>2175</v>
      </c>
    </row>
    <row r="376" spans="1:7">
      <c r="A376" s="2" t="s">
        <v>1163</v>
      </c>
      <c r="B376" s="2" t="s">
        <v>11</v>
      </c>
      <c r="C376" s="2" t="s">
        <v>669</v>
      </c>
      <c r="D376" s="2">
        <v>70</v>
      </c>
      <c r="E376" s="2">
        <v>100</v>
      </c>
      <c r="F376" s="2">
        <v>20</v>
      </c>
      <c r="G376" s="2" t="s">
        <v>2136</v>
      </c>
    </row>
    <row r="377" spans="1:7">
      <c r="A377" s="2" t="s">
        <v>1967</v>
      </c>
      <c r="B377" s="2" t="s">
        <v>24</v>
      </c>
      <c r="C377" s="2" t="s">
        <v>669</v>
      </c>
      <c r="D377" s="2" t="s">
        <v>102</v>
      </c>
      <c r="E377" s="2">
        <v>100</v>
      </c>
      <c r="F377" s="2">
        <v>5</v>
      </c>
      <c r="G377" s="2" t="s">
        <v>2176</v>
      </c>
    </row>
    <row r="378" spans="1:7">
      <c r="A378" s="2" t="s">
        <v>1157</v>
      </c>
      <c r="B378" s="2" t="s">
        <v>15</v>
      </c>
      <c r="C378" s="2" t="s">
        <v>661</v>
      </c>
      <c r="D378" s="2">
        <v>80</v>
      </c>
      <c r="E378" s="2">
        <v>100</v>
      </c>
      <c r="F378" s="2">
        <v>15</v>
      </c>
      <c r="G378" s="2" t="s">
        <v>673</v>
      </c>
    </row>
    <row r="379" spans="1:7">
      <c r="A379" s="2" t="s">
        <v>1983</v>
      </c>
      <c r="B379" s="2" t="s">
        <v>15</v>
      </c>
      <c r="C379" s="2" t="s">
        <v>664</v>
      </c>
      <c r="D379" s="2" t="s">
        <v>102</v>
      </c>
      <c r="E379" s="2">
        <v>80</v>
      </c>
      <c r="F379" s="2">
        <v>10</v>
      </c>
      <c r="G379" s="2" t="s">
        <v>2177</v>
      </c>
    </row>
    <row r="380" spans="1:7">
      <c r="A380" s="2" t="s">
        <v>1808</v>
      </c>
      <c r="B380" s="2" t="s">
        <v>14</v>
      </c>
      <c r="C380" s="2" t="s">
        <v>664</v>
      </c>
      <c r="D380" s="2" t="s">
        <v>102</v>
      </c>
      <c r="E380" s="2" t="s">
        <v>102</v>
      </c>
      <c r="F380" s="2">
        <v>10</v>
      </c>
      <c r="G380" s="2" t="s">
        <v>2110</v>
      </c>
    </row>
    <row r="381" spans="1:7">
      <c r="A381" s="2" t="s">
        <v>1124</v>
      </c>
      <c r="B381" s="2" t="s">
        <v>20</v>
      </c>
      <c r="C381" s="2" t="s">
        <v>664</v>
      </c>
      <c r="D381" s="2" t="s">
        <v>102</v>
      </c>
      <c r="E381" s="2" t="s">
        <v>102</v>
      </c>
      <c r="F381" s="2">
        <v>15</v>
      </c>
      <c r="G381" s="2" t="s">
        <v>2178</v>
      </c>
    </row>
    <row r="382" spans="1:7">
      <c r="A382" s="2" t="s">
        <v>1138</v>
      </c>
      <c r="B382" s="2" t="s">
        <v>17</v>
      </c>
      <c r="C382" s="2" t="s">
        <v>661</v>
      </c>
      <c r="D382" s="2">
        <v>80</v>
      </c>
      <c r="E382" s="2">
        <v>100</v>
      </c>
      <c r="F382" s="2">
        <v>15</v>
      </c>
      <c r="G382" s="2" t="s">
        <v>675</v>
      </c>
    </row>
    <row r="383" spans="1:7">
      <c r="A383" s="2" t="s">
        <v>965</v>
      </c>
      <c r="B383" s="2" t="s">
        <v>24</v>
      </c>
      <c r="C383" s="2" t="s">
        <v>669</v>
      </c>
      <c r="D383" s="2">
        <v>35</v>
      </c>
      <c r="E383" s="2">
        <v>90</v>
      </c>
      <c r="F383" s="2">
        <v>10</v>
      </c>
      <c r="G383" s="2" t="s">
        <v>676</v>
      </c>
    </row>
    <row r="384" spans="1:7">
      <c r="A384" s="2" t="s">
        <v>966</v>
      </c>
      <c r="B384" s="2" t="s">
        <v>16</v>
      </c>
      <c r="C384" s="2" t="s">
        <v>661</v>
      </c>
      <c r="D384" s="2">
        <v>140</v>
      </c>
      <c r="E384" s="2">
        <v>90</v>
      </c>
      <c r="F384" s="2">
        <v>5</v>
      </c>
      <c r="G384" s="2" t="s">
        <v>2134</v>
      </c>
    </row>
    <row r="385" spans="1:7">
      <c r="A385" s="2" t="s">
        <v>967</v>
      </c>
      <c r="B385" s="2" t="s">
        <v>16</v>
      </c>
      <c r="C385" s="2" t="s">
        <v>661</v>
      </c>
      <c r="D385" s="2">
        <v>90</v>
      </c>
      <c r="E385" s="2">
        <v>100</v>
      </c>
      <c r="F385" s="2">
        <v>10</v>
      </c>
      <c r="G385" s="2"/>
    </row>
    <row r="386" spans="1:7">
      <c r="A386" s="2" t="s">
        <v>180</v>
      </c>
      <c r="B386" s="2" t="s">
        <v>16</v>
      </c>
      <c r="C386" s="2" t="s">
        <v>669</v>
      </c>
      <c r="D386" s="2">
        <v>100</v>
      </c>
      <c r="E386" s="2">
        <v>75</v>
      </c>
      <c r="F386" s="2">
        <v>10</v>
      </c>
      <c r="G386" s="2" t="s">
        <v>673</v>
      </c>
    </row>
    <row r="387" spans="1:7">
      <c r="A387" s="2" t="s">
        <v>181</v>
      </c>
      <c r="B387" s="2" t="s">
        <v>18</v>
      </c>
      <c r="C387" s="2" t="s">
        <v>669</v>
      </c>
      <c r="D387" s="2">
        <v>75</v>
      </c>
      <c r="E387" s="2">
        <v>100</v>
      </c>
      <c r="F387" s="2">
        <v>10</v>
      </c>
      <c r="G387" s="2" t="s">
        <v>662</v>
      </c>
    </row>
    <row r="388" spans="1:7">
      <c r="A388" s="2" t="s">
        <v>968</v>
      </c>
      <c r="B388" s="2" t="s">
        <v>22</v>
      </c>
      <c r="C388" s="2" t="s">
        <v>661</v>
      </c>
      <c r="D388" s="2">
        <v>90</v>
      </c>
      <c r="E388" s="2">
        <v>100</v>
      </c>
      <c r="F388" s="2">
        <v>10</v>
      </c>
      <c r="G388" s="2" t="s">
        <v>663</v>
      </c>
    </row>
    <row r="389" spans="1:7">
      <c r="A389" s="2" t="s">
        <v>969</v>
      </c>
      <c r="B389" s="2" t="s">
        <v>15</v>
      </c>
      <c r="C389" s="2" t="s">
        <v>664</v>
      </c>
      <c r="D389" s="2" t="s">
        <v>102</v>
      </c>
      <c r="E389" s="2">
        <v>100</v>
      </c>
      <c r="F389" s="2">
        <v>15</v>
      </c>
      <c r="G389" s="2" t="s">
        <v>2179</v>
      </c>
    </row>
    <row r="390" spans="1:7">
      <c r="A390" s="2" t="s">
        <v>970</v>
      </c>
      <c r="B390" s="2" t="s">
        <v>21</v>
      </c>
      <c r="C390" s="2" t="s">
        <v>661</v>
      </c>
      <c r="D390" s="2">
        <v>80</v>
      </c>
      <c r="E390" s="2">
        <v>100</v>
      </c>
      <c r="F390" s="2">
        <v>10</v>
      </c>
      <c r="G390" s="2" t="s">
        <v>663</v>
      </c>
    </row>
    <row r="391" spans="1:7">
      <c r="A391" s="2" t="s">
        <v>971</v>
      </c>
      <c r="B391" s="2" t="s">
        <v>24</v>
      </c>
      <c r="C391" s="2" t="s">
        <v>669</v>
      </c>
      <c r="D391" s="2">
        <v>30</v>
      </c>
      <c r="E391" s="2">
        <v>100</v>
      </c>
      <c r="F391" s="2">
        <v>10</v>
      </c>
      <c r="G391" s="2" t="s">
        <v>2180</v>
      </c>
    </row>
    <row r="392" spans="1:7">
      <c r="A392" s="2" t="s">
        <v>182</v>
      </c>
      <c r="B392" s="2" t="s">
        <v>19</v>
      </c>
      <c r="C392" s="2" t="s">
        <v>669</v>
      </c>
      <c r="D392" s="2">
        <v>65</v>
      </c>
      <c r="E392" s="2">
        <v>95</v>
      </c>
      <c r="F392" s="2">
        <v>15</v>
      </c>
      <c r="G392" s="2" t="s">
        <v>2181</v>
      </c>
    </row>
    <row r="393" spans="1:7">
      <c r="A393" s="2" t="s">
        <v>972</v>
      </c>
      <c r="B393" s="2" t="s">
        <v>19</v>
      </c>
      <c r="C393" s="2" t="s">
        <v>669</v>
      </c>
      <c r="D393" s="2">
        <v>120</v>
      </c>
      <c r="E393" s="2">
        <v>100</v>
      </c>
      <c r="F393" s="2">
        <v>15</v>
      </c>
      <c r="G393" s="2" t="s">
        <v>2182</v>
      </c>
    </row>
    <row r="394" spans="1:7">
      <c r="A394" s="2" t="s">
        <v>973</v>
      </c>
      <c r="B394" s="2" t="s">
        <v>26</v>
      </c>
      <c r="C394" s="2" t="s">
        <v>661</v>
      </c>
      <c r="D394" s="2">
        <v>80</v>
      </c>
      <c r="E394" s="2">
        <v>100</v>
      </c>
      <c r="F394" s="2">
        <v>10</v>
      </c>
      <c r="G394" s="2" t="s">
        <v>663</v>
      </c>
    </row>
    <row r="395" spans="1:7">
      <c r="A395" s="2" t="s">
        <v>974</v>
      </c>
      <c r="B395" s="2" t="s">
        <v>15</v>
      </c>
      <c r="C395" s="2" t="s">
        <v>669</v>
      </c>
      <c r="D395" s="2" t="s">
        <v>102</v>
      </c>
      <c r="E395" s="2">
        <v>100</v>
      </c>
      <c r="F395" s="2">
        <v>10</v>
      </c>
      <c r="G395" s="2" t="s">
        <v>2183</v>
      </c>
    </row>
    <row r="396" spans="1:7">
      <c r="A396" s="2" t="s">
        <v>1102</v>
      </c>
      <c r="B396" s="2" t="s">
        <v>18</v>
      </c>
      <c r="C396" s="2" t="s">
        <v>661</v>
      </c>
      <c r="D396" s="2">
        <v>120</v>
      </c>
      <c r="E396" s="2">
        <v>70</v>
      </c>
      <c r="F396" s="2">
        <v>5</v>
      </c>
      <c r="G396" s="2" t="s">
        <v>663</v>
      </c>
    </row>
    <row r="397" spans="1:7">
      <c r="A397" s="2" t="s">
        <v>1525</v>
      </c>
      <c r="B397" s="2" t="s">
        <v>18</v>
      </c>
      <c r="C397" s="2" t="s">
        <v>669</v>
      </c>
      <c r="D397" s="2">
        <v>60</v>
      </c>
      <c r="E397" s="2">
        <v>100</v>
      </c>
      <c r="F397" s="2">
        <v>10</v>
      </c>
      <c r="G397" s="2" t="s">
        <v>675</v>
      </c>
    </row>
    <row r="398" spans="1:7">
      <c r="A398" s="2" t="s">
        <v>975</v>
      </c>
      <c r="B398" s="2" t="s">
        <v>11</v>
      </c>
      <c r="C398" s="2" t="s">
        <v>664</v>
      </c>
      <c r="D398" s="2" t="s">
        <v>102</v>
      </c>
      <c r="E398" s="2">
        <v>100</v>
      </c>
      <c r="F398" s="2">
        <v>10</v>
      </c>
      <c r="G398" s="2" t="s">
        <v>2184</v>
      </c>
    </row>
    <row r="399" spans="1:7">
      <c r="A399" s="2" t="s">
        <v>976</v>
      </c>
      <c r="B399" s="2" t="s">
        <v>24</v>
      </c>
      <c r="C399" s="2" t="s">
        <v>669</v>
      </c>
      <c r="D399" s="2">
        <v>150</v>
      </c>
      <c r="E399" s="2">
        <v>90</v>
      </c>
      <c r="F399" s="2">
        <v>5</v>
      </c>
      <c r="G399" s="2" t="s">
        <v>704</v>
      </c>
    </row>
    <row r="400" spans="1:7">
      <c r="A400" s="2" t="s">
        <v>977</v>
      </c>
      <c r="B400" s="2" t="s">
        <v>21</v>
      </c>
      <c r="C400" s="2" t="s">
        <v>661</v>
      </c>
      <c r="D400" s="2" t="s">
        <v>102</v>
      </c>
      <c r="E400" s="2">
        <v>100</v>
      </c>
      <c r="F400" s="2">
        <v>20</v>
      </c>
      <c r="G400" s="2" t="s">
        <v>710</v>
      </c>
    </row>
    <row r="401" spans="1:7">
      <c r="A401" s="2" t="s">
        <v>978</v>
      </c>
      <c r="B401" s="2" t="s">
        <v>9</v>
      </c>
      <c r="C401" s="2" t="s">
        <v>664</v>
      </c>
      <c r="D401" s="2" t="s">
        <v>102</v>
      </c>
      <c r="E401" s="2" t="s">
        <v>102</v>
      </c>
      <c r="F401" s="2">
        <v>5</v>
      </c>
      <c r="G401" s="2" t="s">
        <v>2185</v>
      </c>
    </row>
    <row r="402" spans="1:7">
      <c r="A402" s="2" t="s">
        <v>1183</v>
      </c>
      <c r="B402" s="2" t="s">
        <v>9</v>
      </c>
      <c r="C402" s="2" t="s">
        <v>664</v>
      </c>
      <c r="D402" s="2" t="s">
        <v>102</v>
      </c>
      <c r="E402" s="2" t="s">
        <v>102</v>
      </c>
      <c r="F402" s="2">
        <v>10</v>
      </c>
      <c r="G402" s="2" t="s">
        <v>2186</v>
      </c>
    </row>
    <row r="403" spans="1:7">
      <c r="A403" s="2" t="s">
        <v>979</v>
      </c>
      <c r="B403" s="2" t="s">
        <v>11</v>
      </c>
      <c r="C403" s="2" t="s">
        <v>669</v>
      </c>
      <c r="D403" s="2">
        <v>120</v>
      </c>
      <c r="E403" s="2">
        <v>70</v>
      </c>
      <c r="F403" s="2">
        <v>5</v>
      </c>
      <c r="G403" s="2" t="s">
        <v>733</v>
      </c>
    </row>
    <row r="404" spans="1:7">
      <c r="A404" s="2" t="s">
        <v>980</v>
      </c>
      <c r="B404" s="2" t="s">
        <v>26</v>
      </c>
      <c r="C404" s="2" t="s">
        <v>669</v>
      </c>
      <c r="D404" s="2" t="s">
        <v>102</v>
      </c>
      <c r="E404" s="2">
        <v>100</v>
      </c>
      <c r="F404" s="2">
        <v>5</v>
      </c>
      <c r="G404" s="2" t="s">
        <v>2187</v>
      </c>
    </row>
    <row r="405" spans="1:7">
      <c r="A405" s="2" t="s">
        <v>981</v>
      </c>
      <c r="B405" s="2" t="s">
        <v>18</v>
      </c>
      <c r="C405" s="2" t="s">
        <v>669</v>
      </c>
      <c r="D405" s="2">
        <v>100</v>
      </c>
      <c r="E405" s="2">
        <v>90</v>
      </c>
      <c r="F405" s="2">
        <v>10</v>
      </c>
      <c r="G405" s="2" t="s">
        <v>2188</v>
      </c>
    </row>
    <row r="406" spans="1:7">
      <c r="A406" s="2" t="s">
        <v>800</v>
      </c>
      <c r="B406" s="2" t="s">
        <v>25</v>
      </c>
      <c r="C406" s="2" t="s">
        <v>669</v>
      </c>
      <c r="D406" s="2">
        <v>150</v>
      </c>
      <c r="E406" s="2">
        <v>80</v>
      </c>
      <c r="F406" s="2">
        <v>5</v>
      </c>
      <c r="G406" s="2" t="s">
        <v>688</v>
      </c>
    </row>
    <row r="407" spans="1:7">
      <c r="A407" s="2" t="s">
        <v>1451</v>
      </c>
      <c r="B407" s="2" t="s">
        <v>9</v>
      </c>
      <c r="C407" s="2" t="s">
        <v>664</v>
      </c>
      <c r="D407" s="2" t="s">
        <v>102</v>
      </c>
      <c r="E407" s="2" t="s">
        <v>102</v>
      </c>
      <c r="F407" s="2">
        <v>15</v>
      </c>
      <c r="G407" s="2" t="s">
        <v>2189</v>
      </c>
    </row>
    <row r="408" spans="1:7">
      <c r="A408" s="2" t="s">
        <v>1809</v>
      </c>
      <c r="B408" s="2" t="s">
        <v>14</v>
      </c>
      <c r="C408" s="2" t="s">
        <v>664</v>
      </c>
      <c r="D408" s="2" t="s">
        <v>102</v>
      </c>
      <c r="E408" s="2" t="s">
        <v>102</v>
      </c>
      <c r="F408" s="2">
        <v>10</v>
      </c>
      <c r="G408" s="2" t="s">
        <v>2190</v>
      </c>
    </row>
    <row r="409" spans="1:7">
      <c r="A409" s="2" t="s">
        <v>982</v>
      </c>
      <c r="B409" s="2" t="s">
        <v>9</v>
      </c>
      <c r="C409" s="2" t="s">
        <v>664</v>
      </c>
      <c r="D409" s="2" t="s">
        <v>102</v>
      </c>
      <c r="E409" s="2" t="s">
        <v>102</v>
      </c>
      <c r="F409" s="2">
        <v>10</v>
      </c>
      <c r="G409" s="2" t="s">
        <v>2191</v>
      </c>
    </row>
    <row r="410" spans="1:7">
      <c r="A410" s="2" t="s">
        <v>1980</v>
      </c>
      <c r="B410" s="2" t="s">
        <v>9</v>
      </c>
      <c r="C410" s="2" t="s">
        <v>664</v>
      </c>
      <c r="D410" s="2" t="s">
        <v>102</v>
      </c>
      <c r="E410" s="2" t="s">
        <v>102</v>
      </c>
      <c r="F410" s="2">
        <v>10</v>
      </c>
      <c r="G410" s="2" t="s">
        <v>2192</v>
      </c>
    </row>
    <row r="411" spans="1:7">
      <c r="A411" s="2" t="s">
        <v>983</v>
      </c>
      <c r="B411" s="2" t="s">
        <v>23</v>
      </c>
      <c r="C411" s="2" t="s">
        <v>669</v>
      </c>
      <c r="D411" s="2">
        <v>65</v>
      </c>
      <c r="E411" s="2">
        <v>95</v>
      </c>
      <c r="F411" s="2">
        <v>15</v>
      </c>
      <c r="G411" s="2" t="s">
        <v>2193</v>
      </c>
    </row>
    <row r="412" spans="1:7">
      <c r="A412" s="2" t="s">
        <v>984</v>
      </c>
      <c r="B412" s="2" t="s">
        <v>23</v>
      </c>
      <c r="C412" s="2" t="s">
        <v>669</v>
      </c>
      <c r="D412" s="2">
        <v>40</v>
      </c>
      <c r="E412" s="2">
        <v>100</v>
      </c>
      <c r="F412" s="2">
        <v>30</v>
      </c>
      <c r="G412" s="2" t="s">
        <v>723</v>
      </c>
    </row>
    <row r="413" spans="1:7">
      <c r="A413" s="2" t="s">
        <v>985</v>
      </c>
      <c r="B413" s="2" t="s">
        <v>26</v>
      </c>
      <c r="C413" s="2" t="s">
        <v>669</v>
      </c>
      <c r="D413" s="2">
        <v>80</v>
      </c>
      <c r="E413" s="2">
        <v>100</v>
      </c>
      <c r="F413" s="2">
        <v>15</v>
      </c>
      <c r="G413" s="2" t="s">
        <v>673</v>
      </c>
    </row>
    <row r="414" spans="1:7">
      <c r="A414" s="2" t="s">
        <v>1991</v>
      </c>
      <c r="B414" s="2" t="s">
        <v>24</v>
      </c>
      <c r="C414" s="2" t="s">
        <v>661</v>
      </c>
      <c r="D414" s="2">
        <v>100</v>
      </c>
      <c r="E414" s="2">
        <v>100</v>
      </c>
      <c r="F414" s="2">
        <v>10</v>
      </c>
      <c r="G414" s="2" t="s">
        <v>2194</v>
      </c>
    </row>
    <row r="415" spans="1:7">
      <c r="A415" s="2" t="s">
        <v>986</v>
      </c>
      <c r="B415" s="2" t="s">
        <v>24</v>
      </c>
      <c r="C415" s="2" t="s">
        <v>669</v>
      </c>
      <c r="D415" s="2">
        <v>140</v>
      </c>
      <c r="E415" s="2">
        <v>100</v>
      </c>
      <c r="F415" s="2">
        <v>5</v>
      </c>
      <c r="G415" s="2" t="s">
        <v>2195</v>
      </c>
    </row>
    <row r="416" spans="1:7">
      <c r="A416" s="2" t="s">
        <v>1231</v>
      </c>
      <c r="B416" s="2" t="s">
        <v>19</v>
      </c>
      <c r="C416" s="2" t="s">
        <v>661</v>
      </c>
      <c r="D416" s="2">
        <v>80</v>
      </c>
      <c r="E416" s="2">
        <v>100</v>
      </c>
      <c r="F416" s="2">
        <v>15</v>
      </c>
      <c r="G416" s="2" t="s">
        <v>692</v>
      </c>
    </row>
    <row r="417" spans="1:7">
      <c r="A417" s="2" t="s">
        <v>1086</v>
      </c>
      <c r="B417" s="2" t="s">
        <v>21</v>
      </c>
      <c r="C417" s="2" t="s">
        <v>661</v>
      </c>
      <c r="D417" s="2">
        <v>140</v>
      </c>
      <c r="E417" s="2">
        <v>90</v>
      </c>
      <c r="F417" s="2">
        <v>5</v>
      </c>
      <c r="G417" s="2" t="s">
        <v>2134</v>
      </c>
    </row>
    <row r="418" spans="1:7">
      <c r="A418" s="2" t="s">
        <v>987</v>
      </c>
      <c r="B418" s="2" t="s">
        <v>24</v>
      </c>
      <c r="C418" s="2" t="s">
        <v>664</v>
      </c>
      <c r="D418" s="2" t="s">
        <v>102</v>
      </c>
      <c r="E418" s="2" t="s">
        <v>102</v>
      </c>
      <c r="F418" s="2">
        <v>30</v>
      </c>
      <c r="G418" s="2" t="s">
        <v>2196</v>
      </c>
    </row>
    <row r="419" spans="1:7">
      <c r="A419" s="2" t="s">
        <v>1975</v>
      </c>
      <c r="B419" s="2" t="s">
        <v>9</v>
      </c>
      <c r="C419" s="2" t="s">
        <v>664</v>
      </c>
      <c r="D419" s="2" t="s">
        <v>102</v>
      </c>
      <c r="E419" s="2" t="s">
        <v>102</v>
      </c>
      <c r="F419" s="2">
        <v>10</v>
      </c>
      <c r="G419" s="2" t="s">
        <v>2197</v>
      </c>
    </row>
    <row r="420" spans="1:7">
      <c r="A420" s="2" t="s">
        <v>1964</v>
      </c>
      <c r="B420" s="2" t="s">
        <v>19</v>
      </c>
      <c r="C420" s="2" t="s">
        <v>661</v>
      </c>
      <c r="D420" s="2">
        <v>120</v>
      </c>
      <c r="E420" s="2">
        <v>75</v>
      </c>
      <c r="F420" s="2">
        <v>5</v>
      </c>
      <c r="G420" s="2" t="s">
        <v>672</v>
      </c>
    </row>
    <row r="421" spans="1:7">
      <c r="A421" s="2" t="s">
        <v>1205</v>
      </c>
      <c r="B421" s="2" t="s">
        <v>26</v>
      </c>
      <c r="C421" s="2" t="s">
        <v>669</v>
      </c>
      <c r="D421" s="2">
        <v>60</v>
      </c>
      <c r="E421" s="2" t="s">
        <v>102</v>
      </c>
      <c r="F421" s="2">
        <v>20</v>
      </c>
      <c r="G421" s="2" t="s">
        <v>743</v>
      </c>
    </row>
    <row r="422" spans="1:7">
      <c r="A422" s="2" t="s">
        <v>988</v>
      </c>
      <c r="B422" s="2" t="s">
        <v>17</v>
      </c>
      <c r="C422" s="2" t="s">
        <v>664</v>
      </c>
      <c r="D422" s="2" t="s">
        <v>102</v>
      </c>
      <c r="E422" s="2" t="s">
        <v>102</v>
      </c>
      <c r="F422" s="2">
        <v>10</v>
      </c>
      <c r="G422" s="2" t="s">
        <v>2198</v>
      </c>
    </row>
    <row r="423" spans="1:7">
      <c r="A423" s="2" t="s">
        <v>989</v>
      </c>
      <c r="B423" s="2" t="s">
        <v>24</v>
      </c>
      <c r="C423" s="2" t="s">
        <v>664</v>
      </c>
      <c r="D423" s="2" t="s">
        <v>102</v>
      </c>
      <c r="E423" s="2" t="s">
        <v>102</v>
      </c>
      <c r="F423" s="2">
        <v>20</v>
      </c>
      <c r="G423" s="2" t="s">
        <v>2199</v>
      </c>
    </row>
    <row r="424" spans="1:7">
      <c r="A424" s="2" t="s">
        <v>1559</v>
      </c>
      <c r="B424" s="2" t="s">
        <v>26</v>
      </c>
      <c r="C424" s="2" t="s">
        <v>669</v>
      </c>
      <c r="D424" s="2" t="s">
        <v>102</v>
      </c>
      <c r="E424" s="2">
        <v>100</v>
      </c>
      <c r="F424" s="2">
        <v>10</v>
      </c>
      <c r="G424" s="2" t="s">
        <v>2200</v>
      </c>
    </row>
    <row r="425" spans="1:7">
      <c r="A425" s="2" t="s">
        <v>1184</v>
      </c>
      <c r="B425" s="2" t="s">
        <v>9</v>
      </c>
      <c r="C425" s="2" t="s">
        <v>664</v>
      </c>
      <c r="D425" s="2" t="s">
        <v>102</v>
      </c>
      <c r="E425" s="2" t="s">
        <v>102</v>
      </c>
      <c r="F425" s="2">
        <v>40</v>
      </c>
      <c r="G425" s="2" t="s">
        <v>2201</v>
      </c>
    </row>
    <row r="426" spans="1:7">
      <c r="A426" s="2" t="s">
        <v>1206</v>
      </c>
      <c r="B426" s="2" t="s">
        <v>26</v>
      </c>
      <c r="C426" s="2" t="s">
        <v>661</v>
      </c>
      <c r="D426" s="2">
        <v>65</v>
      </c>
      <c r="E426" s="2">
        <v>85</v>
      </c>
      <c r="F426" s="2">
        <v>10</v>
      </c>
      <c r="G426" s="2" t="s">
        <v>2074</v>
      </c>
    </row>
    <row r="427" spans="1:7">
      <c r="A427" s="2" t="s">
        <v>990</v>
      </c>
      <c r="B427" s="2" t="s">
        <v>22</v>
      </c>
      <c r="C427" s="2" t="s">
        <v>661</v>
      </c>
      <c r="D427" s="2">
        <v>65</v>
      </c>
      <c r="E427" s="2">
        <v>85</v>
      </c>
      <c r="F427" s="2">
        <v>10</v>
      </c>
      <c r="G427" s="2" t="s">
        <v>2074</v>
      </c>
    </row>
    <row r="428" spans="1:7">
      <c r="A428" s="2" t="s">
        <v>991</v>
      </c>
      <c r="B428" s="2" t="s">
        <v>15</v>
      </c>
      <c r="C428" s="2" t="s">
        <v>664</v>
      </c>
      <c r="D428" s="2" t="s">
        <v>102</v>
      </c>
      <c r="E428" s="2" t="s">
        <v>102</v>
      </c>
      <c r="F428" s="2">
        <v>20</v>
      </c>
      <c r="G428" s="2" t="s">
        <v>2202</v>
      </c>
    </row>
    <row r="429" spans="1:7">
      <c r="A429" s="2" t="s">
        <v>992</v>
      </c>
      <c r="B429" s="2" t="s">
        <v>24</v>
      </c>
      <c r="C429" s="2" t="s">
        <v>669</v>
      </c>
      <c r="D429" s="2" t="s">
        <v>102</v>
      </c>
      <c r="E429" s="2">
        <v>100</v>
      </c>
      <c r="F429" s="2">
        <v>15</v>
      </c>
      <c r="G429" s="2" t="s">
        <v>2203</v>
      </c>
    </row>
    <row r="430" spans="1:7">
      <c r="A430" s="2" t="s">
        <v>993</v>
      </c>
      <c r="B430" s="2" t="s">
        <v>15</v>
      </c>
      <c r="C430" s="2" t="s">
        <v>669</v>
      </c>
      <c r="D430" s="2">
        <v>70</v>
      </c>
      <c r="E430" s="2">
        <v>100</v>
      </c>
      <c r="F430" s="2">
        <v>15</v>
      </c>
      <c r="G430" s="2" t="s">
        <v>683</v>
      </c>
    </row>
    <row r="431" spans="1:7">
      <c r="A431" s="2" t="s">
        <v>994</v>
      </c>
      <c r="B431" s="2" t="s">
        <v>10</v>
      </c>
      <c r="C431" s="2" t="s">
        <v>661</v>
      </c>
      <c r="D431" s="2">
        <v>60</v>
      </c>
      <c r="E431" s="2">
        <v>100</v>
      </c>
      <c r="F431" s="2">
        <v>5</v>
      </c>
      <c r="G431" s="2" t="s">
        <v>2043</v>
      </c>
    </row>
    <row r="432" spans="1:7">
      <c r="A432" s="2" t="s">
        <v>995</v>
      </c>
      <c r="B432" s="2" t="s">
        <v>15</v>
      </c>
      <c r="C432" s="2" t="s">
        <v>669</v>
      </c>
      <c r="D432" s="2">
        <v>50</v>
      </c>
      <c r="E432" s="2">
        <v>100</v>
      </c>
      <c r="F432" s="2">
        <v>10</v>
      </c>
      <c r="G432" s="2" t="s">
        <v>2204</v>
      </c>
    </row>
    <row r="433" spans="1:7">
      <c r="A433" s="2" t="s">
        <v>996</v>
      </c>
      <c r="B433" s="2" t="s">
        <v>20</v>
      </c>
      <c r="C433" s="2" t="s">
        <v>669</v>
      </c>
      <c r="D433" s="2">
        <v>60</v>
      </c>
      <c r="E433" s="2">
        <v>100</v>
      </c>
      <c r="F433" s="2">
        <v>20</v>
      </c>
      <c r="G433" s="2" t="s">
        <v>2205</v>
      </c>
    </row>
    <row r="434" spans="1:7">
      <c r="A434" s="2" t="s">
        <v>997</v>
      </c>
      <c r="B434" s="2" t="s">
        <v>11</v>
      </c>
      <c r="C434" s="2" t="s">
        <v>669</v>
      </c>
      <c r="D434" s="2">
        <v>80</v>
      </c>
      <c r="E434" s="2">
        <v>100</v>
      </c>
      <c r="F434" s="2">
        <v>20</v>
      </c>
      <c r="G434" s="2" t="s">
        <v>721</v>
      </c>
    </row>
    <row r="435" spans="1:7">
      <c r="A435" s="2" t="s">
        <v>1169</v>
      </c>
      <c r="B435" s="2" t="s">
        <v>25</v>
      </c>
      <c r="C435" s="2" t="s">
        <v>661</v>
      </c>
      <c r="D435" s="2">
        <v>70</v>
      </c>
      <c r="E435" s="2">
        <v>100</v>
      </c>
      <c r="F435" s="2">
        <v>20</v>
      </c>
      <c r="G435" s="2"/>
    </row>
    <row r="436" spans="1:7">
      <c r="A436" s="2" t="s">
        <v>998</v>
      </c>
      <c r="B436" s="2" t="s">
        <v>9</v>
      </c>
      <c r="C436" s="2" t="s">
        <v>664</v>
      </c>
      <c r="D436" s="2" t="s">
        <v>102</v>
      </c>
      <c r="E436" s="2" t="s">
        <v>102</v>
      </c>
      <c r="F436" s="2">
        <v>10</v>
      </c>
      <c r="G436" s="2" t="s">
        <v>2206</v>
      </c>
    </row>
    <row r="437" spans="1:7">
      <c r="A437" s="2" t="s">
        <v>999</v>
      </c>
      <c r="B437" s="2" t="s">
        <v>9</v>
      </c>
      <c r="C437" s="2" t="s">
        <v>664</v>
      </c>
      <c r="D437" s="2" t="s">
        <v>102</v>
      </c>
      <c r="E437" s="2" t="s">
        <v>102</v>
      </c>
      <c r="F437" s="2">
        <v>10</v>
      </c>
      <c r="G437" s="2" t="s">
        <v>2207</v>
      </c>
    </row>
    <row r="438" spans="1:7">
      <c r="A438" s="2" t="s">
        <v>1088</v>
      </c>
      <c r="B438" s="2" t="s">
        <v>21</v>
      </c>
      <c r="C438" s="2" t="s">
        <v>669</v>
      </c>
      <c r="D438" s="2">
        <v>120</v>
      </c>
      <c r="E438" s="2">
        <v>85</v>
      </c>
      <c r="F438" s="2">
        <v>10</v>
      </c>
      <c r="G438" s="2"/>
    </row>
    <row r="439" spans="1:7">
      <c r="A439" s="2" t="s">
        <v>1000</v>
      </c>
      <c r="B439" s="2" t="s">
        <v>9</v>
      </c>
      <c r="C439" s="2" t="s">
        <v>669</v>
      </c>
      <c r="D439" s="2">
        <v>70</v>
      </c>
      <c r="E439" s="2">
        <v>100</v>
      </c>
      <c r="F439" s="2">
        <v>20</v>
      </c>
      <c r="G439" s="2" t="s">
        <v>683</v>
      </c>
    </row>
    <row r="440" spans="1:7">
      <c r="A440" s="2" t="s">
        <v>1262</v>
      </c>
      <c r="B440" s="2" t="s">
        <v>9</v>
      </c>
      <c r="C440" s="2" t="s">
        <v>664</v>
      </c>
      <c r="D440" s="2" t="s">
        <v>102</v>
      </c>
      <c r="E440" s="2">
        <v>90</v>
      </c>
      <c r="F440" s="2">
        <v>10</v>
      </c>
      <c r="G440" s="2" t="s">
        <v>2208</v>
      </c>
    </row>
    <row r="441" spans="1:7">
      <c r="A441" s="2" t="s">
        <v>1001</v>
      </c>
      <c r="B441" s="2" t="s">
        <v>15</v>
      </c>
      <c r="C441" s="2" t="s">
        <v>669</v>
      </c>
      <c r="D441" s="2" t="s">
        <v>102</v>
      </c>
      <c r="E441" s="2">
        <v>100</v>
      </c>
      <c r="F441" s="2">
        <v>5</v>
      </c>
      <c r="G441" s="2" t="s">
        <v>2209</v>
      </c>
    </row>
    <row r="442" spans="1:7">
      <c r="A442" s="2" t="s">
        <v>1958</v>
      </c>
      <c r="B442" s="2" t="s">
        <v>16</v>
      </c>
      <c r="C442" s="2" t="s">
        <v>661</v>
      </c>
      <c r="D442" s="2">
        <v>150</v>
      </c>
      <c r="E442" s="2">
        <v>90</v>
      </c>
      <c r="F442" s="2">
        <v>5</v>
      </c>
      <c r="G442" s="2" t="s">
        <v>704</v>
      </c>
    </row>
    <row r="443" spans="1:7">
      <c r="A443" s="2" t="s">
        <v>1002</v>
      </c>
      <c r="B443" s="2" t="s">
        <v>24</v>
      </c>
      <c r="C443" s="2" t="s">
        <v>669</v>
      </c>
      <c r="D443" s="2">
        <v>90</v>
      </c>
      <c r="E443" s="2">
        <v>85</v>
      </c>
      <c r="F443" s="2">
        <v>20</v>
      </c>
      <c r="G443" s="2" t="s">
        <v>679</v>
      </c>
    </row>
    <row r="444" spans="1:7">
      <c r="A444" s="2" t="s">
        <v>1003</v>
      </c>
      <c r="B444" s="2" t="s">
        <v>25</v>
      </c>
      <c r="C444" s="2" t="s">
        <v>664</v>
      </c>
      <c r="D444" s="2" t="s">
        <v>102</v>
      </c>
      <c r="E444" s="2" t="s">
        <v>102</v>
      </c>
      <c r="F444" s="2">
        <v>20</v>
      </c>
      <c r="G444" s="2" t="s">
        <v>666</v>
      </c>
    </row>
    <row r="445" spans="1:7">
      <c r="A445" s="2" t="s">
        <v>1909</v>
      </c>
      <c r="B445" s="2" t="s">
        <v>25</v>
      </c>
      <c r="C445" s="2" t="s">
        <v>669</v>
      </c>
      <c r="D445" s="2">
        <v>150</v>
      </c>
      <c r="E445" s="2">
        <v>90</v>
      </c>
      <c r="F445" s="2">
        <v>5</v>
      </c>
      <c r="G445" s="2" t="s">
        <v>704</v>
      </c>
    </row>
    <row r="446" spans="1:7">
      <c r="A446" s="2" t="s">
        <v>1119</v>
      </c>
      <c r="B446" s="2" t="s">
        <v>20</v>
      </c>
      <c r="C446" s="2" t="s">
        <v>664</v>
      </c>
      <c r="D446" s="2" t="s">
        <v>102</v>
      </c>
      <c r="E446" s="2" t="s">
        <v>102</v>
      </c>
      <c r="F446" s="2">
        <v>10</v>
      </c>
      <c r="G446" s="2" t="s">
        <v>2210</v>
      </c>
    </row>
    <row r="447" spans="1:7">
      <c r="A447" s="2" t="s">
        <v>1004</v>
      </c>
      <c r="B447" s="2" t="s">
        <v>21</v>
      </c>
      <c r="C447" s="2" t="s">
        <v>669</v>
      </c>
      <c r="D447" s="2">
        <v>80</v>
      </c>
      <c r="E447" s="2">
        <v>100</v>
      </c>
      <c r="F447" s="2">
        <v>15</v>
      </c>
      <c r="G447" s="2"/>
    </row>
    <row r="448" spans="1:7">
      <c r="A448" s="2" t="s">
        <v>1986</v>
      </c>
      <c r="B448" s="2" t="s">
        <v>21</v>
      </c>
      <c r="C448" s="2" t="s">
        <v>661</v>
      </c>
      <c r="D448" s="2">
        <v>120</v>
      </c>
      <c r="E448" s="2">
        <v>85</v>
      </c>
      <c r="F448" s="2">
        <v>5</v>
      </c>
      <c r="G448" s="2" t="s">
        <v>663</v>
      </c>
    </row>
    <row r="449" spans="1:7">
      <c r="A449" s="2" t="s">
        <v>1005</v>
      </c>
      <c r="B449" s="2" t="s">
        <v>10</v>
      </c>
      <c r="C449" s="2" t="s">
        <v>669</v>
      </c>
      <c r="D449" s="2">
        <v>70</v>
      </c>
      <c r="E449" s="2">
        <v>100</v>
      </c>
      <c r="F449" s="2">
        <v>15</v>
      </c>
      <c r="G449" s="2" t="s">
        <v>683</v>
      </c>
    </row>
    <row r="450" spans="1:7">
      <c r="A450" s="2" t="s">
        <v>1970</v>
      </c>
      <c r="B450" s="2" t="s">
        <v>10</v>
      </c>
      <c r="C450" s="2" t="s">
        <v>669</v>
      </c>
      <c r="D450" s="2">
        <v>120</v>
      </c>
      <c r="E450" s="2">
        <v>100</v>
      </c>
      <c r="F450" s="2">
        <v>5</v>
      </c>
      <c r="G450" s="2" t="s">
        <v>2211</v>
      </c>
    </row>
    <row r="451" spans="1:7">
      <c r="A451" s="2" t="s">
        <v>1006</v>
      </c>
      <c r="B451" s="2" t="s">
        <v>10</v>
      </c>
      <c r="C451" s="2" t="s">
        <v>669</v>
      </c>
      <c r="D451" s="2">
        <v>40</v>
      </c>
      <c r="E451" s="2">
        <v>100</v>
      </c>
      <c r="F451" s="2">
        <v>30</v>
      </c>
      <c r="G451" s="2" t="s">
        <v>723</v>
      </c>
    </row>
    <row r="452" spans="1:7">
      <c r="A452" s="2" t="s">
        <v>1961</v>
      </c>
      <c r="B452" s="2" t="s">
        <v>16</v>
      </c>
      <c r="C452" s="2" t="s">
        <v>661</v>
      </c>
      <c r="D452" s="2">
        <v>100</v>
      </c>
      <c r="E452" s="2">
        <v>95</v>
      </c>
      <c r="F452" s="2">
        <v>5</v>
      </c>
      <c r="G452" s="2" t="s">
        <v>683</v>
      </c>
    </row>
    <row r="453" spans="1:7">
      <c r="A453" s="2" t="s">
        <v>1007</v>
      </c>
      <c r="B453" s="2" t="s">
        <v>25</v>
      </c>
      <c r="C453" s="2" t="s">
        <v>664</v>
      </c>
      <c r="D453" s="2" t="s">
        <v>102</v>
      </c>
      <c r="E453" s="2" t="s">
        <v>102</v>
      </c>
      <c r="F453" s="2">
        <v>20</v>
      </c>
      <c r="G453" s="2" t="s">
        <v>2212</v>
      </c>
    </row>
    <row r="454" spans="1:7">
      <c r="A454" s="2" t="s">
        <v>183</v>
      </c>
      <c r="B454" s="2" t="s">
        <v>25</v>
      </c>
      <c r="C454" s="2" t="s">
        <v>669</v>
      </c>
      <c r="D454" s="2">
        <v>100</v>
      </c>
      <c r="E454" s="2">
        <v>80</v>
      </c>
      <c r="F454" s="2">
        <v>5</v>
      </c>
      <c r="G454" s="2" t="s">
        <v>683</v>
      </c>
    </row>
    <row r="455" spans="1:7">
      <c r="A455" s="2" t="s">
        <v>1008</v>
      </c>
      <c r="B455" s="2" t="s">
        <v>15</v>
      </c>
      <c r="C455" s="2" t="s">
        <v>669</v>
      </c>
      <c r="D455" s="2">
        <v>80</v>
      </c>
      <c r="E455" s="2">
        <v>100</v>
      </c>
      <c r="F455" s="2">
        <v>5</v>
      </c>
      <c r="G455" s="2" t="s">
        <v>2213</v>
      </c>
    </row>
    <row r="456" spans="1:7">
      <c r="A456" s="2" t="s">
        <v>1136</v>
      </c>
      <c r="B456" s="2" t="s">
        <v>15</v>
      </c>
      <c r="C456" s="2" t="s">
        <v>664</v>
      </c>
      <c r="D456" s="2" t="s">
        <v>102</v>
      </c>
      <c r="E456" s="2">
        <v>100</v>
      </c>
      <c r="F456" s="2">
        <v>15</v>
      </c>
      <c r="G456" s="2" t="s">
        <v>2156</v>
      </c>
    </row>
    <row r="457" spans="1:7">
      <c r="A457" s="2" t="s">
        <v>1009</v>
      </c>
      <c r="B457" s="2" t="s">
        <v>20</v>
      </c>
      <c r="C457" s="2" t="s">
        <v>664</v>
      </c>
      <c r="D457" s="2" t="s">
        <v>102</v>
      </c>
      <c r="E457" s="2" t="s">
        <v>102</v>
      </c>
      <c r="F457" s="2">
        <v>30</v>
      </c>
      <c r="G457" s="2" t="s">
        <v>2214</v>
      </c>
    </row>
    <row r="458" spans="1:7">
      <c r="A458" s="2" t="s">
        <v>1010</v>
      </c>
      <c r="B458" s="2" t="s">
        <v>17</v>
      </c>
      <c r="C458" s="2" t="s">
        <v>669</v>
      </c>
      <c r="D458" s="2">
        <v>65</v>
      </c>
      <c r="E458" s="2">
        <v>95</v>
      </c>
      <c r="F458" s="2">
        <v>15</v>
      </c>
      <c r="G458" s="2" t="s">
        <v>2215</v>
      </c>
    </row>
    <row r="459" spans="1:7">
      <c r="A459" s="2" t="s">
        <v>1011</v>
      </c>
      <c r="B459" s="2" t="s">
        <v>11</v>
      </c>
      <c r="C459" s="2" t="s">
        <v>664</v>
      </c>
      <c r="D459" s="2" t="s">
        <v>102</v>
      </c>
      <c r="E459" s="2" t="s">
        <v>102</v>
      </c>
      <c r="F459" s="2">
        <v>20</v>
      </c>
      <c r="G459" s="2" t="s">
        <v>2216</v>
      </c>
    </row>
    <row r="460" spans="1:7">
      <c r="A460" s="2" t="s">
        <v>1012</v>
      </c>
      <c r="B460" s="2" t="s">
        <v>9</v>
      </c>
      <c r="C460" s="2" t="s">
        <v>664</v>
      </c>
      <c r="D460" s="2" t="s">
        <v>102</v>
      </c>
      <c r="E460" s="2" t="s">
        <v>102</v>
      </c>
      <c r="F460" s="2">
        <v>5</v>
      </c>
      <c r="G460" s="2" t="s">
        <v>2217</v>
      </c>
    </row>
    <row r="461" spans="1:7">
      <c r="A461" s="2" t="s">
        <v>1013</v>
      </c>
      <c r="B461" s="2" t="s">
        <v>24</v>
      </c>
      <c r="C461" s="2" t="s">
        <v>661</v>
      </c>
      <c r="D461" s="2" t="s">
        <v>102</v>
      </c>
      <c r="E461" s="2" t="s">
        <v>102</v>
      </c>
      <c r="F461" s="2">
        <v>5</v>
      </c>
      <c r="G461" s="2" t="s">
        <v>2218</v>
      </c>
    </row>
    <row r="462" spans="1:7">
      <c r="A462" s="2" t="s">
        <v>1014</v>
      </c>
      <c r="B462" s="2" t="s">
        <v>14</v>
      </c>
      <c r="C462" s="2" t="s">
        <v>669</v>
      </c>
      <c r="D462" s="2">
        <v>70</v>
      </c>
      <c r="E462" s="2">
        <v>100</v>
      </c>
      <c r="F462" s="2">
        <v>20</v>
      </c>
      <c r="G462" s="2" t="s">
        <v>2219</v>
      </c>
    </row>
    <row r="463" spans="1:7">
      <c r="A463" s="2" t="s">
        <v>1015</v>
      </c>
      <c r="B463" s="2" t="s">
        <v>18</v>
      </c>
      <c r="C463" s="2" t="s">
        <v>661</v>
      </c>
      <c r="D463" s="2">
        <v>40</v>
      </c>
      <c r="E463" s="2">
        <v>100</v>
      </c>
      <c r="F463" s="2">
        <v>30</v>
      </c>
      <c r="G463" s="2" t="s">
        <v>723</v>
      </c>
    </row>
    <row r="464" spans="1:7">
      <c r="A464" s="2" t="s">
        <v>1016</v>
      </c>
      <c r="B464" s="2" t="s">
        <v>18</v>
      </c>
      <c r="C464" s="2" t="s">
        <v>669</v>
      </c>
      <c r="D464" s="2">
        <v>60</v>
      </c>
      <c r="E464" s="2">
        <v>100</v>
      </c>
      <c r="F464" s="2">
        <v>10</v>
      </c>
      <c r="G464" s="2" t="s">
        <v>2220</v>
      </c>
    </row>
    <row r="465" spans="1:7">
      <c r="A465" s="2" t="s">
        <v>1218</v>
      </c>
      <c r="B465" s="2" t="s">
        <v>21</v>
      </c>
      <c r="C465" s="2" t="s">
        <v>669</v>
      </c>
      <c r="D465" s="2">
        <v>120</v>
      </c>
      <c r="E465" s="2">
        <v>100</v>
      </c>
      <c r="F465" s="2">
        <v>15</v>
      </c>
      <c r="G465" s="2" t="s">
        <v>688</v>
      </c>
    </row>
    <row r="466" spans="1:7">
      <c r="A466" s="2" t="s">
        <v>1017</v>
      </c>
      <c r="B466" s="2" t="s">
        <v>21</v>
      </c>
      <c r="C466" s="2" t="s">
        <v>664</v>
      </c>
      <c r="D466" s="2" t="s">
        <v>102</v>
      </c>
      <c r="E466" s="2">
        <v>100</v>
      </c>
      <c r="F466" s="2">
        <v>10</v>
      </c>
      <c r="G466" s="2" t="s">
        <v>2221</v>
      </c>
    </row>
    <row r="467" spans="1:7">
      <c r="A467" s="2" t="s">
        <v>1189</v>
      </c>
      <c r="B467" s="2" t="s">
        <v>24</v>
      </c>
      <c r="C467" s="2" t="s">
        <v>661</v>
      </c>
      <c r="D467" s="2" t="s">
        <v>102</v>
      </c>
      <c r="E467" s="2">
        <v>100</v>
      </c>
      <c r="F467" s="2">
        <v>5</v>
      </c>
      <c r="G467" s="2" t="s">
        <v>2222</v>
      </c>
    </row>
    <row r="468" spans="1:7">
      <c r="A468" s="2" t="s">
        <v>1018</v>
      </c>
      <c r="B468" s="2" t="s">
        <v>14</v>
      </c>
      <c r="C468" s="2" t="s">
        <v>669</v>
      </c>
      <c r="D468" s="2">
        <v>80</v>
      </c>
      <c r="E468" s="2">
        <v>100</v>
      </c>
      <c r="F468" s="2">
        <v>15</v>
      </c>
      <c r="G468" s="2"/>
    </row>
    <row r="469" spans="1:7">
      <c r="A469" s="2" t="s">
        <v>1019</v>
      </c>
      <c r="B469" s="2" t="s">
        <v>9</v>
      </c>
      <c r="C469" s="2" t="s">
        <v>669</v>
      </c>
      <c r="D469" s="2">
        <v>80</v>
      </c>
      <c r="E469" s="2">
        <v>90</v>
      </c>
      <c r="F469" s="2">
        <v>15</v>
      </c>
      <c r="G469" s="2" t="s">
        <v>673</v>
      </c>
    </row>
    <row r="470" spans="1:7">
      <c r="A470" s="2" t="s">
        <v>1134</v>
      </c>
      <c r="B470" s="2" t="s">
        <v>11</v>
      </c>
      <c r="C470" s="2" t="s">
        <v>661</v>
      </c>
      <c r="D470" s="2">
        <v>40</v>
      </c>
      <c r="E470" s="2">
        <v>100</v>
      </c>
      <c r="F470" s="2">
        <v>20</v>
      </c>
      <c r="G470" s="2" t="s">
        <v>2118</v>
      </c>
    </row>
    <row r="471" spans="1:7">
      <c r="A471" s="2" t="s">
        <v>1020</v>
      </c>
      <c r="B471" s="2" t="s">
        <v>20</v>
      </c>
      <c r="C471" s="2" t="s">
        <v>669</v>
      </c>
      <c r="D471" s="2">
        <v>55</v>
      </c>
      <c r="E471" s="2">
        <v>100</v>
      </c>
      <c r="F471" s="2">
        <v>15</v>
      </c>
      <c r="G471" s="2" t="s">
        <v>2223</v>
      </c>
    </row>
    <row r="472" spans="1:7">
      <c r="A472" s="2" t="s">
        <v>1150</v>
      </c>
      <c r="B472" s="2" t="s">
        <v>24</v>
      </c>
      <c r="C472" s="2" t="s">
        <v>664</v>
      </c>
      <c r="D472" s="2" t="s">
        <v>102</v>
      </c>
      <c r="E472" s="2" t="s">
        <v>102</v>
      </c>
      <c r="F472" s="2">
        <v>15</v>
      </c>
      <c r="G472" s="2" t="s">
        <v>2224</v>
      </c>
    </row>
    <row r="473" spans="1:7">
      <c r="A473" s="2" t="s">
        <v>1181</v>
      </c>
      <c r="B473" s="2" t="s">
        <v>9</v>
      </c>
      <c r="C473" s="2" t="s">
        <v>664</v>
      </c>
      <c r="D473" s="2" t="s">
        <v>102</v>
      </c>
      <c r="E473" s="2" t="s">
        <v>102</v>
      </c>
      <c r="F473" s="2">
        <v>15</v>
      </c>
      <c r="G473" s="2" t="s">
        <v>2225</v>
      </c>
    </row>
    <row r="474" spans="1:7">
      <c r="A474" s="2" t="s">
        <v>1197</v>
      </c>
      <c r="B474" s="2" t="s">
        <v>26</v>
      </c>
      <c r="C474" s="2" t="s">
        <v>664</v>
      </c>
      <c r="D474" s="2" t="s">
        <v>102</v>
      </c>
      <c r="E474" s="2" t="s">
        <v>102</v>
      </c>
      <c r="F474" s="2">
        <v>15</v>
      </c>
      <c r="G474" s="2" t="s">
        <v>2226</v>
      </c>
    </row>
    <row r="475" spans="1:7">
      <c r="A475" s="2" t="s">
        <v>1139</v>
      </c>
      <c r="B475" s="2" t="s">
        <v>24</v>
      </c>
      <c r="C475" s="2" t="s">
        <v>664</v>
      </c>
      <c r="D475" s="2" t="s">
        <v>102</v>
      </c>
      <c r="E475" s="2" t="s">
        <v>102</v>
      </c>
      <c r="F475" s="2">
        <v>15</v>
      </c>
      <c r="G475" s="2" t="s">
        <v>2227</v>
      </c>
    </row>
    <row r="476" spans="1:7">
      <c r="A476" s="2" t="s">
        <v>1995</v>
      </c>
      <c r="B476" s="2" t="s">
        <v>19</v>
      </c>
      <c r="C476" s="2" t="s">
        <v>661</v>
      </c>
      <c r="D476" s="2">
        <v>130</v>
      </c>
      <c r="E476" s="2">
        <v>85</v>
      </c>
      <c r="F476" s="2">
        <v>5</v>
      </c>
      <c r="G476" s="2" t="s">
        <v>692</v>
      </c>
    </row>
    <row r="477" spans="1:7">
      <c r="A477" s="2" t="s">
        <v>1996</v>
      </c>
      <c r="B477" s="2" t="s">
        <v>17</v>
      </c>
      <c r="C477" s="2" t="s">
        <v>669</v>
      </c>
      <c r="D477" s="2">
        <v>130</v>
      </c>
      <c r="E477" s="2">
        <v>85</v>
      </c>
      <c r="F477" s="2">
        <v>5</v>
      </c>
      <c r="G477" s="2" t="s">
        <v>675</v>
      </c>
    </row>
    <row r="478" spans="1:7">
      <c r="A478" s="2" t="s">
        <v>1021</v>
      </c>
      <c r="B478" s="2" t="s">
        <v>22</v>
      </c>
      <c r="C478" s="2" t="s">
        <v>669</v>
      </c>
      <c r="D478" s="2">
        <v>60</v>
      </c>
      <c r="E478" s="2">
        <v>100</v>
      </c>
      <c r="F478" s="2">
        <v>20</v>
      </c>
      <c r="G478" s="2" t="s">
        <v>738</v>
      </c>
    </row>
    <row r="479" spans="1:7">
      <c r="A479" s="2" t="s">
        <v>1142</v>
      </c>
      <c r="B479" s="2" t="s">
        <v>24</v>
      </c>
      <c r="C479" s="2" t="s">
        <v>669</v>
      </c>
      <c r="D479" s="2">
        <v>70</v>
      </c>
      <c r="E479" s="2">
        <v>100</v>
      </c>
      <c r="F479" s="2">
        <v>20</v>
      </c>
      <c r="G479" s="2" t="s">
        <v>2228</v>
      </c>
    </row>
    <row r="480" spans="1:7">
      <c r="A480" s="2" t="s">
        <v>1180</v>
      </c>
      <c r="B480" s="2" t="s">
        <v>18</v>
      </c>
      <c r="C480" s="2" t="s">
        <v>669</v>
      </c>
      <c r="D480" s="2">
        <v>60</v>
      </c>
      <c r="E480" s="2">
        <v>90</v>
      </c>
      <c r="F480" s="2">
        <v>10</v>
      </c>
      <c r="G480" s="2" t="s">
        <v>729</v>
      </c>
    </row>
    <row r="481" spans="1:7">
      <c r="A481" s="2" t="s">
        <v>1191</v>
      </c>
      <c r="B481" s="2" t="s">
        <v>11</v>
      </c>
      <c r="C481" s="2" t="s">
        <v>661</v>
      </c>
      <c r="D481" s="2">
        <v>50</v>
      </c>
      <c r="E481" s="2" t="s">
        <v>102</v>
      </c>
      <c r="F481" s="2">
        <v>15</v>
      </c>
      <c r="G481" s="2" t="s">
        <v>2229</v>
      </c>
    </row>
    <row r="482" spans="1:7">
      <c r="A482" s="2" t="s">
        <v>1135</v>
      </c>
      <c r="B482" s="2" t="s">
        <v>11</v>
      </c>
      <c r="C482" s="2" t="s">
        <v>664</v>
      </c>
      <c r="D482" s="2" t="s">
        <v>102</v>
      </c>
      <c r="E482" s="2" t="s">
        <v>102</v>
      </c>
      <c r="F482" s="2">
        <v>20</v>
      </c>
      <c r="G482" s="2" t="s">
        <v>2230</v>
      </c>
    </row>
    <row r="483" spans="1:7">
      <c r="A483" s="2" t="s">
        <v>1298</v>
      </c>
      <c r="B483" s="2" t="s">
        <v>21</v>
      </c>
      <c r="C483" s="2" t="s">
        <v>664</v>
      </c>
      <c r="D483" s="2" t="s">
        <v>102</v>
      </c>
      <c r="E483" s="2" t="s">
        <v>102</v>
      </c>
      <c r="F483" s="2">
        <v>10</v>
      </c>
      <c r="G483" s="2" t="s">
        <v>2231</v>
      </c>
    </row>
    <row r="484" spans="1:7">
      <c r="A484" s="2" t="s">
        <v>1022</v>
      </c>
      <c r="B484" s="2" t="s">
        <v>16</v>
      </c>
      <c r="C484" s="2" t="s">
        <v>669</v>
      </c>
      <c r="D484" s="2">
        <v>60</v>
      </c>
      <c r="E484" s="2">
        <v>90</v>
      </c>
      <c r="F484" s="2">
        <v>10</v>
      </c>
      <c r="G484" s="2" t="s">
        <v>729</v>
      </c>
    </row>
    <row r="485" spans="1:7">
      <c r="A485" s="2" t="s">
        <v>1132</v>
      </c>
      <c r="B485" s="2" t="s">
        <v>22</v>
      </c>
      <c r="C485" s="2" t="s">
        <v>669</v>
      </c>
      <c r="D485" s="2">
        <v>80</v>
      </c>
      <c r="E485" s="2">
        <v>95</v>
      </c>
      <c r="F485" s="2">
        <v>10</v>
      </c>
      <c r="G485" s="2" t="s">
        <v>683</v>
      </c>
    </row>
    <row r="486" spans="1:7">
      <c r="A486" s="2" t="s">
        <v>1868</v>
      </c>
      <c r="B486" s="2" t="s">
        <v>16</v>
      </c>
      <c r="C486" s="2" t="s">
        <v>669</v>
      </c>
      <c r="D486" s="2">
        <v>40</v>
      </c>
      <c r="E486" s="2">
        <v>90</v>
      </c>
      <c r="F486" s="2">
        <v>15</v>
      </c>
      <c r="G486" s="2" t="s">
        <v>676</v>
      </c>
    </row>
    <row r="487" spans="1:7">
      <c r="A487" s="2" t="s">
        <v>1083</v>
      </c>
      <c r="B487" s="2" t="s">
        <v>24</v>
      </c>
      <c r="C487" s="2" t="s">
        <v>661</v>
      </c>
      <c r="D487" s="2">
        <v>40</v>
      </c>
      <c r="E487" s="2">
        <v>100</v>
      </c>
      <c r="F487" s="2">
        <v>15</v>
      </c>
      <c r="G487" s="2" t="s">
        <v>2232</v>
      </c>
    </row>
    <row r="488" spans="1:7">
      <c r="A488" s="2" t="s">
        <v>1023</v>
      </c>
      <c r="B488" s="2" t="s">
        <v>17</v>
      </c>
      <c r="C488" s="2" t="s">
        <v>661</v>
      </c>
      <c r="D488" s="2" t="s">
        <v>102</v>
      </c>
      <c r="E488" s="2">
        <v>100</v>
      </c>
      <c r="F488" s="2">
        <v>10</v>
      </c>
      <c r="G488" s="2" t="s">
        <v>2233</v>
      </c>
    </row>
    <row r="489" spans="1:7">
      <c r="A489" s="2" t="s">
        <v>1272</v>
      </c>
      <c r="B489" s="2" t="s">
        <v>17</v>
      </c>
      <c r="C489" s="2" t="s">
        <v>661</v>
      </c>
      <c r="D489" s="2">
        <v>55</v>
      </c>
      <c r="E489" s="2">
        <v>95</v>
      </c>
      <c r="F489" s="2">
        <v>15</v>
      </c>
      <c r="G489" s="2" t="s">
        <v>738</v>
      </c>
    </row>
    <row r="490" spans="1:7">
      <c r="A490" s="2" t="s">
        <v>1577</v>
      </c>
      <c r="B490" s="2" t="s">
        <v>24</v>
      </c>
      <c r="C490" s="2" t="s">
        <v>664</v>
      </c>
      <c r="D490" s="2" t="s">
        <v>102</v>
      </c>
      <c r="E490" s="2">
        <v>100</v>
      </c>
      <c r="F490" s="2">
        <v>15</v>
      </c>
      <c r="G490" s="2" t="s">
        <v>2234</v>
      </c>
    </row>
    <row r="491" spans="1:7">
      <c r="A491" s="2" t="s">
        <v>2038</v>
      </c>
      <c r="B491" s="2" t="s">
        <v>19</v>
      </c>
      <c r="C491" s="2" t="s">
        <v>661</v>
      </c>
      <c r="D491" s="2">
        <v>80</v>
      </c>
      <c r="E491" s="2">
        <v>100</v>
      </c>
      <c r="F491" s="2">
        <v>10</v>
      </c>
      <c r="G491" s="2" t="s">
        <v>2173</v>
      </c>
    </row>
    <row r="492" spans="1:7">
      <c r="A492" s="2" t="s">
        <v>1024</v>
      </c>
      <c r="B492" s="2" t="s">
        <v>18</v>
      </c>
      <c r="C492" s="2" t="s">
        <v>661</v>
      </c>
      <c r="D492" s="2" t="s">
        <v>102</v>
      </c>
      <c r="E492" s="2">
        <v>100</v>
      </c>
      <c r="F492" s="2">
        <v>5</v>
      </c>
      <c r="G492" s="2" t="s">
        <v>2235</v>
      </c>
    </row>
    <row r="493" spans="1:7">
      <c r="A493" s="2" t="s">
        <v>1025</v>
      </c>
      <c r="B493" s="2" t="s">
        <v>19</v>
      </c>
      <c r="C493" s="2" t="s">
        <v>661</v>
      </c>
      <c r="D493" s="2">
        <v>50</v>
      </c>
      <c r="E493" s="2">
        <v>100</v>
      </c>
      <c r="F493" s="2">
        <v>10</v>
      </c>
      <c r="G493" s="2" t="s">
        <v>2236</v>
      </c>
    </row>
    <row r="494" spans="1:7">
      <c r="A494" s="2" t="s">
        <v>1026</v>
      </c>
      <c r="B494" s="2" t="s">
        <v>19</v>
      </c>
      <c r="C494" s="2" t="s">
        <v>661</v>
      </c>
      <c r="D494" s="2">
        <v>70</v>
      </c>
      <c r="E494" s="2">
        <v>100</v>
      </c>
      <c r="F494" s="2">
        <v>15</v>
      </c>
      <c r="G494" s="2" t="s">
        <v>2237</v>
      </c>
    </row>
    <row r="495" spans="1:7">
      <c r="A495" s="2" t="s">
        <v>1097</v>
      </c>
      <c r="B495" s="2" t="s">
        <v>19</v>
      </c>
      <c r="C495" s="2" t="s">
        <v>669</v>
      </c>
      <c r="D495" s="2">
        <v>50</v>
      </c>
      <c r="E495" s="2">
        <v>100</v>
      </c>
      <c r="F495" s="2">
        <v>20</v>
      </c>
      <c r="G495" s="2" t="s">
        <v>2238</v>
      </c>
    </row>
    <row r="496" spans="1:7">
      <c r="A496" s="2" t="s">
        <v>1167</v>
      </c>
      <c r="B496" s="2" t="s">
        <v>15</v>
      </c>
      <c r="C496" s="2" t="s">
        <v>669</v>
      </c>
      <c r="D496" s="2">
        <v>95</v>
      </c>
      <c r="E496" s="2">
        <v>100</v>
      </c>
      <c r="F496" s="2">
        <v>15</v>
      </c>
      <c r="G496" s="2" t="s">
        <v>2239</v>
      </c>
    </row>
    <row r="497" spans="1:7">
      <c r="A497" s="2" t="s">
        <v>2240</v>
      </c>
      <c r="B497" s="2" t="s">
        <v>23</v>
      </c>
      <c r="C497" s="2" t="s">
        <v>669</v>
      </c>
      <c r="D497" s="2">
        <v>140</v>
      </c>
      <c r="E497" s="2">
        <v>90</v>
      </c>
      <c r="F497" s="2">
        <v>5</v>
      </c>
      <c r="G497" s="2" t="s">
        <v>2241</v>
      </c>
    </row>
    <row r="498" spans="1:7">
      <c r="A498" s="2" t="s">
        <v>1027</v>
      </c>
      <c r="B498" s="2" t="s">
        <v>23</v>
      </c>
      <c r="C498" s="2" t="s">
        <v>661</v>
      </c>
      <c r="D498" s="2">
        <v>40</v>
      </c>
      <c r="E498" s="2">
        <v>90</v>
      </c>
      <c r="F498" s="2">
        <v>10</v>
      </c>
      <c r="G498" s="2" t="s">
        <v>2242</v>
      </c>
    </row>
    <row r="499" spans="1:7">
      <c r="A499" s="2" t="s">
        <v>1997</v>
      </c>
      <c r="B499" s="2" t="s">
        <v>17</v>
      </c>
      <c r="C499" s="2" t="s">
        <v>669</v>
      </c>
      <c r="D499" s="2">
        <v>100</v>
      </c>
      <c r="E499" s="2">
        <v>100</v>
      </c>
      <c r="F499" s="2">
        <v>5</v>
      </c>
      <c r="G499" s="2" t="s">
        <v>2243</v>
      </c>
    </row>
    <row r="500" spans="1:7">
      <c r="A500" s="2" t="s">
        <v>1998</v>
      </c>
      <c r="B500" s="2" t="s">
        <v>19</v>
      </c>
      <c r="C500" s="2" t="s">
        <v>661</v>
      </c>
      <c r="D500" s="2">
        <v>100</v>
      </c>
      <c r="E500" s="2">
        <v>100</v>
      </c>
      <c r="F500" s="2">
        <v>5</v>
      </c>
      <c r="G500" s="2" t="s">
        <v>2244</v>
      </c>
    </row>
    <row r="501" spans="1:7">
      <c r="A501" s="2" t="s">
        <v>2035</v>
      </c>
      <c r="B501" s="2" t="s">
        <v>26</v>
      </c>
      <c r="C501" s="2" t="s">
        <v>669</v>
      </c>
      <c r="D501" s="2">
        <v>50</v>
      </c>
      <c r="E501" s="2">
        <v>85</v>
      </c>
      <c r="F501" s="2">
        <v>15</v>
      </c>
      <c r="G501" s="2" t="s">
        <v>676</v>
      </c>
    </row>
    <row r="502" spans="1:7">
      <c r="A502" s="2" t="s">
        <v>1999</v>
      </c>
      <c r="B502" s="2" t="s">
        <v>23</v>
      </c>
      <c r="C502" s="2" t="s">
        <v>661</v>
      </c>
      <c r="D502" s="2">
        <v>65</v>
      </c>
      <c r="E502" s="2">
        <v>95</v>
      </c>
      <c r="F502" s="2">
        <v>10</v>
      </c>
      <c r="G502" s="2" t="s">
        <v>738</v>
      </c>
    </row>
    <row r="503" spans="1:7">
      <c r="A503" s="2" t="s">
        <v>1028</v>
      </c>
      <c r="B503" s="2" t="s">
        <v>21</v>
      </c>
      <c r="C503" s="2" t="s">
        <v>661</v>
      </c>
      <c r="D503" s="2">
        <v>50</v>
      </c>
      <c r="E503" s="2">
        <v>100</v>
      </c>
      <c r="F503" s="2">
        <v>10</v>
      </c>
      <c r="G503" s="2" t="s">
        <v>2245</v>
      </c>
    </row>
    <row r="504" spans="1:7">
      <c r="A504" s="2" t="s">
        <v>1182</v>
      </c>
      <c r="B504" s="2" t="s">
        <v>9</v>
      </c>
      <c r="C504" s="2" t="s">
        <v>664</v>
      </c>
      <c r="D504" s="2" t="s">
        <v>102</v>
      </c>
      <c r="E504" s="2" t="s">
        <v>102</v>
      </c>
      <c r="F504" s="2">
        <v>10</v>
      </c>
      <c r="G504" s="2" t="s">
        <v>2246</v>
      </c>
    </row>
    <row r="505" spans="1:7">
      <c r="A505" s="2" t="s">
        <v>2037</v>
      </c>
      <c r="B505" s="2" t="s">
        <v>24</v>
      </c>
      <c r="C505" s="2" t="s">
        <v>669</v>
      </c>
      <c r="D505" s="2">
        <v>120</v>
      </c>
      <c r="E505" s="2">
        <v>100</v>
      </c>
      <c r="F505" s="2">
        <v>15</v>
      </c>
      <c r="G505" s="2" t="s">
        <v>688</v>
      </c>
    </row>
    <row r="506" spans="1:7">
      <c r="A506" s="2" t="s">
        <v>1200</v>
      </c>
      <c r="B506" s="2" t="s">
        <v>9</v>
      </c>
      <c r="C506" s="2" t="s">
        <v>664</v>
      </c>
      <c r="D506" s="2" t="s">
        <v>102</v>
      </c>
      <c r="E506" s="2" t="s">
        <v>102</v>
      </c>
      <c r="F506" s="2">
        <v>10</v>
      </c>
      <c r="G506" s="2" t="s">
        <v>2247</v>
      </c>
    </row>
    <row r="507" spans="1:7">
      <c r="A507" s="2" t="s">
        <v>1229</v>
      </c>
      <c r="B507" s="2" t="s">
        <v>9</v>
      </c>
      <c r="C507" s="2" t="s">
        <v>669</v>
      </c>
      <c r="D507" s="2">
        <v>60</v>
      </c>
      <c r="E507" s="2">
        <v>100</v>
      </c>
      <c r="F507" s="2">
        <v>25</v>
      </c>
      <c r="G507" s="2" t="s">
        <v>673</v>
      </c>
    </row>
    <row r="508" spans="1:7">
      <c r="A508" s="2" t="s">
        <v>2007</v>
      </c>
      <c r="B508" s="2" t="s">
        <v>19</v>
      </c>
      <c r="C508" s="2" t="s">
        <v>669</v>
      </c>
      <c r="D508" s="2" t="s">
        <v>102</v>
      </c>
      <c r="E508" s="2">
        <v>100</v>
      </c>
      <c r="F508" s="2">
        <v>10</v>
      </c>
      <c r="G508" s="2" t="s">
        <v>2248</v>
      </c>
    </row>
    <row r="509" spans="1:7">
      <c r="A509" s="2" t="s">
        <v>184</v>
      </c>
      <c r="B509" s="2" t="s">
        <v>26</v>
      </c>
      <c r="C509" s="2" t="s">
        <v>669</v>
      </c>
      <c r="D509" s="2" t="s">
        <v>102</v>
      </c>
      <c r="E509" s="2">
        <v>100</v>
      </c>
      <c r="F509" s="2">
        <v>10</v>
      </c>
      <c r="G509" s="2" t="s">
        <v>2248</v>
      </c>
    </row>
    <row r="510" spans="1:7">
      <c r="A510" s="2" t="s">
        <v>1029</v>
      </c>
      <c r="B510" s="2" t="s">
        <v>10</v>
      </c>
      <c r="C510" s="2" t="s">
        <v>661</v>
      </c>
      <c r="D510" s="2">
        <v>50</v>
      </c>
      <c r="E510" s="2">
        <v>100</v>
      </c>
      <c r="F510" s="2">
        <v>10</v>
      </c>
      <c r="G510" s="2" t="s">
        <v>2249</v>
      </c>
    </row>
    <row r="511" spans="1:7">
      <c r="A511" s="2" t="s">
        <v>1030</v>
      </c>
      <c r="B511" s="2" t="s">
        <v>15</v>
      </c>
      <c r="C511" s="2" t="s">
        <v>664</v>
      </c>
      <c r="D511" s="2" t="s">
        <v>102</v>
      </c>
      <c r="E511" s="2" t="s">
        <v>102</v>
      </c>
      <c r="F511" s="2">
        <v>15</v>
      </c>
      <c r="G511" s="2" t="s">
        <v>2250</v>
      </c>
    </row>
    <row r="512" spans="1:7">
      <c r="A512" s="2" t="s">
        <v>2034</v>
      </c>
      <c r="B512" s="2" t="s">
        <v>21</v>
      </c>
      <c r="C512" s="2" t="s">
        <v>669</v>
      </c>
      <c r="D512" s="2">
        <v>75</v>
      </c>
      <c r="E512" s="2">
        <v>100</v>
      </c>
      <c r="F512" s="2">
        <v>10</v>
      </c>
      <c r="G512" s="2" t="s">
        <v>662</v>
      </c>
    </row>
    <row r="513" spans="1:7">
      <c r="A513" s="2" t="s">
        <v>1122</v>
      </c>
      <c r="B513" s="2" t="s">
        <v>20</v>
      </c>
      <c r="C513" s="2" t="s">
        <v>661</v>
      </c>
      <c r="D513" s="2">
        <v>120</v>
      </c>
      <c r="E513" s="2">
        <v>70</v>
      </c>
      <c r="F513" s="2">
        <v>10</v>
      </c>
      <c r="G513" s="2" t="s">
        <v>679</v>
      </c>
    </row>
    <row r="514" spans="1:7">
      <c r="A514" s="2" t="s">
        <v>2251</v>
      </c>
      <c r="B514" s="2" t="s">
        <v>23</v>
      </c>
      <c r="C514" s="2" t="s">
        <v>661</v>
      </c>
      <c r="D514" s="2">
        <v>140</v>
      </c>
      <c r="E514" s="2">
        <v>90</v>
      </c>
      <c r="F514" s="2">
        <v>5</v>
      </c>
      <c r="G514" s="2" t="s">
        <v>2252</v>
      </c>
    </row>
    <row r="515" spans="1:7">
      <c r="A515" s="2" t="s">
        <v>1216</v>
      </c>
      <c r="B515" s="2" t="s">
        <v>23</v>
      </c>
      <c r="C515" s="2" t="s">
        <v>669</v>
      </c>
      <c r="D515" s="2">
        <v>85</v>
      </c>
      <c r="E515" s="2">
        <v>90</v>
      </c>
      <c r="F515" s="2">
        <v>10</v>
      </c>
      <c r="G515" s="2" t="s">
        <v>673</v>
      </c>
    </row>
    <row r="516" spans="1:7">
      <c r="A516" s="2" t="s">
        <v>1031</v>
      </c>
      <c r="B516" s="2" t="s">
        <v>19</v>
      </c>
      <c r="C516" s="2" t="s">
        <v>661</v>
      </c>
      <c r="D516" s="2">
        <v>30</v>
      </c>
      <c r="E516" s="2">
        <v>100</v>
      </c>
      <c r="F516" s="2">
        <v>15</v>
      </c>
      <c r="G516" s="2" t="s">
        <v>2253</v>
      </c>
    </row>
    <row r="517" spans="1:7">
      <c r="A517" s="2" t="s">
        <v>185</v>
      </c>
      <c r="B517" s="2" t="s">
        <v>19</v>
      </c>
      <c r="C517" s="2" t="s">
        <v>661</v>
      </c>
      <c r="D517" s="2">
        <v>100</v>
      </c>
      <c r="E517" s="2">
        <v>50</v>
      </c>
      <c r="F517" s="2">
        <v>5</v>
      </c>
      <c r="G517" s="2" t="s">
        <v>2163</v>
      </c>
    </row>
    <row r="518" spans="1:7">
      <c r="A518" s="2" t="s">
        <v>1193</v>
      </c>
      <c r="B518" s="2" t="s">
        <v>21</v>
      </c>
      <c r="C518" s="2" t="s">
        <v>661</v>
      </c>
      <c r="D518" s="2">
        <v>65</v>
      </c>
      <c r="E518" s="2">
        <v>90</v>
      </c>
      <c r="F518" s="2">
        <v>10</v>
      </c>
      <c r="G518" s="2" t="s">
        <v>2074</v>
      </c>
    </row>
    <row r="519" spans="1:7">
      <c r="A519" s="2" t="s">
        <v>1172</v>
      </c>
      <c r="B519" s="2" t="s">
        <v>18</v>
      </c>
      <c r="C519" s="2" t="s">
        <v>669</v>
      </c>
      <c r="D519" s="2">
        <v>60</v>
      </c>
      <c r="E519" s="2">
        <v>100</v>
      </c>
      <c r="F519" s="2">
        <v>20</v>
      </c>
      <c r="G519" s="2" t="s">
        <v>738</v>
      </c>
    </row>
    <row r="520" spans="1:7">
      <c r="A520" s="2" t="s">
        <v>1032</v>
      </c>
      <c r="B520" s="2" t="s">
        <v>9</v>
      </c>
      <c r="C520" s="2" t="s">
        <v>664</v>
      </c>
      <c r="D520" s="2" t="s">
        <v>102</v>
      </c>
      <c r="E520" s="2" t="s">
        <v>102</v>
      </c>
      <c r="F520" s="2">
        <v>10</v>
      </c>
      <c r="G520" s="2" t="s">
        <v>2254</v>
      </c>
    </row>
    <row r="521" spans="1:7">
      <c r="A521" s="2" t="s">
        <v>2033</v>
      </c>
      <c r="B521" s="2" t="s">
        <v>15</v>
      </c>
      <c r="C521" s="2" t="s">
        <v>661</v>
      </c>
      <c r="D521" s="2">
        <v>85</v>
      </c>
      <c r="E521" s="2">
        <v>95</v>
      </c>
      <c r="F521" s="2">
        <v>10</v>
      </c>
      <c r="G521" s="2" t="s">
        <v>2074</v>
      </c>
    </row>
    <row r="522" spans="1:7">
      <c r="A522" s="2" t="s">
        <v>1033</v>
      </c>
      <c r="B522" s="2" t="s">
        <v>9</v>
      </c>
      <c r="C522" s="2" t="s">
        <v>664</v>
      </c>
      <c r="D522" s="2" t="s">
        <v>102</v>
      </c>
      <c r="E522" s="2" t="s">
        <v>102</v>
      </c>
      <c r="F522" s="2">
        <v>10</v>
      </c>
      <c r="G522" s="2" t="s">
        <v>2255</v>
      </c>
    </row>
    <row r="523" spans="1:7">
      <c r="A523" s="2" t="s">
        <v>1151</v>
      </c>
      <c r="B523" s="2" t="s">
        <v>9</v>
      </c>
      <c r="C523" s="2" t="s">
        <v>661</v>
      </c>
      <c r="D523" s="2">
        <v>80</v>
      </c>
      <c r="E523" s="2">
        <v>100</v>
      </c>
      <c r="F523" s="2">
        <v>10</v>
      </c>
      <c r="G523" s="2" t="s">
        <v>2256</v>
      </c>
    </row>
    <row r="524" spans="1:7">
      <c r="A524" s="2" t="s">
        <v>1235</v>
      </c>
      <c r="B524" s="2" t="s">
        <v>9</v>
      </c>
      <c r="C524" s="2" t="s">
        <v>661</v>
      </c>
      <c r="D524" s="2">
        <v>100</v>
      </c>
      <c r="E524" s="2">
        <v>100</v>
      </c>
      <c r="F524" s="2">
        <v>10</v>
      </c>
      <c r="G524" s="2" t="s">
        <v>2256</v>
      </c>
    </row>
    <row r="525" spans="1:7">
      <c r="A525" s="2" t="s">
        <v>1034</v>
      </c>
      <c r="B525" s="2" t="s">
        <v>15</v>
      </c>
      <c r="C525" s="2" t="s">
        <v>664</v>
      </c>
      <c r="D525" s="2" t="s">
        <v>102</v>
      </c>
      <c r="E525" s="2">
        <v>100</v>
      </c>
      <c r="F525" s="2">
        <v>15</v>
      </c>
      <c r="G525" s="2" t="s">
        <v>2257</v>
      </c>
    </row>
    <row r="526" spans="1:7">
      <c r="A526" s="2" t="s">
        <v>1035</v>
      </c>
      <c r="B526" s="2" t="s">
        <v>18</v>
      </c>
      <c r="C526" s="2" t="s">
        <v>664</v>
      </c>
      <c r="D526" s="2" t="s">
        <v>102</v>
      </c>
      <c r="E526" s="2" t="s">
        <v>102</v>
      </c>
      <c r="F526" s="2">
        <v>15</v>
      </c>
      <c r="G526" s="2" t="s">
        <v>2258</v>
      </c>
    </row>
    <row r="527" spans="1:7">
      <c r="A527" s="2" t="s">
        <v>1116</v>
      </c>
      <c r="B527" s="2" t="s">
        <v>14</v>
      </c>
      <c r="C527" s="2" t="s">
        <v>664</v>
      </c>
      <c r="D527" s="2" t="s">
        <v>102</v>
      </c>
      <c r="E527" s="2" t="s">
        <v>102</v>
      </c>
      <c r="F527" s="2">
        <v>20</v>
      </c>
      <c r="G527" s="2" t="s">
        <v>2259</v>
      </c>
    </row>
    <row r="528" spans="1:7">
      <c r="A528" s="2" t="s">
        <v>1114</v>
      </c>
      <c r="B528" s="2" t="s">
        <v>14</v>
      </c>
      <c r="C528" s="2" t="s">
        <v>664</v>
      </c>
      <c r="D528" s="2" t="s">
        <v>102</v>
      </c>
      <c r="E528" s="2" t="s">
        <v>102</v>
      </c>
      <c r="F528" s="2">
        <v>20</v>
      </c>
      <c r="G528" s="2" t="s">
        <v>2260</v>
      </c>
    </row>
    <row r="529" spans="1:7">
      <c r="A529" s="2" t="s">
        <v>1212</v>
      </c>
      <c r="B529" s="2" t="s">
        <v>27</v>
      </c>
      <c r="C529" s="2" t="s">
        <v>669</v>
      </c>
      <c r="D529" s="2">
        <v>75</v>
      </c>
      <c r="E529" s="2">
        <v>95</v>
      </c>
      <c r="F529" s="2">
        <v>10</v>
      </c>
      <c r="G529" s="2" t="s">
        <v>2051</v>
      </c>
    </row>
    <row r="530" spans="1:7">
      <c r="A530" s="2" t="s">
        <v>1227</v>
      </c>
      <c r="B530" s="2" t="s">
        <v>24</v>
      </c>
      <c r="C530" s="2" t="s">
        <v>664</v>
      </c>
      <c r="D530" s="2" t="s">
        <v>102</v>
      </c>
      <c r="E530" s="2" t="s">
        <v>102</v>
      </c>
      <c r="F530" s="2">
        <v>15</v>
      </c>
      <c r="G530" s="2" t="s">
        <v>2261</v>
      </c>
    </row>
    <row r="531" spans="1:7">
      <c r="A531" s="2" t="s">
        <v>2041</v>
      </c>
      <c r="B531" s="2" t="s">
        <v>24</v>
      </c>
      <c r="C531" s="2" t="s">
        <v>661</v>
      </c>
      <c r="D531" s="2">
        <v>75</v>
      </c>
      <c r="E531" s="2">
        <v>100</v>
      </c>
      <c r="F531" s="2">
        <v>10</v>
      </c>
      <c r="G531" s="2" t="s">
        <v>2262</v>
      </c>
    </row>
    <row r="532" spans="1:7">
      <c r="A532" s="2" t="s">
        <v>1036</v>
      </c>
      <c r="B532" s="2" t="s">
        <v>24</v>
      </c>
      <c r="C532" s="2" t="s">
        <v>669</v>
      </c>
      <c r="D532" s="2">
        <v>70</v>
      </c>
      <c r="E532" s="2">
        <v>100</v>
      </c>
      <c r="F532" s="2">
        <v>5</v>
      </c>
      <c r="G532" s="2" t="s">
        <v>2263</v>
      </c>
    </row>
    <row r="533" spans="1:7">
      <c r="A533" s="2" t="s">
        <v>1037</v>
      </c>
      <c r="B533" s="2" t="s">
        <v>24</v>
      </c>
      <c r="C533" s="2" t="s">
        <v>661</v>
      </c>
      <c r="D533" s="2">
        <v>60</v>
      </c>
      <c r="E533" s="2">
        <v>100</v>
      </c>
      <c r="F533" s="2">
        <v>15</v>
      </c>
      <c r="G533" s="2" t="s">
        <v>2232</v>
      </c>
    </row>
    <row r="534" spans="1:7">
      <c r="A534" s="2" t="s">
        <v>2039</v>
      </c>
      <c r="B534" s="2" t="s">
        <v>18</v>
      </c>
      <c r="C534" s="2" t="s">
        <v>669</v>
      </c>
      <c r="D534" s="2">
        <v>90</v>
      </c>
      <c r="E534" s="2">
        <v>100</v>
      </c>
      <c r="F534" s="2">
        <v>20</v>
      </c>
      <c r="G534" s="2" t="s">
        <v>2228</v>
      </c>
    </row>
    <row r="535" spans="1:7">
      <c r="A535" s="2" t="s">
        <v>1038</v>
      </c>
      <c r="B535" s="2" t="s">
        <v>27</v>
      </c>
      <c r="C535" s="2" t="s">
        <v>661</v>
      </c>
      <c r="D535" s="2">
        <v>80</v>
      </c>
      <c r="E535" s="2">
        <v>100</v>
      </c>
      <c r="F535" s="2">
        <v>15</v>
      </c>
      <c r="G535" s="2" t="s">
        <v>692</v>
      </c>
    </row>
    <row r="536" spans="1:7">
      <c r="A536" s="2" t="s">
        <v>1994</v>
      </c>
      <c r="B536" s="2" t="s">
        <v>19</v>
      </c>
      <c r="C536" s="2" t="s">
        <v>661</v>
      </c>
      <c r="D536" s="2">
        <v>100</v>
      </c>
      <c r="E536" s="2">
        <v>100</v>
      </c>
      <c r="F536" s="2">
        <v>5</v>
      </c>
      <c r="G536" s="2" t="s">
        <v>692</v>
      </c>
    </row>
    <row r="537" spans="1:7">
      <c r="A537" s="2" t="s">
        <v>2040</v>
      </c>
      <c r="B537" s="2" t="s">
        <v>18</v>
      </c>
      <c r="C537" s="2" t="s">
        <v>661</v>
      </c>
      <c r="D537" s="2">
        <v>85</v>
      </c>
      <c r="E537" s="2">
        <v>100</v>
      </c>
      <c r="F537" s="2">
        <v>10</v>
      </c>
      <c r="G537" s="2" t="s">
        <v>2256</v>
      </c>
    </row>
    <row r="538" spans="1:7">
      <c r="A538" s="2" t="s">
        <v>1213</v>
      </c>
      <c r="B538" s="2" t="s">
        <v>24</v>
      </c>
      <c r="C538" s="2" t="s">
        <v>664</v>
      </c>
      <c r="D538" s="2" t="s">
        <v>102</v>
      </c>
      <c r="E538" s="2" t="s">
        <v>102</v>
      </c>
      <c r="F538" s="2">
        <v>15</v>
      </c>
      <c r="G538" s="2" t="s">
        <v>2264</v>
      </c>
    </row>
    <row r="539" spans="1:7">
      <c r="A539" s="2" t="s">
        <v>2036</v>
      </c>
      <c r="B539" s="2" t="s">
        <v>26</v>
      </c>
      <c r="C539" s="2" t="s">
        <v>664</v>
      </c>
      <c r="D539" s="2" t="s">
        <v>102</v>
      </c>
      <c r="E539" s="2" t="s">
        <v>102</v>
      </c>
      <c r="F539" s="2">
        <v>10</v>
      </c>
      <c r="G539" s="2" t="s">
        <v>2265</v>
      </c>
    </row>
    <row r="540" spans="1:7">
      <c r="A540" s="2" t="s">
        <v>1477</v>
      </c>
      <c r="B540" s="2" t="s">
        <v>24</v>
      </c>
      <c r="C540" s="2" t="s">
        <v>664</v>
      </c>
      <c r="D540" s="2" t="s">
        <v>102</v>
      </c>
      <c r="E540" s="2">
        <v>100</v>
      </c>
      <c r="F540" s="2">
        <v>15</v>
      </c>
      <c r="G540" s="2" t="s">
        <v>2266</v>
      </c>
    </row>
    <row r="541" spans="1:7">
      <c r="A541" s="2" t="s">
        <v>1039</v>
      </c>
      <c r="B541" s="2" t="s">
        <v>20</v>
      </c>
      <c r="C541" s="2" t="s">
        <v>669</v>
      </c>
      <c r="D541" s="2">
        <v>60</v>
      </c>
      <c r="E541" s="2">
        <v>100</v>
      </c>
      <c r="F541" s="2">
        <v>10</v>
      </c>
      <c r="G541" s="2" t="s">
        <v>2267</v>
      </c>
    </row>
    <row r="542" spans="1:7">
      <c r="A542" s="2" t="s">
        <v>186</v>
      </c>
      <c r="B542" s="2" t="s">
        <v>11</v>
      </c>
      <c r="C542" s="2" t="s">
        <v>661</v>
      </c>
      <c r="D542" s="2">
        <v>95</v>
      </c>
      <c r="E542" s="2">
        <v>100</v>
      </c>
      <c r="F542" s="2">
        <v>10</v>
      </c>
      <c r="G542" s="2" t="s">
        <v>733</v>
      </c>
    </row>
    <row r="543" spans="1:7">
      <c r="A543" s="2" t="s">
        <v>1109</v>
      </c>
      <c r="B543" s="2" t="s">
        <v>25</v>
      </c>
      <c r="C543" s="2" t="s">
        <v>669</v>
      </c>
      <c r="D543" s="2">
        <v>50</v>
      </c>
      <c r="E543" s="2">
        <v>100</v>
      </c>
      <c r="F543" s="2">
        <v>15</v>
      </c>
      <c r="G543" s="2" t="s">
        <v>2268</v>
      </c>
    </row>
    <row r="544" spans="1:7">
      <c r="A544" s="2" t="s">
        <v>1040</v>
      </c>
      <c r="B544" s="2" t="s">
        <v>15</v>
      </c>
      <c r="C544" s="2" t="s">
        <v>661</v>
      </c>
      <c r="D544" s="2">
        <v>55</v>
      </c>
      <c r="E544" s="2">
        <v>95</v>
      </c>
      <c r="F544" s="2">
        <v>15</v>
      </c>
      <c r="G544" s="2" t="s">
        <v>2269</v>
      </c>
    </row>
    <row r="545" spans="1:7">
      <c r="A545" s="2" t="s">
        <v>1170</v>
      </c>
      <c r="B545" s="2" t="s">
        <v>27</v>
      </c>
      <c r="C545" s="2" t="s">
        <v>664</v>
      </c>
      <c r="D545" s="2" t="s">
        <v>102</v>
      </c>
      <c r="E545" s="2">
        <v>100</v>
      </c>
      <c r="F545" s="2">
        <v>20</v>
      </c>
      <c r="G545" s="2" t="s">
        <v>2270</v>
      </c>
    </row>
    <row r="546" spans="1:7">
      <c r="A546" s="2" t="s">
        <v>1198</v>
      </c>
      <c r="B546" s="2" t="s">
        <v>14</v>
      </c>
      <c r="C546" s="2" t="s">
        <v>669</v>
      </c>
      <c r="D546" s="2">
        <v>65</v>
      </c>
      <c r="E546" s="2">
        <v>100</v>
      </c>
      <c r="F546" s="2">
        <v>20</v>
      </c>
      <c r="G546" s="2" t="s">
        <v>673</v>
      </c>
    </row>
    <row r="547" spans="1:7">
      <c r="A547" s="2" t="s">
        <v>1041</v>
      </c>
      <c r="B547" s="2" t="s">
        <v>9</v>
      </c>
      <c r="C547" s="2" t="s">
        <v>661</v>
      </c>
      <c r="D547" s="2">
        <v>20</v>
      </c>
      <c r="E547" s="2">
        <v>100</v>
      </c>
      <c r="F547" s="2">
        <v>10</v>
      </c>
      <c r="G547" s="2" t="s">
        <v>2271</v>
      </c>
    </row>
    <row r="548" spans="1:7">
      <c r="A548" s="2" t="s">
        <v>2032</v>
      </c>
      <c r="B548" s="2" t="s">
        <v>18</v>
      </c>
      <c r="C548" s="2" t="s">
        <v>669</v>
      </c>
      <c r="D548" s="2">
        <v>40</v>
      </c>
      <c r="E548" s="2">
        <v>100</v>
      </c>
      <c r="F548" s="2">
        <v>10</v>
      </c>
      <c r="G548" s="2" t="s">
        <v>2242</v>
      </c>
    </row>
    <row r="549" spans="1:7">
      <c r="A549" s="2" t="s">
        <v>1042</v>
      </c>
      <c r="B549" s="2" t="s">
        <v>14</v>
      </c>
      <c r="C549" s="2" t="s">
        <v>661</v>
      </c>
      <c r="D549" s="2">
        <v>30</v>
      </c>
      <c r="E549" s="2">
        <v>100</v>
      </c>
      <c r="F549" s="2">
        <v>20</v>
      </c>
      <c r="G549" s="2" t="s">
        <v>2269</v>
      </c>
    </row>
    <row r="550" spans="1:7">
      <c r="A550" s="2" t="s">
        <v>1043</v>
      </c>
      <c r="B550" s="2" t="s">
        <v>9</v>
      </c>
      <c r="C550" s="2" t="s">
        <v>661</v>
      </c>
      <c r="D550" s="2">
        <v>70</v>
      </c>
      <c r="E550" s="2">
        <v>100</v>
      </c>
      <c r="F550" s="2">
        <v>15</v>
      </c>
      <c r="G550" s="2" t="s">
        <v>2272</v>
      </c>
    </row>
    <row r="551" spans="1:7">
      <c r="A551" s="2" t="s">
        <v>1156</v>
      </c>
      <c r="B551" s="2" t="s">
        <v>24</v>
      </c>
      <c r="C551" s="2" t="s">
        <v>669</v>
      </c>
      <c r="D551" s="2">
        <v>25</v>
      </c>
      <c r="E551" s="2">
        <v>85</v>
      </c>
      <c r="F551" s="2">
        <v>10</v>
      </c>
      <c r="G551" s="2" t="s">
        <v>670</v>
      </c>
    </row>
    <row r="552" spans="1:7">
      <c r="A552" s="2" t="s">
        <v>2042</v>
      </c>
      <c r="B552" s="2" t="s">
        <v>24</v>
      </c>
      <c r="C552" s="2" t="s">
        <v>661</v>
      </c>
      <c r="D552" s="2">
        <v>85</v>
      </c>
      <c r="E552" s="2">
        <v>100</v>
      </c>
      <c r="F552" s="2">
        <v>5</v>
      </c>
      <c r="G552" s="2" t="s">
        <v>2273</v>
      </c>
    </row>
    <row r="553" spans="1:7">
      <c r="A553" s="2" t="s">
        <v>1152</v>
      </c>
      <c r="B553" s="2" t="s">
        <v>9</v>
      </c>
      <c r="C553" s="2" t="s">
        <v>664</v>
      </c>
      <c r="D553" s="2" t="s">
        <v>102</v>
      </c>
      <c r="E553" s="2" t="s">
        <v>102</v>
      </c>
      <c r="F553" s="2">
        <v>15</v>
      </c>
      <c r="G553" s="2" t="s">
        <v>2274</v>
      </c>
    </row>
    <row r="554" spans="1:7">
      <c r="A554" s="2" t="s">
        <v>1044</v>
      </c>
      <c r="B554" s="2" t="s">
        <v>19</v>
      </c>
      <c r="C554" s="2" t="s">
        <v>669</v>
      </c>
      <c r="D554" s="2">
        <v>180</v>
      </c>
      <c r="E554" s="2">
        <v>95</v>
      </c>
      <c r="F554" s="2">
        <v>5</v>
      </c>
      <c r="G554" s="2" t="s">
        <v>2275</v>
      </c>
    </row>
    <row r="555" spans="1:7">
      <c r="A555" s="2" t="s">
        <v>1077</v>
      </c>
      <c r="B555" s="2" t="s">
        <v>11</v>
      </c>
      <c r="C555" s="2" t="s">
        <v>661</v>
      </c>
      <c r="D555" s="2">
        <v>65</v>
      </c>
      <c r="E555" s="2">
        <v>100</v>
      </c>
      <c r="F555" s="2">
        <v>10</v>
      </c>
      <c r="G555" s="2" t="s">
        <v>2276</v>
      </c>
    </row>
    <row r="556" spans="1:7">
      <c r="A556" s="2" t="s">
        <v>1045</v>
      </c>
      <c r="B556" s="2" t="s">
        <v>17</v>
      </c>
      <c r="C556" s="2" t="s">
        <v>661</v>
      </c>
      <c r="D556" s="2">
        <v>70</v>
      </c>
      <c r="E556" s="2">
        <v>100</v>
      </c>
      <c r="F556" s="2">
        <v>20</v>
      </c>
      <c r="G556" s="2" t="s">
        <v>2277</v>
      </c>
    </row>
    <row r="557" spans="1:7">
      <c r="A557" s="2" t="s">
        <v>1046</v>
      </c>
      <c r="B557" s="2" t="s">
        <v>27</v>
      </c>
      <c r="C557" s="2" t="s">
        <v>661</v>
      </c>
      <c r="D557" s="2">
        <v>50</v>
      </c>
      <c r="E557" s="2">
        <v>100</v>
      </c>
      <c r="F557" s="2">
        <v>10</v>
      </c>
      <c r="G557" s="2" t="s">
        <v>2278</v>
      </c>
    </row>
    <row r="558" spans="1:7">
      <c r="A558" s="2" t="s">
        <v>1187</v>
      </c>
      <c r="B558" s="2" t="s">
        <v>25</v>
      </c>
      <c r="C558" s="2" t="s">
        <v>664</v>
      </c>
      <c r="D558" s="2" t="s">
        <v>102</v>
      </c>
      <c r="E558" s="2" t="s">
        <v>102</v>
      </c>
      <c r="F558" s="2">
        <v>10</v>
      </c>
      <c r="G558" s="2" t="s">
        <v>2279</v>
      </c>
    </row>
    <row r="559" spans="1:7">
      <c r="A559" s="2" t="s">
        <v>1047</v>
      </c>
      <c r="B559" s="2" t="s">
        <v>17</v>
      </c>
      <c r="C559" s="2" t="s">
        <v>669</v>
      </c>
      <c r="D559" s="2">
        <v>90</v>
      </c>
      <c r="E559" s="2">
        <v>100</v>
      </c>
      <c r="F559" s="2">
        <v>15</v>
      </c>
      <c r="G559" s="2" t="s">
        <v>688</v>
      </c>
    </row>
    <row r="560" spans="1:7">
      <c r="A560" s="2" t="s">
        <v>1048</v>
      </c>
      <c r="B560" s="2" t="s">
        <v>9</v>
      </c>
      <c r="C560" s="2" t="s">
        <v>664</v>
      </c>
      <c r="D560" s="2" t="s">
        <v>102</v>
      </c>
      <c r="E560" s="2" t="s">
        <v>102</v>
      </c>
      <c r="F560" s="2">
        <v>10</v>
      </c>
      <c r="G560" s="2" t="s">
        <v>2280</v>
      </c>
    </row>
    <row r="561" spans="1:7">
      <c r="A561" s="2" t="s">
        <v>1049</v>
      </c>
      <c r="B561" s="2" t="s">
        <v>24</v>
      </c>
      <c r="C561" s="2" t="s">
        <v>664</v>
      </c>
      <c r="D561" s="2" t="s">
        <v>102</v>
      </c>
      <c r="E561" s="2" t="s">
        <v>102</v>
      </c>
      <c r="F561" s="2">
        <v>30</v>
      </c>
      <c r="G561" s="2" t="s">
        <v>700</v>
      </c>
    </row>
    <row r="562" spans="1:7">
      <c r="A562" s="2" t="s">
        <v>2331</v>
      </c>
      <c r="B562" s="2" t="s">
        <v>894</v>
      </c>
      <c r="C562" s="2" t="s">
        <v>664</v>
      </c>
      <c r="D562" s="2" t="s">
        <v>102</v>
      </c>
      <c r="E562" s="2">
        <v>100</v>
      </c>
      <c r="F562" s="2">
        <v>20</v>
      </c>
      <c r="G562" s="2" t="s">
        <v>2332</v>
      </c>
    </row>
    <row r="563" spans="1:7">
      <c r="A563" s="2" t="s">
        <v>2333</v>
      </c>
      <c r="B563" s="2" t="s">
        <v>894</v>
      </c>
      <c r="C563" s="2" t="s">
        <v>664</v>
      </c>
      <c r="D563" s="2" t="s">
        <v>102</v>
      </c>
      <c r="E563" s="2">
        <v>100</v>
      </c>
      <c r="F563" s="2">
        <v>30</v>
      </c>
      <c r="G563" s="2" t="s">
        <v>2334</v>
      </c>
    </row>
    <row r="564" spans="1:7">
      <c r="A564" s="2" t="s">
        <v>2335</v>
      </c>
      <c r="B564" s="2" t="s">
        <v>11</v>
      </c>
      <c r="C564" s="2" t="s">
        <v>661</v>
      </c>
      <c r="D564" s="2">
        <v>120</v>
      </c>
      <c r="E564" s="2">
        <v>90</v>
      </c>
      <c r="F564" s="2">
        <v>10</v>
      </c>
      <c r="G564" s="2" t="s">
        <v>2336</v>
      </c>
    </row>
    <row r="565" spans="1:7">
      <c r="A565" s="2" t="s">
        <v>2337</v>
      </c>
      <c r="B565" s="2" t="s">
        <v>24</v>
      </c>
      <c r="C565" s="2" t="s">
        <v>661</v>
      </c>
      <c r="D565" s="2">
        <v>140</v>
      </c>
      <c r="E565" s="2">
        <v>100</v>
      </c>
      <c r="F565" s="2">
        <v>10</v>
      </c>
      <c r="G565" s="2" t="s">
        <v>2338</v>
      </c>
    </row>
    <row r="566" spans="1:7">
      <c r="A566" s="2" t="s">
        <v>2339</v>
      </c>
      <c r="B566" s="2" t="s">
        <v>24</v>
      </c>
      <c r="C566" s="2" t="s">
        <v>664</v>
      </c>
      <c r="D566" s="2" t="s">
        <v>102</v>
      </c>
      <c r="E566" s="2" t="s">
        <v>102</v>
      </c>
      <c r="F566" s="2">
        <v>20</v>
      </c>
      <c r="G566" s="2" t="s">
        <v>2269</v>
      </c>
    </row>
    <row r="567" spans="1:7">
      <c r="A567" s="2" t="s">
        <v>2340</v>
      </c>
      <c r="B567" s="2" t="s">
        <v>894</v>
      </c>
      <c r="C567" s="2" t="s">
        <v>664</v>
      </c>
      <c r="D567" s="2" t="s">
        <v>102</v>
      </c>
      <c r="E567" s="2" t="s">
        <v>102</v>
      </c>
      <c r="F567" s="2">
        <v>10</v>
      </c>
      <c r="G567" s="2" t="s">
        <v>2341</v>
      </c>
    </row>
    <row r="568" spans="1:7">
      <c r="A568" s="2" t="s">
        <v>2342</v>
      </c>
      <c r="B568" s="2" t="s">
        <v>894</v>
      </c>
      <c r="C568" s="2" t="s">
        <v>661</v>
      </c>
      <c r="D568" s="2">
        <v>80</v>
      </c>
      <c r="E568" s="2">
        <v>100</v>
      </c>
      <c r="F568" s="2">
        <v>10</v>
      </c>
      <c r="G568" s="2"/>
    </row>
    <row r="569" spans="1:7">
      <c r="A569" s="2" t="s">
        <v>2343</v>
      </c>
      <c r="B569" s="2" t="s">
        <v>894</v>
      </c>
      <c r="C569" s="2" t="s">
        <v>661</v>
      </c>
      <c r="D569" s="2">
        <v>40</v>
      </c>
      <c r="E569" s="2" t="s">
        <v>102</v>
      </c>
      <c r="F569" s="2">
        <v>15</v>
      </c>
      <c r="G569" s="2" t="s">
        <v>743</v>
      </c>
    </row>
    <row r="570" spans="1:7">
      <c r="A570" s="2" t="s">
        <v>2344</v>
      </c>
      <c r="B570" s="2" t="s">
        <v>894</v>
      </c>
      <c r="C570" s="2" t="s">
        <v>661</v>
      </c>
      <c r="D570" s="2">
        <v>50</v>
      </c>
      <c r="E570" s="2">
        <v>100</v>
      </c>
      <c r="F570" s="2">
        <v>10</v>
      </c>
      <c r="G570" s="2" t="s">
        <v>2345</v>
      </c>
    </row>
    <row r="571" spans="1:7">
      <c r="A571" s="2" t="s">
        <v>2346</v>
      </c>
      <c r="B571" s="2" t="s">
        <v>17</v>
      </c>
      <c r="C571" s="2" t="s">
        <v>664</v>
      </c>
      <c r="D571" s="2" t="s">
        <v>102</v>
      </c>
      <c r="E571" s="2">
        <v>100</v>
      </c>
      <c r="F571" s="2">
        <v>15</v>
      </c>
      <c r="G571" s="2" t="s">
        <v>2347</v>
      </c>
    </row>
    <row r="572" spans="1:7">
      <c r="A572" s="2" t="s">
        <v>2348</v>
      </c>
      <c r="B572" s="2" t="s">
        <v>17</v>
      </c>
      <c r="C572" s="2" t="s">
        <v>664</v>
      </c>
      <c r="D572" s="2" t="s">
        <v>102</v>
      </c>
      <c r="E572" s="2" t="s">
        <v>102</v>
      </c>
      <c r="F572" s="2">
        <v>10</v>
      </c>
      <c r="G572" s="2" t="s">
        <v>2349</v>
      </c>
    </row>
    <row r="573" spans="1:7">
      <c r="A573" s="2" t="s">
        <v>2350</v>
      </c>
      <c r="B573" s="2" t="s">
        <v>17</v>
      </c>
      <c r="C573" s="2" t="s">
        <v>664</v>
      </c>
      <c r="D573" s="2" t="s">
        <v>102</v>
      </c>
      <c r="E573" s="2" t="s">
        <v>102</v>
      </c>
      <c r="F573" s="2">
        <v>20</v>
      </c>
      <c r="G573" s="2" t="s">
        <v>2351</v>
      </c>
    </row>
    <row r="574" spans="1:7">
      <c r="A574" s="2" t="s">
        <v>2352</v>
      </c>
      <c r="B574" s="2" t="s">
        <v>894</v>
      </c>
      <c r="C574" s="2" t="s">
        <v>664</v>
      </c>
      <c r="D574" s="2" t="s">
        <v>102</v>
      </c>
      <c r="E574" s="2" t="s">
        <v>102</v>
      </c>
      <c r="F574" s="2">
        <v>10</v>
      </c>
      <c r="G574" s="2" t="s">
        <v>2353</v>
      </c>
    </row>
    <row r="575" spans="1:7">
      <c r="A575" s="2" t="s">
        <v>2354</v>
      </c>
      <c r="B575" s="2" t="s">
        <v>894</v>
      </c>
      <c r="C575" s="2" t="s">
        <v>661</v>
      </c>
      <c r="D575" s="2">
        <v>40</v>
      </c>
      <c r="E575" s="2">
        <v>100</v>
      </c>
      <c r="F575" s="2">
        <v>30</v>
      </c>
      <c r="G575" s="2"/>
    </row>
    <row r="576" spans="1:7">
      <c r="A576" s="2" t="s">
        <v>2355</v>
      </c>
      <c r="B576" s="2" t="s">
        <v>14</v>
      </c>
      <c r="C576" s="2" t="s">
        <v>669</v>
      </c>
      <c r="D576" s="2">
        <v>30</v>
      </c>
      <c r="E576" s="2">
        <v>100</v>
      </c>
      <c r="F576" s="2">
        <v>25</v>
      </c>
      <c r="G576" s="2" t="s">
        <v>2356</v>
      </c>
    </row>
    <row r="577" spans="1:7">
      <c r="A577" s="2" t="s">
        <v>2357</v>
      </c>
      <c r="B577" s="2" t="s">
        <v>894</v>
      </c>
      <c r="C577" s="2" t="s">
        <v>664</v>
      </c>
      <c r="D577" s="2" t="s">
        <v>102</v>
      </c>
      <c r="E577" s="2" t="s">
        <v>102</v>
      </c>
      <c r="F577" s="2">
        <v>10</v>
      </c>
      <c r="G577" s="2" t="s">
        <v>2358</v>
      </c>
    </row>
    <row r="578" spans="1:7">
      <c r="A578" s="2" t="s">
        <v>2359</v>
      </c>
      <c r="B578" s="2" t="s">
        <v>18</v>
      </c>
      <c r="C578" s="2" t="s">
        <v>669</v>
      </c>
      <c r="D578" s="2">
        <v>80</v>
      </c>
      <c r="E578" s="2">
        <v>95</v>
      </c>
      <c r="F578" s="2">
        <v>10</v>
      </c>
      <c r="G578" s="2" t="s">
        <v>2360</v>
      </c>
    </row>
    <row r="579" spans="1:7">
      <c r="A579" s="2" t="s">
        <v>2361</v>
      </c>
      <c r="B579" s="2" t="s">
        <v>21</v>
      </c>
      <c r="C579" s="2" t="s">
        <v>664</v>
      </c>
      <c r="D579" s="2" t="s">
        <v>102</v>
      </c>
      <c r="E579" s="2">
        <v>100</v>
      </c>
      <c r="F579" s="2">
        <v>20</v>
      </c>
      <c r="G579" s="2" t="s">
        <v>2362</v>
      </c>
    </row>
    <row r="580" spans="1:7">
      <c r="A580" s="2" t="s">
        <v>2363</v>
      </c>
      <c r="B580" s="2" t="s">
        <v>23</v>
      </c>
      <c r="C580" s="2" t="s">
        <v>661</v>
      </c>
      <c r="D580" s="2">
        <v>70</v>
      </c>
      <c r="E580" s="2">
        <v>100</v>
      </c>
      <c r="F580" s="2">
        <v>20</v>
      </c>
      <c r="G580" s="2" t="s">
        <v>2364</v>
      </c>
    </row>
    <row r="581" spans="1:7">
      <c r="A581" s="2" t="s">
        <v>2365</v>
      </c>
      <c r="B581" s="2" t="s">
        <v>894</v>
      </c>
      <c r="C581" s="2" t="s">
        <v>664</v>
      </c>
      <c r="D581" s="2" t="s">
        <v>102</v>
      </c>
      <c r="E581" s="2" t="s">
        <v>102</v>
      </c>
      <c r="F581" s="2">
        <v>10</v>
      </c>
      <c r="G581" s="2" t="s">
        <v>2366</v>
      </c>
    </row>
    <row r="582" spans="1:7">
      <c r="A582" s="2" t="s">
        <v>2367</v>
      </c>
      <c r="B582" s="2" t="s">
        <v>21</v>
      </c>
      <c r="C582" s="2" t="s">
        <v>664</v>
      </c>
      <c r="D582" s="2" t="s">
        <v>102</v>
      </c>
      <c r="E582" s="2" t="s">
        <v>102</v>
      </c>
      <c r="F582" s="2">
        <v>10</v>
      </c>
      <c r="G582" s="2" t="s">
        <v>2368</v>
      </c>
    </row>
    <row r="583" spans="1:7">
      <c r="A583" s="2" t="s">
        <v>2369</v>
      </c>
      <c r="B583" s="2" t="s">
        <v>14</v>
      </c>
      <c r="C583" s="2" t="s">
        <v>661</v>
      </c>
      <c r="D583" s="2">
        <v>20</v>
      </c>
      <c r="E583" s="2">
        <v>100</v>
      </c>
      <c r="F583" s="2">
        <v>20</v>
      </c>
      <c r="G583" s="2" t="s">
        <v>672</v>
      </c>
    </row>
    <row r="584" spans="1:7">
      <c r="A584" s="2" t="s">
        <v>2370</v>
      </c>
      <c r="B584" s="2" t="s">
        <v>17</v>
      </c>
      <c r="C584" s="2" t="s">
        <v>664</v>
      </c>
      <c r="D584" s="2" t="s">
        <v>102</v>
      </c>
      <c r="E584" s="2" t="s">
        <v>102</v>
      </c>
      <c r="F584" s="2">
        <v>25</v>
      </c>
      <c r="G584" s="2" t="s">
        <v>2371</v>
      </c>
    </row>
    <row r="585" spans="1:7">
      <c r="A585" s="2" t="s">
        <v>2372</v>
      </c>
      <c r="B585" s="2" t="s">
        <v>26</v>
      </c>
      <c r="C585" s="2" t="s">
        <v>664</v>
      </c>
      <c r="D585" s="2" t="s">
        <v>102</v>
      </c>
      <c r="E585" s="2" t="s">
        <v>102</v>
      </c>
      <c r="F585" s="2">
        <v>10</v>
      </c>
      <c r="G585" s="2" t="s">
        <v>2373</v>
      </c>
    </row>
    <row r="586" spans="1:7">
      <c r="A586" s="2" t="s">
        <v>2374</v>
      </c>
      <c r="B586" s="2" t="s">
        <v>22</v>
      </c>
      <c r="C586" s="2" t="s">
        <v>669</v>
      </c>
      <c r="D586" s="2">
        <v>90</v>
      </c>
      <c r="E586" s="2">
        <v>100</v>
      </c>
      <c r="F586" s="2">
        <v>10</v>
      </c>
      <c r="G586" s="2"/>
    </row>
    <row r="587" spans="1:7">
      <c r="A587" s="2" t="s">
        <v>2375</v>
      </c>
      <c r="B587" s="2" t="s">
        <v>17</v>
      </c>
      <c r="C587" s="2" t="s">
        <v>664</v>
      </c>
      <c r="D587" s="2" t="s">
        <v>102</v>
      </c>
      <c r="E587" s="2" t="s">
        <v>102</v>
      </c>
      <c r="F587" s="2">
        <v>20</v>
      </c>
      <c r="G587" s="2" t="s">
        <v>2376</v>
      </c>
    </row>
    <row r="588" spans="1:7">
      <c r="A588" s="2" t="s">
        <v>2377</v>
      </c>
      <c r="B588" s="2" t="s">
        <v>18</v>
      </c>
      <c r="C588" s="2" t="s">
        <v>664</v>
      </c>
      <c r="D588" s="2" t="s">
        <v>102</v>
      </c>
      <c r="E588" s="2" t="s">
        <v>102</v>
      </c>
      <c r="F588" s="2">
        <v>15</v>
      </c>
      <c r="G588" s="2" t="s">
        <v>2378</v>
      </c>
    </row>
    <row r="589" spans="1:7">
      <c r="A589" s="2" t="s">
        <v>2379</v>
      </c>
      <c r="B589" s="2" t="s">
        <v>894</v>
      </c>
      <c r="C589" s="2" t="s">
        <v>664</v>
      </c>
      <c r="D589" s="2" t="s">
        <v>102</v>
      </c>
      <c r="E589" s="2" t="s">
        <v>102</v>
      </c>
      <c r="F589" s="2">
        <v>10</v>
      </c>
      <c r="G589" s="2" t="s">
        <v>2380</v>
      </c>
    </row>
    <row r="590" spans="1:7">
      <c r="A590" s="2" t="s">
        <v>2381</v>
      </c>
      <c r="B590" s="2" t="s">
        <v>894</v>
      </c>
      <c r="C590" s="2" t="s">
        <v>661</v>
      </c>
      <c r="D590" s="2">
        <v>95</v>
      </c>
      <c r="E590" s="2">
        <v>100</v>
      </c>
      <c r="F590" s="2">
        <v>15</v>
      </c>
      <c r="G590" s="2" t="s">
        <v>2131</v>
      </c>
    </row>
    <row r="591" spans="1:7">
      <c r="A591" s="2" t="s">
        <v>2382</v>
      </c>
      <c r="B591" s="2" t="s">
        <v>19</v>
      </c>
      <c r="C591" s="2" t="s">
        <v>661</v>
      </c>
      <c r="D591" s="2">
        <v>65</v>
      </c>
      <c r="E591" s="2">
        <v>100</v>
      </c>
      <c r="F591" s="2">
        <v>10</v>
      </c>
      <c r="G591" s="2" t="s">
        <v>2269</v>
      </c>
    </row>
    <row r="592" spans="1:7">
      <c r="A592" s="2" t="s">
        <v>2383</v>
      </c>
      <c r="B592" s="2" t="s">
        <v>24</v>
      </c>
      <c r="C592" s="2" t="s">
        <v>664</v>
      </c>
      <c r="D592" s="2" t="s">
        <v>102</v>
      </c>
      <c r="E592" s="2">
        <v>100</v>
      </c>
      <c r="F592" s="2">
        <v>30</v>
      </c>
      <c r="G592" s="2" t="s">
        <v>2384</v>
      </c>
    </row>
    <row r="593" spans="1:7">
      <c r="A593" s="2" t="s">
        <v>2385</v>
      </c>
      <c r="B593" s="2" t="s">
        <v>17</v>
      </c>
      <c r="C593" s="2" t="s">
        <v>669</v>
      </c>
      <c r="D593" s="2">
        <v>20</v>
      </c>
      <c r="E593" s="2">
        <v>100</v>
      </c>
      <c r="F593" s="2">
        <v>20</v>
      </c>
      <c r="G593" s="2" t="s">
        <v>698</v>
      </c>
    </row>
    <row r="594" spans="1:7">
      <c r="A594" s="2" t="s">
        <v>2386</v>
      </c>
      <c r="B594" s="2" t="s">
        <v>20</v>
      </c>
      <c r="C594" s="2" t="s">
        <v>661</v>
      </c>
      <c r="D594" s="2">
        <v>80</v>
      </c>
      <c r="E594" s="2">
        <v>100</v>
      </c>
      <c r="F594" s="2">
        <v>10</v>
      </c>
      <c r="G594" s="2" t="s">
        <v>2387</v>
      </c>
    </row>
    <row r="595" spans="1:7">
      <c r="A595" s="2" t="s">
        <v>2388</v>
      </c>
      <c r="B595" s="2" t="s">
        <v>17</v>
      </c>
      <c r="C595" s="2" t="s">
        <v>661</v>
      </c>
      <c r="D595" s="2">
        <v>50</v>
      </c>
      <c r="E595" s="2">
        <v>100</v>
      </c>
      <c r="F595" s="2">
        <v>20</v>
      </c>
      <c r="G595" s="2" t="s">
        <v>662</v>
      </c>
    </row>
    <row r="596" spans="1:7">
      <c r="A596" s="2" t="s">
        <v>2389</v>
      </c>
      <c r="B596" s="2" t="s">
        <v>15</v>
      </c>
      <c r="C596" s="2" t="s">
        <v>664</v>
      </c>
      <c r="D596" s="2" t="s">
        <v>102</v>
      </c>
      <c r="E596" s="2">
        <v>100</v>
      </c>
      <c r="F596" s="2">
        <v>20</v>
      </c>
      <c r="G596" s="2" t="s">
        <v>2390</v>
      </c>
    </row>
    <row r="597" spans="1:7">
      <c r="A597" s="2" t="s">
        <v>2391</v>
      </c>
      <c r="B597" s="2" t="s">
        <v>21</v>
      </c>
      <c r="C597" s="2" t="s">
        <v>669</v>
      </c>
      <c r="D597" s="2">
        <v>90</v>
      </c>
      <c r="E597" s="2">
        <v>100</v>
      </c>
      <c r="F597" s="2">
        <v>15</v>
      </c>
      <c r="G597" s="2"/>
    </row>
    <row r="598" spans="1:7">
      <c r="A598" s="2" t="s">
        <v>2392</v>
      </c>
      <c r="B598" s="2" t="s">
        <v>10</v>
      </c>
      <c r="C598" s="2" t="s">
        <v>669</v>
      </c>
      <c r="D598" s="2">
        <v>90</v>
      </c>
      <c r="E598" s="2">
        <v>100</v>
      </c>
      <c r="F598" s="2">
        <v>10</v>
      </c>
      <c r="G598" s="2" t="s">
        <v>2211</v>
      </c>
    </row>
    <row r="599" spans="1:7">
      <c r="A599" s="2" t="s">
        <v>2393</v>
      </c>
      <c r="B599" s="2" t="s">
        <v>17</v>
      </c>
      <c r="C599" s="2" t="s">
        <v>664</v>
      </c>
      <c r="D599" s="2" t="s">
        <v>102</v>
      </c>
      <c r="E599" s="2" t="s">
        <v>102</v>
      </c>
      <c r="F599" s="2">
        <v>20</v>
      </c>
      <c r="G599" s="2" t="s">
        <v>2394</v>
      </c>
    </row>
    <row r="600" spans="1:7">
      <c r="A600" s="2" t="s">
        <v>2395</v>
      </c>
      <c r="B600" s="2" t="s">
        <v>894</v>
      </c>
      <c r="C600" s="2" t="s">
        <v>669</v>
      </c>
      <c r="D600" s="2">
        <v>90</v>
      </c>
      <c r="E600" s="2">
        <v>90</v>
      </c>
      <c r="F600" s="2">
        <v>10</v>
      </c>
      <c r="G600" s="2" t="s">
        <v>668</v>
      </c>
    </row>
    <row r="601" spans="1:7">
      <c r="A601" s="2" t="s">
        <v>2396</v>
      </c>
      <c r="B601" s="2" t="s">
        <v>14</v>
      </c>
      <c r="C601" s="2" t="s">
        <v>664</v>
      </c>
      <c r="D601" s="2" t="s">
        <v>102</v>
      </c>
      <c r="E601" s="2">
        <v>100</v>
      </c>
      <c r="F601" s="2">
        <v>20</v>
      </c>
      <c r="G601" s="2" t="s">
        <v>2397</v>
      </c>
    </row>
    <row r="602" spans="1:7">
      <c r="A602" s="2" t="s">
        <v>2398</v>
      </c>
      <c r="B602" s="2" t="s">
        <v>18</v>
      </c>
      <c r="C602" s="2" t="s">
        <v>669</v>
      </c>
      <c r="D602" s="2">
        <v>40</v>
      </c>
      <c r="E602" s="2">
        <v>100</v>
      </c>
      <c r="F602" s="2">
        <v>10</v>
      </c>
      <c r="G602" s="2" t="s">
        <v>2399</v>
      </c>
    </row>
    <row r="603" spans="1:7">
      <c r="A603" s="2" t="s">
        <v>2400</v>
      </c>
      <c r="B603" s="2" t="s">
        <v>22</v>
      </c>
      <c r="C603" s="2" t="s">
        <v>664</v>
      </c>
      <c r="D603" s="2" t="s">
        <v>102</v>
      </c>
      <c r="E603" s="2" t="s">
        <v>102</v>
      </c>
      <c r="F603" s="2">
        <v>10</v>
      </c>
      <c r="G603" s="2" t="s">
        <v>2401</v>
      </c>
    </row>
    <row r="604" spans="1:7">
      <c r="A604" s="2" t="s">
        <v>2402</v>
      </c>
      <c r="B604" s="2" t="s">
        <v>21</v>
      </c>
      <c r="C604" s="2" t="s">
        <v>664</v>
      </c>
      <c r="D604" s="2" t="s">
        <v>102</v>
      </c>
      <c r="E604" s="2" t="s">
        <v>102</v>
      </c>
      <c r="F604" s="2">
        <v>10</v>
      </c>
      <c r="G604" s="2" t="s">
        <v>2403</v>
      </c>
    </row>
    <row r="605" spans="1:7">
      <c r="A605" s="2" t="s">
        <v>2404</v>
      </c>
      <c r="B605" s="2" t="s">
        <v>14</v>
      </c>
      <c r="C605" s="2" t="s">
        <v>669</v>
      </c>
      <c r="D605" s="2" t="s">
        <v>102</v>
      </c>
      <c r="E605" s="2" t="s">
        <v>102</v>
      </c>
      <c r="F605" s="2">
        <v>20</v>
      </c>
      <c r="G605" s="2" t="s">
        <v>2405</v>
      </c>
    </row>
    <row r="606" spans="1:7">
      <c r="A606" s="2" t="s">
        <v>2406</v>
      </c>
      <c r="B606" s="2" t="s">
        <v>15</v>
      </c>
      <c r="C606" s="2" t="s">
        <v>664</v>
      </c>
      <c r="D606" s="2" t="s">
        <v>102</v>
      </c>
      <c r="E606" s="2">
        <v>100</v>
      </c>
      <c r="F606" s="2">
        <v>20</v>
      </c>
      <c r="G606" s="2" t="s">
        <v>2407</v>
      </c>
    </row>
    <row r="607" spans="1:7">
      <c r="A607" s="2" t="s">
        <v>2408</v>
      </c>
      <c r="B607" s="2" t="s">
        <v>10</v>
      </c>
      <c r="C607" s="2" t="s">
        <v>664</v>
      </c>
      <c r="D607" s="2" t="s">
        <v>102</v>
      </c>
      <c r="E607" s="2">
        <v>100</v>
      </c>
      <c r="F607" s="2">
        <v>20</v>
      </c>
      <c r="G607" s="2" t="s">
        <v>2409</v>
      </c>
    </row>
    <row r="608" spans="1:7">
      <c r="A608" s="2" t="s">
        <v>2410</v>
      </c>
      <c r="B608" s="2" t="s">
        <v>11</v>
      </c>
      <c r="C608" s="2" t="s">
        <v>664</v>
      </c>
      <c r="D608" s="2" t="s">
        <v>102</v>
      </c>
      <c r="E608" s="2">
        <v>100</v>
      </c>
      <c r="F608" s="2">
        <v>20</v>
      </c>
      <c r="G608" s="2" t="s">
        <v>2411</v>
      </c>
    </row>
    <row r="609" spans="1:7">
      <c r="A609" s="2" t="s">
        <v>2412</v>
      </c>
      <c r="B609" s="2" t="s">
        <v>27</v>
      </c>
      <c r="C609" s="2" t="s">
        <v>669</v>
      </c>
      <c r="D609" s="2">
        <v>15</v>
      </c>
      <c r="E609" s="2">
        <v>100</v>
      </c>
      <c r="F609" s="2">
        <v>10</v>
      </c>
      <c r="G609" s="2" t="s">
        <v>670</v>
      </c>
    </row>
  </sheetData>
  <conditionalFormatting sqref="B1:C609">
    <cfRule type="containsText" dxfId="1149" priority="715" stopIfTrue="1" operator="containsText" text="Ghost">
      <formula>NOT(ISERROR(SEARCH("Ghost",B1)))</formula>
    </cfRule>
    <cfRule type="containsText" dxfId="1148" priority="716" stopIfTrue="1" operator="containsText" text="Psychic">
      <formula>NOT(ISERROR(SEARCH("Psychic",B1)))</formula>
    </cfRule>
    <cfRule type="containsText" dxfId="1147" priority="717" stopIfTrue="1" operator="containsText" text="Normal">
      <formula>NOT(ISERROR(SEARCH("Normal",B1)))</formula>
    </cfRule>
    <cfRule type="containsText" dxfId="1146" priority="718" stopIfTrue="1" operator="containsText" text="Fire">
      <formula>NOT(ISERROR(SEARCH("Fire",B1)))</formula>
    </cfRule>
    <cfRule type="containsText" dxfId="1145" priority="719" stopIfTrue="1" operator="containsText" text="Bug">
      <formula>NOT(ISERROR(SEARCH("Bug",B1)))</formula>
    </cfRule>
    <cfRule type="containsText" dxfId="1144" priority="720" stopIfTrue="1" operator="containsText" text="Dark">
      <formula>NOT(ISERROR(SEARCH("Dark",B1)))</formula>
    </cfRule>
    <cfRule type="containsText" dxfId="1143" priority="721" stopIfTrue="1" operator="containsText" text="Dragon">
      <formula>NOT(ISERROR(SEARCH("Dragon",B1)))</formula>
    </cfRule>
    <cfRule type="containsText" dxfId="1142" priority="722" stopIfTrue="1" operator="containsText" text="Electric">
      <formula>NOT(ISERROR(SEARCH("Electric",B1)))</formula>
    </cfRule>
    <cfRule type="containsText" dxfId="1141" priority="723" stopIfTrue="1" operator="containsText" text="Fairy">
      <formula>NOT(ISERROR(SEARCH("Fairy",B1)))</formula>
    </cfRule>
    <cfRule type="containsText" dxfId="1140" priority="724" stopIfTrue="1" operator="containsText" text="Fighting">
      <formula>NOT(ISERROR(SEARCH("Fighting",B1)))</formula>
    </cfRule>
    <cfRule type="containsText" dxfId="1139" priority="725" stopIfTrue="1" operator="containsText" text="Flying">
      <formula>NOT(ISERROR(SEARCH("Flying",B1)))</formula>
    </cfRule>
    <cfRule type="containsText" dxfId="1138" priority="726" stopIfTrue="1" operator="containsText" text="Grass">
      <formula>NOT(ISERROR(SEARCH("Grass",B1)))</formula>
    </cfRule>
    <cfRule type="containsText" dxfId="1137" priority="727" stopIfTrue="1" operator="containsText" text="Ground">
      <formula>NOT(ISERROR(SEARCH("Ground",B1)))</formula>
    </cfRule>
    <cfRule type="containsText" dxfId="1136" priority="728" stopIfTrue="1" operator="containsText" text="Ice">
      <formula>NOT(ISERROR(SEARCH("Ice",B1)))</formula>
    </cfRule>
    <cfRule type="containsText" dxfId="1135" priority="729" stopIfTrue="1" operator="containsText" text="Poison">
      <formula>NOT(ISERROR(SEARCH("Poison",B1)))</formula>
    </cfRule>
    <cfRule type="containsText" dxfId="1134" priority="730" stopIfTrue="1" operator="containsText" text="Rock">
      <formula>NOT(ISERROR(SEARCH("Rock",B1)))</formula>
    </cfRule>
    <cfRule type="containsText" dxfId="1133" priority="731" stopIfTrue="1" operator="containsText" text="Steel">
      <formula>NOT(ISERROR(SEARCH("Steel",B1)))</formula>
    </cfRule>
    <cfRule type="containsText" dxfId="1132" priority="732" stopIfTrue="1" operator="containsText" text="Water">
      <formula>NOT(ISERROR(SEARCH("Water",B1)))</formula>
    </cfRule>
    <cfRule type="containsText" dxfId="1131" priority="733" stopIfTrue="1" operator="containsText" text="Status">
      <formula>NOT(ISERROR(SEARCH("Status",B1)))</formula>
    </cfRule>
    <cfRule type="containsText" dxfId="1130" priority="734" stopIfTrue="1" operator="containsText" text="Physical">
      <formula>NOT(ISERROR(SEARCH("Physical",B1)))</formula>
    </cfRule>
    <cfRule type="containsText" dxfId="1129" priority="735" stopIfTrue="1" operator="containsText" text="Special">
      <formula>NOT(ISERROR(SEARCH("Special",B1)))</formula>
    </cfRule>
  </conditionalFormatting>
  <conditionalFormatting sqref="B2:C609">
    <cfRule type="containsText" dxfId="1128" priority="1" stopIfTrue="1" operator="containsText" text="Ghost">
      <formula>NOT(ISERROR(SEARCH("Ghost",B2)))</formula>
    </cfRule>
    <cfRule type="containsText" dxfId="1127" priority="2" stopIfTrue="1" operator="containsText" text="Psychic">
      <formula>NOT(ISERROR(SEARCH("Psychic",B2)))</formula>
    </cfRule>
    <cfRule type="containsText" dxfId="1126" priority="3" stopIfTrue="1" operator="containsText" text="Normal">
      <formula>NOT(ISERROR(SEARCH("Normal",B2)))</formula>
    </cfRule>
    <cfRule type="containsText" dxfId="1125" priority="4" stopIfTrue="1" operator="containsText" text="Fire">
      <formula>NOT(ISERROR(SEARCH("Fire",B2)))</formula>
    </cfRule>
    <cfRule type="containsText" dxfId="1124" priority="5" stopIfTrue="1" operator="containsText" text="Bug">
      <formula>NOT(ISERROR(SEARCH("Bug",B2)))</formula>
    </cfRule>
    <cfRule type="containsText" dxfId="1123" priority="6" stopIfTrue="1" operator="containsText" text="Dark">
      <formula>NOT(ISERROR(SEARCH("Dark",B2)))</formula>
    </cfRule>
    <cfRule type="containsText" dxfId="1122" priority="7" stopIfTrue="1" operator="containsText" text="Dragon">
      <formula>NOT(ISERROR(SEARCH("Dragon",B2)))</formula>
    </cfRule>
    <cfRule type="containsText" dxfId="1121" priority="8" stopIfTrue="1" operator="containsText" text="Electric">
      <formula>NOT(ISERROR(SEARCH("Electric",B2)))</formula>
    </cfRule>
    <cfRule type="containsText" dxfId="1120" priority="9" stopIfTrue="1" operator="containsText" text="Fairy">
      <formula>NOT(ISERROR(SEARCH("Fairy",B2)))</formula>
    </cfRule>
    <cfRule type="containsText" dxfId="1119" priority="10" stopIfTrue="1" operator="containsText" text="Fighting">
      <formula>NOT(ISERROR(SEARCH("Fighting",B2)))</formula>
    </cfRule>
    <cfRule type="containsText" dxfId="1118" priority="11" stopIfTrue="1" operator="containsText" text="Flying">
      <formula>NOT(ISERROR(SEARCH("Flying",B2)))</formula>
    </cfRule>
    <cfRule type="containsText" dxfId="1117" priority="12" stopIfTrue="1" operator="containsText" text="Grass">
      <formula>NOT(ISERROR(SEARCH("Grass",B2)))</formula>
    </cfRule>
    <cfRule type="containsText" dxfId="1116" priority="13" stopIfTrue="1" operator="containsText" text="Ground">
      <formula>NOT(ISERROR(SEARCH("Ground",B2)))</formula>
    </cfRule>
    <cfRule type="containsText" dxfId="1115" priority="14" stopIfTrue="1" operator="containsText" text="Ice">
      <formula>NOT(ISERROR(SEARCH("Ice",B2)))</formula>
    </cfRule>
    <cfRule type="containsText" dxfId="1114" priority="15" stopIfTrue="1" operator="containsText" text="Poison">
      <formula>NOT(ISERROR(SEARCH("Poison",B2)))</formula>
    </cfRule>
    <cfRule type="containsText" dxfId="1113" priority="16" stopIfTrue="1" operator="containsText" text="Rock">
      <formula>NOT(ISERROR(SEARCH("Rock",B2)))</formula>
    </cfRule>
    <cfRule type="containsText" dxfId="1112" priority="17" stopIfTrue="1" operator="containsText" text="Steel">
      <formula>NOT(ISERROR(SEARCH("Steel",B2)))</formula>
    </cfRule>
    <cfRule type="containsText" dxfId="1111" priority="18" stopIfTrue="1" operator="containsText" text="Water">
      <formula>NOT(ISERROR(SEARCH("Water",B2)))</formula>
    </cfRule>
    <cfRule type="containsText" dxfId="1110" priority="19" stopIfTrue="1" operator="containsText" text="Status">
      <formula>NOT(ISERROR(SEARCH("Status",B2)))</formula>
    </cfRule>
    <cfRule type="containsText" dxfId="1109" priority="20" stopIfTrue="1" operator="containsText" text="Physical">
      <formula>NOT(ISERROR(SEARCH("Physical",B2)))</formula>
    </cfRule>
    <cfRule type="containsText" dxfId="1108" priority="21" stopIfTrue="1" operator="containsText" text="Special">
      <formula>NOT(ISERROR(SEARCH("Special",B2)))</formula>
    </cfRule>
    <cfRule type="containsText" dxfId="1107" priority="22" stopIfTrue="1" operator="containsText" text="Ghost">
      <formula>NOT(ISERROR(SEARCH("Ghost",B2)))</formula>
    </cfRule>
    <cfRule type="containsText" dxfId="1106" priority="23" stopIfTrue="1" operator="containsText" text="Psychic">
      <formula>NOT(ISERROR(SEARCH("Psychic",B2)))</formula>
    </cfRule>
    <cfRule type="containsText" dxfId="1105" priority="24" stopIfTrue="1" operator="containsText" text="Normal">
      <formula>NOT(ISERROR(SEARCH("Normal",B2)))</formula>
    </cfRule>
    <cfRule type="containsText" dxfId="1104" priority="25" stopIfTrue="1" operator="containsText" text="Fire">
      <formula>NOT(ISERROR(SEARCH("Fire",B2)))</formula>
    </cfRule>
    <cfRule type="containsText" dxfId="1103" priority="26" stopIfTrue="1" operator="containsText" text="Bug">
      <formula>NOT(ISERROR(SEARCH("Bug",B2)))</formula>
    </cfRule>
    <cfRule type="containsText" dxfId="1102" priority="27" stopIfTrue="1" operator="containsText" text="Dark">
      <formula>NOT(ISERROR(SEARCH("Dark",B2)))</formula>
    </cfRule>
    <cfRule type="containsText" dxfId="1101" priority="28" stopIfTrue="1" operator="containsText" text="Dragon">
      <formula>NOT(ISERROR(SEARCH("Dragon",B2)))</formula>
    </cfRule>
    <cfRule type="containsText" dxfId="1100" priority="29" stopIfTrue="1" operator="containsText" text="Electric">
      <formula>NOT(ISERROR(SEARCH("Electric",B2)))</formula>
    </cfRule>
    <cfRule type="containsText" dxfId="1099" priority="30" stopIfTrue="1" operator="containsText" text="Fairy">
      <formula>NOT(ISERROR(SEARCH("Fairy",B2)))</formula>
    </cfRule>
    <cfRule type="containsText" dxfId="1098" priority="31" stopIfTrue="1" operator="containsText" text="Fighting">
      <formula>NOT(ISERROR(SEARCH("Fighting",B2)))</formula>
    </cfRule>
    <cfRule type="containsText" dxfId="1097" priority="32" stopIfTrue="1" operator="containsText" text="Flying">
      <formula>NOT(ISERROR(SEARCH("Flying",B2)))</formula>
    </cfRule>
    <cfRule type="containsText" dxfId="1096" priority="33" stopIfTrue="1" operator="containsText" text="Grass">
      <formula>NOT(ISERROR(SEARCH("Grass",B2)))</formula>
    </cfRule>
    <cfRule type="containsText" dxfId="1095" priority="34" stopIfTrue="1" operator="containsText" text="Ground">
      <formula>NOT(ISERROR(SEARCH("Ground",B2)))</formula>
    </cfRule>
    <cfRule type="containsText" dxfId="1094" priority="35" stopIfTrue="1" operator="containsText" text="Ice">
      <formula>NOT(ISERROR(SEARCH("Ice",B2)))</formula>
    </cfRule>
    <cfRule type="containsText" dxfId="1093" priority="36" stopIfTrue="1" operator="containsText" text="Poison">
      <formula>NOT(ISERROR(SEARCH("Poison",B2)))</formula>
    </cfRule>
    <cfRule type="containsText" dxfId="1092" priority="37" stopIfTrue="1" operator="containsText" text="Rock">
      <formula>NOT(ISERROR(SEARCH("Rock",B2)))</formula>
    </cfRule>
    <cfRule type="containsText" dxfId="1091" priority="38" stopIfTrue="1" operator="containsText" text="Steel">
      <formula>NOT(ISERROR(SEARCH("Steel",B2)))</formula>
    </cfRule>
    <cfRule type="containsText" dxfId="1090" priority="39" stopIfTrue="1" operator="containsText" text="Water">
      <formula>NOT(ISERROR(SEARCH("Water",B2)))</formula>
    </cfRule>
    <cfRule type="containsText" dxfId="1089" priority="40" stopIfTrue="1" operator="containsText" text="Status">
      <formula>NOT(ISERROR(SEARCH("Status",B2)))</formula>
    </cfRule>
    <cfRule type="containsText" dxfId="1088" priority="41" stopIfTrue="1" operator="containsText" text="Physical">
      <formula>NOT(ISERROR(SEARCH("Physical",B2)))</formula>
    </cfRule>
    <cfRule type="containsText" dxfId="1087" priority="42" stopIfTrue="1" operator="containsText" text="Special">
      <formula>NOT(ISERROR(SEARCH("Special",B2)))</formula>
    </cfRule>
    <cfRule type="containsText" dxfId="1086" priority="43" stopIfTrue="1" operator="containsText" text="Ghost">
      <formula>NOT(ISERROR(SEARCH("Ghost",B2)))</formula>
    </cfRule>
    <cfRule type="containsText" dxfId="1085" priority="44" stopIfTrue="1" operator="containsText" text="Psychic">
      <formula>NOT(ISERROR(SEARCH("Psychic",B2)))</formula>
    </cfRule>
    <cfRule type="containsText" dxfId="1084" priority="45" stopIfTrue="1" operator="containsText" text="Normal">
      <formula>NOT(ISERROR(SEARCH("Normal",B2)))</formula>
    </cfRule>
    <cfRule type="containsText" dxfId="1083" priority="46" stopIfTrue="1" operator="containsText" text="Fire">
      <formula>NOT(ISERROR(SEARCH("Fire",B2)))</formula>
    </cfRule>
    <cfRule type="containsText" dxfId="1082" priority="47" stopIfTrue="1" operator="containsText" text="Bug">
      <formula>NOT(ISERROR(SEARCH("Bug",B2)))</formula>
    </cfRule>
    <cfRule type="containsText" dxfId="1081" priority="48" stopIfTrue="1" operator="containsText" text="Dark">
      <formula>NOT(ISERROR(SEARCH("Dark",B2)))</formula>
    </cfRule>
    <cfRule type="containsText" dxfId="1080" priority="49" stopIfTrue="1" operator="containsText" text="Dragon">
      <formula>NOT(ISERROR(SEARCH("Dragon",B2)))</formula>
    </cfRule>
    <cfRule type="containsText" dxfId="1079" priority="50" stopIfTrue="1" operator="containsText" text="Electric">
      <formula>NOT(ISERROR(SEARCH("Electric",B2)))</formula>
    </cfRule>
    <cfRule type="containsText" dxfId="1078" priority="51" stopIfTrue="1" operator="containsText" text="Fairy">
      <formula>NOT(ISERROR(SEARCH("Fairy",B2)))</formula>
    </cfRule>
    <cfRule type="containsText" dxfId="1077" priority="52" stopIfTrue="1" operator="containsText" text="Fighting">
      <formula>NOT(ISERROR(SEARCH("Fighting",B2)))</formula>
    </cfRule>
    <cfRule type="containsText" dxfId="1076" priority="53" stopIfTrue="1" operator="containsText" text="Flying">
      <formula>NOT(ISERROR(SEARCH("Flying",B2)))</formula>
    </cfRule>
    <cfRule type="containsText" dxfId="1075" priority="54" stopIfTrue="1" operator="containsText" text="Grass">
      <formula>NOT(ISERROR(SEARCH("Grass",B2)))</formula>
    </cfRule>
    <cfRule type="containsText" dxfId="1074" priority="55" stopIfTrue="1" operator="containsText" text="Ground">
      <formula>NOT(ISERROR(SEARCH("Ground",B2)))</formula>
    </cfRule>
    <cfRule type="containsText" dxfId="1073" priority="56" stopIfTrue="1" operator="containsText" text="Ice">
      <formula>NOT(ISERROR(SEARCH("Ice",B2)))</formula>
    </cfRule>
    <cfRule type="containsText" dxfId="1072" priority="57" stopIfTrue="1" operator="containsText" text="Poison">
      <formula>NOT(ISERROR(SEARCH("Poison",B2)))</formula>
    </cfRule>
    <cfRule type="containsText" dxfId="1071" priority="58" stopIfTrue="1" operator="containsText" text="Rock">
      <formula>NOT(ISERROR(SEARCH("Rock",B2)))</formula>
    </cfRule>
    <cfRule type="containsText" dxfId="1070" priority="59" stopIfTrue="1" operator="containsText" text="Steel">
      <formula>NOT(ISERROR(SEARCH("Steel",B2)))</formula>
    </cfRule>
    <cfRule type="containsText" dxfId="1069" priority="60" stopIfTrue="1" operator="containsText" text="Water">
      <formula>NOT(ISERROR(SEARCH("Water",B2)))</formula>
    </cfRule>
    <cfRule type="containsText" dxfId="1068" priority="61" stopIfTrue="1" operator="containsText" text="Status">
      <formula>NOT(ISERROR(SEARCH("Status",B2)))</formula>
    </cfRule>
    <cfRule type="containsText" dxfId="1067" priority="62" stopIfTrue="1" operator="containsText" text="Physical">
      <formula>NOT(ISERROR(SEARCH("Physical",B2)))</formula>
    </cfRule>
    <cfRule type="containsText" dxfId="1066" priority="63" stopIfTrue="1" operator="containsText" text="Special">
      <formula>NOT(ISERROR(SEARCH("Special",B2)))</formula>
    </cfRule>
    <cfRule type="containsText" dxfId="1065" priority="64" stopIfTrue="1" operator="containsText" text="Ghost">
      <formula>NOT(ISERROR(SEARCH("Ghost",B2)))</formula>
    </cfRule>
    <cfRule type="containsText" dxfId="1064" priority="65" stopIfTrue="1" operator="containsText" text="Psychic">
      <formula>NOT(ISERROR(SEARCH("Psychic",B2)))</formula>
    </cfRule>
    <cfRule type="containsText" dxfId="1063" priority="66" stopIfTrue="1" operator="containsText" text="Normal">
      <formula>NOT(ISERROR(SEARCH("Normal",B2)))</formula>
    </cfRule>
    <cfRule type="containsText" dxfId="1062" priority="67" stopIfTrue="1" operator="containsText" text="Fire">
      <formula>NOT(ISERROR(SEARCH("Fire",B2)))</formula>
    </cfRule>
    <cfRule type="containsText" dxfId="1061" priority="68" stopIfTrue="1" operator="containsText" text="Bug">
      <formula>NOT(ISERROR(SEARCH("Bug",B2)))</formula>
    </cfRule>
    <cfRule type="containsText" dxfId="1060" priority="69" stopIfTrue="1" operator="containsText" text="Dark">
      <formula>NOT(ISERROR(SEARCH("Dark",B2)))</formula>
    </cfRule>
    <cfRule type="containsText" dxfId="1059" priority="70" stopIfTrue="1" operator="containsText" text="Dragon">
      <formula>NOT(ISERROR(SEARCH("Dragon",B2)))</formula>
    </cfRule>
    <cfRule type="containsText" dxfId="1058" priority="71" stopIfTrue="1" operator="containsText" text="Electric">
      <formula>NOT(ISERROR(SEARCH("Electric",B2)))</formula>
    </cfRule>
    <cfRule type="containsText" dxfId="1057" priority="72" stopIfTrue="1" operator="containsText" text="Fairy">
      <formula>NOT(ISERROR(SEARCH("Fairy",B2)))</formula>
    </cfRule>
    <cfRule type="containsText" dxfId="1056" priority="73" stopIfTrue="1" operator="containsText" text="Fighting">
      <formula>NOT(ISERROR(SEARCH("Fighting",B2)))</formula>
    </cfRule>
    <cfRule type="containsText" dxfId="1055" priority="74" stopIfTrue="1" operator="containsText" text="Flying">
      <formula>NOT(ISERROR(SEARCH("Flying",B2)))</formula>
    </cfRule>
    <cfRule type="containsText" dxfId="1054" priority="75" stopIfTrue="1" operator="containsText" text="Grass">
      <formula>NOT(ISERROR(SEARCH("Grass",B2)))</formula>
    </cfRule>
    <cfRule type="containsText" dxfId="1053" priority="76" stopIfTrue="1" operator="containsText" text="Ground">
      <formula>NOT(ISERROR(SEARCH("Ground",B2)))</formula>
    </cfRule>
    <cfRule type="containsText" dxfId="1052" priority="77" stopIfTrue="1" operator="containsText" text="Ice">
      <formula>NOT(ISERROR(SEARCH("Ice",B2)))</formula>
    </cfRule>
    <cfRule type="containsText" dxfId="1051" priority="78" stopIfTrue="1" operator="containsText" text="Poison">
      <formula>NOT(ISERROR(SEARCH("Poison",B2)))</formula>
    </cfRule>
    <cfRule type="containsText" dxfId="1050" priority="79" stopIfTrue="1" operator="containsText" text="Rock">
      <formula>NOT(ISERROR(SEARCH("Rock",B2)))</formula>
    </cfRule>
    <cfRule type="containsText" dxfId="1049" priority="80" stopIfTrue="1" operator="containsText" text="Steel">
      <formula>NOT(ISERROR(SEARCH("Steel",B2)))</formula>
    </cfRule>
    <cfRule type="containsText" dxfId="1048" priority="81" stopIfTrue="1" operator="containsText" text="Water">
      <formula>NOT(ISERROR(SEARCH("Water",B2)))</formula>
    </cfRule>
    <cfRule type="containsText" dxfId="1047" priority="82" stopIfTrue="1" operator="containsText" text="Status">
      <formula>NOT(ISERROR(SEARCH("Status",B2)))</formula>
    </cfRule>
    <cfRule type="containsText" dxfId="1046" priority="83" stopIfTrue="1" operator="containsText" text="Physical">
      <formula>NOT(ISERROR(SEARCH("Physical",B2)))</formula>
    </cfRule>
    <cfRule type="containsText" dxfId="1045" priority="84" stopIfTrue="1" operator="containsText" text="Special">
      <formula>NOT(ISERROR(SEARCH("Special",B2)))</formula>
    </cfRule>
    <cfRule type="containsText" dxfId="1044" priority="85" stopIfTrue="1" operator="containsText" text="Ghost">
      <formula>NOT(ISERROR(SEARCH("Ghost",B2)))</formula>
    </cfRule>
    <cfRule type="containsText" dxfId="1043" priority="86" stopIfTrue="1" operator="containsText" text="Psychic">
      <formula>NOT(ISERROR(SEARCH("Psychic",B2)))</formula>
    </cfRule>
    <cfRule type="containsText" dxfId="1042" priority="87" stopIfTrue="1" operator="containsText" text="Normal">
      <formula>NOT(ISERROR(SEARCH("Normal",B2)))</formula>
    </cfRule>
    <cfRule type="containsText" dxfId="1041" priority="88" stopIfTrue="1" operator="containsText" text="Fire">
      <formula>NOT(ISERROR(SEARCH("Fire",B2)))</formula>
    </cfRule>
    <cfRule type="containsText" dxfId="1040" priority="89" stopIfTrue="1" operator="containsText" text="Bug">
      <formula>NOT(ISERROR(SEARCH("Bug",B2)))</formula>
    </cfRule>
    <cfRule type="containsText" dxfId="1039" priority="90" stopIfTrue="1" operator="containsText" text="Dark">
      <formula>NOT(ISERROR(SEARCH("Dark",B2)))</formula>
    </cfRule>
    <cfRule type="containsText" dxfId="1038" priority="91" stopIfTrue="1" operator="containsText" text="Dragon">
      <formula>NOT(ISERROR(SEARCH("Dragon",B2)))</formula>
    </cfRule>
    <cfRule type="containsText" dxfId="1037" priority="92" stopIfTrue="1" operator="containsText" text="Electric">
      <formula>NOT(ISERROR(SEARCH("Electric",B2)))</formula>
    </cfRule>
    <cfRule type="containsText" dxfId="1036" priority="93" stopIfTrue="1" operator="containsText" text="Fairy">
      <formula>NOT(ISERROR(SEARCH("Fairy",B2)))</formula>
    </cfRule>
    <cfRule type="containsText" dxfId="1035" priority="94" stopIfTrue="1" operator="containsText" text="Fighting">
      <formula>NOT(ISERROR(SEARCH("Fighting",B2)))</formula>
    </cfRule>
    <cfRule type="containsText" dxfId="1034" priority="95" stopIfTrue="1" operator="containsText" text="Flying">
      <formula>NOT(ISERROR(SEARCH("Flying",B2)))</formula>
    </cfRule>
    <cfRule type="containsText" dxfId="1033" priority="96" stopIfTrue="1" operator="containsText" text="Grass">
      <formula>NOT(ISERROR(SEARCH("Grass",B2)))</formula>
    </cfRule>
    <cfRule type="containsText" dxfId="1032" priority="97" stopIfTrue="1" operator="containsText" text="Ground">
      <formula>NOT(ISERROR(SEARCH("Ground",B2)))</formula>
    </cfRule>
    <cfRule type="containsText" dxfId="1031" priority="98" stopIfTrue="1" operator="containsText" text="Ice">
      <formula>NOT(ISERROR(SEARCH("Ice",B2)))</formula>
    </cfRule>
    <cfRule type="containsText" dxfId="1030" priority="99" stopIfTrue="1" operator="containsText" text="Poison">
      <formula>NOT(ISERROR(SEARCH("Poison",B2)))</formula>
    </cfRule>
    <cfRule type="containsText" dxfId="1029" priority="100" stopIfTrue="1" operator="containsText" text="Rock">
      <formula>NOT(ISERROR(SEARCH("Rock",B2)))</formula>
    </cfRule>
    <cfRule type="containsText" dxfId="1028" priority="101" stopIfTrue="1" operator="containsText" text="Steel">
      <formula>NOT(ISERROR(SEARCH("Steel",B2)))</formula>
    </cfRule>
    <cfRule type="containsText" dxfId="1027" priority="102" stopIfTrue="1" operator="containsText" text="Water">
      <formula>NOT(ISERROR(SEARCH("Water",B2)))</formula>
    </cfRule>
    <cfRule type="containsText" dxfId="1026" priority="103" stopIfTrue="1" operator="containsText" text="Status">
      <formula>NOT(ISERROR(SEARCH("Status",B2)))</formula>
    </cfRule>
    <cfRule type="containsText" dxfId="1025" priority="104" stopIfTrue="1" operator="containsText" text="Physical">
      <formula>NOT(ISERROR(SEARCH("Physical",B2)))</formula>
    </cfRule>
    <cfRule type="containsText" dxfId="1024" priority="105" stopIfTrue="1" operator="containsText" text="Special">
      <formula>NOT(ISERROR(SEARCH("Special",B2)))</formula>
    </cfRule>
    <cfRule type="containsText" dxfId="1023" priority="106" stopIfTrue="1" operator="containsText" text="Ghost">
      <formula>NOT(ISERROR(SEARCH("Ghost",B2)))</formula>
    </cfRule>
    <cfRule type="containsText" dxfId="1022" priority="107" stopIfTrue="1" operator="containsText" text="Psychic">
      <formula>NOT(ISERROR(SEARCH("Psychic",B2)))</formula>
    </cfRule>
    <cfRule type="containsText" dxfId="1021" priority="108" stopIfTrue="1" operator="containsText" text="Normal">
      <formula>NOT(ISERROR(SEARCH("Normal",B2)))</formula>
    </cfRule>
    <cfRule type="containsText" dxfId="1020" priority="109" stopIfTrue="1" operator="containsText" text="Fire">
      <formula>NOT(ISERROR(SEARCH("Fire",B2)))</formula>
    </cfRule>
    <cfRule type="containsText" dxfId="1019" priority="110" stopIfTrue="1" operator="containsText" text="Bug">
      <formula>NOT(ISERROR(SEARCH("Bug",B2)))</formula>
    </cfRule>
    <cfRule type="containsText" dxfId="1018" priority="111" stopIfTrue="1" operator="containsText" text="Dark">
      <formula>NOT(ISERROR(SEARCH("Dark",B2)))</formula>
    </cfRule>
    <cfRule type="containsText" dxfId="1017" priority="112" stopIfTrue="1" operator="containsText" text="Dragon">
      <formula>NOT(ISERROR(SEARCH("Dragon",B2)))</formula>
    </cfRule>
    <cfRule type="containsText" dxfId="1016" priority="113" stopIfTrue="1" operator="containsText" text="Electric">
      <formula>NOT(ISERROR(SEARCH("Electric",B2)))</formula>
    </cfRule>
    <cfRule type="containsText" dxfId="1015" priority="114" stopIfTrue="1" operator="containsText" text="Fairy">
      <formula>NOT(ISERROR(SEARCH("Fairy",B2)))</formula>
    </cfRule>
    <cfRule type="containsText" dxfId="1014" priority="115" stopIfTrue="1" operator="containsText" text="Fighting">
      <formula>NOT(ISERROR(SEARCH("Fighting",B2)))</formula>
    </cfRule>
    <cfRule type="containsText" dxfId="1013" priority="116" stopIfTrue="1" operator="containsText" text="Flying">
      <formula>NOT(ISERROR(SEARCH("Flying",B2)))</formula>
    </cfRule>
    <cfRule type="containsText" dxfId="1012" priority="117" stopIfTrue="1" operator="containsText" text="Grass">
      <formula>NOT(ISERROR(SEARCH("Grass",B2)))</formula>
    </cfRule>
    <cfRule type="containsText" dxfId="1011" priority="118" stopIfTrue="1" operator="containsText" text="Ground">
      <formula>NOT(ISERROR(SEARCH("Ground",B2)))</formula>
    </cfRule>
    <cfRule type="containsText" dxfId="1010" priority="119" stopIfTrue="1" operator="containsText" text="Ice">
      <formula>NOT(ISERROR(SEARCH("Ice",B2)))</formula>
    </cfRule>
    <cfRule type="containsText" dxfId="1009" priority="120" stopIfTrue="1" operator="containsText" text="Poison">
      <formula>NOT(ISERROR(SEARCH("Poison",B2)))</formula>
    </cfRule>
    <cfRule type="containsText" dxfId="1008" priority="121" stopIfTrue="1" operator="containsText" text="Rock">
      <formula>NOT(ISERROR(SEARCH("Rock",B2)))</formula>
    </cfRule>
    <cfRule type="containsText" dxfId="1007" priority="122" stopIfTrue="1" operator="containsText" text="Steel">
      <formula>NOT(ISERROR(SEARCH("Steel",B2)))</formula>
    </cfRule>
    <cfRule type="containsText" dxfId="1006" priority="123" stopIfTrue="1" operator="containsText" text="Water">
      <formula>NOT(ISERROR(SEARCH("Water",B2)))</formula>
    </cfRule>
    <cfRule type="containsText" dxfId="1005" priority="124" stopIfTrue="1" operator="containsText" text="Status">
      <formula>NOT(ISERROR(SEARCH("Status",B2)))</formula>
    </cfRule>
    <cfRule type="containsText" dxfId="1004" priority="125" stopIfTrue="1" operator="containsText" text="Physical">
      <formula>NOT(ISERROR(SEARCH("Physical",B2)))</formula>
    </cfRule>
    <cfRule type="containsText" dxfId="1003" priority="126" stopIfTrue="1" operator="containsText" text="Special">
      <formula>NOT(ISERROR(SEARCH("Special",B2)))</formula>
    </cfRule>
    <cfRule type="containsText" dxfId="1002" priority="127" stopIfTrue="1" operator="containsText" text="Ghost">
      <formula>NOT(ISERROR(SEARCH("Ghost",B2)))</formula>
    </cfRule>
    <cfRule type="containsText" dxfId="1001" priority="128" stopIfTrue="1" operator="containsText" text="Psychic">
      <formula>NOT(ISERROR(SEARCH("Psychic",B2)))</formula>
    </cfRule>
    <cfRule type="containsText" dxfId="1000" priority="129" stopIfTrue="1" operator="containsText" text="Normal">
      <formula>NOT(ISERROR(SEARCH("Normal",B2)))</formula>
    </cfRule>
    <cfRule type="containsText" dxfId="999" priority="130" stopIfTrue="1" operator="containsText" text="Fire">
      <formula>NOT(ISERROR(SEARCH("Fire",B2)))</formula>
    </cfRule>
    <cfRule type="containsText" dxfId="998" priority="131" stopIfTrue="1" operator="containsText" text="Bug">
      <formula>NOT(ISERROR(SEARCH("Bug",B2)))</formula>
    </cfRule>
    <cfRule type="containsText" dxfId="997" priority="132" stopIfTrue="1" operator="containsText" text="Dark">
      <formula>NOT(ISERROR(SEARCH("Dark",B2)))</formula>
    </cfRule>
    <cfRule type="containsText" dxfId="996" priority="133" stopIfTrue="1" operator="containsText" text="Dragon">
      <formula>NOT(ISERROR(SEARCH("Dragon",B2)))</formula>
    </cfRule>
    <cfRule type="containsText" dxfId="995" priority="134" stopIfTrue="1" operator="containsText" text="Electric">
      <formula>NOT(ISERROR(SEARCH("Electric",B2)))</formula>
    </cfRule>
    <cfRule type="containsText" dxfId="994" priority="135" stopIfTrue="1" operator="containsText" text="Fairy">
      <formula>NOT(ISERROR(SEARCH("Fairy",B2)))</formula>
    </cfRule>
    <cfRule type="containsText" dxfId="993" priority="136" stopIfTrue="1" operator="containsText" text="Fighting">
      <formula>NOT(ISERROR(SEARCH("Fighting",B2)))</formula>
    </cfRule>
    <cfRule type="containsText" dxfId="992" priority="137" stopIfTrue="1" operator="containsText" text="Flying">
      <formula>NOT(ISERROR(SEARCH("Flying",B2)))</formula>
    </cfRule>
    <cfRule type="containsText" dxfId="991" priority="138" stopIfTrue="1" operator="containsText" text="Grass">
      <formula>NOT(ISERROR(SEARCH("Grass",B2)))</formula>
    </cfRule>
    <cfRule type="containsText" dxfId="990" priority="139" stopIfTrue="1" operator="containsText" text="Ground">
      <formula>NOT(ISERROR(SEARCH("Ground",B2)))</formula>
    </cfRule>
    <cfRule type="containsText" dxfId="989" priority="140" stopIfTrue="1" operator="containsText" text="Ice">
      <formula>NOT(ISERROR(SEARCH("Ice",B2)))</formula>
    </cfRule>
    <cfRule type="containsText" dxfId="988" priority="141" stopIfTrue="1" operator="containsText" text="Poison">
      <formula>NOT(ISERROR(SEARCH("Poison",B2)))</formula>
    </cfRule>
    <cfRule type="containsText" dxfId="987" priority="142" stopIfTrue="1" operator="containsText" text="Rock">
      <formula>NOT(ISERROR(SEARCH("Rock",B2)))</formula>
    </cfRule>
    <cfRule type="containsText" dxfId="986" priority="143" stopIfTrue="1" operator="containsText" text="Steel">
      <formula>NOT(ISERROR(SEARCH("Steel",B2)))</formula>
    </cfRule>
    <cfRule type="containsText" dxfId="985" priority="144" stopIfTrue="1" operator="containsText" text="Water">
      <formula>NOT(ISERROR(SEARCH("Water",B2)))</formula>
    </cfRule>
    <cfRule type="containsText" dxfId="984" priority="145" stopIfTrue="1" operator="containsText" text="Status">
      <formula>NOT(ISERROR(SEARCH("Status",B2)))</formula>
    </cfRule>
    <cfRule type="containsText" dxfId="983" priority="146" stopIfTrue="1" operator="containsText" text="Physical">
      <formula>NOT(ISERROR(SEARCH("Physical",B2)))</formula>
    </cfRule>
    <cfRule type="containsText" dxfId="982" priority="147" stopIfTrue="1" operator="containsText" text="Special">
      <formula>NOT(ISERROR(SEARCH("Special",B2)))</formula>
    </cfRule>
    <cfRule type="containsText" dxfId="981" priority="148" stopIfTrue="1" operator="containsText" text="Ghost">
      <formula>NOT(ISERROR(SEARCH("Ghost",B2)))</formula>
    </cfRule>
    <cfRule type="containsText" dxfId="980" priority="149" stopIfTrue="1" operator="containsText" text="Psychic">
      <formula>NOT(ISERROR(SEARCH("Psychic",B2)))</formula>
    </cfRule>
    <cfRule type="containsText" dxfId="979" priority="150" stopIfTrue="1" operator="containsText" text="Normal">
      <formula>NOT(ISERROR(SEARCH("Normal",B2)))</formula>
    </cfRule>
    <cfRule type="containsText" dxfId="978" priority="151" stopIfTrue="1" operator="containsText" text="Fire">
      <formula>NOT(ISERROR(SEARCH("Fire",B2)))</formula>
    </cfRule>
    <cfRule type="containsText" dxfId="977" priority="152" stopIfTrue="1" operator="containsText" text="Bug">
      <formula>NOT(ISERROR(SEARCH("Bug",B2)))</formula>
    </cfRule>
    <cfRule type="containsText" dxfId="976" priority="153" stopIfTrue="1" operator="containsText" text="Dark">
      <formula>NOT(ISERROR(SEARCH("Dark",B2)))</formula>
    </cfRule>
    <cfRule type="containsText" dxfId="975" priority="154" stopIfTrue="1" operator="containsText" text="Dragon">
      <formula>NOT(ISERROR(SEARCH("Dragon",B2)))</formula>
    </cfRule>
    <cfRule type="containsText" dxfId="974" priority="155" stopIfTrue="1" operator="containsText" text="Electric">
      <formula>NOT(ISERROR(SEARCH("Electric",B2)))</formula>
    </cfRule>
    <cfRule type="containsText" dxfId="973" priority="156" stopIfTrue="1" operator="containsText" text="Fairy">
      <formula>NOT(ISERROR(SEARCH("Fairy",B2)))</formula>
    </cfRule>
    <cfRule type="containsText" dxfId="972" priority="157" stopIfTrue="1" operator="containsText" text="Fighting">
      <formula>NOT(ISERROR(SEARCH("Fighting",B2)))</formula>
    </cfRule>
    <cfRule type="containsText" dxfId="971" priority="158" stopIfTrue="1" operator="containsText" text="Flying">
      <formula>NOT(ISERROR(SEARCH("Flying",B2)))</formula>
    </cfRule>
    <cfRule type="containsText" dxfId="970" priority="159" stopIfTrue="1" operator="containsText" text="Grass">
      <formula>NOT(ISERROR(SEARCH("Grass",B2)))</formula>
    </cfRule>
    <cfRule type="containsText" dxfId="969" priority="160" stopIfTrue="1" operator="containsText" text="Ground">
      <formula>NOT(ISERROR(SEARCH("Ground",B2)))</formula>
    </cfRule>
    <cfRule type="containsText" dxfId="968" priority="161" stopIfTrue="1" operator="containsText" text="Ice">
      <formula>NOT(ISERROR(SEARCH("Ice",B2)))</formula>
    </cfRule>
    <cfRule type="containsText" dxfId="967" priority="162" stopIfTrue="1" operator="containsText" text="Poison">
      <formula>NOT(ISERROR(SEARCH("Poison",B2)))</formula>
    </cfRule>
    <cfRule type="containsText" dxfId="966" priority="163" stopIfTrue="1" operator="containsText" text="Rock">
      <formula>NOT(ISERROR(SEARCH("Rock",B2)))</formula>
    </cfRule>
    <cfRule type="containsText" dxfId="965" priority="164" stopIfTrue="1" operator="containsText" text="Steel">
      <formula>NOT(ISERROR(SEARCH("Steel",B2)))</formula>
    </cfRule>
    <cfRule type="containsText" dxfId="964" priority="165" stopIfTrue="1" operator="containsText" text="Water">
      <formula>NOT(ISERROR(SEARCH("Water",B2)))</formula>
    </cfRule>
    <cfRule type="containsText" dxfId="963" priority="166" stopIfTrue="1" operator="containsText" text="Status">
      <formula>NOT(ISERROR(SEARCH("Status",B2)))</formula>
    </cfRule>
    <cfRule type="containsText" dxfId="962" priority="167" stopIfTrue="1" operator="containsText" text="Physical">
      <formula>NOT(ISERROR(SEARCH("Physical",B2)))</formula>
    </cfRule>
    <cfRule type="containsText" dxfId="961" priority="168" stopIfTrue="1" operator="containsText" text="Special">
      <formula>NOT(ISERROR(SEARCH("Special",B2)))</formula>
    </cfRule>
    <cfRule type="containsText" dxfId="960" priority="169" stopIfTrue="1" operator="containsText" text="Ghost">
      <formula>NOT(ISERROR(SEARCH("Ghost",B2)))</formula>
    </cfRule>
    <cfRule type="containsText" dxfId="959" priority="170" stopIfTrue="1" operator="containsText" text="Psychic">
      <formula>NOT(ISERROR(SEARCH("Psychic",B2)))</formula>
    </cfRule>
    <cfRule type="containsText" dxfId="958" priority="171" stopIfTrue="1" operator="containsText" text="Normal">
      <formula>NOT(ISERROR(SEARCH("Normal",B2)))</formula>
    </cfRule>
    <cfRule type="containsText" dxfId="957" priority="172" stopIfTrue="1" operator="containsText" text="Fire">
      <formula>NOT(ISERROR(SEARCH("Fire",B2)))</formula>
    </cfRule>
    <cfRule type="containsText" dxfId="956" priority="173" stopIfTrue="1" operator="containsText" text="Bug">
      <formula>NOT(ISERROR(SEARCH("Bug",B2)))</formula>
    </cfRule>
    <cfRule type="containsText" dxfId="955" priority="174" stopIfTrue="1" operator="containsText" text="Dark">
      <formula>NOT(ISERROR(SEARCH("Dark",B2)))</formula>
    </cfRule>
    <cfRule type="containsText" dxfId="954" priority="175" stopIfTrue="1" operator="containsText" text="Dragon">
      <formula>NOT(ISERROR(SEARCH("Dragon",B2)))</formula>
    </cfRule>
    <cfRule type="containsText" dxfId="953" priority="176" stopIfTrue="1" operator="containsText" text="Electric">
      <formula>NOT(ISERROR(SEARCH("Electric",B2)))</formula>
    </cfRule>
    <cfRule type="containsText" dxfId="952" priority="177" stopIfTrue="1" operator="containsText" text="Fairy">
      <formula>NOT(ISERROR(SEARCH("Fairy",B2)))</formula>
    </cfRule>
    <cfRule type="containsText" dxfId="951" priority="178" stopIfTrue="1" operator="containsText" text="Fighting">
      <formula>NOT(ISERROR(SEARCH("Fighting",B2)))</formula>
    </cfRule>
    <cfRule type="containsText" dxfId="950" priority="179" stopIfTrue="1" operator="containsText" text="Flying">
      <formula>NOT(ISERROR(SEARCH("Flying",B2)))</formula>
    </cfRule>
    <cfRule type="containsText" dxfId="949" priority="180" stopIfTrue="1" operator="containsText" text="Grass">
      <formula>NOT(ISERROR(SEARCH("Grass",B2)))</formula>
    </cfRule>
    <cfRule type="containsText" dxfId="948" priority="181" stopIfTrue="1" operator="containsText" text="Ground">
      <formula>NOT(ISERROR(SEARCH("Ground",B2)))</formula>
    </cfRule>
    <cfRule type="containsText" dxfId="947" priority="182" stopIfTrue="1" operator="containsText" text="Ice">
      <formula>NOT(ISERROR(SEARCH("Ice",B2)))</formula>
    </cfRule>
    <cfRule type="containsText" dxfId="946" priority="183" stopIfTrue="1" operator="containsText" text="Poison">
      <formula>NOT(ISERROR(SEARCH("Poison",B2)))</formula>
    </cfRule>
    <cfRule type="containsText" dxfId="945" priority="184" stopIfTrue="1" operator="containsText" text="Rock">
      <formula>NOT(ISERROR(SEARCH("Rock",B2)))</formula>
    </cfRule>
    <cfRule type="containsText" dxfId="944" priority="185" stopIfTrue="1" operator="containsText" text="Steel">
      <formula>NOT(ISERROR(SEARCH("Steel",B2)))</formula>
    </cfRule>
    <cfRule type="containsText" dxfId="943" priority="186" stopIfTrue="1" operator="containsText" text="Water">
      <formula>NOT(ISERROR(SEARCH("Water",B2)))</formula>
    </cfRule>
    <cfRule type="containsText" dxfId="942" priority="187" stopIfTrue="1" operator="containsText" text="Status">
      <formula>NOT(ISERROR(SEARCH("Status",B2)))</formula>
    </cfRule>
    <cfRule type="containsText" dxfId="941" priority="188" stopIfTrue="1" operator="containsText" text="Physical">
      <formula>NOT(ISERROR(SEARCH("Physical",B2)))</formula>
    </cfRule>
    <cfRule type="containsText" dxfId="940" priority="189" stopIfTrue="1" operator="containsText" text="Special">
      <formula>NOT(ISERROR(SEARCH("Special",B2)))</formula>
    </cfRule>
    <cfRule type="containsText" dxfId="939" priority="190" stopIfTrue="1" operator="containsText" text="Ghost">
      <formula>NOT(ISERROR(SEARCH("Ghost",B2)))</formula>
    </cfRule>
    <cfRule type="containsText" dxfId="938" priority="191" stopIfTrue="1" operator="containsText" text="Psychic">
      <formula>NOT(ISERROR(SEARCH("Psychic",B2)))</formula>
    </cfRule>
    <cfRule type="containsText" dxfId="937" priority="192" stopIfTrue="1" operator="containsText" text="Normal">
      <formula>NOT(ISERROR(SEARCH("Normal",B2)))</formula>
    </cfRule>
    <cfRule type="containsText" dxfId="936" priority="193" stopIfTrue="1" operator="containsText" text="Fire">
      <formula>NOT(ISERROR(SEARCH("Fire",B2)))</formula>
    </cfRule>
    <cfRule type="containsText" dxfId="935" priority="194" stopIfTrue="1" operator="containsText" text="Bug">
      <formula>NOT(ISERROR(SEARCH("Bug",B2)))</formula>
    </cfRule>
    <cfRule type="containsText" dxfId="934" priority="195" stopIfTrue="1" operator="containsText" text="Dark">
      <formula>NOT(ISERROR(SEARCH("Dark",B2)))</formula>
    </cfRule>
    <cfRule type="containsText" dxfId="933" priority="196" stopIfTrue="1" operator="containsText" text="Dragon">
      <formula>NOT(ISERROR(SEARCH("Dragon",B2)))</formula>
    </cfRule>
    <cfRule type="containsText" dxfId="932" priority="197" stopIfTrue="1" operator="containsText" text="Electric">
      <formula>NOT(ISERROR(SEARCH("Electric",B2)))</formula>
    </cfRule>
    <cfRule type="containsText" dxfId="931" priority="198" stopIfTrue="1" operator="containsText" text="Fairy">
      <formula>NOT(ISERROR(SEARCH("Fairy",B2)))</formula>
    </cfRule>
    <cfRule type="containsText" dxfId="930" priority="199" stopIfTrue="1" operator="containsText" text="Fighting">
      <formula>NOT(ISERROR(SEARCH("Fighting",B2)))</formula>
    </cfRule>
    <cfRule type="containsText" dxfId="929" priority="200" stopIfTrue="1" operator="containsText" text="Flying">
      <formula>NOT(ISERROR(SEARCH("Flying",B2)))</formula>
    </cfRule>
    <cfRule type="containsText" dxfId="928" priority="201" stopIfTrue="1" operator="containsText" text="Grass">
      <formula>NOT(ISERROR(SEARCH("Grass",B2)))</formula>
    </cfRule>
    <cfRule type="containsText" dxfId="927" priority="202" stopIfTrue="1" operator="containsText" text="Ground">
      <formula>NOT(ISERROR(SEARCH("Ground",B2)))</formula>
    </cfRule>
    <cfRule type="containsText" dxfId="926" priority="203" stopIfTrue="1" operator="containsText" text="Ice">
      <formula>NOT(ISERROR(SEARCH("Ice",B2)))</formula>
    </cfRule>
    <cfRule type="containsText" dxfId="925" priority="204" stopIfTrue="1" operator="containsText" text="Poison">
      <formula>NOT(ISERROR(SEARCH("Poison",B2)))</formula>
    </cfRule>
    <cfRule type="containsText" dxfId="924" priority="205" stopIfTrue="1" operator="containsText" text="Rock">
      <formula>NOT(ISERROR(SEARCH("Rock",B2)))</formula>
    </cfRule>
    <cfRule type="containsText" dxfId="923" priority="206" stopIfTrue="1" operator="containsText" text="Steel">
      <formula>NOT(ISERROR(SEARCH("Steel",B2)))</formula>
    </cfRule>
    <cfRule type="containsText" dxfId="922" priority="207" stopIfTrue="1" operator="containsText" text="Water">
      <formula>NOT(ISERROR(SEARCH("Water",B2)))</formula>
    </cfRule>
    <cfRule type="containsText" dxfId="921" priority="208" stopIfTrue="1" operator="containsText" text="Status">
      <formula>NOT(ISERROR(SEARCH("Status",B2)))</formula>
    </cfRule>
    <cfRule type="containsText" dxfId="920" priority="209" stopIfTrue="1" operator="containsText" text="Physical">
      <formula>NOT(ISERROR(SEARCH("Physical",B2)))</formula>
    </cfRule>
    <cfRule type="containsText" dxfId="919" priority="210" stopIfTrue="1" operator="containsText" text="Special">
      <formula>NOT(ISERROR(SEARCH("Special",B2)))</formula>
    </cfRule>
    <cfRule type="containsText" dxfId="918" priority="211" stopIfTrue="1" operator="containsText" text="Ghost">
      <formula>NOT(ISERROR(SEARCH("Ghost",B2)))</formula>
    </cfRule>
    <cfRule type="containsText" dxfId="917" priority="212" stopIfTrue="1" operator="containsText" text="Psychic">
      <formula>NOT(ISERROR(SEARCH("Psychic",B2)))</formula>
    </cfRule>
    <cfRule type="containsText" dxfId="916" priority="213" stopIfTrue="1" operator="containsText" text="Normal">
      <formula>NOT(ISERROR(SEARCH("Normal",B2)))</formula>
    </cfRule>
    <cfRule type="containsText" dxfId="915" priority="214" stopIfTrue="1" operator="containsText" text="Fire">
      <formula>NOT(ISERROR(SEARCH("Fire",B2)))</formula>
    </cfRule>
    <cfRule type="containsText" dxfId="914" priority="215" stopIfTrue="1" operator="containsText" text="Bug">
      <formula>NOT(ISERROR(SEARCH("Bug",B2)))</formula>
    </cfRule>
    <cfRule type="containsText" dxfId="913" priority="216" stopIfTrue="1" operator="containsText" text="Dark">
      <formula>NOT(ISERROR(SEARCH("Dark",B2)))</formula>
    </cfRule>
    <cfRule type="containsText" dxfId="912" priority="217" stopIfTrue="1" operator="containsText" text="Dragon">
      <formula>NOT(ISERROR(SEARCH("Dragon",B2)))</formula>
    </cfRule>
    <cfRule type="containsText" dxfId="911" priority="218" stopIfTrue="1" operator="containsText" text="Electric">
      <formula>NOT(ISERROR(SEARCH("Electric",B2)))</formula>
    </cfRule>
    <cfRule type="containsText" dxfId="910" priority="219" stopIfTrue="1" operator="containsText" text="Fairy">
      <formula>NOT(ISERROR(SEARCH("Fairy",B2)))</formula>
    </cfRule>
    <cfRule type="containsText" dxfId="909" priority="220" stopIfTrue="1" operator="containsText" text="Fighting">
      <formula>NOT(ISERROR(SEARCH("Fighting",B2)))</formula>
    </cfRule>
    <cfRule type="containsText" dxfId="908" priority="221" stopIfTrue="1" operator="containsText" text="Flying">
      <formula>NOT(ISERROR(SEARCH("Flying",B2)))</formula>
    </cfRule>
    <cfRule type="containsText" dxfId="907" priority="222" stopIfTrue="1" operator="containsText" text="Grass">
      <formula>NOT(ISERROR(SEARCH("Grass",B2)))</formula>
    </cfRule>
    <cfRule type="containsText" dxfId="906" priority="223" stopIfTrue="1" operator="containsText" text="Ground">
      <formula>NOT(ISERROR(SEARCH("Ground",B2)))</formula>
    </cfRule>
    <cfRule type="containsText" dxfId="905" priority="224" stopIfTrue="1" operator="containsText" text="Ice">
      <formula>NOT(ISERROR(SEARCH("Ice",B2)))</formula>
    </cfRule>
    <cfRule type="containsText" dxfId="904" priority="225" stopIfTrue="1" operator="containsText" text="Poison">
      <formula>NOT(ISERROR(SEARCH("Poison",B2)))</formula>
    </cfRule>
    <cfRule type="containsText" dxfId="903" priority="226" stopIfTrue="1" operator="containsText" text="Rock">
      <formula>NOT(ISERROR(SEARCH("Rock",B2)))</formula>
    </cfRule>
    <cfRule type="containsText" dxfId="902" priority="227" stopIfTrue="1" operator="containsText" text="Steel">
      <formula>NOT(ISERROR(SEARCH("Steel",B2)))</formula>
    </cfRule>
    <cfRule type="containsText" dxfId="901" priority="228" stopIfTrue="1" operator="containsText" text="Water">
      <formula>NOT(ISERROR(SEARCH("Water",B2)))</formula>
    </cfRule>
    <cfRule type="containsText" dxfId="900" priority="229" stopIfTrue="1" operator="containsText" text="Status">
      <formula>NOT(ISERROR(SEARCH("Status",B2)))</formula>
    </cfRule>
    <cfRule type="containsText" dxfId="899" priority="230" stopIfTrue="1" operator="containsText" text="Physical">
      <formula>NOT(ISERROR(SEARCH("Physical",B2)))</formula>
    </cfRule>
    <cfRule type="containsText" dxfId="898" priority="231" stopIfTrue="1" operator="containsText" text="Special">
      <formula>NOT(ISERROR(SEARCH("Special",B2)))</formula>
    </cfRule>
    <cfRule type="containsText" dxfId="897" priority="232" stopIfTrue="1" operator="containsText" text="Ghost">
      <formula>NOT(ISERROR(SEARCH("Ghost",B2)))</formula>
    </cfRule>
    <cfRule type="containsText" dxfId="896" priority="233" stopIfTrue="1" operator="containsText" text="Psychic">
      <formula>NOT(ISERROR(SEARCH("Psychic",B2)))</formula>
    </cfRule>
    <cfRule type="containsText" dxfId="895" priority="234" stopIfTrue="1" operator="containsText" text="Normal">
      <formula>NOT(ISERROR(SEARCH("Normal",B2)))</formula>
    </cfRule>
    <cfRule type="containsText" dxfId="894" priority="235" stopIfTrue="1" operator="containsText" text="Fire">
      <formula>NOT(ISERROR(SEARCH("Fire",B2)))</formula>
    </cfRule>
    <cfRule type="containsText" dxfId="893" priority="236" stopIfTrue="1" operator="containsText" text="Bug">
      <formula>NOT(ISERROR(SEARCH("Bug",B2)))</formula>
    </cfRule>
    <cfRule type="containsText" dxfId="892" priority="237" stopIfTrue="1" operator="containsText" text="Dark">
      <formula>NOT(ISERROR(SEARCH("Dark",B2)))</formula>
    </cfRule>
    <cfRule type="containsText" dxfId="891" priority="238" stopIfTrue="1" operator="containsText" text="Dragon">
      <formula>NOT(ISERROR(SEARCH("Dragon",B2)))</formula>
    </cfRule>
    <cfRule type="containsText" dxfId="890" priority="239" stopIfTrue="1" operator="containsText" text="Electric">
      <formula>NOT(ISERROR(SEARCH("Electric",B2)))</formula>
    </cfRule>
    <cfRule type="containsText" dxfId="889" priority="240" stopIfTrue="1" operator="containsText" text="Fairy">
      <formula>NOT(ISERROR(SEARCH("Fairy",B2)))</formula>
    </cfRule>
    <cfRule type="containsText" dxfId="888" priority="241" stopIfTrue="1" operator="containsText" text="Fighting">
      <formula>NOT(ISERROR(SEARCH("Fighting",B2)))</formula>
    </cfRule>
    <cfRule type="containsText" dxfId="887" priority="242" stopIfTrue="1" operator="containsText" text="Flying">
      <formula>NOT(ISERROR(SEARCH("Flying",B2)))</formula>
    </cfRule>
    <cfRule type="containsText" dxfId="886" priority="243" stopIfTrue="1" operator="containsText" text="Grass">
      <formula>NOT(ISERROR(SEARCH("Grass",B2)))</formula>
    </cfRule>
    <cfRule type="containsText" dxfId="885" priority="244" stopIfTrue="1" operator="containsText" text="Ground">
      <formula>NOT(ISERROR(SEARCH("Ground",B2)))</formula>
    </cfRule>
    <cfRule type="containsText" dxfId="884" priority="245" stopIfTrue="1" operator="containsText" text="Ice">
      <formula>NOT(ISERROR(SEARCH("Ice",B2)))</formula>
    </cfRule>
    <cfRule type="containsText" dxfId="883" priority="246" stopIfTrue="1" operator="containsText" text="Poison">
      <formula>NOT(ISERROR(SEARCH("Poison",B2)))</formula>
    </cfRule>
    <cfRule type="containsText" dxfId="882" priority="247" stopIfTrue="1" operator="containsText" text="Rock">
      <formula>NOT(ISERROR(SEARCH("Rock",B2)))</formula>
    </cfRule>
    <cfRule type="containsText" dxfId="881" priority="248" stopIfTrue="1" operator="containsText" text="Steel">
      <formula>NOT(ISERROR(SEARCH("Steel",B2)))</formula>
    </cfRule>
    <cfRule type="containsText" dxfId="880" priority="249" stopIfTrue="1" operator="containsText" text="Water">
      <formula>NOT(ISERROR(SEARCH("Water",B2)))</formula>
    </cfRule>
    <cfRule type="containsText" dxfId="879" priority="250" stopIfTrue="1" operator="containsText" text="Status">
      <formula>NOT(ISERROR(SEARCH("Status",B2)))</formula>
    </cfRule>
    <cfRule type="containsText" dxfId="878" priority="251" stopIfTrue="1" operator="containsText" text="Physical">
      <formula>NOT(ISERROR(SEARCH("Physical",B2)))</formula>
    </cfRule>
    <cfRule type="containsText" dxfId="877" priority="252" stopIfTrue="1" operator="containsText" text="Special">
      <formula>NOT(ISERROR(SEARCH("Special",B2)))</formula>
    </cfRule>
    <cfRule type="containsText" dxfId="876" priority="253" stopIfTrue="1" operator="containsText" text="Ghost">
      <formula>NOT(ISERROR(SEARCH("Ghost",B2)))</formula>
    </cfRule>
    <cfRule type="containsText" dxfId="875" priority="254" stopIfTrue="1" operator="containsText" text="Psychic">
      <formula>NOT(ISERROR(SEARCH("Psychic",B2)))</formula>
    </cfRule>
    <cfRule type="containsText" dxfId="874" priority="255" stopIfTrue="1" operator="containsText" text="Normal">
      <formula>NOT(ISERROR(SEARCH("Normal",B2)))</formula>
    </cfRule>
    <cfRule type="containsText" dxfId="873" priority="256" stopIfTrue="1" operator="containsText" text="Fire">
      <formula>NOT(ISERROR(SEARCH("Fire",B2)))</formula>
    </cfRule>
    <cfRule type="containsText" dxfId="872" priority="257" stopIfTrue="1" operator="containsText" text="Bug">
      <formula>NOT(ISERROR(SEARCH("Bug",B2)))</formula>
    </cfRule>
    <cfRule type="containsText" dxfId="871" priority="258" stopIfTrue="1" operator="containsText" text="Dark">
      <formula>NOT(ISERROR(SEARCH("Dark",B2)))</formula>
    </cfRule>
    <cfRule type="containsText" dxfId="870" priority="259" stopIfTrue="1" operator="containsText" text="Dragon">
      <formula>NOT(ISERROR(SEARCH("Dragon",B2)))</formula>
    </cfRule>
    <cfRule type="containsText" dxfId="869" priority="260" stopIfTrue="1" operator="containsText" text="Electric">
      <formula>NOT(ISERROR(SEARCH("Electric",B2)))</formula>
    </cfRule>
    <cfRule type="containsText" dxfId="868" priority="261" stopIfTrue="1" operator="containsText" text="Fairy">
      <formula>NOT(ISERROR(SEARCH("Fairy",B2)))</formula>
    </cfRule>
    <cfRule type="containsText" dxfId="867" priority="262" stopIfTrue="1" operator="containsText" text="Fighting">
      <formula>NOT(ISERROR(SEARCH("Fighting",B2)))</formula>
    </cfRule>
    <cfRule type="containsText" dxfId="866" priority="263" stopIfTrue="1" operator="containsText" text="Flying">
      <formula>NOT(ISERROR(SEARCH("Flying",B2)))</formula>
    </cfRule>
    <cfRule type="containsText" dxfId="865" priority="264" stopIfTrue="1" operator="containsText" text="Grass">
      <formula>NOT(ISERROR(SEARCH("Grass",B2)))</formula>
    </cfRule>
    <cfRule type="containsText" dxfId="864" priority="265" stopIfTrue="1" operator="containsText" text="Ground">
      <formula>NOT(ISERROR(SEARCH("Ground",B2)))</formula>
    </cfRule>
    <cfRule type="containsText" dxfId="863" priority="266" stopIfTrue="1" operator="containsText" text="Ice">
      <formula>NOT(ISERROR(SEARCH("Ice",B2)))</formula>
    </cfRule>
    <cfRule type="containsText" dxfId="862" priority="267" stopIfTrue="1" operator="containsText" text="Poison">
      <formula>NOT(ISERROR(SEARCH("Poison",B2)))</formula>
    </cfRule>
    <cfRule type="containsText" dxfId="861" priority="268" stopIfTrue="1" operator="containsText" text="Rock">
      <formula>NOT(ISERROR(SEARCH("Rock",B2)))</formula>
    </cfRule>
    <cfRule type="containsText" dxfId="860" priority="269" stopIfTrue="1" operator="containsText" text="Steel">
      <formula>NOT(ISERROR(SEARCH("Steel",B2)))</formula>
    </cfRule>
    <cfRule type="containsText" dxfId="859" priority="270" stopIfTrue="1" operator="containsText" text="Water">
      <formula>NOT(ISERROR(SEARCH("Water",B2)))</formula>
    </cfRule>
    <cfRule type="containsText" dxfId="858" priority="271" stopIfTrue="1" operator="containsText" text="Status">
      <formula>NOT(ISERROR(SEARCH("Status",B2)))</formula>
    </cfRule>
    <cfRule type="containsText" dxfId="857" priority="272" stopIfTrue="1" operator="containsText" text="Physical">
      <formula>NOT(ISERROR(SEARCH("Physical",B2)))</formula>
    </cfRule>
    <cfRule type="containsText" dxfId="856" priority="273" stopIfTrue="1" operator="containsText" text="Special">
      <formula>NOT(ISERROR(SEARCH("Special",B2)))</formula>
    </cfRule>
    <cfRule type="containsText" dxfId="855" priority="274" stopIfTrue="1" operator="containsText" text="Ghost">
      <formula>NOT(ISERROR(SEARCH("Ghost",B2)))</formula>
    </cfRule>
    <cfRule type="containsText" dxfId="854" priority="275" stopIfTrue="1" operator="containsText" text="Psychic">
      <formula>NOT(ISERROR(SEARCH("Psychic",B2)))</formula>
    </cfRule>
    <cfRule type="containsText" dxfId="853" priority="276" stopIfTrue="1" operator="containsText" text="Normal">
      <formula>NOT(ISERROR(SEARCH("Normal",B2)))</formula>
    </cfRule>
    <cfRule type="containsText" dxfId="852" priority="277" stopIfTrue="1" operator="containsText" text="Fire">
      <formula>NOT(ISERROR(SEARCH("Fire",B2)))</formula>
    </cfRule>
    <cfRule type="containsText" dxfId="851" priority="278" stopIfTrue="1" operator="containsText" text="Bug">
      <formula>NOT(ISERROR(SEARCH("Bug",B2)))</formula>
    </cfRule>
    <cfRule type="containsText" dxfId="850" priority="279" stopIfTrue="1" operator="containsText" text="Dark">
      <formula>NOT(ISERROR(SEARCH("Dark",B2)))</formula>
    </cfRule>
    <cfRule type="containsText" dxfId="849" priority="280" stopIfTrue="1" operator="containsText" text="Dragon">
      <formula>NOT(ISERROR(SEARCH("Dragon",B2)))</formula>
    </cfRule>
    <cfRule type="containsText" dxfId="848" priority="281" stopIfTrue="1" operator="containsText" text="Electric">
      <formula>NOT(ISERROR(SEARCH("Electric",B2)))</formula>
    </cfRule>
    <cfRule type="containsText" dxfId="847" priority="282" stopIfTrue="1" operator="containsText" text="Fairy">
      <formula>NOT(ISERROR(SEARCH("Fairy",B2)))</formula>
    </cfRule>
    <cfRule type="containsText" dxfId="846" priority="283" stopIfTrue="1" operator="containsText" text="Fighting">
      <formula>NOT(ISERROR(SEARCH("Fighting",B2)))</formula>
    </cfRule>
    <cfRule type="containsText" dxfId="845" priority="284" stopIfTrue="1" operator="containsText" text="Flying">
      <formula>NOT(ISERROR(SEARCH("Flying",B2)))</formula>
    </cfRule>
    <cfRule type="containsText" dxfId="844" priority="285" stopIfTrue="1" operator="containsText" text="Grass">
      <formula>NOT(ISERROR(SEARCH("Grass",B2)))</formula>
    </cfRule>
    <cfRule type="containsText" dxfId="843" priority="286" stopIfTrue="1" operator="containsText" text="Ground">
      <formula>NOT(ISERROR(SEARCH("Ground",B2)))</formula>
    </cfRule>
    <cfRule type="containsText" dxfId="842" priority="287" stopIfTrue="1" operator="containsText" text="Ice">
      <formula>NOT(ISERROR(SEARCH("Ice",B2)))</formula>
    </cfRule>
    <cfRule type="containsText" dxfId="841" priority="288" stopIfTrue="1" operator="containsText" text="Poison">
      <formula>NOT(ISERROR(SEARCH("Poison",B2)))</formula>
    </cfRule>
    <cfRule type="containsText" dxfId="840" priority="289" stopIfTrue="1" operator="containsText" text="Rock">
      <formula>NOT(ISERROR(SEARCH("Rock",B2)))</formula>
    </cfRule>
    <cfRule type="containsText" dxfId="839" priority="290" stopIfTrue="1" operator="containsText" text="Steel">
      <formula>NOT(ISERROR(SEARCH("Steel",B2)))</formula>
    </cfRule>
    <cfRule type="containsText" dxfId="838" priority="291" stopIfTrue="1" operator="containsText" text="Water">
      <formula>NOT(ISERROR(SEARCH("Water",B2)))</formula>
    </cfRule>
    <cfRule type="containsText" dxfId="837" priority="292" stopIfTrue="1" operator="containsText" text="Status">
      <formula>NOT(ISERROR(SEARCH("Status",B2)))</formula>
    </cfRule>
    <cfRule type="containsText" dxfId="836" priority="293" stopIfTrue="1" operator="containsText" text="Physical">
      <formula>NOT(ISERROR(SEARCH("Physical",B2)))</formula>
    </cfRule>
    <cfRule type="containsText" dxfId="835" priority="294" stopIfTrue="1" operator="containsText" text="Special">
      <formula>NOT(ISERROR(SEARCH("Special",B2)))</formula>
    </cfRule>
    <cfRule type="containsText" dxfId="834" priority="295" stopIfTrue="1" operator="containsText" text="Ghost">
      <formula>NOT(ISERROR(SEARCH("Ghost",B2)))</formula>
    </cfRule>
    <cfRule type="containsText" dxfId="833" priority="296" stopIfTrue="1" operator="containsText" text="Psychic">
      <formula>NOT(ISERROR(SEARCH("Psychic",B2)))</formula>
    </cfRule>
    <cfRule type="containsText" dxfId="832" priority="297" stopIfTrue="1" operator="containsText" text="Normal">
      <formula>NOT(ISERROR(SEARCH("Normal",B2)))</formula>
    </cfRule>
    <cfRule type="containsText" dxfId="831" priority="298" stopIfTrue="1" operator="containsText" text="Fire">
      <formula>NOT(ISERROR(SEARCH("Fire",B2)))</formula>
    </cfRule>
    <cfRule type="containsText" dxfId="830" priority="299" stopIfTrue="1" operator="containsText" text="Bug">
      <formula>NOT(ISERROR(SEARCH("Bug",B2)))</formula>
    </cfRule>
    <cfRule type="containsText" dxfId="829" priority="300" stopIfTrue="1" operator="containsText" text="Dark">
      <formula>NOT(ISERROR(SEARCH("Dark",B2)))</formula>
    </cfRule>
    <cfRule type="containsText" dxfId="828" priority="301" stopIfTrue="1" operator="containsText" text="Dragon">
      <formula>NOT(ISERROR(SEARCH("Dragon",B2)))</formula>
    </cfRule>
    <cfRule type="containsText" dxfId="827" priority="302" stopIfTrue="1" operator="containsText" text="Electric">
      <formula>NOT(ISERROR(SEARCH("Electric",B2)))</formula>
    </cfRule>
    <cfRule type="containsText" dxfId="826" priority="303" stopIfTrue="1" operator="containsText" text="Fairy">
      <formula>NOT(ISERROR(SEARCH("Fairy",B2)))</formula>
    </cfRule>
    <cfRule type="containsText" dxfId="825" priority="304" stopIfTrue="1" operator="containsText" text="Fighting">
      <formula>NOT(ISERROR(SEARCH("Fighting",B2)))</formula>
    </cfRule>
    <cfRule type="containsText" dxfId="824" priority="305" stopIfTrue="1" operator="containsText" text="Flying">
      <formula>NOT(ISERROR(SEARCH("Flying",B2)))</formula>
    </cfRule>
    <cfRule type="containsText" dxfId="823" priority="306" stopIfTrue="1" operator="containsText" text="Grass">
      <formula>NOT(ISERROR(SEARCH("Grass",B2)))</formula>
    </cfRule>
    <cfRule type="containsText" dxfId="822" priority="307" stopIfTrue="1" operator="containsText" text="Ground">
      <formula>NOT(ISERROR(SEARCH("Ground",B2)))</formula>
    </cfRule>
    <cfRule type="containsText" dxfId="821" priority="308" stopIfTrue="1" operator="containsText" text="Ice">
      <formula>NOT(ISERROR(SEARCH("Ice",B2)))</formula>
    </cfRule>
    <cfRule type="containsText" dxfId="820" priority="309" stopIfTrue="1" operator="containsText" text="Poison">
      <formula>NOT(ISERROR(SEARCH("Poison",B2)))</formula>
    </cfRule>
    <cfRule type="containsText" dxfId="819" priority="310" stopIfTrue="1" operator="containsText" text="Rock">
      <formula>NOT(ISERROR(SEARCH("Rock",B2)))</formula>
    </cfRule>
    <cfRule type="containsText" dxfId="818" priority="311" stopIfTrue="1" operator="containsText" text="Steel">
      <formula>NOT(ISERROR(SEARCH("Steel",B2)))</formula>
    </cfRule>
    <cfRule type="containsText" dxfId="817" priority="312" stopIfTrue="1" operator="containsText" text="Water">
      <formula>NOT(ISERROR(SEARCH("Water",B2)))</formula>
    </cfRule>
    <cfRule type="containsText" dxfId="816" priority="313" stopIfTrue="1" operator="containsText" text="Status">
      <formula>NOT(ISERROR(SEARCH("Status",B2)))</formula>
    </cfRule>
    <cfRule type="containsText" dxfId="815" priority="314" stopIfTrue="1" operator="containsText" text="Physical">
      <formula>NOT(ISERROR(SEARCH("Physical",B2)))</formula>
    </cfRule>
    <cfRule type="containsText" dxfId="814" priority="315" stopIfTrue="1" operator="containsText" text="Special">
      <formula>NOT(ISERROR(SEARCH("Special",B2)))</formula>
    </cfRule>
    <cfRule type="containsText" dxfId="813" priority="316" stopIfTrue="1" operator="containsText" text="Ghost">
      <formula>NOT(ISERROR(SEARCH("Ghost",B2)))</formula>
    </cfRule>
    <cfRule type="containsText" dxfId="812" priority="317" stopIfTrue="1" operator="containsText" text="Psychic">
      <formula>NOT(ISERROR(SEARCH("Psychic",B2)))</formula>
    </cfRule>
    <cfRule type="containsText" dxfId="811" priority="318" stopIfTrue="1" operator="containsText" text="Normal">
      <formula>NOT(ISERROR(SEARCH("Normal",B2)))</formula>
    </cfRule>
    <cfRule type="containsText" dxfId="810" priority="319" stopIfTrue="1" operator="containsText" text="Fire">
      <formula>NOT(ISERROR(SEARCH("Fire",B2)))</formula>
    </cfRule>
    <cfRule type="containsText" dxfId="809" priority="320" stopIfTrue="1" operator="containsText" text="Bug">
      <formula>NOT(ISERROR(SEARCH("Bug",B2)))</formula>
    </cfRule>
    <cfRule type="containsText" dxfId="808" priority="321" stopIfTrue="1" operator="containsText" text="Dark">
      <formula>NOT(ISERROR(SEARCH("Dark",B2)))</formula>
    </cfRule>
    <cfRule type="containsText" dxfId="807" priority="322" stopIfTrue="1" operator="containsText" text="Dragon">
      <formula>NOT(ISERROR(SEARCH("Dragon",B2)))</formula>
    </cfRule>
    <cfRule type="containsText" dxfId="806" priority="323" stopIfTrue="1" operator="containsText" text="Electric">
      <formula>NOT(ISERROR(SEARCH("Electric",B2)))</formula>
    </cfRule>
    <cfRule type="containsText" dxfId="805" priority="324" stopIfTrue="1" operator="containsText" text="Fairy">
      <formula>NOT(ISERROR(SEARCH("Fairy",B2)))</formula>
    </cfRule>
    <cfRule type="containsText" dxfId="804" priority="325" stopIfTrue="1" operator="containsText" text="Fighting">
      <formula>NOT(ISERROR(SEARCH("Fighting",B2)))</formula>
    </cfRule>
    <cfRule type="containsText" dxfId="803" priority="326" stopIfTrue="1" operator="containsText" text="Flying">
      <formula>NOT(ISERROR(SEARCH("Flying",B2)))</formula>
    </cfRule>
    <cfRule type="containsText" dxfId="802" priority="327" stopIfTrue="1" operator="containsText" text="Grass">
      <formula>NOT(ISERROR(SEARCH("Grass",B2)))</formula>
    </cfRule>
    <cfRule type="containsText" dxfId="801" priority="328" stopIfTrue="1" operator="containsText" text="Ground">
      <formula>NOT(ISERROR(SEARCH("Ground",B2)))</formula>
    </cfRule>
    <cfRule type="containsText" dxfId="800" priority="329" stopIfTrue="1" operator="containsText" text="Ice">
      <formula>NOT(ISERROR(SEARCH("Ice",B2)))</formula>
    </cfRule>
    <cfRule type="containsText" dxfId="799" priority="330" stopIfTrue="1" operator="containsText" text="Poison">
      <formula>NOT(ISERROR(SEARCH("Poison",B2)))</formula>
    </cfRule>
    <cfRule type="containsText" dxfId="798" priority="331" stopIfTrue="1" operator="containsText" text="Rock">
      <formula>NOT(ISERROR(SEARCH("Rock",B2)))</formula>
    </cfRule>
    <cfRule type="containsText" dxfId="797" priority="332" stopIfTrue="1" operator="containsText" text="Steel">
      <formula>NOT(ISERROR(SEARCH("Steel",B2)))</formula>
    </cfRule>
    <cfRule type="containsText" dxfId="796" priority="333" stopIfTrue="1" operator="containsText" text="Water">
      <formula>NOT(ISERROR(SEARCH("Water",B2)))</formula>
    </cfRule>
    <cfRule type="containsText" dxfId="795" priority="334" stopIfTrue="1" operator="containsText" text="Status">
      <formula>NOT(ISERROR(SEARCH("Status",B2)))</formula>
    </cfRule>
    <cfRule type="containsText" dxfId="794" priority="335" stopIfTrue="1" operator="containsText" text="Physical">
      <formula>NOT(ISERROR(SEARCH("Physical",B2)))</formula>
    </cfRule>
    <cfRule type="containsText" dxfId="793" priority="336" stopIfTrue="1" operator="containsText" text="Special">
      <formula>NOT(ISERROR(SEARCH("Special",B2)))</formula>
    </cfRule>
    <cfRule type="containsText" dxfId="792" priority="337" stopIfTrue="1" operator="containsText" text="Ghost">
      <formula>NOT(ISERROR(SEARCH("Ghost",B2)))</formula>
    </cfRule>
    <cfRule type="containsText" dxfId="791" priority="338" stopIfTrue="1" operator="containsText" text="Psychic">
      <formula>NOT(ISERROR(SEARCH("Psychic",B2)))</formula>
    </cfRule>
    <cfRule type="containsText" dxfId="790" priority="339" stopIfTrue="1" operator="containsText" text="Normal">
      <formula>NOT(ISERROR(SEARCH("Normal",B2)))</formula>
    </cfRule>
    <cfRule type="containsText" dxfId="789" priority="340" stopIfTrue="1" operator="containsText" text="Fire">
      <formula>NOT(ISERROR(SEARCH("Fire",B2)))</formula>
    </cfRule>
    <cfRule type="containsText" dxfId="788" priority="341" stopIfTrue="1" operator="containsText" text="Bug">
      <formula>NOT(ISERROR(SEARCH("Bug",B2)))</formula>
    </cfRule>
    <cfRule type="containsText" dxfId="787" priority="342" stopIfTrue="1" operator="containsText" text="Dark">
      <formula>NOT(ISERROR(SEARCH("Dark",B2)))</formula>
    </cfRule>
    <cfRule type="containsText" dxfId="786" priority="343" stopIfTrue="1" operator="containsText" text="Dragon">
      <formula>NOT(ISERROR(SEARCH("Dragon",B2)))</formula>
    </cfRule>
    <cfRule type="containsText" dxfId="785" priority="344" stopIfTrue="1" operator="containsText" text="Electric">
      <formula>NOT(ISERROR(SEARCH("Electric",B2)))</formula>
    </cfRule>
    <cfRule type="containsText" dxfId="784" priority="345" stopIfTrue="1" operator="containsText" text="Fairy">
      <formula>NOT(ISERROR(SEARCH("Fairy",B2)))</formula>
    </cfRule>
    <cfRule type="containsText" dxfId="783" priority="346" stopIfTrue="1" operator="containsText" text="Fighting">
      <formula>NOT(ISERROR(SEARCH("Fighting",B2)))</formula>
    </cfRule>
    <cfRule type="containsText" dxfId="782" priority="347" stopIfTrue="1" operator="containsText" text="Flying">
      <formula>NOT(ISERROR(SEARCH("Flying",B2)))</formula>
    </cfRule>
    <cfRule type="containsText" dxfId="781" priority="348" stopIfTrue="1" operator="containsText" text="Grass">
      <formula>NOT(ISERROR(SEARCH("Grass",B2)))</formula>
    </cfRule>
    <cfRule type="containsText" dxfId="780" priority="349" stopIfTrue="1" operator="containsText" text="Ground">
      <formula>NOT(ISERROR(SEARCH("Ground",B2)))</formula>
    </cfRule>
    <cfRule type="containsText" dxfId="779" priority="350" stopIfTrue="1" operator="containsText" text="Ice">
      <formula>NOT(ISERROR(SEARCH("Ice",B2)))</formula>
    </cfRule>
    <cfRule type="containsText" dxfId="778" priority="351" stopIfTrue="1" operator="containsText" text="Poison">
      <formula>NOT(ISERROR(SEARCH("Poison",B2)))</formula>
    </cfRule>
    <cfRule type="containsText" dxfId="777" priority="352" stopIfTrue="1" operator="containsText" text="Rock">
      <formula>NOT(ISERROR(SEARCH("Rock",B2)))</formula>
    </cfRule>
    <cfRule type="containsText" dxfId="776" priority="353" stopIfTrue="1" operator="containsText" text="Steel">
      <formula>NOT(ISERROR(SEARCH("Steel",B2)))</formula>
    </cfRule>
    <cfRule type="containsText" dxfId="775" priority="354" stopIfTrue="1" operator="containsText" text="Water">
      <formula>NOT(ISERROR(SEARCH("Water",B2)))</formula>
    </cfRule>
    <cfRule type="containsText" dxfId="774" priority="355" stopIfTrue="1" operator="containsText" text="Status">
      <formula>NOT(ISERROR(SEARCH("Status",B2)))</formula>
    </cfRule>
    <cfRule type="containsText" dxfId="773" priority="356" stopIfTrue="1" operator="containsText" text="Physical">
      <formula>NOT(ISERROR(SEARCH("Physical",B2)))</formula>
    </cfRule>
    <cfRule type="containsText" dxfId="772" priority="357" stopIfTrue="1" operator="containsText" text="Special">
      <formula>NOT(ISERROR(SEARCH("Special",B2)))</formula>
    </cfRule>
    <cfRule type="containsText" dxfId="771" priority="358" stopIfTrue="1" operator="containsText" text="Ghost">
      <formula>NOT(ISERROR(SEARCH("Ghost",B2)))</formula>
    </cfRule>
    <cfRule type="containsText" dxfId="770" priority="359" stopIfTrue="1" operator="containsText" text="Psychic">
      <formula>NOT(ISERROR(SEARCH("Psychic",B2)))</formula>
    </cfRule>
    <cfRule type="containsText" dxfId="769" priority="360" stopIfTrue="1" operator="containsText" text="Normal">
      <formula>NOT(ISERROR(SEARCH("Normal",B2)))</formula>
    </cfRule>
    <cfRule type="containsText" dxfId="768" priority="361" stopIfTrue="1" operator="containsText" text="Fire">
      <formula>NOT(ISERROR(SEARCH("Fire",B2)))</formula>
    </cfRule>
    <cfRule type="containsText" dxfId="767" priority="362" stopIfTrue="1" operator="containsText" text="Bug">
      <formula>NOT(ISERROR(SEARCH("Bug",B2)))</formula>
    </cfRule>
    <cfRule type="containsText" dxfId="766" priority="363" stopIfTrue="1" operator="containsText" text="Dark">
      <formula>NOT(ISERROR(SEARCH("Dark",B2)))</formula>
    </cfRule>
    <cfRule type="containsText" dxfId="765" priority="364" stopIfTrue="1" operator="containsText" text="Dragon">
      <formula>NOT(ISERROR(SEARCH("Dragon",B2)))</formula>
    </cfRule>
    <cfRule type="containsText" dxfId="764" priority="365" stopIfTrue="1" operator="containsText" text="Electric">
      <formula>NOT(ISERROR(SEARCH("Electric",B2)))</formula>
    </cfRule>
    <cfRule type="containsText" dxfId="763" priority="366" stopIfTrue="1" operator="containsText" text="Fairy">
      <formula>NOT(ISERROR(SEARCH("Fairy",B2)))</formula>
    </cfRule>
    <cfRule type="containsText" dxfId="762" priority="367" stopIfTrue="1" operator="containsText" text="Fighting">
      <formula>NOT(ISERROR(SEARCH("Fighting",B2)))</formula>
    </cfRule>
    <cfRule type="containsText" dxfId="761" priority="368" stopIfTrue="1" operator="containsText" text="Flying">
      <formula>NOT(ISERROR(SEARCH("Flying",B2)))</formula>
    </cfRule>
    <cfRule type="containsText" dxfId="760" priority="369" stopIfTrue="1" operator="containsText" text="Grass">
      <formula>NOT(ISERROR(SEARCH("Grass",B2)))</formula>
    </cfRule>
    <cfRule type="containsText" dxfId="759" priority="370" stopIfTrue="1" operator="containsText" text="Ground">
      <formula>NOT(ISERROR(SEARCH("Ground",B2)))</formula>
    </cfRule>
    <cfRule type="containsText" dxfId="758" priority="371" stopIfTrue="1" operator="containsText" text="Ice">
      <formula>NOT(ISERROR(SEARCH("Ice",B2)))</formula>
    </cfRule>
    <cfRule type="containsText" dxfId="757" priority="372" stopIfTrue="1" operator="containsText" text="Poison">
      <formula>NOT(ISERROR(SEARCH("Poison",B2)))</formula>
    </cfRule>
    <cfRule type="containsText" dxfId="756" priority="373" stopIfTrue="1" operator="containsText" text="Rock">
      <formula>NOT(ISERROR(SEARCH("Rock",B2)))</formula>
    </cfRule>
    <cfRule type="containsText" dxfId="755" priority="374" stopIfTrue="1" operator="containsText" text="Steel">
      <formula>NOT(ISERROR(SEARCH("Steel",B2)))</formula>
    </cfRule>
    <cfRule type="containsText" dxfId="754" priority="375" stopIfTrue="1" operator="containsText" text="Water">
      <formula>NOT(ISERROR(SEARCH("Water",B2)))</formula>
    </cfRule>
    <cfRule type="containsText" dxfId="753" priority="376" stopIfTrue="1" operator="containsText" text="Status">
      <formula>NOT(ISERROR(SEARCH("Status",B2)))</formula>
    </cfRule>
    <cfRule type="containsText" dxfId="752" priority="377" stopIfTrue="1" operator="containsText" text="Physical">
      <formula>NOT(ISERROR(SEARCH("Physical",B2)))</formula>
    </cfRule>
    <cfRule type="containsText" dxfId="751" priority="378" stopIfTrue="1" operator="containsText" text="Special">
      <formula>NOT(ISERROR(SEARCH("Special",B2)))</formula>
    </cfRule>
    <cfRule type="containsText" dxfId="750" priority="379" stopIfTrue="1" operator="containsText" text="Ghost">
      <formula>NOT(ISERROR(SEARCH("Ghost",B2)))</formula>
    </cfRule>
    <cfRule type="containsText" dxfId="749" priority="380" stopIfTrue="1" operator="containsText" text="Psychic">
      <formula>NOT(ISERROR(SEARCH("Psychic",B2)))</formula>
    </cfRule>
    <cfRule type="containsText" dxfId="748" priority="381" stopIfTrue="1" operator="containsText" text="Normal">
      <formula>NOT(ISERROR(SEARCH("Normal",B2)))</formula>
    </cfRule>
    <cfRule type="containsText" dxfId="747" priority="382" stopIfTrue="1" operator="containsText" text="Fire">
      <formula>NOT(ISERROR(SEARCH("Fire",B2)))</formula>
    </cfRule>
    <cfRule type="containsText" dxfId="746" priority="383" stopIfTrue="1" operator="containsText" text="Bug">
      <formula>NOT(ISERROR(SEARCH("Bug",B2)))</formula>
    </cfRule>
    <cfRule type="containsText" dxfId="745" priority="384" stopIfTrue="1" operator="containsText" text="Dark">
      <formula>NOT(ISERROR(SEARCH("Dark",B2)))</formula>
    </cfRule>
    <cfRule type="containsText" dxfId="744" priority="385" stopIfTrue="1" operator="containsText" text="Dragon">
      <formula>NOT(ISERROR(SEARCH("Dragon",B2)))</formula>
    </cfRule>
    <cfRule type="containsText" dxfId="743" priority="386" stopIfTrue="1" operator="containsText" text="Electric">
      <formula>NOT(ISERROR(SEARCH("Electric",B2)))</formula>
    </cfRule>
    <cfRule type="containsText" dxfId="742" priority="387" stopIfTrue="1" operator="containsText" text="Fairy">
      <formula>NOT(ISERROR(SEARCH("Fairy",B2)))</formula>
    </cfRule>
    <cfRule type="containsText" dxfId="741" priority="388" stopIfTrue="1" operator="containsText" text="Fighting">
      <formula>NOT(ISERROR(SEARCH("Fighting",B2)))</formula>
    </cfRule>
    <cfRule type="containsText" dxfId="740" priority="389" stopIfTrue="1" operator="containsText" text="Flying">
      <formula>NOT(ISERROR(SEARCH("Flying",B2)))</formula>
    </cfRule>
    <cfRule type="containsText" dxfId="739" priority="390" stopIfTrue="1" operator="containsText" text="Grass">
      <formula>NOT(ISERROR(SEARCH("Grass",B2)))</formula>
    </cfRule>
    <cfRule type="containsText" dxfId="738" priority="391" stopIfTrue="1" operator="containsText" text="Ground">
      <formula>NOT(ISERROR(SEARCH("Ground",B2)))</formula>
    </cfRule>
    <cfRule type="containsText" dxfId="737" priority="392" stopIfTrue="1" operator="containsText" text="Ice">
      <formula>NOT(ISERROR(SEARCH("Ice",B2)))</formula>
    </cfRule>
    <cfRule type="containsText" dxfId="736" priority="393" stopIfTrue="1" operator="containsText" text="Poison">
      <formula>NOT(ISERROR(SEARCH("Poison",B2)))</formula>
    </cfRule>
    <cfRule type="containsText" dxfId="735" priority="394" stopIfTrue="1" operator="containsText" text="Rock">
      <formula>NOT(ISERROR(SEARCH("Rock",B2)))</formula>
    </cfRule>
    <cfRule type="containsText" dxfId="734" priority="395" stopIfTrue="1" operator="containsText" text="Steel">
      <formula>NOT(ISERROR(SEARCH("Steel",B2)))</formula>
    </cfRule>
    <cfRule type="containsText" dxfId="733" priority="396" stopIfTrue="1" operator="containsText" text="Water">
      <formula>NOT(ISERROR(SEARCH("Water",B2)))</formula>
    </cfRule>
    <cfRule type="containsText" dxfId="732" priority="397" stopIfTrue="1" operator="containsText" text="Status">
      <formula>NOT(ISERROR(SEARCH("Status",B2)))</formula>
    </cfRule>
    <cfRule type="containsText" dxfId="731" priority="398" stopIfTrue="1" operator="containsText" text="Physical">
      <formula>NOT(ISERROR(SEARCH("Physical",B2)))</formula>
    </cfRule>
    <cfRule type="containsText" dxfId="730" priority="399" stopIfTrue="1" operator="containsText" text="Special">
      <formula>NOT(ISERROR(SEARCH("Special",B2)))</formula>
    </cfRule>
    <cfRule type="containsText" dxfId="729" priority="400" stopIfTrue="1" operator="containsText" text="Ghost">
      <formula>NOT(ISERROR(SEARCH("Ghost",B2)))</formula>
    </cfRule>
    <cfRule type="containsText" dxfId="728" priority="401" stopIfTrue="1" operator="containsText" text="Psychic">
      <formula>NOT(ISERROR(SEARCH("Psychic",B2)))</formula>
    </cfRule>
    <cfRule type="containsText" dxfId="727" priority="402" stopIfTrue="1" operator="containsText" text="Normal">
      <formula>NOT(ISERROR(SEARCH("Normal",B2)))</formula>
    </cfRule>
    <cfRule type="containsText" dxfId="726" priority="403" stopIfTrue="1" operator="containsText" text="Fire">
      <formula>NOT(ISERROR(SEARCH("Fire",B2)))</formula>
    </cfRule>
    <cfRule type="containsText" dxfId="725" priority="404" stopIfTrue="1" operator="containsText" text="Bug">
      <formula>NOT(ISERROR(SEARCH("Bug",B2)))</formula>
    </cfRule>
    <cfRule type="containsText" dxfId="724" priority="405" stopIfTrue="1" operator="containsText" text="Dark">
      <formula>NOT(ISERROR(SEARCH("Dark",B2)))</formula>
    </cfRule>
    <cfRule type="containsText" dxfId="723" priority="406" stopIfTrue="1" operator="containsText" text="Dragon">
      <formula>NOT(ISERROR(SEARCH("Dragon",B2)))</formula>
    </cfRule>
    <cfRule type="containsText" dxfId="722" priority="407" stopIfTrue="1" operator="containsText" text="Electric">
      <formula>NOT(ISERROR(SEARCH("Electric",B2)))</formula>
    </cfRule>
    <cfRule type="containsText" dxfId="721" priority="408" stopIfTrue="1" operator="containsText" text="Fairy">
      <formula>NOT(ISERROR(SEARCH("Fairy",B2)))</formula>
    </cfRule>
    <cfRule type="containsText" dxfId="720" priority="409" stopIfTrue="1" operator="containsText" text="Fighting">
      <formula>NOT(ISERROR(SEARCH("Fighting",B2)))</formula>
    </cfRule>
    <cfRule type="containsText" dxfId="719" priority="410" stopIfTrue="1" operator="containsText" text="Flying">
      <formula>NOT(ISERROR(SEARCH("Flying",B2)))</formula>
    </cfRule>
    <cfRule type="containsText" dxfId="718" priority="411" stopIfTrue="1" operator="containsText" text="Grass">
      <formula>NOT(ISERROR(SEARCH("Grass",B2)))</formula>
    </cfRule>
    <cfRule type="containsText" dxfId="717" priority="412" stopIfTrue="1" operator="containsText" text="Ground">
      <formula>NOT(ISERROR(SEARCH("Ground",B2)))</formula>
    </cfRule>
    <cfRule type="containsText" dxfId="716" priority="413" stopIfTrue="1" operator="containsText" text="Ice">
      <formula>NOT(ISERROR(SEARCH("Ice",B2)))</formula>
    </cfRule>
    <cfRule type="containsText" dxfId="715" priority="414" stopIfTrue="1" operator="containsText" text="Poison">
      <formula>NOT(ISERROR(SEARCH("Poison",B2)))</formula>
    </cfRule>
    <cfRule type="containsText" dxfId="714" priority="415" stopIfTrue="1" operator="containsText" text="Rock">
      <formula>NOT(ISERROR(SEARCH("Rock",B2)))</formula>
    </cfRule>
    <cfRule type="containsText" dxfId="713" priority="416" stopIfTrue="1" operator="containsText" text="Steel">
      <formula>NOT(ISERROR(SEARCH("Steel",B2)))</formula>
    </cfRule>
    <cfRule type="containsText" dxfId="712" priority="417" stopIfTrue="1" operator="containsText" text="Water">
      <formula>NOT(ISERROR(SEARCH("Water",B2)))</formula>
    </cfRule>
    <cfRule type="containsText" dxfId="711" priority="418" stopIfTrue="1" operator="containsText" text="Status">
      <formula>NOT(ISERROR(SEARCH("Status",B2)))</formula>
    </cfRule>
    <cfRule type="containsText" dxfId="710" priority="419" stopIfTrue="1" operator="containsText" text="Physical">
      <formula>NOT(ISERROR(SEARCH("Physical",B2)))</formula>
    </cfRule>
    <cfRule type="containsText" dxfId="709" priority="420" stopIfTrue="1" operator="containsText" text="Special">
      <formula>NOT(ISERROR(SEARCH("Special",B2)))</formula>
    </cfRule>
    <cfRule type="containsText" dxfId="708" priority="421" stopIfTrue="1" operator="containsText" text="Ghost">
      <formula>NOT(ISERROR(SEARCH("Ghost",B2)))</formula>
    </cfRule>
    <cfRule type="containsText" dxfId="707" priority="422" stopIfTrue="1" operator="containsText" text="Psychic">
      <formula>NOT(ISERROR(SEARCH("Psychic",B2)))</formula>
    </cfRule>
    <cfRule type="containsText" dxfId="706" priority="423" stopIfTrue="1" operator="containsText" text="Normal">
      <formula>NOT(ISERROR(SEARCH("Normal",B2)))</formula>
    </cfRule>
    <cfRule type="containsText" dxfId="705" priority="424" stopIfTrue="1" operator="containsText" text="Fire">
      <formula>NOT(ISERROR(SEARCH("Fire",B2)))</formula>
    </cfRule>
    <cfRule type="containsText" dxfId="704" priority="425" stopIfTrue="1" operator="containsText" text="Bug">
      <formula>NOT(ISERROR(SEARCH("Bug",B2)))</formula>
    </cfRule>
    <cfRule type="containsText" dxfId="703" priority="426" stopIfTrue="1" operator="containsText" text="Dark">
      <formula>NOT(ISERROR(SEARCH("Dark",B2)))</formula>
    </cfRule>
    <cfRule type="containsText" dxfId="702" priority="427" stopIfTrue="1" operator="containsText" text="Dragon">
      <formula>NOT(ISERROR(SEARCH("Dragon",B2)))</formula>
    </cfRule>
    <cfRule type="containsText" dxfId="701" priority="428" stopIfTrue="1" operator="containsText" text="Electric">
      <formula>NOT(ISERROR(SEARCH("Electric",B2)))</formula>
    </cfRule>
    <cfRule type="containsText" dxfId="700" priority="429" stopIfTrue="1" operator="containsText" text="Fairy">
      <formula>NOT(ISERROR(SEARCH("Fairy",B2)))</formula>
    </cfRule>
    <cfRule type="containsText" dxfId="699" priority="430" stopIfTrue="1" operator="containsText" text="Fighting">
      <formula>NOT(ISERROR(SEARCH("Fighting",B2)))</formula>
    </cfRule>
    <cfRule type="containsText" dxfId="698" priority="431" stopIfTrue="1" operator="containsText" text="Flying">
      <formula>NOT(ISERROR(SEARCH("Flying",B2)))</formula>
    </cfRule>
    <cfRule type="containsText" dxfId="697" priority="432" stopIfTrue="1" operator="containsText" text="Grass">
      <formula>NOT(ISERROR(SEARCH("Grass",B2)))</formula>
    </cfRule>
    <cfRule type="containsText" dxfId="696" priority="433" stopIfTrue="1" operator="containsText" text="Ground">
      <formula>NOT(ISERROR(SEARCH("Ground",B2)))</formula>
    </cfRule>
    <cfRule type="containsText" dxfId="695" priority="434" stopIfTrue="1" operator="containsText" text="Ice">
      <formula>NOT(ISERROR(SEARCH("Ice",B2)))</formula>
    </cfRule>
    <cfRule type="containsText" dxfId="694" priority="435" stopIfTrue="1" operator="containsText" text="Poison">
      <formula>NOT(ISERROR(SEARCH("Poison",B2)))</formula>
    </cfRule>
    <cfRule type="containsText" dxfId="693" priority="436" stopIfTrue="1" operator="containsText" text="Rock">
      <formula>NOT(ISERROR(SEARCH("Rock",B2)))</formula>
    </cfRule>
    <cfRule type="containsText" dxfId="692" priority="437" stopIfTrue="1" operator="containsText" text="Steel">
      <formula>NOT(ISERROR(SEARCH("Steel",B2)))</formula>
    </cfRule>
    <cfRule type="containsText" dxfId="691" priority="438" stopIfTrue="1" operator="containsText" text="Water">
      <formula>NOT(ISERROR(SEARCH("Water",B2)))</formula>
    </cfRule>
    <cfRule type="containsText" dxfId="690" priority="439" stopIfTrue="1" operator="containsText" text="Status">
      <formula>NOT(ISERROR(SEARCH("Status",B2)))</formula>
    </cfRule>
    <cfRule type="containsText" dxfId="689" priority="440" stopIfTrue="1" operator="containsText" text="Physical">
      <formula>NOT(ISERROR(SEARCH("Physical",B2)))</formula>
    </cfRule>
    <cfRule type="containsText" dxfId="688" priority="441" stopIfTrue="1" operator="containsText" text="Special">
      <formula>NOT(ISERROR(SEARCH("Special",B2)))</formula>
    </cfRule>
    <cfRule type="containsText" dxfId="687" priority="442" stopIfTrue="1" operator="containsText" text="Ghost">
      <formula>NOT(ISERROR(SEARCH("Ghost",B2)))</formula>
    </cfRule>
    <cfRule type="containsText" dxfId="686" priority="443" stopIfTrue="1" operator="containsText" text="Psychic">
      <formula>NOT(ISERROR(SEARCH("Psychic",B2)))</formula>
    </cfRule>
    <cfRule type="containsText" dxfId="685" priority="444" stopIfTrue="1" operator="containsText" text="Normal">
      <formula>NOT(ISERROR(SEARCH("Normal",B2)))</formula>
    </cfRule>
    <cfRule type="containsText" dxfId="684" priority="445" stopIfTrue="1" operator="containsText" text="Fire">
      <formula>NOT(ISERROR(SEARCH("Fire",B2)))</formula>
    </cfRule>
    <cfRule type="containsText" dxfId="683" priority="446" stopIfTrue="1" operator="containsText" text="Bug">
      <formula>NOT(ISERROR(SEARCH("Bug",B2)))</formula>
    </cfRule>
    <cfRule type="containsText" dxfId="682" priority="447" stopIfTrue="1" operator="containsText" text="Dark">
      <formula>NOT(ISERROR(SEARCH("Dark",B2)))</formula>
    </cfRule>
    <cfRule type="containsText" dxfId="681" priority="448" stopIfTrue="1" operator="containsText" text="Dragon">
      <formula>NOT(ISERROR(SEARCH("Dragon",B2)))</formula>
    </cfRule>
    <cfRule type="containsText" dxfId="680" priority="449" stopIfTrue="1" operator="containsText" text="Electric">
      <formula>NOT(ISERROR(SEARCH("Electric",B2)))</formula>
    </cfRule>
    <cfRule type="containsText" dxfId="679" priority="450" stopIfTrue="1" operator="containsText" text="Fairy">
      <formula>NOT(ISERROR(SEARCH("Fairy",B2)))</formula>
    </cfRule>
    <cfRule type="containsText" dxfId="678" priority="451" stopIfTrue="1" operator="containsText" text="Fighting">
      <formula>NOT(ISERROR(SEARCH("Fighting",B2)))</formula>
    </cfRule>
    <cfRule type="containsText" dxfId="677" priority="452" stopIfTrue="1" operator="containsText" text="Flying">
      <formula>NOT(ISERROR(SEARCH("Flying",B2)))</formula>
    </cfRule>
    <cfRule type="containsText" dxfId="676" priority="453" stopIfTrue="1" operator="containsText" text="Grass">
      <formula>NOT(ISERROR(SEARCH("Grass",B2)))</formula>
    </cfRule>
    <cfRule type="containsText" dxfId="675" priority="454" stopIfTrue="1" operator="containsText" text="Ground">
      <formula>NOT(ISERROR(SEARCH("Ground",B2)))</formula>
    </cfRule>
    <cfRule type="containsText" dxfId="674" priority="455" stopIfTrue="1" operator="containsText" text="Ice">
      <formula>NOT(ISERROR(SEARCH("Ice",B2)))</formula>
    </cfRule>
    <cfRule type="containsText" dxfId="673" priority="456" stopIfTrue="1" operator="containsText" text="Poison">
      <formula>NOT(ISERROR(SEARCH("Poison",B2)))</formula>
    </cfRule>
    <cfRule type="containsText" dxfId="672" priority="457" stopIfTrue="1" operator="containsText" text="Rock">
      <formula>NOT(ISERROR(SEARCH("Rock",B2)))</formula>
    </cfRule>
    <cfRule type="containsText" dxfId="671" priority="458" stopIfTrue="1" operator="containsText" text="Steel">
      <formula>NOT(ISERROR(SEARCH("Steel",B2)))</formula>
    </cfRule>
    <cfRule type="containsText" dxfId="670" priority="459" stopIfTrue="1" operator="containsText" text="Water">
      <formula>NOT(ISERROR(SEARCH("Water",B2)))</formula>
    </cfRule>
    <cfRule type="containsText" dxfId="669" priority="460" stopIfTrue="1" operator="containsText" text="Status">
      <formula>NOT(ISERROR(SEARCH("Status",B2)))</formula>
    </cfRule>
    <cfRule type="containsText" dxfId="668" priority="461" stopIfTrue="1" operator="containsText" text="Physical">
      <formula>NOT(ISERROR(SEARCH("Physical",B2)))</formula>
    </cfRule>
    <cfRule type="containsText" dxfId="667" priority="462" stopIfTrue="1" operator="containsText" text="Special">
      <formula>NOT(ISERROR(SEARCH("Special",B2)))</formula>
    </cfRule>
    <cfRule type="containsText" dxfId="666" priority="463" stopIfTrue="1" operator="containsText" text="Ghost">
      <formula>NOT(ISERROR(SEARCH("Ghost",B2)))</formula>
    </cfRule>
    <cfRule type="containsText" dxfId="665" priority="464" stopIfTrue="1" operator="containsText" text="Psychic">
      <formula>NOT(ISERROR(SEARCH("Psychic",B2)))</formula>
    </cfRule>
    <cfRule type="containsText" dxfId="664" priority="465" stopIfTrue="1" operator="containsText" text="Normal">
      <formula>NOT(ISERROR(SEARCH("Normal",B2)))</formula>
    </cfRule>
    <cfRule type="containsText" dxfId="663" priority="466" stopIfTrue="1" operator="containsText" text="Fire">
      <formula>NOT(ISERROR(SEARCH("Fire",B2)))</formula>
    </cfRule>
    <cfRule type="containsText" dxfId="662" priority="467" stopIfTrue="1" operator="containsText" text="Bug">
      <formula>NOT(ISERROR(SEARCH("Bug",B2)))</formula>
    </cfRule>
    <cfRule type="containsText" dxfId="661" priority="468" stopIfTrue="1" operator="containsText" text="Dark">
      <formula>NOT(ISERROR(SEARCH("Dark",B2)))</formula>
    </cfRule>
    <cfRule type="containsText" dxfId="660" priority="469" stopIfTrue="1" operator="containsText" text="Dragon">
      <formula>NOT(ISERROR(SEARCH("Dragon",B2)))</formula>
    </cfRule>
    <cfRule type="containsText" dxfId="659" priority="470" stopIfTrue="1" operator="containsText" text="Electric">
      <formula>NOT(ISERROR(SEARCH("Electric",B2)))</formula>
    </cfRule>
    <cfRule type="containsText" dxfId="658" priority="471" stopIfTrue="1" operator="containsText" text="Fairy">
      <formula>NOT(ISERROR(SEARCH("Fairy",B2)))</formula>
    </cfRule>
    <cfRule type="containsText" dxfId="657" priority="472" stopIfTrue="1" operator="containsText" text="Fighting">
      <formula>NOT(ISERROR(SEARCH("Fighting",B2)))</formula>
    </cfRule>
    <cfRule type="containsText" dxfId="656" priority="473" stopIfTrue="1" operator="containsText" text="Flying">
      <formula>NOT(ISERROR(SEARCH("Flying",B2)))</formula>
    </cfRule>
    <cfRule type="containsText" dxfId="655" priority="474" stopIfTrue="1" operator="containsText" text="Grass">
      <formula>NOT(ISERROR(SEARCH("Grass",B2)))</formula>
    </cfRule>
    <cfRule type="containsText" dxfId="654" priority="475" stopIfTrue="1" operator="containsText" text="Ground">
      <formula>NOT(ISERROR(SEARCH("Ground",B2)))</formula>
    </cfRule>
    <cfRule type="containsText" dxfId="653" priority="476" stopIfTrue="1" operator="containsText" text="Ice">
      <formula>NOT(ISERROR(SEARCH("Ice",B2)))</formula>
    </cfRule>
    <cfRule type="containsText" dxfId="652" priority="477" stopIfTrue="1" operator="containsText" text="Poison">
      <formula>NOT(ISERROR(SEARCH("Poison",B2)))</formula>
    </cfRule>
    <cfRule type="containsText" dxfId="651" priority="478" stopIfTrue="1" operator="containsText" text="Rock">
      <formula>NOT(ISERROR(SEARCH("Rock",B2)))</formula>
    </cfRule>
    <cfRule type="containsText" dxfId="650" priority="479" stopIfTrue="1" operator="containsText" text="Steel">
      <formula>NOT(ISERROR(SEARCH("Steel",B2)))</formula>
    </cfRule>
    <cfRule type="containsText" dxfId="649" priority="480" stopIfTrue="1" operator="containsText" text="Water">
      <formula>NOT(ISERROR(SEARCH("Water",B2)))</formula>
    </cfRule>
    <cfRule type="containsText" dxfId="648" priority="481" stopIfTrue="1" operator="containsText" text="Status">
      <formula>NOT(ISERROR(SEARCH("Status",B2)))</formula>
    </cfRule>
    <cfRule type="containsText" dxfId="647" priority="482" stopIfTrue="1" operator="containsText" text="Physical">
      <formula>NOT(ISERROR(SEARCH("Physical",B2)))</formula>
    </cfRule>
    <cfRule type="containsText" dxfId="646" priority="483" stopIfTrue="1" operator="containsText" text="Special">
      <formula>NOT(ISERROR(SEARCH("Special",B2)))</formula>
    </cfRule>
    <cfRule type="containsText" dxfId="645" priority="484" stopIfTrue="1" operator="containsText" text="Ghost">
      <formula>NOT(ISERROR(SEARCH("Ghost",B2)))</formula>
    </cfRule>
    <cfRule type="containsText" dxfId="644" priority="485" stopIfTrue="1" operator="containsText" text="Psychic">
      <formula>NOT(ISERROR(SEARCH("Psychic",B2)))</formula>
    </cfRule>
    <cfRule type="containsText" dxfId="643" priority="486" stopIfTrue="1" operator="containsText" text="Normal">
      <formula>NOT(ISERROR(SEARCH("Normal",B2)))</formula>
    </cfRule>
    <cfRule type="containsText" dxfId="642" priority="487" stopIfTrue="1" operator="containsText" text="Fire">
      <formula>NOT(ISERROR(SEARCH("Fire",B2)))</formula>
    </cfRule>
    <cfRule type="containsText" dxfId="641" priority="488" stopIfTrue="1" operator="containsText" text="Bug">
      <formula>NOT(ISERROR(SEARCH("Bug",B2)))</formula>
    </cfRule>
    <cfRule type="containsText" dxfId="640" priority="489" stopIfTrue="1" operator="containsText" text="Dark">
      <formula>NOT(ISERROR(SEARCH("Dark",B2)))</formula>
    </cfRule>
    <cfRule type="containsText" dxfId="639" priority="490" stopIfTrue="1" operator="containsText" text="Dragon">
      <formula>NOT(ISERROR(SEARCH("Dragon",B2)))</formula>
    </cfRule>
    <cfRule type="containsText" dxfId="638" priority="491" stopIfTrue="1" operator="containsText" text="Electric">
      <formula>NOT(ISERROR(SEARCH("Electric",B2)))</formula>
    </cfRule>
    <cfRule type="containsText" dxfId="637" priority="492" stopIfTrue="1" operator="containsText" text="Fairy">
      <formula>NOT(ISERROR(SEARCH("Fairy",B2)))</formula>
    </cfRule>
    <cfRule type="containsText" dxfId="636" priority="493" stopIfTrue="1" operator="containsText" text="Fighting">
      <formula>NOT(ISERROR(SEARCH("Fighting",B2)))</formula>
    </cfRule>
    <cfRule type="containsText" dxfId="635" priority="494" stopIfTrue="1" operator="containsText" text="Flying">
      <formula>NOT(ISERROR(SEARCH("Flying",B2)))</formula>
    </cfRule>
    <cfRule type="containsText" dxfId="634" priority="495" stopIfTrue="1" operator="containsText" text="Grass">
      <formula>NOT(ISERROR(SEARCH("Grass",B2)))</formula>
    </cfRule>
    <cfRule type="containsText" dxfId="633" priority="496" stopIfTrue="1" operator="containsText" text="Ground">
      <formula>NOT(ISERROR(SEARCH("Ground",B2)))</formula>
    </cfRule>
    <cfRule type="containsText" dxfId="632" priority="497" stopIfTrue="1" operator="containsText" text="Ice">
      <formula>NOT(ISERROR(SEARCH("Ice",B2)))</formula>
    </cfRule>
    <cfRule type="containsText" dxfId="631" priority="498" stopIfTrue="1" operator="containsText" text="Poison">
      <formula>NOT(ISERROR(SEARCH("Poison",B2)))</formula>
    </cfRule>
    <cfRule type="containsText" dxfId="630" priority="499" stopIfTrue="1" operator="containsText" text="Rock">
      <formula>NOT(ISERROR(SEARCH("Rock",B2)))</formula>
    </cfRule>
    <cfRule type="containsText" dxfId="629" priority="500" stopIfTrue="1" operator="containsText" text="Steel">
      <formula>NOT(ISERROR(SEARCH("Steel",B2)))</formula>
    </cfRule>
    <cfRule type="containsText" dxfId="628" priority="501" stopIfTrue="1" operator="containsText" text="Water">
      <formula>NOT(ISERROR(SEARCH("Water",B2)))</formula>
    </cfRule>
    <cfRule type="containsText" dxfId="627" priority="502" stopIfTrue="1" operator="containsText" text="Status">
      <formula>NOT(ISERROR(SEARCH("Status",B2)))</formula>
    </cfRule>
    <cfRule type="containsText" dxfId="626" priority="503" stopIfTrue="1" operator="containsText" text="Physical">
      <formula>NOT(ISERROR(SEARCH("Physical",B2)))</formula>
    </cfRule>
    <cfRule type="containsText" dxfId="625" priority="504" stopIfTrue="1" operator="containsText" text="Special">
      <formula>NOT(ISERROR(SEARCH("Special",B2)))</formula>
    </cfRule>
    <cfRule type="containsText" dxfId="624" priority="505" stopIfTrue="1" operator="containsText" text="Ghost">
      <formula>NOT(ISERROR(SEARCH("Ghost",B2)))</formula>
    </cfRule>
    <cfRule type="containsText" dxfId="623" priority="506" stopIfTrue="1" operator="containsText" text="Psychic">
      <formula>NOT(ISERROR(SEARCH("Psychic",B2)))</formula>
    </cfRule>
    <cfRule type="containsText" dxfId="622" priority="507" stopIfTrue="1" operator="containsText" text="Normal">
      <formula>NOT(ISERROR(SEARCH("Normal",B2)))</formula>
    </cfRule>
    <cfRule type="containsText" dxfId="621" priority="508" stopIfTrue="1" operator="containsText" text="Fire">
      <formula>NOT(ISERROR(SEARCH("Fire",B2)))</formula>
    </cfRule>
    <cfRule type="containsText" dxfId="620" priority="509" stopIfTrue="1" operator="containsText" text="Bug">
      <formula>NOT(ISERROR(SEARCH("Bug",B2)))</formula>
    </cfRule>
    <cfRule type="containsText" dxfId="619" priority="510" stopIfTrue="1" operator="containsText" text="Dark">
      <formula>NOT(ISERROR(SEARCH("Dark",B2)))</formula>
    </cfRule>
    <cfRule type="containsText" dxfId="618" priority="511" stopIfTrue="1" operator="containsText" text="Dragon">
      <formula>NOT(ISERROR(SEARCH("Dragon",B2)))</formula>
    </cfRule>
    <cfRule type="containsText" dxfId="617" priority="512" stopIfTrue="1" operator="containsText" text="Electric">
      <formula>NOT(ISERROR(SEARCH("Electric",B2)))</formula>
    </cfRule>
    <cfRule type="containsText" dxfId="616" priority="513" stopIfTrue="1" operator="containsText" text="Fairy">
      <formula>NOT(ISERROR(SEARCH("Fairy",B2)))</formula>
    </cfRule>
    <cfRule type="containsText" dxfId="615" priority="514" stopIfTrue="1" operator="containsText" text="Fighting">
      <formula>NOT(ISERROR(SEARCH("Fighting",B2)))</formula>
    </cfRule>
    <cfRule type="containsText" dxfId="614" priority="515" stopIfTrue="1" operator="containsText" text="Flying">
      <formula>NOT(ISERROR(SEARCH("Flying",B2)))</formula>
    </cfRule>
    <cfRule type="containsText" dxfId="613" priority="516" stopIfTrue="1" operator="containsText" text="Grass">
      <formula>NOT(ISERROR(SEARCH("Grass",B2)))</formula>
    </cfRule>
    <cfRule type="containsText" dxfId="612" priority="517" stopIfTrue="1" operator="containsText" text="Ground">
      <formula>NOT(ISERROR(SEARCH("Ground",B2)))</formula>
    </cfRule>
    <cfRule type="containsText" dxfId="611" priority="518" stopIfTrue="1" operator="containsText" text="Ice">
      <formula>NOT(ISERROR(SEARCH("Ice",B2)))</formula>
    </cfRule>
    <cfRule type="containsText" dxfId="610" priority="519" stopIfTrue="1" operator="containsText" text="Poison">
      <formula>NOT(ISERROR(SEARCH("Poison",B2)))</formula>
    </cfRule>
    <cfRule type="containsText" dxfId="609" priority="520" stopIfTrue="1" operator="containsText" text="Rock">
      <formula>NOT(ISERROR(SEARCH("Rock",B2)))</formula>
    </cfRule>
    <cfRule type="containsText" dxfId="608" priority="521" stopIfTrue="1" operator="containsText" text="Steel">
      <formula>NOT(ISERROR(SEARCH("Steel",B2)))</formula>
    </cfRule>
    <cfRule type="containsText" dxfId="607" priority="522" stopIfTrue="1" operator="containsText" text="Water">
      <formula>NOT(ISERROR(SEARCH("Water",B2)))</formula>
    </cfRule>
    <cfRule type="containsText" dxfId="606" priority="523" stopIfTrue="1" operator="containsText" text="Status">
      <formula>NOT(ISERROR(SEARCH("Status",B2)))</formula>
    </cfRule>
    <cfRule type="containsText" dxfId="605" priority="524" stopIfTrue="1" operator="containsText" text="Physical">
      <formula>NOT(ISERROR(SEARCH("Physical",B2)))</formula>
    </cfRule>
    <cfRule type="containsText" dxfId="604" priority="525" stopIfTrue="1" operator="containsText" text="Special">
      <formula>NOT(ISERROR(SEARCH("Special",B2)))</formula>
    </cfRule>
    <cfRule type="containsText" dxfId="603" priority="526" stopIfTrue="1" operator="containsText" text="Ghost">
      <formula>NOT(ISERROR(SEARCH("Ghost",B2)))</formula>
    </cfRule>
    <cfRule type="containsText" dxfId="602" priority="527" stopIfTrue="1" operator="containsText" text="Psychic">
      <formula>NOT(ISERROR(SEARCH("Psychic",B2)))</formula>
    </cfRule>
    <cfRule type="containsText" dxfId="601" priority="528" stopIfTrue="1" operator="containsText" text="Normal">
      <formula>NOT(ISERROR(SEARCH("Normal",B2)))</formula>
    </cfRule>
    <cfRule type="containsText" dxfId="600" priority="529" stopIfTrue="1" operator="containsText" text="Fire">
      <formula>NOT(ISERROR(SEARCH("Fire",B2)))</formula>
    </cfRule>
    <cfRule type="containsText" dxfId="599" priority="530" stopIfTrue="1" operator="containsText" text="Bug">
      <formula>NOT(ISERROR(SEARCH("Bug",B2)))</formula>
    </cfRule>
    <cfRule type="containsText" dxfId="598" priority="531" stopIfTrue="1" operator="containsText" text="Dark">
      <formula>NOT(ISERROR(SEARCH("Dark",B2)))</formula>
    </cfRule>
    <cfRule type="containsText" dxfId="597" priority="532" stopIfTrue="1" operator="containsText" text="Dragon">
      <formula>NOT(ISERROR(SEARCH("Dragon",B2)))</formula>
    </cfRule>
    <cfRule type="containsText" dxfId="596" priority="533" stopIfTrue="1" operator="containsText" text="Electric">
      <formula>NOT(ISERROR(SEARCH("Electric",B2)))</formula>
    </cfRule>
    <cfRule type="containsText" dxfId="595" priority="534" stopIfTrue="1" operator="containsText" text="Fairy">
      <formula>NOT(ISERROR(SEARCH("Fairy",B2)))</formula>
    </cfRule>
    <cfRule type="containsText" dxfId="594" priority="535" stopIfTrue="1" operator="containsText" text="Fighting">
      <formula>NOT(ISERROR(SEARCH("Fighting",B2)))</formula>
    </cfRule>
    <cfRule type="containsText" dxfId="593" priority="536" stopIfTrue="1" operator="containsText" text="Flying">
      <formula>NOT(ISERROR(SEARCH("Flying",B2)))</formula>
    </cfRule>
    <cfRule type="containsText" dxfId="592" priority="537" stopIfTrue="1" operator="containsText" text="Grass">
      <formula>NOT(ISERROR(SEARCH("Grass",B2)))</formula>
    </cfRule>
    <cfRule type="containsText" dxfId="591" priority="538" stopIfTrue="1" operator="containsText" text="Ground">
      <formula>NOT(ISERROR(SEARCH("Ground",B2)))</formula>
    </cfRule>
    <cfRule type="containsText" dxfId="590" priority="539" stopIfTrue="1" operator="containsText" text="Ice">
      <formula>NOT(ISERROR(SEARCH("Ice",B2)))</formula>
    </cfRule>
    <cfRule type="containsText" dxfId="589" priority="540" stopIfTrue="1" operator="containsText" text="Poison">
      <formula>NOT(ISERROR(SEARCH("Poison",B2)))</formula>
    </cfRule>
    <cfRule type="containsText" dxfId="588" priority="541" stopIfTrue="1" operator="containsText" text="Rock">
      <formula>NOT(ISERROR(SEARCH("Rock",B2)))</formula>
    </cfRule>
    <cfRule type="containsText" dxfId="587" priority="542" stopIfTrue="1" operator="containsText" text="Steel">
      <formula>NOT(ISERROR(SEARCH("Steel",B2)))</formula>
    </cfRule>
    <cfRule type="containsText" dxfId="586" priority="543" stopIfTrue="1" operator="containsText" text="Water">
      <formula>NOT(ISERROR(SEARCH("Water",B2)))</formula>
    </cfRule>
    <cfRule type="containsText" dxfId="585" priority="544" stopIfTrue="1" operator="containsText" text="Status">
      <formula>NOT(ISERROR(SEARCH("Status",B2)))</formula>
    </cfRule>
    <cfRule type="containsText" dxfId="584" priority="545" stopIfTrue="1" operator="containsText" text="Physical">
      <formula>NOT(ISERROR(SEARCH("Physical",B2)))</formula>
    </cfRule>
    <cfRule type="containsText" dxfId="583" priority="546" stopIfTrue="1" operator="containsText" text="Special">
      <formula>NOT(ISERROR(SEARCH("Special",B2)))</formula>
    </cfRule>
    <cfRule type="containsText" dxfId="582" priority="547" stopIfTrue="1" operator="containsText" text="Ghost">
      <formula>NOT(ISERROR(SEARCH("Ghost",B2)))</formula>
    </cfRule>
    <cfRule type="containsText" dxfId="581" priority="548" stopIfTrue="1" operator="containsText" text="Psychic">
      <formula>NOT(ISERROR(SEARCH("Psychic",B2)))</formula>
    </cfRule>
    <cfRule type="containsText" dxfId="580" priority="549" stopIfTrue="1" operator="containsText" text="Normal">
      <formula>NOT(ISERROR(SEARCH("Normal",B2)))</formula>
    </cfRule>
    <cfRule type="containsText" dxfId="579" priority="550" stopIfTrue="1" operator="containsText" text="Fire">
      <formula>NOT(ISERROR(SEARCH("Fire",B2)))</formula>
    </cfRule>
    <cfRule type="containsText" dxfId="578" priority="551" stopIfTrue="1" operator="containsText" text="Bug">
      <formula>NOT(ISERROR(SEARCH("Bug",B2)))</formula>
    </cfRule>
    <cfRule type="containsText" dxfId="577" priority="552" stopIfTrue="1" operator="containsText" text="Dark">
      <formula>NOT(ISERROR(SEARCH("Dark",B2)))</formula>
    </cfRule>
    <cfRule type="containsText" dxfId="576" priority="553" stopIfTrue="1" operator="containsText" text="Dragon">
      <formula>NOT(ISERROR(SEARCH("Dragon",B2)))</formula>
    </cfRule>
    <cfRule type="containsText" dxfId="575" priority="554" stopIfTrue="1" operator="containsText" text="Electric">
      <formula>NOT(ISERROR(SEARCH("Electric",B2)))</formula>
    </cfRule>
    <cfRule type="containsText" dxfId="574" priority="555" stopIfTrue="1" operator="containsText" text="Fairy">
      <formula>NOT(ISERROR(SEARCH("Fairy",B2)))</formula>
    </cfRule>
    <cfRule type="containsText" dxfId="573" priority="556" stopIfTrue="1" operator="containsText" text="Fighting">
      <formula>NOT(ISERROR(SEARCH("Fighting",B2)))</formula>
    </cfRule>
    <cfRule type="containsText" dxfId="572" priority="557" stopIfTrue="1" operator="containsText" text="Flying">
      <formula>NOT(ISERROR(SEARCH("Flying",B2)))</formula>
    </cfRule>
    <cfRule type="containsText" dxfId="571" priority="558" stopIfTrue="1" operator="containsText" text="Grass">
      <formula>NOT(ISERROR(SEARCH("Grass",B2)))</formula>
    </cfRule>
    <cfRule type="containsText" dxfId="570" priority="559" stopIfTrue="1" operator="containsText" text="Ground">
      <formula>NOT(ISERROR(SEARCH("Ground",B2)))</formula>
    </cfRule>
    <cfRule type="containsText" dxfId="569" priority="560" stopIfTrue="1" operator="containsText" text="Ice">
      <formula>NOT(ISERROR(SEARCH("Ice",B2)))</formula>
    </cfRule>
    <cfRule type="containsText" dxfId="568" priority="561" stopIfTrue="1" operator="containsText" text="Poison">
      <formula>NOT(ISERROR(SEARCH("Poison",B2)))</formula>
    </cfRule>
    <cfRule type="containsText" dxfId="567" priority="562" stopIfTrue="1" operator="containsText" text="Rock">
      <formula>NOT(ISERROR(SEARCH("Rock",B2)))</formula>
    </cfRule>
    <cfRule type="containsText" dxfId="566" priority="563" stopIfTrue="1" operator="containsText" text="Steel">
      <formula>NOT(ISERROR(SEARCH("Steel",B2)))</formula>
    </cfRule>
    <cfRule type="containsText" dxfId="565" priority="564" stopIfTrue="1" operator="containsText" text="Water">
      <formula>NOT(ISERROR(SEARCH("Water",B2)))</formula>
    </cfRule>
    <cfRule type="containsText" dxfId="564" priority="565" stopIfTrue="1" operator="containsText" text="Status">
      <formula>NOT(ISERROR(SEARCH("Status",B2)))</formula>
    </cfRule>
    <cfRule type="containsText" dxfId="563" priority="566" stopIfTrue="1" operator="containsText" text="Physical">
      <formula>NOT(ISERROR(SEARCH("Physical",B2)))</formula>
    </cfRule>
    <cfRule type="containsText" dxfId="562" priority="567" stopIfTrue="1" operator="containsText" text="Special">
      <formula>NOT(ISERROR(SEARCH("Special",B2)))</formula>
    </cfRule>
    <cfRule type="containsText" dxfId="561" priority="568" stopIfTrue="1" operator="containsText" text="Ghost">
      <formula>NOT(ISERROR(SEARCH("Ghost",B2)))</formula>
    </cfRule>
    <cfRule type="containsText" dxfId="560" priority="569" stopIfTrue="1" operator="containsText" text="Psychic">
      <formula>NOT(ISERROR(SEARCH("Psychic",B2)))</formula>
    </cfRule>
    <cfRule type="containsText" dxfId="559" priority="570" stopIfTrue="1" operator="containsText" text="Normal">
      <formula>NOT(ISERROR(SEARCH("Normal",B2)))</formula>
    </cfRule>
    <cfRule type="containsText" dxfId="558" priority="571" stopIfTrue="1" operator="containsText" text="Fire">
      <formula>NOT(ISERROR(SEARCH("Fire",B2)))</formula>
    </cfRule>
    <cfRule type="containsText" dxfId="557" priority="572" stopIfTrue="1" operator="containsText" text="Bug">
      <formula>NOT(ISERROR(SEARCH("Bug",B2)))</formula>
    </cfRule>
    <cfRule type="containsText" dxfId="556" priority="573" stopIfTrue="1" operator="containsText" text="Dark">
      <formula>NOT(ISERROR(SEARCH("Dark",B2)))</formula>
    </cfRule>
    <cfRule type="containsText" dxfId="555" priority="574" stopIfTrue="1" operator="containsText" text="Dragon">
      <formula>NOT(ISERROR(SEARCH("Dragon",B2)))</formula>
    </cfRule>
    <cfRule type="containsText" dxfId="554" priority="575" stopIfTrue="1" operator="containsText" text="Electric">
      <formula>NOT(ISERROR(SEARCH("Electric",B2)))</formula>
    </cfRule>
    <cfRule type="containsText" dxfId="553" priority="576" stopIfTrue="1" operator="containsText" text="Fairy">
      <formula>NOT(ISERROR(SEARCH("Fairy",B2)))</formula>
    </cfRule>
    <cfRule type="containsText" dxfId="552" priority="577" stopIfTrue="1" operator="containsText" text="Fighting">
      <formula>NOT(ISERROR(SEARCH("Fighting",B2)))</formula>
    </cfRule>
    <cfRule type="containsText" dxfId="551" priority="578" stopIfTrue="1" operator="containsText" text="Flying">
      <formula>NOT(ISERROR(SEARCH("Flying",B2)))</formula>
    </cfRule>
    <cfRule type="containsText" dxfId="550" priority="579" stopIfTrue="1" operator="containsText" text="Grass">
      <formula>NOT(ISERROR(SEARCH("Grass",B2)))</formula>
    </cfRule>
    <cfRule type="containsText" dxfId="549" priority="580" stopIfTrue="1" operator="containsText" text="Ground">
      <formula>NOT(ISERROR(SEARCH("Ground",B2)))</formula>
    </cfRule>
    <cfRule type="containsText" dxfId="548" priority="581" stopIfTrue="1" operator="containsText" text="Ice">
      <formula>NOT(ISERROR(SEARCH("Ice",B2)))</formula>
    </cfRule>
    <cfRule type="containsText" dxfId="547" priority="582" stopIfTrue="1" operator="containsText" text="Poison">
      <formula>NOT(ISERROR(SEARCH("Poison",B2)))</formula>
    </cfRule>
    <cfRule type="containsText" dxfId="546" priority="583" stopIfTrue="1" operator="containsText" text="Rock">
      <formula>NOT(ISERROR(SEARCH("Rock",B2)))</formula>
    </cfRule>
    <cfRule type="containsText" dxfId="545" priority="584" stopIfTrue="1" operator="containsText" text="Steel">
      <formula>NOT(ISERROR(SEARCH("Steel",B2)))</formula>
    </cfRule>
    <cfRule type="containsText" dxfId="544" priority="585" stopIfTrue="1" operator="containsText" text="Water">
      <formula>NOT(ISERROR(SEARCH("Water",B2)))</formula>
    </cfRule>
    <cfRule type="containsText" dxfId="543" priority="586" stopIfTrue="1" operator="containsText" text="Status">
      <formula>NOT(ISERROR(SEARCH("Status",B2)))</formula>
    </cfRule>
    <cfRule type="containsText" dxfId="542" priority="587" stopIfTrue="1" operator="containsText" text="Physical">
      <formula>NOT(ISERROR(SEARCH("Physical",B2)))</formula>
    </cfRule>
    <cfRule type="containsText" dxfId="541" priority="588" stopIfTrue="1" operator="containsText" text="Special">
      <formula>NOT(ISERROR(SEARCH("Special",B2)))</formula>
    </cfRule>
    <cfRule type="containsText" dxfId="540" priority="589" stopIfTrue="1" operator="containsText" text="Ghost">
      <formula>NOT(ISERROR(SEARCH("Ghost",B2)))</formula>
    </cfRule>
    <cfRule type="containsText" dxfId="539" priority="590" stopIfTrue="1" operator="containsText" text="Psychic">
      <formula>NOT(ISERROR(SEARCH("Psychic",B2)))</formula>
    </cfRule>
    <cfRule type="containsText" dxfId="538" priority="591" stopIfTrue="1" operator="containsText" text="Normal">
      <formula>NOT(ISERROR(SEARCH("Normal",B2)))</formula>
    </cfRule>
    <cfRule type="containsText" dxfId="537" priority="592" stopIfTrue="1" operator="containsText" text="Fire">
      <formula>NOT(ISERROR(SEARCH("Fire",B2)))</formula>
    </cfRule>
    <cfRule type="containsText" dxfId="536" priority="593" stopIfTrue="1" operator="containsText" text="Bug">
      <formula>NOT(ISERROR(SEARCH("Bug",B2)))</formula>
    </cfRule>
    <cfRule type="containsText" dxfId="535" priority="594" stopIfTrue="1" operator="containsText" text="Dark">
      <formula>NOT(ISERROR(SEARCH("Dark",B2)))</formula>
    </cfRule>
    <cfRule type="containsText" dxfId="534" priority="595" stopIfTrue="1" operator="containsText" text="Dragon">
      <formula>NOT(ISERROR(SEARCH("Dragon",B2)))</formula>
    </cfRule>
    <cfRule type="containsText" dxfId="533" priority="596" stopIfTrue="1" operator="containsText" text="Electric">
      <formula>NOT(ISERROR(SEARCH("Electric",B2)))</formula>
    </cfRule>
    <cfRule type="containsText" dxfId="532" priority="597" stopIfTrue="1" operator="containsText" text="Fairy">
      <formula>NOT(ISERROR(SEARCH("Fairy",B2)))</formula>
    </cfRule>
    <cfRule type="containsText" dxfId="531" priority="598" stopIfTrue="1" operator="containsText" text="Fighting">
      <formula>NOT(ISERROR(SEARCH("Fighting",B2)))</formula>
    </cfRule>
    <cfRule type="containsText" dxfId="530" priority="599" stopIfTrue="1" operator="containsText" text="Flying">
      <formula>NOT(ISERROR(SEARCH("Flying",B2)))</formula>
    </cfRule>
    <cfRule type="containsText" dxfId="529" priority="600" stopIfTrue="1" operator="containsText" text="Grass">
      <formula>NOT(ISERROR(SEARCH("Grass",B2)))</formula>
    </cfRule>
    <cfRule type="containsText" dxfId="528" priority="601" stopIfTrue="1" operator="containsText" text="Ground">
      <formula>NOT(ISERROR(SEARCH("Ground",B2)))</formula>
    </cfRule>
    <cfRule type="containsText" dxfId="527" priority="602" stopIfTrue="1" operator="containsText" text="Ice">
      <formula>NOT(ISERROR(SEARCH("Ice",B2)))</formula>
    </cfRule>
    <cfRule type="containsText" dxfId="526" priority="603" stopIfTrue="1" operator="containsText" text="Poison">
      <formula>NOT(ISERROR(SEARCH("Poison",B2)))</formula>
    </cfRule>
    <cfRule type="containsText" dxfId="525" priority="604" stopIfTrue="1" operator="containsText" text="Rock">
      <formula>NOT(ISERROR(SEARCH("Rock",B2)))</formula>
    </cfRule>
    <cfRule type="containsText" dxfId="524" priority="605" stopIfTrue="1" operator="containsText" text="Steel">
      <formula>NOT(ISERROR(SEARCH("Steel",B2)))</formula>
    </cfRule>
    <cfRule type="containsText" dxfId="523" priority="606" stopIfTrue="1" operator="containsText" text="Water">
      <formula>NOT(ISERROR(SEARCH("Water",B2)))</formula>
    </cfRule>
    <cfRule type="containsText" dxfId="522" priority="607" stopIfTrue="1" operator="containsText" text="Status">
      <formula>NOT(ISERROR(SEARCH("Status",B2)))</formula>
    </cfRule>
    <cfRule type="containsText" dxfId="521" priority="608" stopIfTrue="1" operator="containsText" text="Physical">
      <formula>NOT(ISERROR(SEARCH("Physical",B2)))</formula>
    </cfRule>
    <cfRule type="containsText" dxfId="520" priority="609" stopIfTrue="1" operator="containsText" text="Special">
      <formula>NOT(ISERROR(SEARCH("Special",B2)))</formula>
    </cfRule>
    <cfRule type="containsText" dxfId="519" priority="610" stopIfTrue="1" operator="containsText" text="Ghost">
      <formula>NOT(ISERROR(SEARCH("Ghost",B2)))</formula>
    </cfRule>
    <cfRule type="containsText" dxfId="518" priority="611" stopIfTrue="1" operator="containsText" text="Psychic">
      <formula>NOT(ISERROR(SEARCH("Psychic",B2)))</formula>
    </cfRule>
    <cfRule type="containsText" dxfId="517" priority="612" stopIfTrue="1" operator="containsText" text="Normal">
      <formula>NOT(ISERROR(SEARCH("Normal",B2)))</formula>
    </cfRule>
    <cfRule type="containsText" dxfId="516" priority="613" stopIfTrue="1" operator="containsText" text="Fire">
      <formula>NOT(ISERROR(SEARCH("Fire",B2)))</formula>
    </cfRule>
    <cfRule type="containsText" dxfId="515" priority="614" stopIfTrue="1" operator="containsText" text="Bug">
      <formula>NOT(ISERROR(SEARCH("Bug",B2)))</formula>
    </cfRule>
    <cfRule type="containsText" dxfId="514" priority="615" stopIfTrue="1" operator="containsText" text="Dark">
      <formula>NOT(ISERROR(SEARCH("Dark",B2)))</formula>
    </cfRule>
    <cfRule type="containsText" dxfId="513" priority="616" stopIfTrue="1" operator="containsText" text="Dragon">
      <formula>NOT(ISERROR(SEARCH("Dragon",B2)))</formula>
    </cfRule>
    <cfRule type="containsText" dxfId="512" priority="617" stopIfTrue="1" operator="containsText" text="Electric">
      <formula>NOT(ISERROR(SEARCH("Electric",B2)))</formula>
    </cfRule>
    <cfRule type="containsText" dxfId="511" priority="618" stopIfTrue="1" operator="containsText" text="Fairy">
      <formula>NOT(ISERROR(SEARCH("Fairy",B2)))</formula>
    </cfRule>
    <cfRule type="containsText" dxfId="510" priority="619" stopIfTrue="1" operator="containsText" text="Fighting">
      <formula>NOT(ISERROR(SEARCH("Fighting",B2)))</formula>
    </cfRule>
    <cfRule type="containsText" dxfId="509" priority="620" stopIfTrue="1" operator="containsText" text="Flying">
      <formula>NOT(ISERROR(SEARCH("Flying",B2)))</formula>
    </cfRule>
    <cfRule type="containsText" dxfId="508" priority="621" stopIfTrue="1" operator="containsText" text="Grass">
      <formula>NOT(ISERROR(SEARCH("Grass",B2)))</formula>
    </cfRule>
    <cfRule type="containsText" dxfId="507" priority="622" stopIfTrue="1" operator="containsText" text="Ground">
      <formula>NOT(ISERROR(SEARCH("Ground",B2)))</formula>
    </cfRule>
    <cfRule type="containsText" dxfId="506" priority="623" stopIfTrue="1" operator="containsText" text="Ice">
      <formula>NOT(ISERROR(SEARCH("Ice",B2)))</formula>
    </cfRule>
    <cfRule type="containsText" dxfId="505" priority="624" stopIfTrue="1" operator="containsText" text="Poison">
      <formula>NOT(ISERROR(SEARCH("Poison",B2)))</formula>
    </cfRule>
    <cfRule type="containsText" dxfId="504" priority="625" stopIfTrue="1" operator="containsText" text="Rock">
      <formula>NOT(ISERROR(SEARCH("Rock",B2)))</formula>
    </cfRule>
    <cfRule type="containsText" dxfId="503" priority="626" stopIfTrue="1" operator="containsText" text="Steel">
      <formula>NOT(ISERROR(SEARCH("Steel",B2)))</formula>
    </cfRule>
    <cfRule type="containsText" dxfId="502" priority="627" stopIfTrue="1" operator="containsText" text="Water">
      <formula>NOT(ISERROR(SEARCH("Water",B2)))</formula>
    </cfRule>
    <cfRule type="containsText" dxfId="501" priority="628" stopIfTrue="1" operator="containsText" text="Status">
      <formula>NOT(ISERROR(SEARCH("Status",B2)))</formula>
    </cfRule>
    <cfRule type="containsText" dxfId="500" priority="629" stopIfTrue="1" operator="containsText" text="Physical">
      <formula>NOT(ISERROR(SEARCH("Physical",B2)))</formula>
    </cfRule>
    <cfRule type="containsText" dxfId="499" priority="630" stopIfTrue="1" operator="containsText" text="Special">
      <formula>NOT(ISERROR(SEARCH("Special",B2)))</formula>
    </cfRule>
    <cfRule type="containsText" dxfId="498" priority="631" stopIfTrue="1" operator="containsText" text="Ghost">
      <formula>NOT(ISERROR(SEARCH("Ghost",B2)))</formula>
    </cfRule>
    <cfRule type="containsText" dxfId="497" priority="632" stopIfTrue="1" operator="containsText" text="Psychic">
      <formula>NOT(ISERROR(SEARCH("Psychic",B2)))</formula>
    </cfRule>
    <cfRule type="containsText" dxfId="496" priority="633" stopIfTrue="1" operator="containsText" text="Normal">
      <formula>NOT(ISERROR(SEARCH("Normal",B2)))</formula>
    </cfRule>
    <cfRule type="containsText" dxfId="495" priority="634" stopIfTrue="1" operator="containsText" text="Fire">
      <formula>NOT(ISERROR(SEARCH("Fire",B2)))</formula>
    </cfRule>
    <cfRule type="containsText" dxfId="494" priority="635" stopIfTrue="1" operator="containsText" text="Bug">
      <formula>NOT(ISERROR(SEARCH("Bug",B2)))</formula>
    </cfRule>
    <cfRule type="containsText" dxfId="493" priority="636" stopIfTrue="1" operator="containsText" text="Dark">
      <formula>NOT(ISERROR(SEARCH("Dark",B2)))</formula>
    </cfRule>
    <cfRule type="containsText" dxfId="492" priority="637" stopIfTrue="1" operator="containsText" text="Dragon">
      <formula>NOT(ISERROR(SEARCH("Dragon",B2)))</formula>
    </cfRule>
    <cfRule type="containsText" dxfId="491" priority="638" stopIfTrue="1" operator="containsText" text="Electric">
      <formula>NOT(ISERROR(SEARCH("Electric",B2)))</formula>
    </cfRule>
    <cfRule type="containsText" dxfId="490" priority="639" stopIfTrue="1" operator="containsText" text="Fairy">
      <formula>NOT(ISERROR(SEARCH("Fairy",B2)))</formula>
    </cfRule>
    <cfRule type="containsText" dxfId="489" priority="640" stopIfTrue="1" operator="containsText" text="Fighting">
      <formula>NOT(ISERROR(SEARCH("Fighting",B2)))</formula>
    </cfRule>
    <cfRule type="containsText" dxfId="488" priority="641" stopIfTrue="1" operator="containsText" text="Flying">
      <formula>NOT(ISERROR(SEARCH("Flying",B2)))</formula>
    </cfRule>
    <cfRule type="containsText" dxfId="487" priority="642" stopIfTrue="1" operator="containsText" text="Grass">
      <formula>NOT(ISERROR(SEARCH("Grass",B2)))</formula>
    </cfRule>
    <cfRule type="containsText" dxfId="486" priority="643" stopIfTrue="1" operator="containsText" text="Ground">
      <formula>NOT(ISERROR(SEARCH("Ground",B2)))</formula>
    </cfRule>
    <cfRule type="containsText" dxfId="485" priority="644" stopIfTrue="1" operator="containsText" text="Ice">
      <formula>NOT(ISERROR(SEARCH("Ice",B2)))</formula>
    </cfRule>
    <cfRule type="containsText" dxfId="484" priority="645" stopIfTrue="1" operator="containsText" text="Poison">
      <formula>NOT(ISERROR(SEARCH("Poison",B2)))</formula>
    </cfRule>
    <cfRule type="containsText" dxfId="483" priority="646" stopIfTrue="1" operator="containsText" text="Rock">
      <formula>NOT(ISERROR(SEARCH("Rock",B2)))</formula>
    </cfRule>
    <cfRule type="containsText" dxfId="482" priority="647" stopIfTrue="1" operator="containsText" text="Steel">
      <formula>NOT(ISERROR(SEARCH("Steel",B2)))</formula>
    </cfRule>
    <cfRule type="containsText" dxfId="481" priority="648" stopIfTrue="1" operator="containsText" text="Water">
      <formula>NOT(ISERROR(SEARCH("Water",B2)))</formula>
    </cfRule>
    <cfRule type="containsText" dxfId="480" priority="649" stopIfTrue="1" operator="containsText" text="Status">
      <formula>NOT(ISERROR(SEARCH("Status",B2)))</formula>
    </cfRule>
    <cfRule type="containsText" dxfId="479" priority="650" stopIfTrue="1" operator="containsText" text="Physical">
      <formula>NOT(ISERROR(SEARCH("Physical",B2)))</formula>
    </cfRule>
    <cfRule type="containsText" dxfId="478" priority="651" stopIfTrue="1" operator="containsText" text="Special">
      <formula>NOT(ISERROR(SEARCH("Special",B2)))</formula>
    </cfRule>
    <cfRule type="containsText" dxfId="477" priority="652" stopIfTrue="1" operator="containsText" text="Ghost">
      <formula>NOT(ISERROR(SEARCH("Ghost",B2)))</formula>
    </cfRule>
    <cfRule type="containsText" dxfId="476" priority="653" stopIfTrue="1" operator="containsText" text="Psychic">
      <formula>NOT(ISERROR(SEARCH("Psychic",B2)))</formula>
    </cfRule>
    <cfRule type="containsText" dxfId="475" priority="654" stopIfTrue="1" operator="containsText" text="Normal">
      <formula>NOT(ISERROR(SEARCH("Normal",B2)))</formula>
    </cfRule>
    <cfRule type="containsText" dxfId="474" priority="655" stopIfTrue="1" operator="containsText" text="Fire">
      <formula>NOT(ISERROR(SEARCH("Fire",B2)))</formula>
    </cfRule>
    <cfRule type="containsText" dxfId="473" priority="656" stopIfTrue="1" operator="containsText" text="Bug">
      <formula>NOT(ISERROR(SEARCH("Bug",B2)))</formula>
    </cfRule>
    <cfRule type="containsText" dxfId="472" priority="657" stopIfTrue="1" operator="containsText" text="Dark">
      <formula>NOT(ISERROR(SEARCH("Dark",B2)))</formula>
    </cfRule>
    <cfRule type="containsText" dxfId="471" priority="658" stopIfTrue="1" operator="containsText" text="Dragon">
      <formula>NOT(ISERROR(SEARCH("Dragon",B2)))</formula>
    </cfRule>
    <cfRule type="containsText" dxfId="470" priority="659" stopIfTrue="1" operator="containsText" text="Electric">
      <formula>NOT(ISERROR(SEARCH("Electric",B2)))</formula>
    </cfRule>
    <cfRule type="containsText" dxfId="469" priority="660" stopIfTrue="1" operator="containsText" text="Fairy">
      <formula>NOT(ISERROR(SEARCH("Fairy",B2)))</formula>
    </cfRule>
    <cfRule type="containsText" dxfId="468" priority="661" stopIfTrue="1" operator="containsText" text="Fighting">
      <formula>NOT(ISERROR(SEARCH("Fighting",B2)))</formula>
    </cfRule>
    <cfRule type="containsText" dxfId="467" priority="662" stopIfTrue="1" operator="containsText" text="Flying">
      <formula>NOT(ISERROR(SEARCH("Flying",B2)))</formula>
    </cfRule>
    <cfRule type="containsText" dxfId="466" priority="663" stopIfTrue="1" operator="containsText" text="Grass">
      <formula>NOT(ISERROR(SEARCH("Grass",B2)))</formula>
    </cfRule>
    <cfRule type="containsText" dxfId="465" priority="664" stopIfTrue="1" operator="containsText" text="Ground">
      <formula>NOT(ISERROR(SEARCH("Ground",B2)))</formula>
    </cfRule>
    <cfRule type="containsText" dxfId="464" priority="665" stopIfTrue="1" operator="containsText" text="Ice">
      <formula>NOT(ISERROR(SEARCH("Ice",B2)))</formula>
    </cfRule>
    <cfRule type="containsText" dxfId="463" priority="666" stopIfTrue="1" operator="containsText" text="Poison">
      <formula>NOT(ISERROR(SEARCH("Poison",B2)))</formula>
    </cfRule>
    <cfRule type="containsText" dxfId="462" priority="667" stopIfTrue="1" operator="containsText" text="Rock">
      <formula>NOT(ISERROR(SEARCH("Rock",B2)))</formula>
    </cfRule>
    <cfRule type="containsText" dxfId="461" priority="668" stopIfTrue="1" operator="containsText" text="Steel">
      <formula>NOT(ISERROR(SEARCH("Steel",B2)))</formula>
    </cfRule>
    <cfRule type="containsText" dxfId="460" priority="669" stopIfTrue="1" operator="containsText" text="Water">
      <formula>NOT(ISERROR(SEARCH("Water",B2)))</formula>
    </cfRule>
    <cfRule type="containsText" dxfId="459" priority="670" stopIfTrue="1" operator="containsText" text="Status">
      <formula>NOT(ISERROR(SEARCH("Status",B2)))</formula>
    </cfRule>
    <cfRule type="containsText" dxfId="458" priority="671" stopIfTrue="1" operator="containsText" text="Physical">
      <formula>NOT(ISERROR(SEARCH("Physical",B2)))</formula>
    </cfRule>
    <cfRule type="containsText" dxfId="457" priority="672" stopIfTrue="1" operator="containsText" text="Special">
      <formula>NOT(ISERROR(SEARCH("Special",B2)))</formula>
    </cfRule>
    <cfRule type="containsText" dxfId="456" priority="673" stopIfTrue="1" operator="containsText" text="Ghost">
      <formula>NOT(ISERROR(SEARCH("Ghost",B2)))</formula>
    </cfRule>
    <cfRule type="containsText" dxfId="455" priority="674" stopIfTrue="1" operator="containsText" text="Psychic">
      <formula>NOT(ISERROR(SEARCH("Psychic",B2)))</formula>
    </cfRule>
    <cfRule type="containsText" dxfId="454" priority="675" stopIfTrue="1" operator="containsText" text="Normal">
      <formula>NOT(ISERROR(SEARCH("Normal",B2)))</formula>
    </cfRule>
    <cfRule type="containsText" dxfId="453" priority="676" stopIfTrue="1" operator="containsText" text="Fire">
      <formula>NOT(ISERROR(SEARCH("Fire",B2)))</formula>
    </cfRule>
    <cfRule type="containsText" dxfId="452" priority="677" stopIfTrue="1" operator="containsText" text="Bug">
      <formula>NOT(ISERROR(SEARCH("Bug",B2)))</formula>
    </cfRule>
    <cfRule type="containsText" dxfId="451" priority="678" stopIfTrue="1" operator="containsText" text="Dark">
      <formula>NOT(ISERROR(SEARCH("Dark",B2)))</formula>
    </cfRule>
    <cfRule type="containsText" dxfId="450" priority="679" stopIfTrue="1" operator="containsText" text="Dragon">
      <formula>NOT(ISERROR(SEARCH("Dragon",B2)))</formula>
    </cfRule>
    <cfRule type="containsText" dxfId="449" priority="680" stopIfTrue="1" operator="containsText" text="Electric">
      <formula>NOT(ISERROR(SEARCH("Electric",B2)))</formula>
    </cfRule>
    <cfRule type="containsText" dxfId="448" priority="681" stopIfTrue="1" operator="containsText" text="Fairy">
      <formula>NOT(ISERROR(SEARCH("Fairy",B2)))</formula>
    </cfRule>
    <cfRule type="containsText" dxfId="447" priority="682" stopIfTrue="1" operator="containsText" text="Fighting">
      <formula>NOT(ISERROR(SEARCH("Fighting",B2)))</formula>
    </cfRule>
    <cfRule type="containsText" dxfId="446" priority="683" stopIfTrue="1" operator="containsText" text="Flying">
      <formula>NOT(ISERROR(SEARCH("Flying",B2)))</formula>
    </cfRule>
    <cfRule type="containsText" dxfId="445" priority="684" stopIfTrue="1" operator="containsText" text="Grass">
      <formula>NOT(ISERROR(SEARCH("Grass",B2)))</formula>
    </cfRule>
    <cfRule type="containsText" dxfId="444" priority="685" stopIfTrue="1" operator="containsText" text="Ground">
      <formula>NOT(ISERROR(SEARCH("Ground",B2)))</formula>
    </cfRule>
    <cfRule type="containsText" dxfId="443" priority="686" stopIfTrue="1" operator="containsText" text="Ice">
      <formula>NOT(ISERROR(SEARCH("Ice",B2)))</formula>
    </cfRule>
    <cfRule type="containsText" dxfId="442" priority="687" stopIfTrue="1" operator="containsText" text="Poison">
      <formula>NOT(ISERROR(SEARCH("Poison",B2)))</formula>
    </cfRule>
    <cfRule type="containsText" dxfId="441" priority="688" stopIfTrue="1" operator="containsText" text="Rock">
      <formula>NOT(ISERROR(SEARCH("Rock",B2)))</formula>
    </cfRule>
    <cfRule type="containsText" dxfId="440" priority="689" stopIfTrue="1" operator="containsText" text="Steel">
      <formula>NOT(ISERROR(SEARCH("Steel",B2)))</formula>
    </cfRule>
    <cfRule type="containsText" dxfId="439" priority="690" stopIfTrue="1" operator="containsText" text="Water">
      <formula>NOT(ISERROR(SEARCH("Water",B2)))</formula>
    </cfRule>
    <cfRule type="containsText" dxfId="438" priority="691" stopIfTrue="1" operator="containsText" text="Status">
      <formula>NOT(ISERROR(SEARCH("Status",B2)))</formula>
    </cfRule>
    <cfRule type="containsText" dxfId="437" priority="692" stopIfTrue="1" operator="containsText" text="Physical">
      <formula>NOT(ISERROR(SEARCH("Physical",B2)))</formula>
    </cfRule>
    <cfRule type="containsText" dxfId="436" priority="693" stopIfTrue="1" operator="containsText" text="Special">
      <formula>NOT(ISERROR(SEARCH("Special",B2)))</formula>
    </cfRule>
    <cfRule type="containsText" dxfId="435" priority="694" stopIfTrue="1" operator="containsText" text="Ghost">
      <formula>NOT(ISERROR(SEARCH("Ghost",B2)))</formula>
    </cfRule>
    <cfRule type="containsText" dxfId="434" priority="695" stopIfTrue="1" operator="containsText" text="Psychic">
      <formula>NOT(ISERROR(SEARCH("Psychic",B2)))</formula>
    </cfRule>
    <cfRule type="containsText" dxfId="433" priority="696" stopIfTrue="1" operator="containsText" text="Normal">
      <formula>NOT(ISERROR(SEARCH("Normal",B2)))</formula>
    </cfRule>
    <cfRule type="containsText" dxfId="432" priority="697" stopIfTrue="1" operator="containsText" text="Fire">
      <formula>NOT(ISERROR(SEARCH("Fire",B2)))</formula>
    </cfRule>
    <cfRule type="containsText" dxfId="431" priority="698" stopIfTrue="1" operator="containsText" text="Bug">
      <formula>NOT(ISERROR(SEARCH("Bug",B2)))</formula>
    </cfRule>
    <cfRule type="containsText" dxfId="430" priority="699" stopIfTrue="1" operator="containsText" text="Dark">
      <formula>NOT(ISERROR(SEARCH("Dark",B2)))</formula>
    </cfRule>
    <cfRule type="containsText" dxfId="429" priority="700" stopIfTrue="1" operator="containsText" text="Dragon">
      <formula>NOT(ISERROR(SEARCH("Dragon",B2)))</formula>
    </cfRule>
    <cfRule type="containsText" dxfId="428" priority="701" stopIfTrue="1" operator="containsText" text="Electric">
      <formula>NOT(ISERROR(SEARCH("Electric",B2)))</formula>
    </cfRule>
    <cfRule type="containsText" dxfId="427" priority="702" stopIfTrue="1" operator="containsText" text="Fairy">
      <formula>NOT(ISERROR(SEARCH("Fairy",B2)))</formula>
    </cfRule>
    <cfRule type="containsText" dxfId="426" priority="703" stopIfTrue="1" operator="containsText" text="Fighting">
      <formula>NOT(ISERROR(SEARCH("Fighting",B2)))</formula>
    </cfRule>
    <cfRule type="containsText" dxfId="425" priority="704" stopIfTrue="1" operator="containsText" text="Flying">
      <formula>NOT(ISERROR(SEARCH("Flying",B2)))</formula>
    </cfRule>
    <cfRule type="containsText" dxfId="424" priority="705" stopIfTrue="1" operator="containsText" text="Grass">
      <formula>NOT(ISERROR(SEARCH("Grass",B2)))</formula>
    </cfRule>
    <cfRule type="containsText" dxfId="423" priority="706" stopIfTrue="1" operator="containsText" text="Ground">
      <formula>NOT(ISERROR(SEARCH("Ground",B2)))</formula>
    </cfRule>
    <cfRule type="containsText" dxfId="422" priority="707" stopIfTrue="1" operator="containsText" text="Ice">
      <formula>NOT(ISERROR(SEARCH("Ice",B2)))</formula>
    </cfRule>
    <cfRule type="containsText" dxfId="421" priority="708" stopIfTrue="1" operator="containsText" text="Poison">
      <formula>NOT(ISERROR(SEARCH("Poison",B2)))</formula>
    </cfRule>
    <cfRule type="containsText" dxfId="420" priority="709" stopIfTrue="1" operator="containsText" text="Rock">
      <formula>NOT(ISERROR(SEARCH("Rock",B2)))</formula>
    </cfRule>
    <cfRule type="containsText" dxfId="419" priority="710" stopIfTrue="1" operator="containsText" text="Steel">
      <formula>NOT(ISERROR(SEARCH("Steel",B2)))</formula>
    </cfRule>
    <cfRule type="containsText" dxfId="418" priority="711" stopIfTrue="1" operator="containsText" text="Water">
      <formula>NOT(ISERROR(SEARCH("Water",B2)))</formula>
    </cfRule>
    <cfRule type="containsText" dxfId="417" priority="712" stopIfTrue="1" operator="containsText" text="Status">
      <formula>NOT(ISERROR(SEARCH("Status",B2)))</formula>
    </cfRule>
    <cfRule type="containsText" dxfId="416" priority="713" stopIfTrue="1" operator="containsText" text="Physical">
      <formula>NOT(ISERROR(SEARCH("Physical",B2)))</formula>
    </cfRule>
    <cfRule type="containsText" dxfId="415" priority="714" stopIfTrue="1" operator="containsText" text="Special">
      <formula>NOT(ISERROR(SEARCH("Special",B2)))</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TypeChartSheet"/>
  <dimension ref="A1:M99"/>
  <sheetViews>
    <sheetView workbookViewId="0">
      <pane xSplit="1" topLeftCell="B1" activePane="topRight" state="frozen"/>
      <selection pane="topRight" activeCell="D4" sqref="D4"/>
    </sheetView>
  </sheetViews>
  <sheetFormatPr defaultColWidth="8.7109375" defaultRowHeight="15"/>
  <cols>
    <col min="2" max="2" width="30.28515625" customWidth="1"/>
    <col min="3" max="3" width="38.5703125" customWidth="1"/>
    <col min="4" max="4" width="12.140625" customWidth="1"/>
    <col min="5" max="5" width="60" bestFit="1" customWidth="1"/>
    <col min="6" max="6" width="26.140625" bestFit="1" customWidth="1"/>
    <col min="7" max="7" width="15.85546875" bestFit="1" customWidth="1"/>
  </cols>
  <sheetData>
    <row r="1" spans="1:7">
      <c r="B1" t="s">
        <v>67</v>
      </c>
      <c r="C1" t="s">
        <v>68</v>
      </c>
      <c r="D1" t="s">
        <v>69</v>
      </c>
      <c r="E1" t="s">
        <v>158</v>
      </c>
      <c r="F1" t="s">
        <v>159</v>
      </c>
      <c r="G1" t="s">
        <v>70</v>
      </c>
    </row>
    <row r="2" spans="1:7">
      <c r="A2" s="3" t="s">
        <v>14</v>
      </c>
      <c r="B2" t="s">
        <v>43</v>
      </c>
      <c r="C2" t="s">
        <v>905</v>
      </c>
      <c r="E2" t="s">
        <v>71</v>
      </c>
      <c r="F2" t="s">
        <v>72</v>
      </c>
    </row>
    <row r="3" spans="1:7">
      <c r="A3" s="3" t="s">
        <v>15</v>
      </c>
      <c r="B3" t="s">
        <v>42</v>
      </c>
      <c r="C3" t="s">
        <v>906</v>
      </c>
      <c r="E3" t="s">
        <v>73</v>
      </c>
      <c r="F3" t="s">
        <v>899</v>
      </c>
      <c r="G3" t="s">
        <v>9</v>
      </c>
    </row>
    <row r="4" spans="1:7">
      <c r="A4" s="3" t="s">
        <v>16</v>
      </c>
      <c r="B4" t="s">
        <v>16</v>
      </c>
      <c r="C4" t="s">
        <v>26</v>
      </c>
      <c r="D4" t="s">
        <v>894</v>
      </c>
      <c r="E4" t="s">
        <v>74</v>
      </c>
      <c r="F4" t="s">
        <v>900</v>
      </c>
    </row>
    <row r="5" spans="1:7">
      <c r="A5" s="3" t="s">
        <v>17</v>
      </c>
      <c r="B5" t="s">
        <v>44</v>
      </c>
      <c r="C5" t="s">
        <v>45</v>
      </c>
      <c r="D5" t="s">
        <v>22</v>
      </c>
      <c r="E5" t="s">
        <v>75</v>
      </c>
      <c r="F5" t="s">
        <v>22</v>
      </c>
    </row>
    <row r="6" spans="1:7">
      <c r="A6" s="3" t="s">
        <v>894</v>
      </c>
      <c r="B6" t="s">
        <v>895</v>
      </c>
      <c r="C6" t="s">
        <v>896</v>
      </c>
      <c r="E6" t="s">
        <v>897</v>
      </c>
      <c r="F6" t="s">
        <v>898</v>
      </c>
      <c r="G6" t="s">
        <v>16</v>
      </c>
    </row>
    <row r="7" spans="1:7">
      <c r="A7" s="3" t="s">
        <v>18</v>
      </c>
      <c r="B7" t="s">
        <v>90</v>
      </c>
      <c r="C7" t="s">
        <v>907</v>
      </c>
      <c r="D7" t="s">
        <v>10</v>
      </c>
      <c r="E7" t="s">
        <v>76</v>
      </c>
      <c r="F7" t="s">
        <v>901</v>
      </c>
    </row>
    <row r="8" spans="1:7">
      <c r="A8" s="3" t="s">
        <v>19</v>
      </c>
      <c r="B8" t="s">
        <v>46</v>
      </c>
      <c r="C8" t="s">
        <v>47</v>
      </c>
      <c r="E8" t="s">
        <v>902</v>
      </c>
      <c r="F8" t="s">
        <v>51</v>
      </c>
    </row>
    <row r="9" spans="1:7">
      <c r="A9" s="3" t="s">
        <v>20</v>
      </c>
      <c r="B9" t="s">
        <v>48</v>
      </c>
      <c r="C9" t="s">
        <v>49</v>
      </c>
      <c r="E9" t="s">
        <v>48</v>
      </c>
      <c r="F9" t="s">
        <v>77</v>
      </c>
      <c r="G9" t="s">
        <v>22</v>
      </c>
    </row>
    <row r="10" spans="1:7">
      <c r="A10" s="3" t="s">
        <v>10</v>
      </c>
      <c r="B10" t="s">
        <v>42</v>
      </c>
      <c r="C10" t="s">
        <v>50</v>
      </c>
      <c r="D10" t="s">
        <v>24</v>
      </c>
      <c r="E10" t="s">
        <v>78</v>
      </c>
      <c r="F10" t="s">
        <v>73</v>
      </c>
      <c r="G10" t="s">
        <v>79</v>
      </c>
    </row>
    <row r="11" spans="1:7">
      <c r="A11" s="3" t="s">
        <v>21</v>
      </c>
      <c r="B11" t="s">
        <v>51</v>
      </c>
      <c r="C11" t="s">
        <v>52</v>
      </c>
      <c r="E11" t="s">
        <v>80</v>
      </c>
      <c r="F11" t="s">
        <v>81</v>
      </c>
    </row>
    <row r="12" spans="1:7">
      <c r="A12" s="3" t="s">
        <v>22</v>
      </c>
      <c r="B12" t="s">
        <v>129</v>
      </c>
      <c r="C12" t="s">
        <v>53</v>
      </c>
      <c r="D12" t="s">
        <v>20</v>
      </c>
      <c r="E12" t="s">
        <v>82</v>
      </c>
      <c r="F12" t="s">
        <v>83</v>
      </c>
      <c r="G12" t="s">
        <v>17</v>
      </c>
    </row>
    <row r="13" spans="1:7">
      <c r="A13" s="3" t="s">
        <v>23</v>
      </c>
      <c r="B13" t="s">
        <v>54</v>
      </c>
      <c r="C13" t="s">
        <v>55</v>
      </c>
      <c r="E13" t="s">
        <v>23</v>
      </c>
      <c r="F13" t="s">
        <v>84</v>
      </c>
    </row>
    <row r="14" spans="1:7">
      <c r="A14" s="3" t="s">
        <v>24</v>
      </c>
      <c r="C14" t="s">
        <v>56</v>
      </c>
      <c r="D14" t="s">
        <v>10</v>
      </c>
      <c r="F14" t="s">
        <v>18</v>
      </c>
      <c r="G14" t="s">
        <v>10</v>
      </c>
    </row>
    <row r="15" spans="1:7">
      <c r="A15" s="3" t="s">
        <v>11</v>
      </c>
      <c r="B15" t="s">
        <v>908</v>
      </c>
      <c r="C15" t="s">
        <v>57</v>
      </c>
      <c r="D15" t="s">
        <v>26</v>
      </c>
      <c r="E15" t="s">
        <v>903</v>
      </c>
      <c r="F15" t="s">
        <v>85</v>
      </c>
    </row>
    <row r="16" spans="1:7">
      <c r="A16" s="3" t="s">
        <v>9</v>
      </c>
      <c r="B16" t="s">
        <v>58</v>
      </c>
      <c r="C16" t="s">
        <v>59</v>
      </c>
      <c r="D16" t="s">
        <v>15</v>
      </c>
      <c r="E16" t="s">
        <v>86</v>
      </c>
      <c r="F16" t="s">
        <v>87</v>
      </c>
    </row>
    <row r="17" spans="1:12">
      <c r="A17" s="3" t="s">
        <v>25</v>
      </c>
      <c r="B17" t="s">
        <v>60</v>
      </c>
      <c r="C17" t="s">
        <v>61</v>
      </c>
      <c r="E17" t="s">
        <v>88</v>
      </c>
      <c r="F17" t="s">
        <v>89</v>
      </c>
    </row>
    <row r="18" spans="1:12">
      <c r="A18" s="3" t="s">
        <v>26</v>
      </c>
      <c r="B18" t="s">
        <v>909</v>
      </c>
      <c r="C18" t="s">
        <v>62</v>
      </c>
      <c r="E18" t="s">
        <v>904</v>
      </c>
      <c r="F18" t="s">
        <v>91</v>
      </c>
      <c r="G18" t="s">
        <v>11</v>
      </c>
    </row>
    <row r="19" spans="1:12">
      <c r="A19" s="3" t="s">
        <v>27</v>
      </c>
      <c r="B19" t="s">
        <v>63</v>
      </c>
      <c r="C19" t="s">
        <v>64</v>
      </c>
      <c r="E19" t="s">
        <v>55</v>
      </c>
      <c r="F19" t="s">
        <v>92</v>
      </c>
    </row>
    <row r="20" spans="1:12">
      <c r="A20" s="16" t="s">
        <v>93</v>
      </c>
    </row>
    <row r="21" spans="1:12" ht="15" customHeight="1">
      <c r="B21" t="s">
        <v>1059</v>
      </c>
      <c r="G21" s="4"/>
    </row>
    <row r="22" spans="1:12">
      <c r="A22" s="3" t="s">
        <v>14</v>
      </c>
      <c r="B22" t="s">
        <v>15</v>
      </c>
      <c r="C22" s="37" t="s">
        <v>21</v>
      </c>
      <c r="D22" s="37" t="s">
        <v>9</v>
      </c>
      <c r="E22" s="37" t="s">
        <v>161</v>
      </c>
      <c r="F22" s="37" t="s">
        <v>161</v>
      </c>
      <c r="G22" s="37" t="s">
        <v>161</v>
      </c>
      <c r="H22" s="37" t="s">
        <v>161</v>
      </c>
      <c r="I22" s="37" t="s">
        <v>161</v>
      </c>
      <c r="J22" s="37" t="s">
        <v>161</v>
      </c>
      <c r="K22" s="37" t="s">
        <v>161</v>
      </c>
      <c r="L22" s="37" t="s">
        <v>161</v>
      </c>
    </row>
    <row r="23" spans="1:12">
      <c r="A23" s="3" t="s">
        <v>15</v>
      </c>
      <c r="B23" t="s">
        <v>10</v>
      </c>
      <c r="C23" s="37" t="s">
        <v>9</v>
      </c>
      <c r="D23" s="37" t="s">
        <v>161</v>
      </c>
      <c r="E23" s="37" t="s">
        <v>161</v>
      </c>
      <c r="F23" s="37" t="s">
        <v>161</v>
      </c>
      <c r="G23" s="37" t="s">
        <v>161</v>
      </c>
      <c r="H23" s="37" t="s">
        <v>161</v>
      </c>
      <c r="I23" s="37" t="s">
        <v>161</v>
      </c>
      <c r="J23" s="37" t="s">
        <v>161</v>
      </c>
      <c r="K23" s="37" t="s">
        <v>161</v>
      </c>
      <c r="L23" s="37" t="s">
        <v>161</v>
      </c>
    </row>
    <row r="24" spans="1:12">
      <c r="A24" s="3" t="s">
        <v>16</v>
      </c>
      <c r="B24" t="s">
        <v>16</v>
      </c>
      <c r="C24" s="37" t="s">
        <v>161</v>
      </c>
      <c r="D24" s="37" t="s">
        <v>161</v>
      </c>
      <c r="E24" s="37" t="s">
        <v>161</v>
      </c>
      <c r="F24" s="37" t="s">
        <v>161</v>
      </c>
      <c r="G24" s="37" t="s">
        <v>161</v>
      </c>
      <c r="H24" s="37" t="s">
        <v>161</v>
      </c>
      <c r="I24" s="37" t="s">
        <v>161</v>
      </c>
      <c r="J24" s="37" t="s">
        <v>161</v>
      </c>
      <c r="K24" s="37" t="s">
        <v>161</v>
      </c>
      <c r="L24" s="37" t="s">
        <v>161</v>
      </c>
    </row>
    <row r="25" spans="1:12">
      <c r="A25" s="3" t="s">
        <v>17</v>
      </c>
      <c r="B25" t="s">
        <v>20</v>
      </c>
      <c r="C25" s="37" t="s">
        <v>27</v>
      </c>
      <c r="D25" s="37" t="s">
        <v>161</v>
      </c>
      <c r="E25" s="37" t="s">
        <v>161</v>
      </c>
      <c r="F25" s="37" t="s">
        <v>161</v>
      </c>
      <c r="G25" s="37" t="s">
        <v>161</v>
      </c>
      <c r="H25" s="37" t="s">
        <v>161</v>
      </c>
      <c r="I25" s="37" t="s">
        <v>161</v>
      </c>
      <c r="J25" s="37" t="s">
        <v>161</v>
      </c>
      <c r="K25" s="37" t="s">
        <v>161</v>
      </c>
      <c r="L25" s="37" t="s">
        <v>161</v>
      </c>
    </row>
    <row r="26" spans="1:12">
      <c r="A26" s="3" t="s">
        <v>894</v>
      </c>
      <c r="B26" s="37" t="s">
        <v>15</v>
      </c>
      <c r="C26" s="37" t="s">
        <v>16</v>
      </c>
      <c r="D26" s="37" t="s">
        <v>18</v>
      </c>
      <c r="E26" s="37" t="s">
        <v>161</v>
      </c>
      <c r="F26" s="37" t="s">
        <v>161</v>
      </c>
      <c r="G26" s="37" t="s">
        <v>161</v>
      </c>
      <c r="H26" s="37" t="s">
        <v>161</v>
      </c>
      <c r="I26" s="37" t="s">
        <v>161</v>
      </c>
      <c r="J26" s="37" t="s">
        <v>161</v>
      </c>
      <c r="K26" s="37" t="s">
        <v>161</v>
      </c>
      <c r="L26" s="37" t="s">
        <v>161</v>
      </c>
    </row>
    <row r="27" spans="1:12">
      <c r="A27" s="3" t="s">
        <v>18</v>
      </c>
      <c r="B27" t="s">
        <v>15</v>
      </c>
      <c r="C27" s="37" t="s">
        <v>23</v>
      </c>
      <c r="D27" s="37" t="s">
        <v>24</v>
      </c>
      <c r="E27" s="37" t="s">
        <v>25</v>
      </c>
      <c r="F27" s="37" t="s">
        <v>26</v>
      </c>
      <c r="G27" s="37" t="s">
        <v>161</v>
      </c>
      <c r="H27" s="37" t="s">
        <v>161</v>
      </c>
      <c r="I27" s="37" t="s">
        <v>161</v>
      </c>
      <c r="J27" s="37" t="s">
        <v>161</v>
      </c>
      <c r="K27" s="37" t="s">
        <v>161</v>
      </c>
      <c r="L27" s="37" t="s">
        <v>161</v>
      </c>
    </row>
    <row r="28" spans="1:12">
      <c r="A28" s="3" t="s">
        <v>19</v>
      </c>
      <c r="B28" t="s">
        <v>14</v>
      </c>
      <c r="C28" s="37" t="s">
        <v>21</v>
      </c>
      <c r="D28" s="37" t="s">
        <v>23</v>
      </c>
      <c r="E28" s="37" t="s">
        <v>26</v>
      </c>
      <c r="F28" s="37" t="s">
        <v>161</v>
      </c>
      <c r="G28" s="37" t="s">
        <v>161</v>
      </c>
      <c r="H28" s="37" t="s">
        <v>161</v>
      </c>
      <c r="I28" s="37" t="s">
        <v>161</v>
      </c>
      <c r="J28" s="37" t="s">
        <v>161</v>
      </c>
      <c r="K28" s="37" t="s">
        <v>161</v>
      </c>
      <c r="L28" s="37" t="s">
        <v>161</v>
      </c>
    </row>
    <row r="29" spans="1:12">
      <c r="A29" s="3" t="s">
        <v>20</v>
      </c>
      <c r="B29" t="s">
        <v>14</v>
      </c>
      <c r="C29" s="37" t="s">
        <v>18</v>
      </c>
      <c r="D29" s="37" t="s">
        <v>21</v>
      </c>
      <c r="E29" s="37" t="s">
        <v>161</v>
      </c>
      <c r="F29" s="37" t="s">
        <v>161</v>
      </c>
      <c r="G29" s="37" t="s">
        <v>161</v>
      </c>
      <c r="H29" s="37" t="s">
        <v>161</v>
      </c>
      <c r="I29" s="37" t="s">
        <v>161</v>
      </c>
      <c r="J29" s="37" t="s">
        <v>161</v>
      </c>
      <c r="K29" s="37" t="s">
        <v>161</v>
      </c>
      <c r="L29" s="37" t="s">
        <v>161</v>
      </c>
    </row>
    <row r="30" spans="1:12">
      <c r="A30" s="3" t="s">
        <v>10</v>
      </c>
      <c r="B30" t="s">
        <v>10</v>
      </c>
      <c r="C30" s="37" t="s">
        <v>9</v>
      </c>
      <c r="D30" s="37" t="s">
        <v>161</v>
      </c>
      <c r="E30" s="37" t="s">
        <v>161</v>
      </c>
      <c r="F30" s="37" t="s">
        <v>161</v>
      </c>
      <c r="G30" s="37" t="s">
        <v>161</v>
      </c>
      <c r="H30" s="37" t="s">
        <v>161</v>
      </c>
      <c r="I30" s="37" t="s">
        <v>161</v>
      </c>
      <c r="J30" s="37" t="s">
        <v>161</v>
      </c>
      <c r="K30" s="37" t="s">
        <v>161</v>
      </c>
      <c r="L30" s="37" t="s">
        <v>161</v>
      </c>
    </row>
    <row r="31" spans="1:12">
      <c r="A31" s="3" t="s">
        <v>21</v>
      </c>
      <c r="B31" t="s">
        <v>22</v>
      </c>
      <c r="C31" s="37" t="s">
        <v>25</v>
      </c>
      <c r="D31" s="37" t="s">
        <v>27</v>
      </c>
      <c r="E31" s="37" t="s">
        <v>161</v>
      </c>
      <c r="F31" s="37" t="s">
        <v>161</v>
      </c>
      <c r="G31" s="37" t="s">
        <v>161</v>
      </c>
      <c r="H31" s="37" t="s">
        <v>161</v>
      </c>
      <c r="I31" s="37" t="s">
        <v>161</v>
      </c>
      <c r="J31" s="37" t="s">
        <v>161</v>
      </c>
      <c r="K31" s="37" t="s">
        <v>161</v>
      </c>
      <c r="L31" s="37" t="s">
        <v>161</v>
      </c>
    </row>
    <row r="32" spans="1:12">
      <c r="A32" s="3" t="s">
        <v>22</v>
      </c>
      <c r="B32" t="s">
        <v>17</v>
      </c>
      <c r="C32" s="37" t="s">
        <v>19</v>
      </c>
      <c r="D32" s="37" t="s">
        <v>11</v>
      </c>
      <c r="E32" s="37" t="s">
        <v>25</v>
      </c>
      <c r="F32" s="37" t="s">
        <v>26</v>
      </c>
      <c r="G32" s="37" t="s">
        <v>161</v>
      </c>
      <c r="H32" s="37" t="s">
        <v>161</v>
      </c>
      <c r="I32" s="37" t="s">
        <v>161</v>
      </c>
      <c r="J32" s="37" t="s">
        <v>161</v>
      </c>
      <c r="K32" s="37" t="s">
        <v>161</v>
      </c>
      <c r="L32" s="37" t="s">
        <v>161</v>
      </c>
    </row>
    <row r="33" spans="1:12">
      <c r="A33" s="3" t="s">
        <v>23</v>
      </c>
      <c r="B33" t="s">
        <v>16</v>
      </c>
      <c r="C33" s="37" t="s">
        <v>20</v>
      </c>
      <c r="D33" s="37" t="s">
        <v>21</v>
      </c>
      <c r="E33" s="37" t="s">
        <v>22</v>
      </c>
      <c r="F33" s="37" t="s">
        <v>161</v>
      </c>
      <c r="G33" s="37" t="s">
        <v>161</v>
      </c>
      <c r="H33" s="37" t="s">
        <v>161</v>
      </c>
      <c r="I33" s="37" t="s">
        <v>161</v>
      </c>
      <c r="J33" s="37" t="s">
        <v>161</v>
      </c>
      <c r="K33" s="37" t="s">
        <v>161</v>
      </c>
      <c r="L33" s="37" t="s">
        <v>161</v>
      </c>
    </row>
    <row r="34" spans="1:12">
      <c r="A34" s="3" t="s">
        <v>24</v>
      </c>
      <c r="B34" s="37" t="s">
        <v>161</v>
      </c>
      <c r="C34" s="37" t="s">
        <v>161</v>
      </c>
      <c r="D34" s="37" t="s">
        <v>161</v>
      </c>
      <c r="E34" s="37" t="s">
        <v>161</v>
      </c>
      <c r="F34" s="37" t="s">
        <v>161</v>
      </c>
      <c r="G34" s="37" t="s">
        <v>161</v>
      </c>
      <c r="H34" s="37" t="s">
        <v>161</v>
      </c>
      <c r="I34" s="37" t="s">
        <v>161</v>
      </c>
      <c r="J34" s="37" t="s">
        <v>161</v>
      </c>
      <c r="K34" s="37" t="s">
        <v>161</v>
      </c>
      <c r="L34" s="37" t="s">
        <v>161</v>
      </c>
    </row>
    <row r="35" spans="1:12">
      <c r="A35" s="3" t="s">
        <v>11</v>
      </c>
      <c r="B35" s="63" t="s">
        <v>894</v>
      </c>
      <c r="C35" t="s">
        <v>21</v>
      </c>
      <c r="D35" s="37" t="s">
        <v>161</v>
      </c>
      <c r="E35" s="37" t="s">
        <v>161</v>
      </c>
      <c r="F35" s="37" t="s">
        <v>161</v>
      </c>
      <c r="G35" s="37" t="s">
        <v>161</v>
      </c>
      <c r="H35" s="37" t="s">
        <v>161</v>
      </c>
      <c r="I35" s="37" t="s">
        <v>161</v>
      </c>
      <c r="J35" s="37" t="s">
        <v>161</v>
      </c>
      <c r="K35" s="37" t="s">
        <v>161</v>
      </c>
      <c r="L35" s="37" t="s">
        <v>161</v>
      </c>
    </row>
    <row r="36" spans="1:12">
      <c r="A36" s="3" t="s">
        <v>9</v>
      </c>
      <c r="B36" t="s">
        <v>18</v>
      </c>
      <c r="C36" s="37" t="s">
        <v>11</v>
      </c>
      <c r="D36" s="37" t="s">
        <v>161</v>
      </c>
      <c r="E36" s="37" t="s">
        <v>161</v>
      </c>
      <c r="F36" s="37" t="s">
        <v>161</v>
      </c>
      <c r="G36" s="37" t="s">
        <v>161</v>
      </c>
      <c r="H36" s="37" t="s">
        <v>161</v>
      </c>
      <c r="I36" s="37" t="s">
        <v>161</v>
      </c>
      <c r="J36" s="37" t="s">
        <v>161</v>
      </c>
      <c r="K36" s="37" t="s">
        <v>161</v>
      </c>
      <c r="L36" s="37" t="s">
        <v>161</v>
      </c>
    </row>
    <row r="37" spans="1:12">
      <c r="A37" s="3" t="s">
        <v>25</v>
      </c>
      <c r="B37" t="s">
        <v>14</v>
      </c>
      <c r="C37" s="37" t="s">
        <v>19</v>
      </c>
      <c r="D37" s="37" t="s">
        <v>20</v>
      </c>
      <c r="E37" s="37" t="s">
        <v>23</v>
      </c>
      <c r="F37" s="37" t="s">
        <v>161</v>
      </c>
      <c r="G37" s="37" t="s">
        <v>161</v>
      </c>
      <c r="H37" s="37" t="s">
        <v>161</v>
      </c>
      <c r="I37" s="37" t="s">
        <v>161</v>
      </c>
      <c r="J37" s="37" t="s">
        <v>161</v>
      </c>
      <c r="K37" s="37" t="s">
        <v>161</v>
      </c>
      <c r="L37" s="37" t="s">
        <v>161</v>
      </c>
    </row>
    <row r="38" spans="1:12">
      <c r="A38" s="3" t="s">
        <v>26</v>
      </c>
      <c r="B38" s="63" t="s">
        <v>894</v>
      </c>
      <c r="C38" t="s">
        <v>23</v>
      </c>
      <c r="D38" s="37" t="s">
        <v>25</v>
      </c>
      <c r="E38" s="37" t="s">
        <v>161</v>
      </c>
      <c r="F38" s="37" t="s">
        <v>161</v>
      </c>
      <c r="G38" s="37" t="s">
        <v>161</v>
      </c>
      <c r="H38" s="37" t="s">
        <v>161</v>
      </c>
      <c r="I38" s="37" t="s">
        <v>161</v>
      </c>
      <c r="J38" s="37" t="s">
        <v>161</v>
      </c>
      <c r="K38" s="37" t="s">
        <v>161</v>
      </c>
      <c r="L38" s="37" t="s">
        <v>161</v>
      </c>
    </row>
    <row r="39" spans="1:12">
      <c r="A39" s="3" t="s">
        <v>27</v>
      </c>
      <c r="B39" t="s">
        <v>19</v>
      </c>
      <c r="C39" s="37" t="s">
        <v>22</v>
      </c>
      <c r="D39" s="37" t="s">
        <v>25</v>
      </c>
      <c r="E39" s="37" t="s">
        <v>161</v>
      </c>
      <c r="F39" s="37" t="s">
        <v>161</v>
      </c>
      <c r="G39" s="37" t="s">
        <v>161</v>
      </c>
      <c r="H39" s="37" t="s">
        <v>161</v>
      </c>
      <c r="I39" s="37" t="s">
        <v>161</v>
      </c>
      <c r="J39" s="37" t="s">
        <v>161</v>
      </c>
      <c r="K39" s="37" t="s">
        <v>161</v>
      </c>
      <c r="L39" s="37" t="s">
        <v>161</v>
      </c>
    </row>
    <row r="40" spans="1:12">
      <c r="A40" s="49"/>
      <c r="C40" s="37"/>
      <c r="D40" s="37"/>
      <c r="E40" s="37"/>
      <c r="F40" s="37"/>
      <c r="G40" s="37"/>
      <c r="H40" s="37"/>
      <c r="I40" s="37"/>
      <c r="J40" s="37"/>
      <c r="K40" s="37"/>
    </row>
    <row r="41" spans="1:12">
      <c r="B41" t="s">
        <v>1058</v>
      </c>
    </row>
    <row r="42" spans="1:12">
      <c r="A42" s="3" t="s">
        <v>14</v>
      </c>
      <c r="B42" t="s">
        <v>19</v>
      </c>
      <c r="C42" t="s">
        <v>20</v>
      </c>
      <c r="D42" t="s">
        <v>25</v>
      </c>
      <c r="E42" s="37" t="s">
        <v>161</v>
      </c>
      <c r="F42" s="37" t="s">
        <v>161</v>
      </c>
      <c r="G42" s="37" t="s">
        <v>161</v>
      </c>
      <c r="H42" s="37" t="s">
        <v>161</v>
      </c>
      <c r="I42" s="37" t="s">
        <v>161</v>
      </c>
      <c r="J42" s="37" t="s">
        <v>161</v>
      </c>
      <c r="K42" s="37" t="s">
        <v>161</v>
      </c>
      <c r="L42" s="37" t="s">
        <v>161</v>
      </c>
    </row>
    <row r="43" spans="1:12">
      <c r="A43" s="3" t="s">
        <v>15</v>
      </c>
      <c r="B43" t="s">
        <v>14</v>
      </c>
      <c r="C43" s="63" t="s">
        <v>894</v>
      </c>
      <c r="D43" s="29" t="s">
        <v>18</v>
      </c>
      <c r="E43" s="37" t="s">
        <v>161</v>
      </c>
      <c r="F43" s="37" t="s">
        <v>161</v>
      </c>
      <c r="G43" s="37" t="s">
        <v>161</v>
      </c>
      <c r="H43" s="37" t="s">
        <v>161</v>
      </c>
      <c r="I43" s="37" t="s">
        <v>161</v>
      </c>
      <c r="J43" s="37" t="s">
        <v>161</v>
      </c>
      <c r="K43" s="37" t="s">
        <v>161</v>
      </c>
      <c r="L43" s="37" t="s">
        <v>161</v>
      </c>
    </row>
    <row r="44" spans="1:12">
      <c r="A44" s="3" t="s">
        <v>16</v>
      </c>
      <c r="B44" t="s">
        <v>16</v>
      </c>
      <c r="C44" s="63" t="s">
        <v>894</v>
      </c>
      <c r="D44" t="s">
        <v>23</v>
      </c>
      <c r="E44" s="37" t="s">
        <v>161</v>
      </c>
      <c r="F44" s="37" t="s">
        <v>161</v>
      </c>
      <c r="G44" s="37" t="s">
        <v>161</v>
      </c>
      <c r="H44" s="37" t="s">
        <v>161</v>
      </c>
      <c r="I44" s="37" t="s">
        <v>161</v>
      </c>
      <c r="J44" s="37" t="s">
        <v>161</v>
      </c>
      <c r="K44" s="37" t="s">
        <v>161</v>
      </c>
      <c r="L44" s="37" t="s">
        <v>161</v>
      </c>
    </row>
    <row r="45" spans="1:12">
      <c r="A45" s="3" t="s">
        <v>17</v>
      </c>
      <c r="B45" t="s">
        <v>22</v>
      </c>
      <c r="C45" s="37" t="s">
        <v>161</v>
      </c>
      <c r="D45" s="37" t="s">
        <v>161</v>
      </c>
      <c r="E45" s="37" t="s">
        <v>161</v>
      </c>
      <c r="F45" s="37" t="s">
        <v>161</v>
      </c>
      <c r="G45" s="37" t="s">
        <v>161</v>
      </c>
      <c r="H45" s="37" t="s">
        <v>161</v>
      </c>
      <c r="I45" s="37" t="s">
        <v>161</v>
      </c>
      <c r="J45" s="37" t="s">
        <v>161</v>
      </c>
      <c r="K45" s="37" t="s">
        <v>161</v>
      </c>
      <c r="L45" s="37" t="s">
        <v>161</v>
      </c>
    </row>
    <row r="46" spans="1:12">
      <c r="A46" s="3" t="s">
        <v>894</v>
      </c>
      <c r="B46" s="37" t="s">
        <v>11</v>
      </c>
      <c r="C46" s="37" t="s">
        <v>26</v>
      </c>
      <c r="D46" s="37" t="s">
        <v>161</v>
      </c>
      <c r="E46" s="37" t="s">
        <v>161</v>
      </c>
      <c r="F46" s="37" t="s">
        <v>161</v>
      </c>
      <c r="G46" s="37" t="s">
        <v>161</v>
      </c>
      <c r="H46" s="37" t="s">
        <v>161</v>
      </c>
      <c r="I46" s="37" t="s">
        <v>161</v>
      </c>
      <c r="J46" s="37" t="s">
        <v>161</v>
      </c>
      <c r="K46" s="37" t="s">
        <v>161</v>
      </c>
      <c r="L46" s="37" t="s">
        <v>161</v>
      </c>
    </row>
    <row r="47" spans="1:12">
      <c r="A47" s="3" t="s">
        <v>18</v>
      </c>
      <c r="B47" s="63" t="s">
        <v>894</v>
      </c>
      <c r="C47" t="s">
        <v>20</v>
      </c>
      <c r="D47" t="s">
        <v>9</v>
      </c>
      <c r="E47" s="37" t="s">
        <v>161</v>
      </c>
      <c r="F47" s="37" t="s">
        <v>161</v>
      </c>
      <c r="G47" s="37" t="s">
        <v>161</v>
      </c>
      <c r="H47" s="37" t="s">
        <v>161</v>
      </c>
      <c r="I47" s="37" t="s">
        <v>161</v>
      </c>
      <c r="J47" s="37" t="s">
        <v>161</v>
      </c>
      <c r="K47" s="37" t="s">
        <v>161</v>
      </c>
      <c r="L47" s="37" t="s">
        <v>161</v>
      </c>
    </row>
    <row r="48" spans="1:12">
      <c r="A48" s="3" t="s">
        <v>19</v>
      </c>
      <c r="B48" t="s">
        <v>22</v>
      </c>
      <c r="C48" t="s">
        <v>25</v>
      </c>
      <c r="D48" t="s">
        <v>27</v>
      </c>
      <c r="E48" s="37" t="s">
        <v>161</v>
      </c>
      <c r="F48" s="37" t="s">
        <v>161</v>
      </c>
      <c r="G48" s="37" t="s">
        <v>161</v>
      </c>
      <c r="H48" s="37" t="s">
        <v>161</v>
      </c>
      <c r="I48" s="37" t="s">
        <v>161</v>
      </c>
      <c r="J48" s="37" t="s">
        <v>161</v>
      </c>
      <c r="K48" s="37" t="s">
        <v>161</v>
      </c>
      <c r="L48" s="37" t="s">
        <v>161</v>
      </c>
    </row>
    <row r="49" spans="1:12">
      <c r="A49" s="3" t="s">
        <v>20</v>
      </c>
      <c r="B49" t="s">
        <v>17</v>
      </c>
      <c r="C49" t="s">
        <v>23</v>
      </c>
      <c r="D49" t="s">
        <v>25</v>
      </c>
      <c r="E49" s="37" t="s">
        <v>161</v>
      </c>
      <c r="F49" s="37" t="s">
        <v>161</v>
      </c>
      <c r="G49" s="37" t="s">
        <v>161</v>
      </c>
      <c r="H49" s="37" t="s">
        <v>161</v>
      </c>
      <c r="I49" s="37" t="s">
        <v>161</v>
      </c>
      <c r="J49" s="37" t="s">
        <v>161</v>
      </c>
      <c r="K49" s="37" t="s">
        <v>161</v>
      </c>
      <c r="L49" s="37" t="s">
        <v>161</v>
      </c>
    </row>
    <row r="50" spans="1:12">
      <c r="A50" s="3" t="s">
        <v>10</v>
      </c>
      <c r="B50" t="s">
        <v>15</v>
      </c>
      <c r="C50" t="s">
        <v>10</v>
      </c>
      <c r="D50" s="37" t="s">
        <v>161</v>
      </c>
      <c r="E50" s="37" t="s">
        <v>161</v>
      </c>
      <c r="F50" s="37" t="s">
        <v>161</v>
      </c>
      <c r="G50" s="37" t="s">
        <v>161</v>
      </c>
      <c r="H50" s="37" t="s">
        <v>161</v>
      </c>
      <c r="I50" s="37" t="s">
        <v>161</v>
      </c>
      <c r="J50" s="37" t="s">
        <v>161</v>
      </c>
      <c r="K50" s="37" t="s">
        <v>161</v>
      </c>
      <c r="L50" s="37" t="s">
        <v>161</v>
      </c>
    </row>
    <row r="51" spans="1:12">
      <c r="A51" s="3" t="s">
        <v>21</v>
      </c>
      <c r="B51" t="s">
        <v>14</v>
      </c>
      <c r="C51" t="s">
        <v>19</v>
      </c>
      <c r="D51" t="s">
        <v>20</v>
      </c>
      <c r="E51" t="s">
        <v>23</v>
      </c>
      <c r="F51" t="s">
        <v>11</v>
      </c>
      <c r="G51" s="37" t="s">
        <v>161</v>
      </c>
      <c r="H51" s="37" t="s">
        <v>161</v>
      </c>
      <c r="I51" s="37" t="s">
        <v>161</v>
      </c>
      <c r="J51" s="37" t="s">
        <v>161</v>
      </c>
      <c r="K51" s="37" t="s">
        <v>161</v>
      </c>
      <c r="L51" s="37" t="s">
        <v>161</v>
      </c>
    </row>
    <row r="52" spans="1:12">
      <c r="A52" s="3" t="s">
        <v>22</v>
      </c>
      <c r="B52" t="s">
        <v>21</v>
      </c>
      <c r="C52" t="s">
        <v>23</v>
      </c>
      <c r="D52" t="s">
        <v>27</v>
      </c>
      <c r="E52" s="37" t="s">
        <v>161</v>
      </c>
      <c r="F52" s="37" t="s">
        <v>161</v>
      </c>
      <c r="G52" s="37" t="s">
        <v>161</v>
      </c>
      <c r="H52" s="37" t="s">
        <v>161</v>
      </c>
      <c r="I52" s="37" t="s">
        <v>161</v>
      </c>
      <c r="J52" s="37" t="s">
        <v>161</v>
      </c>
      <c r="K52" s="37" t="s">
        <v>161</v>
      </c>
      <c r="L52" s="37" t="s">
        <v>161</v>
      </c>
    </row>
    <row r="53" spans="1:12">
      <c r="A53" s="3" t="s">
        <v>23</v>
      </c>
      <c r="B53" t="s">
        <v>18</v>
      </c>
      <c r="C53" t="s">
        <v>19</v>
      </c>
      <c r="D53" t="s">
        <v>25</v>
      </c>
      <c r="E53" t="s">
        <v>26</v>
      </c>
      <c r="F53" s="37" t="s">
        <v>161</v>
      </c>
      <c r="G53" s="37" t="s">
        <v>161</v>
      </c>
      <c r="H53" s="37" t="s">
        <v>161</v>
      </c>
      <c r="I53" s="37" t="s">
        <v>161</v>
      </c>
      <c r="J53" s="37" t="s">
        <v>161</v>
      </c>
      <c r="K53" s="37" t="s">
        <v>161</v>
      </c>
      <c r="L53" s="37" t="s">
        <v>161</v>
      </c>
    </row>
    <row r="54" spans="1:12">
      <c r="A54" s="3" t="s">
        <v>24</v>
      </c>
      <c r="B54" t="s">
        <v>18</v>
      </c>
      <c r="C54" s="37" t="s">
        <v>161</v>
      </c>
      <c r="D54" s="37" t="s">
        <v>161</v>
      </c>
      <c r="E54" s="37" t="s">
        <v>161</v>
      </c>
      <c r="F54" s="37" t="s">
        <v>161</v>
      </c>
      <c r="G54" s="37" t="s">
        <v>161</v>
      </c>
      <c r="H54" s="37" t="s">
        <v>161</v>
      </c>
      <c r="I54" s="37" t="s">
        <v>161</v>
      </c>
      <c r="J54" s="37" t="s">
        <v>161</v>
      </c>
      <c r="K54" s="37" t="s">
        <v>161</v>
      </c>
      <c r="L54" s="37" t="s">
        <v>161</v>
      </c>
    </row>
    <row r="55" spans="1:12">
      <c r="A55" s="3" t="s">
        <v>11</v>
      </c>
      <c r="B55" t="s">
        <v>22</v>
      </c>
      <c r="C55" t="s">
        <v>9</v>
      </c>
      <c r="D55" s="37" t="s">
        <v>161</v>
      </c>
      <c r="E55" s="37" t="s">
        <v>161</v>
      </c>
      <c r="F55" s="37" t="s">
        <v>161</v>
      </c>
      <c r="G55" s="37" t="s">
        <v>161</v>
      </c>
      <c r="H55" s="37" t="s">
        <v>161</v>
      </c>
      <c r="I55" s="37" t="s">
        <v>161</v>
      </c>
      <c r="J55" s="37" t="s">
        <v>161</v>
      </c>
      <c r="K55" s="37" t="s">
        <v>161</v>
      </c>
      <c r="L55" s="37" t="s">
        <v>161</v>
      </c>
    </row>
    <row r="56" spans="1:12">
      <c r="A56" s="3" t="s">
        <v>9</v>
      </c>
      <c r="B56" t="s">
        <v>14</v>
      </c>
      <c r="C56" t="s">
        <v>15</v>
      </c>
      <c r="D56" t="s">
        <v>10</v>
      </c>
      <c r="E56" s="37" t="s">
        <v>161</v>
      </c>
      <c r="F56" s="37" t="s">
        <v>161</v>
      </c>
      <c r="G56" s="37" t="s">
        <v>161</v>
      </c>
      <c r="H56" s="37" t="s">
        <v>161</v>
      </c>
      <c r="I56" s="37" t="s">
        <v>161</v>
      </c>
      <c r="J56" s="37" t="s">
        <v>161</v>
      </c>
      <c r="K56" s="37" t="s">
        <v>161</v>
      </c>
      <c r="L56" s="37" t="s">
        <v>161</v>
      </c>
    </row>
    <row r="57" spans="1:12">
      <c r="A57" s="3" t="s">
        <v>25</v>
      </c>
      <c r="B57" t="s">
        <v>18</v>
      </c>
      <c r="C57" t="s">
        <v>22</v>
      </c>
      <c r="D57" t="s">
        <v>27</v>
      </c>
      <c r="E57" s="37" t="s">
        <v>161</v>
      </c>
      <c r="F57" s="37" t="s">
        <v>161</v>
      </c>
      <c r="G57" s="37" t="s">
        <v>161</v>
      </c>
      <c r="H57" s="37" t="s">
        <v>161</v>
      </c>
      <c r="I57" s="37" t="s">
        <v>161</v>
      </c>
      <c r="J57" s="37" t="s">
        <v>161</v>
      </c>
      <c r="K57" s="37" t="s">
        <v>161</v>
      </c>
      <c r="L57" s="37" t="s">
        <v>161</v>
      </c>
    </row>
    <row r="58" spans="1:12">
      <c r="A58" s="3" t="s">
        <v>26</v>
      </c>
      <c r="B58" t="s">
        <v>19</v>
      </c>
      <c r="C58" t="s">
        <v>18</v>
      </c>
      <c r="D58" t="s">
        <v>22</v>
      </c>
      <c r="E58" s="37" t="s">
        <v>161</v>
      </c>
      <c r="F58" s="37" t="s">
        <v>161</v>
      </c>
      <c r="G58" s="37" t="s">
        <v>161</v>
      </c>
      <c r="H58" s="37" t="s">
        <v>161</v>
      </c>
      <c r="I58" s="37" t="s">
        <v>161</v>
      </c>
      <c r="J58" s="37" t="s">
        <v>161</v>
      </c>
      <c r="K58" s="37" t="s">
        <v>161</v>
      </c>
      <c r="L58" s="37" t="s">
        <v>161</v>
      </c>
    </row>
    <row r="59" spans="1:12">
      <c r="A59" s="3" t="s">
        <v>27</v>
      </c>
      <c r="B59" t="s">
        <v>17</v>
      </c>
      <c r="C59" t="s">
        <v>21</v>
      </c>
      <c r="D59" t="s">
        <v>22</v>
      </c>
      <c r="E59" s="37" t="s">
        <v>161</v>
      </c>
      <c r="F59" s="37" t="s">
        <v>161</v>
      </c>
      <c r="G59" s="37" t="s">
        <v>161</v>
      </c>
      <c r="H59" s="37" t="s">
        <v>161</v>
      </c>
      <c r="I59" s="37" t="s">
        <v>161</v>
      </c>
      <c r="J59" s="37" t="s">
        <v>161</v>
      </c>
      <c r="K59" s="37" t="s">
        <v>161</v>
      </c>
      <c r="L59" s="37" t="s">
        <v>161</v>
      </c>
    </row>
    <row r="61" spans="1:12">
      <c r="B61" t="s">
        <v>1056</v>
      </c>
    </row>
    <row r="62" spans="1:12">
      <c r="A62" s="3" t="s">
        <v>14</v>
      </c>
      <c r="B62" t="s">
        <v>18</v>
      </c>
      <c r="C62" t="s">
        <v>21</v>
      </c>
      <c r="D62" t="s">
        <v>22</v>
      </c>
      <c r="E62" s="37" t="s">
        <v>161</v>
      </c>
      <c r="F62" s="37" t="s">
        <v>161</v>
      </c>
      <c r="G62" s="37" t="s">
        <v>161</v>
      </c>
      <c r="H62" s="37" t="s">
        <v>161</v>
      </c>
      <c r="I62" s="37" t="s">
        <v>161</v>
      </c>
      <c r="J62" s="37" t="s">
        <v>161</v>
      </c>
      <c r="K62" s="37" t="s">
        <v>161</v>
      </c>
      <c r="L62" s="37" t="s">
        <v>161</v>
      </c>
    </row>
    <row r="63" spans="1:12">
      <c r="A63" s="3" t="s">
        <v>15</v>
      </c>
      <c r="B63" t="s">
        <v>15</v>
      </c>
      <c r="C63" t="s">
        <v>10</v>
      </c>
      <c r="D63" s="37" t="s">
        <v>161</v>
      </c>
      <c r="E63" s="37" t="s">
        <v>161</v>
      </c>
      <c r="F63" s="37" t="s">
        <v>161</v>
      </c>
      <c r="G63" s="37" t="s">
        <v>161</v>
      </c>
      <c r="H63" s="37" t="s">
        <v>161</v>
      </c>
      <c r="I63" s="37" t="s">
        <v>161</v>
      </c>
      <c r="J63" s="37" t="s">
        <v>161</v>
      </c>
      <c r="K63" s="37" t="s">
        <v>161</v>
      </c>
      <c r="L63" s="37" t="s">
        <v>161</v>
      </c>
    </row>
    <row r="64" spans="1:12">
      <c r="A64" s="3" t="s">
        <v>16</v>
      </c>
      <c r="B64" t="s">
        <v>17</v>
      </c>
      <c r="C64" t="s">
        <v>19</v>
      </c>
      <c r="D64" t="s">
        <v>21</v>
      </c>
      <c r="E64" t="s">
        <v>27</v>
      </c>
      <c r="F64" s="37" t="s">
        <v>161</v>
      </c>
      <c r="G64" s="37" t="s">
        <v>161</v>
      </c>
      <c r="H64" s="37" t="s">
        <v>161</v>
      </c>
      <c r="I64" s="37" t="s">
        <v>161</v>
      </c>
      <c r="J64" s="37" t="s">
        <v>161</v>
      </c>
      <c r="K64" s="37" t="s">
        <v>161</v>
      </c>
      <c r="L64" s="37" t="s">
        <v>161</v>
      </c>
    </row>
    <row r="65" spans="1:13">
      <c r="A65" s="3" t="s">
        <v>17</v>
      </c>
      <c r="B65" t="s">
        <v>17</v>
      </c>
      <c r="C65" t="s">
        <v>26</v>
      </c>
      <c r="D65" s="37" t="s">
        <v>161</v>
      </c>
      <c r="E65" s="37" t="s">
        <v>161</v>
      </c>
      <c r="F65" s="37" t="s">
        <v>161</v>
      </c>
      <c r="G65" s="37" t="s">
        <v>161</v>
      </c>
      <c r="H65" s="37" t="s">
        <v>161</v>
      </c>
      <c r="I65" s="37" t="s">
        <v>161</v>
      </c>
      <c r="J65" s="37" t="s">
        <v>161</v>
      </c>
      <c r="K65" s="37" t="s">
        <v>161</v>
      </c>
      <c r="L65" s="37" t="s">
        <v>161</v>
      </c>
    </row>
    <row r="66" spans="1:13">
      <c r="A66" s="3" t="s">
        <v>894</v>
      </c>
      <c r="B66" s="37" t="s">
        <v>14</v>
      </c>
      <c r="C66" s="37" t="s">
        <v>15</v>
      </c>
      <c r="D66" s="37" t="s">
        <v>16</v>
      </c>
      <c r="E66" s="37" t="s">
        <v>18</v>
      </c>
      <c r="F66" s="37" t="s">
        <v>161</v>
      </c>
      <c r="G66" s="37" t="s">
        <v>161</v>
      </c>
      <c r="H66" s="37" t="s">
        <v>161</v>
      </c>
      <c r="I66" s="37" t="s">
        <v>161</v>
      </c>
      <c r="J66" s="37" t="s">
        <v>161</v>
      </c>
      <c r="K66" s="37" t="s">
        <v>161</v>
      </c>
      <c r="L66" s="37" t="s">
        <v>161</v>
      </c>
      <c r="M66" t="s">
        <v>161</v>
      </c>
    </row>
    <row r="67" spans="1:13">
      <c r="A67" s="3" t="s">
        <v>18</v>
      </c>
      <c r="B67" t="s">
        <v>14</v>
      </c>
      <c r="C67" t="s">
        <v>15</v>
      </c>
      <c r="D67" t="s">
        <v>25</v>
      </c>
      <c r="E67" s="37" t="s">
        <v>161</v>
      </c>
      <c r="F67" s="37" t="s">
        <v>161</v>
      </c>
      <c r="G67" s="37" t="s">
        <v>161</v>
      </c>
      <c r="H67" s="37" t="s">
        <v>161</v>
      </c>
      <c r="I67" s="37" t="s">
        <v>161</v>
      </c>
      <c r="J67" s="37" t="s">
        <v>161</v>
      </c>
      <c r="K67" s="37" t="s">
        <v>161</v>
      </c>
      <c r="L67" t="s">
        <v>161</v>
      </c>
    </row>
    <row r="68" spans="1:13">
      <c r="A68" s="3" t="s">
        <v>19</v>
      </c>
      <c r="B68" t="s">
        <v>14</v>
      </c>
      <c r="C68" s="63" t="s">
        <v>894</v>
      </c>
      <c r="D68" t="s">
        <v>19</v>
      </c>
      <c r="E68" t="s">
        <v>21</v>
      </c>
      <c r="F68" t="s">
        <v>23</v>
      </c>
      <c r="G68" t="s">
        <v>26</v>
      </c>
      <c r="H68" s="37" t="s">
        <v>161</v>
      </c>
      <c r="I68" s="37" t="s">
        <v>161</v>
      </c>
      <c r="J68" s="37" t="s">
        <v>161</v>
      </c>
      <c r="K68" s="37" t="s">
        <v>161</v>
      </c>
      <c r="L68" s="37" t="s">
        <v>161</v>
      </c>
    </row>
    <row r="69" spans="1:13">
      <c r="A69" s="3" t="s">
        <v>20</v>
      </c>
      <c r="B69" t="s">
        <v>14</v>
      </c>
      <c r="C69" t="s">
        <v>18</v>
      </c>
      <c r="D69" t="s">
        <v>21</v>
      </c>
      <c r="E69" s="37" t="s">
        <v>161</v>
      </c>
      <c r="F69" s="37" t="s">
        <v>161</v>
      </c>
      <c r="G69" s="37" t="s">
        <v>161</v>
      </c>
      <c r="H69" s="37" t="s">
        <v>161</v>
      </c>
      <c r="I69" s="37" t="s">
        <v>161</v>
      </c>
      <c r="J69" s="37" t="s">
        <v>161</v>
      </c>
      <c r="K69" s="37" t="s">
        <v>161</v>
      </c>
      <c r="L69" s="37" t="s">
        <v>161</v>
      </c>
    </row>
    <row r="70" spans="1:13">
      <c r="A70" s="3" t="s">
        <v>10</v>
      </c>
      <c r="B70" t="s">
        <v>14</v>
      </c>
      <c r="C70" t="s">
        <v>11</v>
      </c>
      <c r="D70" s="37" t="s">
        <v>161</v>
      </c>
      <c r="E70" s="37" t="s">
        <v>161</v>
      </c>
      <c r="F70" s="37" t="s">
        <v>161</v>
      </c>
      <c r="G70" s="37" t="s">
        <v>161</v>
      </c>
      <c r="H70" s="37" t="s">
        <v>161</v>
      </c>
      <c r="I70" s="37" t="s">
        <v>161</v>
      </c>
      <c r="J70" s="37" t="s">
        <v>161</v>
      </c>
      <c r="K70" s="37" t="s">
        <v>161</v>
      </c>
      <c r="L70" s="37" t="s">
        <v>161</v>
      </c>
    </row>
    <row r="71" spans="1:13">
      <c r="A71" s="3" t="s">
        <v>21</v>
      </c>
      <c r="B71" t="s">
        <v>17</v>
      </c>
      <c r="C71" t="s">
        <v>21</v>
      </c>
      <c r="D71" t="s">
        <v>22</v>
      </c>
      <c r="E71" t="s">
        <v>27</v>
      </c>
      <c r="F71" s="37" t="s">
        <v>161</v>
      </c>
      <c r="G71" s="37" t="s">
        <v>161</v>
      </c>
      <c r="H71" s="37" t="s">
        <v>161</v>
      </c>
      <c r="I71" s="37" t="s">
        <v>161</v>
      </c>
      <c r="J71" s="37" t="s">
        <v>161</v>
      </c>
      <c r="K71" s="37" t="s">
        <v>161</v>
      </c>
      <c r="L71" s="37" t="s">
        <v>161</v>
      </c>
    </row>
    <row r="72" spans="1:13">
      <c r="A72" s="3" t="s">
        <v>22</v>
      </c>
      <c r="B72" t="s">
        <v>11</v>
      </c>
      <c r="C72" t="s">
        <v>25</v>
      </c>
      <c r="D72" s="37" t="s">
        <v>161</v>
      </c>
      <c r="E72" s="37" t="s">
        <v>161</v>
      </c>
      <c r="F72" s="37" t="s">
        <v>161</v>
      </c>
      <c r="G72" s="37" t="s">
        <v>161</v>
      </c>
      <c r="H72" s="37" t="s">
        <v>161</v>
      </c>
      <c r="I72" s="37" t="s">
        <v>161</v>
      </c>
      <c r="J72" s="37" t="s">
        <v>161</v>
      </c>
      <c r="K72" s="37" t="s">
        <v>161</v>
      </c>
      <c r="L72" s="37" t="s">
        <v>161</v>
      </c>
    </row>
    <row r="73" spans="1:13">
      <c r="A73" s="3" t="s">
        <v>23</v>
      </c>
      <c r="B73" t="s">
        <v>23</v>
      </c>
      <c r="C73" s="37" t="s">
        <v>161</v>
      </c>
      <c r="D73" s="37" t="s">
        <v>161</v>
      </c>
      <c r="E73" s="37" t="s">
        <v>161</v>
      </c>
      <c r="F73" s="37" t="s">
        <v>161</v>
      </c>
      <c r="G73" s="37" t="s">
        <v>161</v>
      </c>
      <c r="H73" s="37" t="s">
        <v>161</v>
      </c>
      <c r="I73" s="37" t="s">
        <v>161</v>
      </c>
      <c r="J73" s="37" t="s">
        <v>161</v>
      </c>
      <c r="K73" s="37" t="s">
        <v>161</v>
      </c>
      <c r="L73" s="37" t="s">
        <v>161</v>
      </c>
    </row>
    <row r="74" spans="1:13">
      <c r="A74" s="3" t="s">
        <v>24</v>
      </c>
      <c r="B74" s="37" t="s">
        <v>161</v>
      </c>
      <c r="C74" s="37" t="s">
        <v>161</v>
      </c>
      <c r="D74" s="37" t="s">
        <v>161</v>
      </c>
      <c r="E74" s="37" t="s">
        <v>161</v>
      </c>
      <c r="F74" s="37" t="s">
        <v>161</v>
      </c>
      <c r="G74" s="37" t="s">
        <v>161</v>
      </c>
      <c r="H74" s="37" t="s">
        <v>161</v>
      </c>
      <c r="I74" s="37" t="s">
        <v>161</v>
      </c>
      <c r="J74" s="37" t="s">
        <v>161</v>
      </c>
      <c r="K74" s="37" t="s">
        <v>161</v>
      </c>
      <c r="L74" s="37" t="s">
        <v>161</v>
      </c>
    </row>
    <row r="75" spans="1:13">
      <c r="A75" s="3" t="s">
        <v>11</v>
      </c>
      <c r="B75" t="s">
        <v>14</v>
      </c>
      <c r="C75" s="63" t="s">
        <v>894</v>
      </c>
      <c r="D75" t="s">
        <v>18</v>
      </c>
      <c r="E75" t="s">
        <v>11</v>
      </c>
      <c r="F75" s="37" t="s">
        <v>161</v>
      </c>
      <c r="G75" s="37" t="s">
        <v>161</v>
      </c>
      <c r="H75" s="37" t="s">
        <v>161</v>
      </c>
      <c r="I75" s="37" t="s">
        <v>161</v>
      </c>
      <c r="J75" s="37" t="s">
        <v>161</v>
      </c>
      <c r="K75" s="37" t="s">
        <v>161</v>
      </c>
      <c r="L75" s="37" t="s">
        <v>161</v>
      </c>
    </row>
    <row r="76" spans="1:13">
      <c r="A76" s="3" t="s">
        <v>9</v>
      </c>
      <c r="B76" t="s">
        <v>18</v>
      </c>
      <c r="C76" t="s">
        <v>9</v>
      </c>
      <c r="D76" s="37" t="s">
        <v>161</v>
      </c>
      <c r="E76" s="37" t="s">
        <v>161</v>
      </c>
      <c r="F76" s="37" t="s">
        <v>161</v>
      </c>
      <c r="G76" s="37" t="s">
        <v>161</v>
      </c>
      <c r="H76" s="37" t="s">
        <v>161</v>
      </c>
      <c r="I76" s="37" t="s">
        <v>161</v>
      </c>
      <c r="J76" s="37" t="s">
        <v>161</v>
      </c>
      <c r="K76" s="37" t="s">
        <v>161</v>
      </c>
      <c r="L76" s="37" t="s">
        <v>161</v>
      </c>
    </row>
    <row r="77" spans="1:13">
      <c r="A77" s="3" t="s">
        <v>25</v>
      </c>
      <c r="B77" t="s">
        <v>19</v>
      </c>
      <c r="C77" t="s">
        <v>20</v>
      </c>
      <c r="D77" t="s">
        <v>24</v>
      </c>
      <c r="E77" t="s">
        <v>11</v>
      </c>
      <c r="F77" s="37" t="s">
        <v>161</v>
      </c>
      <c r="G77" s="37" t="s">
        <v>161</v>
      </c>
      <c r="H77" s="37" t="s">
        <v>161</v>
      </c>
      <c r="I77" s="37" t="s">
        <v>161</v>
      </c>
      <c r="J77" s="37" t="s">
        <v>161</v>
      </c>
      <c r="K77" s="37" t="s">
        <v>161</v>
      </c>
      <c r="L77" s="37" t="s">
        <v>161</v>
      </c>
    </row>
    <row r="78" spans="1:13">
      <c r="A78" s="3" t="s">
        <v>26</v>
      </c>
      <c r="B78" t="s">
        <v>14</v>
      </c>
      <c r="C78" t="s">
        <v>15</v>
      </c>
      <c r="D78" t="s">
        <v>16</v>
      </c>
      <c r="E78" s="63" t="s">
        <v>894</v>
      </c>
      <c r="F78" t="s">
        <v>20</v>
      </c>
      <c r="G78" t="s">
        <v>10</v>
      </c>
      <c r="H78" t="s">
        <v>23</v>
      </c>
      <c r="I78" t="s">
        <v>24</v>
      </c>
      <c r="J78" t="s">
        <v>9</v>
      </c>
      <c r="K78" t="s">
        <v>25</v>
      </c>
      <c r="L78" t="s">
        <v>26</v>
      </c>
    </row>
    <row r="79" spans="1:13">
      <c r="A79" s="3" t="s">
        <v>27</v>
      </c>
      <c r="B79" t="s">
        <v>19</v>
      </c>
      <c r="C79" t="s">
        <v>23</v>
      </c>
      <c r="D79" t="s">
        <v>26</v>
      </c>
      <c r="E79" t="s">
        <v>27</v>
      </c>
      <c r="F79" s="37" t="s">
        <v>161</v>
      </c>
      <c r="G79" s="37" t="s">
        <v>161</v>
      </c>
      <c r="H79" s="37" t="s">
        <v>161</v>
      </c>
      <c r="I79" s="37" t="s">
        <v>161</v>
      </c>
      <c r="J79" s="37" t="s">
        <v>161</v>
      </c>
      <c r="K79" s="37" t="s">
        <v>161</v>
      </c>
      <c r="L79" s="37" t="s">
        <v>161</v>
      </c>
    </row>
    <row r="81" spans="1:12">
      <c r="B81" t="s">
        <v>1057</v>
      </c>
    </row>
    <row r="82" spans="1:12">
      <c r="A82" s="3" t="s">
        <v>14</v>
      </c>
      <c r="B82" s="63" t="s">
        <v>894</v>
      </c>
      <c r="C82" t="s">
        <v>18</v>
      </c>
      <c r="D82" t="s">
        <v>19</v>
      </c>
      <c r="E82" t="s">
        <v>20</v>
      </c>
      <c r="F82" t="s">
        <v>10</v>
      </c>
      <c r="G82" t="s">
        <v>11</v>
      </c>
      <c r="H82" t="s">
        <v>26</v>
      </c>
      <c r="I82" s="37" t="s">
        <v>161</v>
      </c>
      <c r="J82" s="37" t="s">
        <v>161</v>
      </c>
      <c r="K82" s="37" t="s">
        <v>161</v>
      </c>
      <c r="L82" s="37" t="s">
        <v>161</v>
      </c>
    </row>
    <row r="83" spans="1:12">
      <c r="A83" s="3" t="s">
        <v>15</v>
      </c>
      <c r="B83" t="s">
        <v>15</v>
      </c>
      <c r="C83" s="63" t="s">
        <v>894</v>
      </c>
      <c r="D83" t="s">
        <v>18</v>
      </c>
      <c r="E83" t="s">
        <v>26</v>
      </c>
      <c r="F83" s="37" t="s">
        <v>161</v>
      </c>
      <c r="G83" s="37" t="s">
        <v>161</v>
      </c>
      <c r="H83" s="37" t="s">
        <v>161</v>
      </c>
      <c r="I83" s="37" t="s">
        <v>161</v>
      </c>
      <c r="J83" s="37" t="s">
        <v>161</v>
      </c>
      <c r="K83" s="37" t="s">
        <v>161</v>
      </c>
      <c r="L83" s="37" t="s">
        <v>161</v>
      </c>
    </row>
    <row r="84" spans="1:12">
      <c r="A84" s="3" t="s">
        <v>16</v>
      </c>
      <c r="B84" s="63" t="s">
        <v>894</v>
      </c>
      <c r="C84" t="s">
        <v>26</v>
      </c>
      <c r="D84" s="37" t="s">
        <v>161</v>
      </c>
      <c r="E84" s="37" t="s">
        <v>161</v>
      </c>
      <c r="F84" s="37" t="s">
        <v>161</v>
      </c>
      <c r="G84" s="37" t="s">
        <v>161</v>
      </c>
      <c r="H84" s="37" t="s">
        <v>161</v>
      </c>
      <c r="I84" s="37" t="s">
        <v>161</v>
      </c>
      <c r="J84" s="37" t="s">
        <v>161</v>
      </c>
      <c r="K84" s="37" t="s">
        <v>161</v>
      </c>
      <c r="L84" s="37" t="s">
        <v>161</v>
      </c>
    </row>
    <row r="85" spans="1:12">
      <c r="A85" s="3" t="s">
        <v>17</v>
      </c>
      <c r="B85" t="s">
        <v>16</v>
      </c>
      <c r="C85" t="s">
        <v>17</v>
      </c>
      <c r="D85" t="s">
        <v>21</v>
      </c>
      <c r="E85" s="37" t="s">
        <v>161</v>
      </c>
      <c r="F85" s="37" t="s">
        <v>161</v>
      </c>
      <c r="G85" s="37" t="s">
        <v>161</v>
      </c>
      <c r="H85" s="37" t="s">
        <v>161</v>
      </c>
      <c r="I85" s="37" t="s">
        <v>161</v>
      </c>
      <c r="J85" s="37" t="s">
        <v>161</v>
      </c>
      <c r="K85" s="37" t="s">
        <v>161</v>
      </c>
      <c r="L85" s="37" t="s">
        <v>161</v>
      </c>
    </row>
    <row r="86" spans="1:12">
      <c r="A86" s="3" t="s">
        <v>894</v>
      </c>
      <c r="B86" t="s">
        <v>19</v>
      </c>
      <c r="C86" s="37" t="s">
        <v>11</v>
      </c>
      <c r="D86" s="37" t="s">
        <v>26</v>
      </c>
      <c r="E86" s="37" t="s">
        <v>161</v>
      </c>
      <c r="F86" s="37" t="s">
        <v>161</v>
      </c>
      <c r="G86" s="37" t="s">
        <v>161</v>
      </c>
      <c r="H86" s="37" t="s">
        <v>161</v>
      </c>
      <c r="I86" s="37" t="s">
        <v>161</v>
      </c>
      <c r="J86" s="37" t="s">
        <v>161</v>
      </c>
      <c r="K86" s="37" t="s">
        <v>161</v>
      </c>
      <c r="L86" s="37" t="s">
        <v>161</v>
      </c>
    </row>
    <row r="87" spans="1:12">
      <c r="A87" s="3" t="s">
        <v>18</v>
      </c>
      <c r="B87" t="s">
        <v>14</v>
      </c>
      <c r="C87" s="63" t="s">
        <v>894</v>
      </c>
      <c r="D87" t="s">
        <v>18</v>
      </c>
      <c r="E87" t="s">
        <v>20</v>
      </c>
      <c r="F87" t="s">
        <v>11</v>
      </c>
      <c r="G87" t="s">
        <v>9</v>
      </c>
      <c r="H87" s="37" t="s">
        <v>161</v>
      </c>
      <c r="I87" s="37" t="s">
        <v>161</v>
      </c>
      <c r="J87" s="37" t="s">
        <v>161</v>
      </c>
      <c r="K87" s="37" t="s">
        <v>161</v>
      </c>
      <c r="L87" s="37" t="s">
        <v>161</v>
      </c>
    </row>
    <row r="88" spans="1:12">
      <c r="A88" s="3" t="s">
        <v>19</v>
      </c>
      <c r="B88" t="s">
        <v>16</v>
      </c>
      <c r="C88" t="s">
        <v>19</v>
      </c>
      <c r="D88" t="s">
        <v>25</v>
      </c>
      <c r="E88" t="s">
        <v>27</v>
      </c>
      <c r="F88" s="37" t="s">
        <v>161</v>
      </c>
      <c r="G88" s="37" t="s">
        <v>161</v>
      </c>
      <c r="H88" s="37" t="s">
        <v>161</v>
      </c>
      <c r="I88" s="37" t="s">
        <v>161</v>
      </c>
      <c r="J88" s="37" t="s">
        <v>161</v>
      </c>
      <c r="K88" s="37" t="s">
        <v>161</v>
      </c>
      <c r="L88" s="37" t="s">
        <v>161</v>
      </c>
    </row>
    <row r="89" spans="1:12">
      <c r="A89" s="3" t="s">
        <v>20</v>
      </c>
      <c r="B89" t="s">
        <v>17</v>
      </c>
      <c r="C89" t="s">
        <v>25</v>
      </c>
      <c r="D89" t="s">
        <v>26</v>
      </c>
      <c r="E89" s="37" t="s">
        <v>161</v>
      </c>
      <c r="F89" s="37" t="s">
        <v>161</v>
      </c>
      <c r="G89" s="37" t="s">
        <v>161</v>
      </c>
      <c r="H89" s="37" t="s">
        <v>161</v>
      </c>
      <c r="I89" s="37" t="s">
        <v>161</v>
      </c>
      <c r="J89" s="37" t="s">
        <v>161</v>
      </c>
      <c r="K89" s="37" t="s">
        <v>161</v>
      </c>
      <c r="L89" s="37" t="s">
        <v>161</v>
      </c>
    </row>
    <row r="90" spans="1:12">
      <c r="A90" s="3" t="s">
        <v>10</v>
      </c>
      <c r="B90" t="s">
        <v>15</v>
      </c>
      <c r="C90" t="s">
        <v>26</v>
      </c>
      <c r="D90" s="37" t="s">
        <v>161</v>
      </c>
      <c r="E90" s="37" t="s">
        <v>161</v>
      </c>
      <c r="F90" s="37" t="s">
        <v>161</v>
      </c>
      <c r="G90" s="37" t="s">
        <v>161</v>
      </c>
      <c r="H90" s="37" t="s">
        <v>161</v>
      </c>
      <c r="I90" s="37" t="s">
        <v>161</v>
      </c>
      <c r="J90" s="37" t="s">
        <v>161</v>
      </c>
      <c r="K90" s="37" t="s">
        <v>161</v>
      </c>
      <c r="L90" s="37" t="s">
        <v>161</v>
      </c>
    </row>
    <row r="91" spans="1:12">
      <c r="A91" s="3" t="s">
        <v>21</v>
      </c>
      <c r="B91" t="s">
        <v>14</v>
      </c>
      <c r="C91" t="s">
        <v>16</v>
      </c>
      <c r="D91" t="s">
        <v>19</v>
      </c>
      <c r="E91" t="s">
        <v>20</v>
      </c>
      <c r="F91" t="s">
        <v>21</v>
      </c>
      <c r="G91" t="s">
        <v>11</v>
      </c>
      <c r="H91" s="37" t="s">
        <v>161</v>
      </c>
      <c r="I91" s="37" t="s">
        <v>161</v>
      </c>
      <c r="J91" s="37" t="s">
        <v>161</v>
      </c>
      <c r="K91" s="37" t="s">
        <v>161</v>
      </c>
      <c r="L91" s="37" t="s">
        <v>161</v>
      </c>
    </row>
    <row r="92" spans="1:12">
      <c r="A92" s="3" t="s">
        <v>22</v>
      </c>
      <c r="B92" t="s">
        <v>14</v>
      </c>
      <c r="C92" t="s">
        <v>21</v>
      </c>
      <c r="D92" s="37" t="s">
        <v>161</v>
      </c>
      <c r="E92" s="37" t="s">
        <v>161</v>
      </c>
      <c r="F92" s="37" t="s">
        <v>161</v>
      </c>
      <c r="G92" s="37" t="s">
        <v>161</v>
      </c>
      <c r="H92" s="37" t="s">
        <v>161</v>
      </c>
      <c r="I92" s="37" t="s">
        <v>161</v>
      </c>
      <c r="J92" s="37" t="s">
        <v>161</v>
      </c>
      <c r="K92" s="37" t="s">
        <v>161</v>
      </c>
      <c r="L92" s="37" t="s">
        <v>161</v>
      </c>
    </row>
    <row r="93" spans="1:12">
      <c r="A93" s="3" t="s">
        <v>23</v>
      </c>
      <c r="B93" t="s">
        <v>19</v>
      </c>
      <c r="C93" t="s">
        <v>23</v>
      </c>
      <c r="D93" t="s">
        <v>26</v>
      </c>
      <c r="E93" t="s">
        <v>27</v>
      </c>
      <c r="F93" s="37" t="s">
        <v>161</v>
      </c>
      <c r="G93" s="37" t="s">
        <v>161</v>
      </c>
      <c r="H93" s="37" t="s">
        <v>161</v>
      </c>
      <c r="I93" s="37" t="s">
        <v>161</v>
      </c>
      <c r="J93" s="37" t="s">
        <v>161</v>
      </c>
      <c r="K93" s="37" t="s">
        <v>161</v>
      </c>
      <c r="L93" s="37" t="s">
        <v>161</v>
      </c>
    </row>
    <row r="94" spans="1:12">
      <c r="A94" s="3" t="s">
        <v>24</v>
      </c>
      <c r="B94" t="s">
        <v>25</v>
      </c>
      <c r="C94" t="s">
        <v>26</v>
      </c>
      <c r="D94" s="37" t="s">
        <v>161</v>
      </c>
      <c r="E94" s="37" t="s">
        <v>161</v>
      </c>
      <c r="F94" s="37" t="s">
        <v>161</v>
      </c>
      <c r="G94" s="37" t="s">
        <v>161</v>
      </c>
      <c r="H94" s="37" t="s">
        <v>161</v>
      </c>
      <c r="I94" s="37" t="s">
        <v>161</v>
      </c>
      <c r="J94" s="37" t="s">
        <v>161</v>
      </c>
      <c r="K94" s="37" t="s">
        <v>161</v>
      </c>
      <c r="L94" s="37" t="s">
        <v>161</v>
      </c>
    </row>
    <row r="95" spans="1:12">
      <c r="A95" s="3" t="s">
        <v>11</v>
      </c>
      <c r="B95" t="s">
        <v>10</v>
      </c>
      <c r="C95" t="s">
        <v>22</v>
      </c>
      <c r="D95" t="s">
        <v>11</v>
      </c>
      <c r="E95" t="s">
        <v>25</v>
      </c>
      <c r="F95" s="37" t="s">
        <v>161</v>
      </c>
      <c r="G95" s="37" t="s">
        <v>161</v>
      </c>
      <c r="H95" s="37" t="s">
        <v>161</v>
      </c>
      <c r="I95" s="37" t="s">
        <v>161</v>
      </c>
      <c r="J95" s="37" t="s">
        <v>161</v>
      </c>
      <c r="K95" s="37" t="s">
        <v>161</v>
      </c>
      <c r="L95" s="37" t="s">
        <v>161</v>
      </c>
    </row>
    <row r="96" spans="1:12">
      <c r="A96" s="3" t="s">
        <v>9</v>
      </c>
      <c r="B96" t="s">
        <v>9</v>
      </c>
      <c r="C96" t="s">
        <v>26</v>
      </c>
      <c r="D96" s="37" t="s">
        <v>161</v>
      </c>
      <c r="E96" s="37" t="s">
        <v>161</v>
      </c>
      <c r="F96" s="37" t="s">
        <v>161</v>
      </c>
      <c r="G96" s="37" t="s">
        <v>161</v>
      </c>
      <c r="H96" s="37" t="s">
        <v>161</v>
      </c>
      <c r="I96" s="37" t="s">
        <v>161</v>
      </c>
      <c r="J96" s="37" t="s">
        <v>161</v>
      </c>
      <c r="K96" s="37" t="s">
        <v>161</v>
      </c>
      <c r="L96" s="37" t="s">
        <v>161</v>
      </c>
    </row>
    <row r="97" spans="1:12">
      <c r="A97" s="3" t="s">
        <v>25</v>
      </c>
      <c r="B97" t="s">
        <v>18</v>
      </c>
      <c r="C97" t="s">
        <v>22</v>
      </c>
      <c r="D97" t="s">
        <v>26</v>
      </c>
      <c r="E97" s="37" t="s">
        <v>161</v>
      </c>
      <c r="F97" s="37" t="s">
        <v>161</v>
      </c>
      <c r="G97" s="37" t="s">
        <v>161</v>
      </c>
      <c r="H97" s="37" t="s">
        <v>161</v>
      </c>
      <c r="I97" s="37" t="s">
        <v>161</v>
      </c>
      <c r="J97" s="37" t="s">
        <v>161</v>
      </c>
      <c r="K97" s="37" t="s">
        <v>161</v>
      </c>
      <c r="L97" s="37" t="s">
        <v>161</v>
      </c>
    </row>
    <row r="98" spans="1:12">
      <c r="A98" s="3" t="s">
        <v>26</v>
      </c>
      <c r="B98" t="s">
        <v>17</v>
      </c>
      <c r="C98" t="s">
        <v>19</v>
      </c>
      <c r="D98" t="s">
        <v>26</v>
      </c>
      <c r="E98" t="s">
        <v>27</v>
      </c>
      <c r="F98" s="37" t="s">
        <v>161</v>
      </c>
      <c r="G98" s="37" t="s">
        <v>161</v>
      </c>
      <c r="H98" s="37" t="s">
        <v>161</v>
      </c>
      <c r="I98" s="37" t="s">
        <v>161</v>
      </c>
      <c r="J98" s="37" t="s">
        <v>161</v>
      </c>
      <c r="K98" s="37" t="s">
        <v>161</v>
      </c>
      <c r="L98" s="37" t="s">
        <v>161</v>
      </c>
    </row>
    <row r="99" spans="1:12">
      <c r="A99" s="3" t="s">
        <v>27</v>
      </c>
      <c r="B99" t="s">
        <v>16</v>
      </c>
      <c r="C99" t="s">
        <v>21</v>
      </c>
      <c r="D99" t="s">
        <v>27</v>
      </c>
      <c r="E99" s="37" t="s">
        <v>161</v>
      </c>
      <c r="F99" s="37" t="s">
        <v>161</v>
      </c>
      <c r="G99" s="37" t="s">
        <v>161</v>
      </c>
      <c r="H99" s="37" t="s">
        <v>161</v>
      </c>
      <c r="I99" s="37" t="s">
        <v>161</v>
      </c>
      <c r="J99" s="37" t="s">
        <v>161</v>
      </c>
      <c r="K99" s="37" t="s">
        <v>161</v>
      </c>
      <c r="L99" s="37" t="s">
        <v>161</v>
      </c>
    </row>
  </sheetData>
  <sheetProtection sheet="1" objects="1" scenarios="1"/>
  <conditionalFormatting sqref="A2:A20 A62:A65 A67:A79 B47 B84">
    <cfRule type="containsText" dxfId="414" priority="349" operator="containsText" text="Water">
      <formula>NOT(ISERROR(SEARCH("Water",A2)))</formula>
    </cfRule>
    <cfRule type="containsText" dxfId="413" priority="350" operator="containsText" text="Steel">
      <formula>NOT(ISERROR(SEARCH("Steel",A2)))</formula>
    </cfRule>
    <cfRule type="containsText" dxfId="412" priority="351" operator="containsText" text="Rock">
      <formula>NOT(ISERROR(SEARCH("Rock",A2)))</formula>
    </cfRule>
    <cfRule type="containsText" dxfId="411" priority="352" operator="containsText" text="Poison">
      <formula>NOT(ISERROR(SEARCH("Poison",A2)))</formula>
    </cfRule>
    <cfRule type="containsText" dxfId="410" priority="353" operator="containsText" text="Ice">
      <formula>NOT(ISERROR(SEARCH("Ice",A2)))</formula>
    </cfRule>
    <cfRule type="containsText" dxfId="409" priority="354" operator="containsText" text="Ground">
      <formula>NOT(ISERROR(SEARCH("Ground",A2)))</formula>
    </cfRule>
    <cfRule type="containsText" dxfId="408" priority="355" operator="containsText" text="Grass">
      <formula>NOT(ISERROR(SEARCH("Grass",A2)))</formula>
    </cfRule>
    <cfRule type="containsText" dxfId="407" priority="356" operator="containsText" text="Flying">
      <formula>NOT(ISERROR(SEARCH("Flying",A2)))</formula>
    </cfRule>
    <cfRule type="containsText" dxfId="406" priority="357" operator="containsText" text="Fighting">
      <formula>NOT(ISERROR(SEARCH("Fighting",A2)))</formula>
    </cfRule>
    <cfRule type="containsText" dxfId="405" priority="358" operator="containsText" text="Electric">
      <formula>NOT(ISERROR(SEARCH("Electric",A2)))</formula>
    </cfRule>
    <cfRule type="containsText" dxfId="404" priority="359" operator="containsText" text="Dragon">
      <formula>NOT(ISERROR(SEARCH("Dragon",A2)))</formula>
    </cfRule>
    <cfRule type="containsText" dxfId="403" priority="360" operator="containsText" text="Dark">
      <formula>NOT(ISERROR(SEARCH("Dark",A2)))</formula>
    </cfRule>
    <cfRule type="containsText" dxfId="402" priority="361" operator="containsText" text="Bug">
      <formula>NOT(ISERROR(SEARCH("Bug",A2)))</formula>
    </cfRule>
    <cfRule type="containsText" dxfId="401" priority="362" operator="containsText" text="Fire">
      <formula>NOT(ISERROR(SEARCH("Fire",A2)))</formula>
    </cfRule>
    <cfRule type="containsText" dxfId="400" priority="363" operator="containsText" text="Normal">
      <formula>NOT(ISERROR(SEARCH("Normal",A2)))</formula>
    </cfRule>
    <cfRule type="containsText" dxfId="399" priority="364" operator="containsText" text="Psychic">
      <formula>NOT(ISERROR(SEARCH("Psychic",A2)))</formula>
    </cfRule>
    <cfRule type="containsText" dxfId="398" priority="365" operator="containsText" text="Ghost">
      <formula>NOT(ISERROR(SEARCH("Ghost",A2)))</formula>
    </cfRule>
  </conditionalFormatting>
  <conditionalFormatting sqref="G21">
    <cfRule type="containsText" dxfId="397" priority="348" operator="containsText" text="Physical">
      <formula>NOT(ISERROR(SEARCH("Physical",G21)))</formula>
    </cfRule>
  </conditionalFormatting>
  <conditionalFormatting sqref="G21">
    <cfRule type="containsText" dxfId="396" priority="347" operator="containsText" text="Special">
      <formula>NOT(ISERROR(SEARCH("Special",G21)))</formula>
    </cfRule>
  </conditionalFormatting>
  <conditionalFormatting sqref="G21">
    <cfRule type="containsText" dxfId="395" priority="346" operator="containsText" text="Status">
      <formula>NOT(ISERROR(SEARCH("Status",G21)))</formula>
    </cfRule>
  </conditionalFormatting>
  <conditionalFormatting sqref="A42:A45 A47:A59">
    <cfRule type="containsText" dxfId="394" priority="312" operator="containsText" text="Water">
      <formula>NOT(ISERROR(SEARCH("Water",A42)))</formula>
    </cfRule>
    <cfRule type="containsText" dxfId="393" priority="313" operator="containsText" text="Steel">
      <formula>NOT(ISERROR(SEARCH("Steel",A42)))</formula>
    </cfRule>
    <cfRule type="containsText" dxfId="392" priority="314" operator="containsText" text="Rock">
      <formula>NOT(ISERROR(SEARCH("Rock",A42)))</formula>
    </cfRule>
    <cfRule type="containsText" dxfId="391" priority="315" operator="containsText" text="Poison">
      <formula>NOT(ISERROR(SEARCH("Poison",A42)))</formula>
    </cfRule>
    <cfRule type="containsText" dxfId="390" priority="316" operator="containsText" text="Ice">
      <formula>NOT(ISERROR(SEARCH("Ice",A42)))</formula>
    </cfRule>
    <cfRule type="containsText" dxfId="389" priority="317" operator="containsText" text="Ground">
      <formula>NOT(ISERROR(SEARCH("Ground",A42)))</formula>
    </cfRule>
    <cfRule type="containsText" dxfId="388" priority="318" operator="containsText" text="Grass">
      <formula>NOT(ISERROR(SEARCH("Grass",A42)))</formula>
    </cfRule>
    <cfRule type="containsText" dxfId="387" priority="319" operator="containsText" text="Flying">
      <formula>NOT(ISERROR(SEARCH("Flying",A42)))</formula>
    </cfRule>
    <cfRule type="containsText" dxfId="386" priority="320" operator="containsText" text="Fighting">
      <formula>NOT(ISERROR(SEARCH("Fighting",A42)))</formula>
    </cfRule>
    <cfRule type="containsText" dxfId="385" priority="321" operator="containsText" text="Electric">
      <formula>NOT(ISERROR(SEARCH("Electric",A42)))</formula>
    </cfRule>
    <cfRule type="containsText" dxfId="384" priority="322" operator="containsText" text="Dragon">
      <formula>NOT(ISERROR(SEARCH("Dragon",A42)))</formula>
    </cfRule>
    <cfRule type="containsText" dxfId="383" priority="323" operator="containsText" text="Dark">
      <formula>NOT(ISERROR(SEARCH("Dark",A42)))</formula>
    </cfRule>
    <cfRule type="containsText" dxfId="382" priority="324" operator="containsText" text="Bug">
      <formula>NOT(ISERROR(SEARCH("Bug",A42)))</formula>
    </cfRule>
    <cfRule type="containsText" dxfId="381" priority="325" operator="containsText" text="Fire">
      <formula>NOT(ISERROR(SEARCH("Fire",A42)))</formula>
    </cfRule>
    <cfRule type="containsText" dxfId="380" priority="326" operator="containsText" text="Normal">
      <formula>NOT(ISERROR(SEARCH("Normal",A42)))</formula>
    </cfRule>
    <cfRule type="containsText" dxfId="379" priority="327" operator="containsText" text="Psychic">
      <formula>NOT(ISERROR(SEARCH("Psychic",A42)))</formula>
    </cfRule>
    <cfRule type="containsText" dxfId="378" priority="328" operator="containsText" text="Ghost">
      <formula>NOT(ISERROR(SEARCH("Ghost",A42)))</formula>
    </cfRule>
  </conditionalFormatting>
  <conditionalFormatting sqref="A22:A25 A27:A40">
    <cfRule type="containsText" dxfId="377" priority="295" operator="containsText" text="Water">
      <formula>NOT(ISERROR(SEARCH("Water",A22)))</formula>
    </cfRule>
    <cfRule type="containsText" dxfId="376" priority="296" operator="containsText" text="Steel">
      <formula>NOT(ISERROR(SEARCH("Steel",A22)))</formula>
    </cfRule>
    <cfRule type="containsText" dxfId="375" priority="297" operator="containsText" text="Rock">
      <formula>NOT(ISERROR(SEARCH("Rock",A22)))</formula>
    </cfRule>
    <cfRule type="containsText" dxfId="374" priority="298" operator="containsText" text="Poison">
      <formula>NOT(ISERROR(SEARCH("Poison",A22)))</formula>
    </cfRule>
    <cfRule type="containsText" dxfId="373" priority="299" operator="containsText" text="Ice">
      <formula>NOT(ISERROR(SEARCH("Ice",A22)))</formula>
    </cfRule>
    <cfRule type="containsText" dxfId="372" priority="300" operator="containsText" text="Ground">
      <formula>NOT(ISERROR(SEARCH("Ground",A22)))</formula>
    </cfRule>
    <cfRule type="containsText" dxfId="371" priority="301" operator="containsText" text="Grass">
      <formula>NOT(ISERROR(SEARCH("Grass",A22)))</formula>
    </cfRule>
    <cfRule type="containsText" dxfId="370" priority="302" operator="containsText" text="Flying">
      <formula>NOT(ISERROR(SEARCH("Flying",A22)))</formula>
    </cfRule>
    <cfRule type="containsText" dxfId="369" priority="303" operator="containsText" text="Fighting">
      <formula>NOT(ISERROR(SEARCH("Fighting",A22)))</formula>
    </cfRule>
    <cfRule type="containsText" dxfId="368" priority="304" operator="containsText" text="Electric">
      <formula>NOT(ISERROR(SEARCH("Electric",A22)))</formula>
    </cfRule>
    <cfRule type="containsText" dxfId="367" priority="305" operator="containsText" text="Dragon">
      <formula>NOT(ISERROR(SEARCH("Dragon",A22)))</formula>
    </cfRule>
    <cfRule type="containsText" dxfId="366" priority="306" operator="containsText" text="Dark">
      <formula>NOT(ISERROR(SEARCH("Dark",A22)))</formula>
    </cfRule>
    <cfRule type="containsText" dxfId="365" priority="307" operator="containsText" text="Bug">
      <formula>NOT(ISERROR(SEARCH("Bug",A22)))</formula>
    </cfRule>
    <cfRule type="containsText" dxfId="364" priority="308" operator="containsText" text="Fire">
      <formula>NOT(ISERROR(SEARCH("Fire",A22)))</formula>
    </cfRule>
    <cfRule type="containsText" dxfId="363" priority="309" operator="containsText" text="Normal">
      <formula>NOT(ISERROR(SEARCH("Normal",A22)))</formula>
    </cfRule>
    <cfRule type="containsText" dxfId="362" priority="310" operator="containsText" text="Psychic">
      <formula>NOT(ISERROR(SEARCH("Psychic",A22)))</formula>
    </cfRule>
    <cfRule type="containsText" dxfId="361" priority="311" operator="containsText" text="Ghost">
      <formula>NOT(ISERROR(SEARCH("Ghost",A22)))</formula>
    </cfRule>
  </conditionalFormatting>
  <conditionalFormatting sqref="A82:A85 A87:A99">
    <cfRule type="containsText" dxfId="360" priority="261" operator="containsText" text="Water">
      <formula>NOT(ISERROR(SEARCH("Water",A82)))</formula>
    </cfRule>
    <cfRule type="containsText" dxfId="359" priority="262" operator="containsText" text="Steel">
      <formula>NOT(ISERROR(SEARCH("Steel",A82)))</formula>
    </cfRule>
    <cfRule type="containsText" dxfId="358" priority="263" operator="containsText" text="Rock">
      <formula>NOT(ISERROR(SEARCH("Rock",A82)))</formula>
    </cfRule>
    <cfRule type="containsText" dxfId="357" priority="264" operator="containsText" text="Poison">
      <formula>NOT(ISERROR(SEARCH("Poison",A82)))</formula>
    </cfRule>
    <cfRule type="containsText" dxfId="356" priority="265" operator="containsText" text="Ice">
      <formula>NOT(ISERROR(SEARCH("Ice",A82)))</formula>
    </cfRule>
    <cfRule type="containsText" dxfId="355" priority="266" operator="containsText" text="Ground">
      <formula>NOT(ISERROR(SEARCH("Ground",A82)))</formula>
    </cfRule>
    <cfRule type="containsText" dxfId="354" priority="267" operator="containsText" text="Grass">
      <formula>NOT(ISERROR(SEARCH("Grass",A82)))</formula>
    </cfRule>
    <cfRule type="containsText" dxfId="353" priority="268" operator="containsText" text="Flying">
      <formula>NOT(ISERROR(SEARCH("Flying",A82)))</formula>
    </cfRule>
    <cfRule type="containsText" dxfId="352" priority="269" operator="containsText" text="Fighting">
      <formula>NOT(ISERROR(SEARCH("Fighting",A82)))</formula>
    </cfRule>
    <cfRule type="containsText" dxfId="351" priority="270" operator="containsText" text="Electric">
      <formula>NOT(ISERROR(SEARCH("Electric",A82)))</formula>
    </cfRule>
    <cfRule type="containsText" dxfId="350" priority="271" operator="containsText" text="Dragon">
      <formula>NOT(ISERROR(SEARCH("Dragon",A82)))</formula>
    </cfRule>
    <cfRule type="containsText" dxfId="349" priority="272" operator="containsText" text="Dark">
      <formula>NOT(ISERROR(SEARCH("Dark",A82)))</formula>
    </cfRule>
    <cfRule type="containsText" dxfId="348" priority="273" operator="containsText" text="Bug">
      <formula>NOT(ISERROR(SEARCH("Bug",A82)))</formula>
    </cfRule>
    <cfRule type="containsText" dxfId="347" priority="274" operator="containsText" text="Fire">
      <formula>NOT(ISERROR(SEARCH("Fire",A82)))</formula>
    </cfRule>
    <cfRule type="containsText" dxfId="346" priority="275" operator="containsText" text="Normal">
      <formula>NOT(ISERROR(SEARCH("Normal",A82)))</formula>
    </cfRule>
    <cfRule type="containsText" dxfId="345" priority="276" operator="containsText" text="Psychic">
      <formula>NOT(ISERROR(SEARCH("Psychic",A82)))</formula>
    </cfRule>
    <cfRule type="containsText" dxfId="344" priority="277" operator="containsText" text="Ghost">
      <formula>NOT(ISERROR(SEARCH("Ghost",A82)))</formula>
    </cfRule>
  </conditionalFormatting>
  <conditionalFormatting sqref="A2:A19">
    <cfRule type="containsText" dxfId="343" priority="260" operator="containsText" text="Fairy">
      <formula>NOT(ISERROR(SEARCH("Fairy",A2)))</formula>
    </cfRule>
  </conditionalFormatting>
  <conditionalFormatting sqref="A26">
    <cfRule type="containsText" dxfId="342" priority="242" operator="containsText" text="Fairy">
      <formula>NOT(ISERROR(SEARCH("Fairy",A26)))</formula>
    </cfRule>
  </conditionalFormatting>
  <conditionalFormatting sqref="A26">
    <cfRule type="containsText" dxfId="341" priority="243" operator="containsText" text="Water">
      <formula>NOT(ISERROR(SEARCH("Water",A26)))</formula>
    </cfRule>
    <cfRule type="containsText" dxfId="340" priority="244" operator="containsText" text="Steel">
      <formula>NOT(ISERROR(SEARCH("Steel",A26)))</formula>
    </cfRule>
    <cfRule type="containsText" dxfId="339" priority="245" operator="containsText" text="Rock">
      <formula>NOT(ISERROR(SEARCH("Rock",A26)))</formula>
    </cfRule>
    <cfRule type="containsText" dxfId="338" priority="246" operator="containsText" text="Poison">
      <formula>NOT(ISERROR(SEARCH("Poison",A26)))</formula>
    </cfRule>
    <cfRule type="containsText" dxfId="337" priority="247" operator="containsText" text="Ice">
      <formula>NOT(ISERROR(SEARCH("Ice",A26)))</formula>
    </cfRule>
    <cfRule type="containsText" dxfId="336" priority="248" operator="containsText" text="Ground">
      <formula>NOT(ISERROR(SEARCH("Ground",A26)))</formula>
    </cfRule>
    <cfRule type="containsText" dxfId="335" priority="249" operator="containsText" text="Grass">
      <formula>NOT(ISERROR(SEARCH("Grass",A26)))</formula>
    </cfRule>
    <cfRule type="containsText" dxfId="334" priority="250" operator="containsText" text="Flying">
      <formula>NOT(ISERROR(SEARCH("Flying",A26)))</formula>
    </cfRule>
    <cfRule type="containsText" dxfId="333" priority="251" operator="containsText" text="Fighting">
      <formula>NOT(ISERROR(SEARCH("Fighting",A26)))</formula>
    </cfRule>
    <cfRule type="containsText" dxfId="332" priority="252" operator="containsText" text="Electric">
      <formula>NOT(ISERROR(SEARCH("Electric",A26)))</formula>
    </cfRule>
    <cfRule type="containsText" dxfId="331" priority="253" operator="containsText" text="Dragon">
      <formula>NOT(ISERROR(SEARCH("Dragon",A26)))</formula>
    </cfRule>
    <cfRule type="containsText" dxfId="330" priority="254" operator="containsText" text="Dark">
      <formula>NOT(ISERROR(SEARCH("Dark",A26)))</formula>
    </cfRule>
    <cfRule type="containsText" dxfId="329" priority="255" operator="containsText" text="Bug">
      <formula>NOT(ISERROR(SEARCH("Bug",A26)))</formula>
    </cfRule>
    <cfRule type="containsText" dxfId="328" priority="256" operator="containsText" text="Fire">
      <formula>NOT(ISERROR(SEARCH("Fire",A26)))</formula>
    </cfRule>
    <cfRule type="containsText" dxfId="327" priority="257" operator="containsText" text="Normal">
      <formula>NOT(ISERROR(SEARCH("Normal",A26)))</formula>
    </cfRule>
    <cfRule type="containsText" dxfId="326" priority="258" operator="containsText" text="Psychic">
      <formula>NOT(ISERROR(SEARCH("Psychic",A26)))</formula>
    </cfRule>
    <cfRule type="containsText" dxfId="325" priority="259" operator="containsText" text="Ghost">
      <formula>NOT(ISERROR(SEARCH("Ghost",A26)))</formula>
    </cfRule>
  </conditionalFormatting>
  <conditionalFormatting sqref="A46">
    <cfRule type="containsText" dxfId="324" priority="224" operator="containsText" text="Fairy">
      <formula>NOT(ISERROR(SEARCH("Fairy",A46)))</formula>
    </cfRule>
  </conditionalFormatting>
  <conditionalFormatting sqref="A46">
    <cfRule type="containsText" dxfId="323" priority="225" operator="containsText" text="Water">
      <formula>NOT(ISERROR(SEARCH("Water",A46)))</formula>
    </cfRule>
    <cfRule type="containsText" dxfId="322" priority="226" operator="containsText" text="Steel">
      <formula>NOT(ISERROR(SEARCH("Steel",A46)))</formula>
    </cfRule>
    <cfRule type="containsText" dxfId="321" priority="227" operator="containsText" text="Rock">
      <formula>NOT(ISERROR(SEARCH("Rock",A46)))</formula>
    </cfRule>
    <cfRule type="containsText" dxfId="320" priority="228" operator="containsText" text="Poison">
      <formula>NOT(ISERROR(SEARCH("Poison",A46)))</formula>
    </cfRule>
    <cfRule type="containsText" dxfId="319" priority="229" operator="containsText" text="Ice">
      <formula>NOT(ISERROR(SEARCH("Ice",A46)))</formula>
    </cfRule>
    <cfRule type="containsText" dxfId="318" priority="230" operator="containsText" text="Ground">
      <formula>NOT(ISERROR(SEARCH("Ground",A46)))</formula>
    </cfRule>
    <cfRule type="containsText" dxfId="317" priority="231" operator="containsText" text="Grass">
      <formula>NOT(ISERROR(SEARCH("Grass",A46)))</formula>
    </cfRule>
    <cfRule type="containsText" dxfId="316" priority="232" operator="containsText" text="Flying">
      <formula>NOT(ISERROR(SEARCH("Flying",A46)))</formula>
    </cfRule>
    <cfRule type="containsText" dxfId="315" priority="233" operator="containsText" text="Fighting">
      <formula>NOT(ISERROR(SEARCH("Fighting",A46)))</formula>
    </cfRule>
    <cfRule type="containsText" dxfId="314" priority="234" operator="containsText" text="Electric">
      <formula>NOT(ISERROR(SEARCH("Electric",A46)))</formula>
    </cfRule>
    <cfRule type="containsText" dxfId="313" priority="235" operator="containsText" text="Dragon">
      <formula>NOT(ISERROR(SEARCH("Dragon",A46)))</formula>
    </cfRule>
    <cfRule type="containsText" dxfId="312" priority="236" operator="containsText" text="Dark">
      <formula>NOT(ISERROR(SEARCH("Dark",A46)))</formula>
    </cfRule>
    <cfRule type="containsText" dxfId="311" priority="237" operator="containsText" text="Bug">
      <formula>NOT(ISERROR(SEARCH("Bug",A46)))</formula>
    </cfRule>
    <cfRule type="containsText" dxfId="310" priority="238" operator="containsText" text="Fire">
      <formula>NOT(ISERROR(SEARCH("Fire",A46)))</formula>
    </cfRule>
    <cfRule type="containsText" dxfId="309" priority="239" operator="containsText" text="Normal">
      <formula>NOT(ISERROR(SEARCH("Normal",A46)))</formula>
    </cfRule>
    <cfRule type="containsText" dxfId="308" priority="240" operator="containsText" text="Psychic">
      <formula>NOT(ISERROR(SEARCH("Psychic",A46)))</formula>
    </cfRule>
    <cfRule type="containsText" dxfId="307" priority="241" operator="containsText" text="Ghost">
      <formula>NOT(ISERROR(SEARCH("Ghost",A46)))</formula>
    </cfRule>
  </conditionalFormatting>
  <conditionalFormatting sqref="A66">
    <cfRule type="containsText" dxfId="306" priority="206" operator="containsText" text="Fairy">
      <formula>NOT(ISERROR(SEARCH("Fairy",A66)))</formula>
    </cfRule>
  </conditionalFormatting>
  <conditionalFormatting sqref="A66">
    <cfRule type="containsText" dxfId="305" priority="207" operator="containsText" text="Water">
      <formula>NOT(ISERROR(SEARCH("Water",A66)))</formula>
    </cfRule>
    <cfRule type="containsText" dxfId="304" priority="208" operator="containsText" text="Steel">
      <formula>NOT(ISERROR(SEARCH("Steel",A66)))</formula>
    </cfRule>
    <cfRule type="containsText" dxfId="303" priority="209" operator="containsText" text="Rock">
      <formula>NOT(ISERROR(SEARCH("Rock",A66)))</formula>
    </cfRule>
    <cfRule type="containsText" dxfId="302" priority="210" operator="containsText" text="Poison">
      <formula>NOT(ISERROR(SEARCH("Poison",A66)))</formula>
    </cfRule>
    <cfRule type="containsText" dxfId="301" priority="211" operator="containsText" text="Ice">
      <formula>NOT(ISERROR(SEARCH("Ice",A66)))</formula>
    </cfRule>
    <cfRule type="containsText" dxfId="300" priority="212" operator="containsText" text="Ground">
      <formula>NOT(ISERROR(SEARCH("Ground",A66)))</formula>
    </cfRule>
    <cfRule type="containsText" dxfId="299" priority="213" operator="containsText" text="Grass">
      <formula>NOT(ISERROR(SEARCH("Grass",A66)))</formula>
    </cfRule>
    <cfRule type="containsText" dxfId="298" priority="214" operator="containsText" text="Flying">
      <formula>NOT(ISERROR(SEARCH("Flying",A66)))</formula>
    </cfRule>
    <cfRule type="containsText" dxfId="297" priority="215" operator="containsText" text="Fighting">
      <formula>NOT(ISERROR(SEARCH("Fighting",A66)))</formula>
    </cfRule>
    <cfRule type="containsText" dxfId="296" priority="216" operator="containsText" text="Electric">
      <formula>NOT(ISERROR(SEARCH("Electric",A66)))</formula>
    </cfRule>
    <cfRule type="containsText" dxfId="295" priority="217" operator="containsText" text="Dragon">
      <formula>NOT(ISERROR(SEARCH("Dragon",A66)))</formula>
    </cfRule>
    <cfRule type="containsText" dxfId="294" priority="218" operator="containsText" text="Dark">
      <formula>NOT(ISERROR(SEARCH("Dark",A66)))</formula>
    </cfRule>
    <cfRule type="containsText" dxfId="293" priority="219" operator="containsText" text="Bug">
      <formula>NOT(ISERROR(SEARCH("Bug",A66)))</formula>
    </cfRule>
    <cfRule type="containsText" dxfId="292" priority="220" operator="containsText" text="Fire">
      <formula>NOT(ISERROR(SEARCH("Fire",A66)))</formula>
    </cfRule>
    <cfRule type="containsText" dxfId="291" priority="221" operator="containsText" text="Normal">
      <formula>NOT(ISERROR(SEARCH("Normal",A66)))</formula>
    </cfRule>
    <cfRule type="containsText" dxfId="290" priority="222" operator="containsText" text="Psychic">
      <formula>NOT(ISERROR(SEARCH("Psychic",A66)))</formula>
    </cfRule>
    <cfRule type="containsText" dxfId="289" priority="223" operator="containsText" text="Ghost">
      <formula>NOT(ISERROR(SEARCH("Ghost",A66)))</formula>
    </cfRule>
  </conditionalFormatting>
  <conditionalFormatting sqref="A86">
    <cfRule type="containsText" dxfId="288" priority="188" operator="containsText" text="Fairy">
      <formula>NOT(ISERROR(SEARCH("Fairy",A86)))</formula>
    </cfRule>
  </conditionalFormatting>
  <conditionalFormatting sqref="A86">
    <cfRule type="containsText" dxfId="287" priority="189" operator="containsText" text="Water">
      <formula>NOT(ISERROR(SEARCH("Water",A86)))</formula>
    </cfRule>
    <cfRule type="containsText" dxfId="286" priority="190" operator="containsText" text="Steel">
      <formula>NOT(ISERROR(SEARCH("Steel",A86)))</formula>
    </cfRule>
    <cfRule type="containsText" dxfId="285" priority="191" operator="containsText" text="Rock">
      <formula>NOT(ISERROR(SEARCH("Rock",A86)))</formula>
    </cfRule>
    <cfRule type="containsText" dxfId="284" priority="192" operator="containsText" text="Poison">
      <formula>NOT(ISERROR(SEARCH("Poison",A86)))</formula>
    </cfRule>
    <cfRule type="containsText" dxfId="283" priority="193" operator="containsText" text="Ice">
      <formula>NOT(ISERROR(SEARCH("Ice",A86)))</formula>
    </cfRule>
    <cfRule type="containsText" dxfId="282" priority="194" operator="containsText" text="Ground">
      <formula>NOT(ISERROR(SEARCH("Ground",A86)))</formula>
    </cfRule>
    <cfRule type="containsText" dxfId="281" priority="195" operator="containsText" text="Grass">
      <formula>NOT(ISERROR(SEARCH("Grass",A86)))</formula>
    </cfRule>
    <cfRule type="containsText" dxfId="280" priority="196" operator="containsText" text="Flying">
      <formula>NOT(ISERROR(SEARCH("Flying",A86)))</formula>
    </cfRule>
    <cfRule type="containsText" dxfId="279" priority="197" operator="containsText" text="Fighting">
      <formula>NOT(ISERROR(SEARCH("Fighting",A86)))</formula>
    </cfRule>
    <cfRule type="containsText" dxfId="278" priority="198" operator="containsText" text="Electric">
      <formula>NOT(ISERROR(SEARCH("Electric",A86)))</formula>
    </cfRule>
    <cfRule type="containsText" dxfId="277" priority="199" operator="containsText" text="Dragon">
      <formula>NOT(ISERROR(SEARCH("Dragon",A86)))</formula>
    </cfRule>
    <cfRule type="containsText" dxfId="276" priority="200" operator="containsText" text="Dark">
      <formula>NOT(ISERROR(SEARCH("Dark",A86)))</formula>
    </cfRule>
    <cfRule type="containsText" dxfId="275" priority="201" operator="containsText" text="Bug">
      <formula>NOT(ISERROR(SEARCH("Bug",A86)))</formula>
    </cfRule>
    <cfRule type="containsText" dxfId="274" priority="202" operator="containsText" text="Fire">
      <formula>NOT(ISERROR(SEARCH("Fire",A86)))</formula>
    </cfRule>
    <cfRule type="containsText" dxfId="273" priority="203" operator="containsText" text="Normal">
      <formula>NOT(ISERROR(SEARCH("Normal",A86)))</formula>
    </cfRule>
    <cfRule type="containsText" dxfId="272" priority="204" operator="containsText" text="Psychic">
      <formula>NOT(ISERROR(SEARCH("Psychic",A86)))</formula>
    </cfRule>
    <cfRule type="containsText" dxfId="271" priority="205" operator="containsText" text="Ghost">
      <formula>NOT(ISERROR(SEARCH("Ghost",A86)))</formula>
    </cfRule>
  </conditionalFormatting>
  <conditionalFormatting sqref="C44">
    <cfRule type="containsText" dxfId="270" priority="171" operator="containsText" text="Water">
      <formula>NOT(ISERROR(SEARCH("Water",C44)))</formula>
    </cfRule>
    <cfRule type="containsText" dxfId="269" priority="172" operator="containsText" text="Steel">
      <formula>NOT(ISERROR(SEARCH("Steel",C44)))</formula>
    </cfRule>
    <cfRule type="containsText" dxfId="268" priority="173" operator="containsText" text="Rock">
      <formula>NOT(ISERROR(SEARCH("Rock",C44)))</formula>
    </cfRule>
    <cfRule type="containsText" dxfId="267" priority="174" operator="containsText" text="Poison">
      <formula>NOT(ISERROR(SEARCH("Poison",C44)))</formula>
    </cfRule>
    <cfRule type="containsText" dxfId="266" priority="175" operator="containsText" text="Ice">
      <formula>NOT(ISERROR(SEARCH("Ice",C44)))</formula>
    </cfRule>
    <cfRule type="containsText" dxfId="265" priority="176" operator="containsText" text="Ground">
      <formula>NOT(ISERROR(SEARCH("Ground",C44)))</formula>
    </cfRule>
    <cfRule type="containsText" dxfId="264" priority="177" operator="containsText" text="Grass">
      <formula>NOT(ISERROR(SEARCH("Grass",C44)))</formula>
    </cfRule>
    <cfRule type="containsText" dxfId="263" priority="178" operator="containsText" text="Flying">
      <formula>NOT(ISERROR(SEARCH("Flying",C44)))</formula>
    </cfRule>
    <cfRule type="containsText" dxfId="262" priority="179" operator="containsText" text="Fighting">
      <formula>NOT(ISERROR(SEARCH("Fighting",C44)))</formula>
    </cfRule>
    <cfRule type="containsText" dxfId="261" priority="180" operator="containsText" text="Electric">
      <formula>NOT(ISERROR(SEARCH("Electric",C44)))</formula>
    </cfRule>
    <cfRule type="containsText" dxfId="260" priority="181" operator="containsText" text="Dragon">
      <formula>NOT(ISERROR(SEARCH("Dragon",C44)))</formula>
    </cfRule>
    <cfRule type="containsText" dxfId="259" priority="182" operator="containsText" text="Dark">
      <formula>NOT(ISERROR(SEARCH("Dark",C44)))</formula>
    </cfRule>
    <cfRule type="containsText" dxfId="258" priority="183" operator="containsText" text="Bug">
      <formula>NOT(ISERROR(SEARCH("Bug",C44)))</formula>
    </cfRule>
    <cfRule type="containsText" dxfId="257" priority="184" operator="containsText" text="Fire">
      <formula>NOT(ISERROR(SEARCH("Fire",C44)))</formula>
    </cfRule>
    <cfRule type="containsText" dxfId="256" priority="185" operator="containsText" text="Normal">
      <formula>NOT(ISERROR(SEARCH("Normal",C44)))</formula>
    </cfRule>
    <cfRule type="containsText" dxfId="255" priority="186" operator="containsText" text="Psychic">
      <formula>NOT(ISERROR(SEARCH("Psychic",C44)))</formula>
    </cfRule>
    <cfRule type="containsText" dxfId="254" priority="187" operator="containsText" text="Ghost">
      <formula>NOT(ISERROR(SEARCH("Ghost",C44)))</formula>
    </cfRule>
  </conditionalFormatting>
  <conditionalFormatting sqref="C43">
    <cfRule type="containsText" dxfId="253" priority="154" operator="containsText" text="Water">
      <formula>NOT(ISERROR(SEARCH("Water",C43)))</formula>
    </cfRule>
    <cfRule type="containsText" dxfId="252" priority="155" operator="containsText" text="Steel">
      <formula>NOT(ISERROR(SEARCH("Steel",C43)))</formula>
    </cfRule>
    <cfRule type="containsText" dxfId="251" priority="156" operator="containsText" text="Rock">
      <formula>NOT(ISERROR(SEARCH("Rock",C43)))</formula>
    </cfRule>
    <cfRule type="containsText" dxfId="250" priority="157" operator="containsText" text="Poison">
      <formula>NOT(ISERROR(SEARCH("Poison",C43)))</formula>
    </cfRule>
    <cfRule type="containsText" dxfId="249" priority="158" operator="containsText" text="Ice">
      <formula>NOT(ISERROR(SEARCH("Ice",C43)))</formula>
    </cfRule>
    <cfRule type="containsText" dxfId="248" priority="159" operator="containsText" text="Ground">
      <formula>NOT(ISERROR(SEARCH("Ground",C43)))</formula>
    </cfRule>
    <cfRule type="containsText" dxfId="247" priority="160" operator="containsText" text="Grass">
      <formula>NOT(ISERROR(SEARCH("Grass",C43)))</formula>
    </cfRule>
    <cfRule type="containsText" dxfId="246" priority="161" operator="containsText" text="Flying">
      <formula>NOT(ISERROR(SEARCH("Flying",C43)))</formula>
    </cfRule>
    <cfRule type="containsText" dxfId="245" priority="162" operator="containsText" text="Fighting">
      <formula>NOT(ISERROR(SEARCH("Fighting",C43)))</formula>
    </cfRule>
    <cfRule type="containsText" dxfId="244" priority="163" operator="containsText" text="Electric">
      <formula>NOT(ISERROR(SEARCH("Electric",C43)))</formula>
    </cfRule>
    <cfRule type="containsText" dxfId="243" priority="164" operator="containsText" text="Dragon">
      <formula>NOT(ISERROR(SEARCH("Dragon",C43)))</formula>
    </cfRule>
    <cfRule type="containsText" dxfId="242" priority="165" operator="containsText" text="Dark">
      <formula>NOT(ISERROR(SEARCH("Dark",C43)))</formula>
    </cfRule>
    <cfRule type="containsText" dxfId="241" priority="166" operator="containsText" text="Bug">
      <formula>NOT(ISERROR(SEARCH("Bug",C43)))</formula>
    </cfRule>
    <cfRule type="containsText" dxfId="240" priority="167" operator="containsText" text="Fire">
      <formula>NOT(ISERROR(SEARCH("Fire",C43)))</formula>
    </cfRule>
    <cfRule type="containsText" dxfId="239" priority="168" operator="containsText" text="Normal">
      <formula>NOT(ISERROR(SEARCH("Normal",C43)))</formula>
    </cfRule>
    <cfRule type="containsText" dxfId="238" priority="169" operator="containsText" text="Psychic">
      <formula>NOT(ISERROR(SEARCH("Psychic",C43)))</formula>
    </cfRule>
    <cfRule type="containsText" dxfId="237" priority="170" operator="containsText" text="Ghost">
      <formula>NOT(ISERROR(SEARCH("Ghost",C43)))</formula>
    </cfRule>
  </conditionalFormatting>
  <conditionalFormatting sqref="B35">
    <cfRule type="containsText" dxfId="236" priority="120" operator="containsText" text="Water">
      <formula>NOT(ISERROR(SEARCH("Water",B35)))</formula>
    </cfRule>
    <cfRule type="containsText" dxfId="235" priority="121" operator="containsText" text="Steel">
      <formula>NOT(ISERROR(SEARCH("Steel",B35)))</formula>
    </cfRule>
    <cfRule type="containsText" dxfId="234" priority="122" operator="containsText" text="Rock">
      <formula>NOT(ISERROR(SEARCH("Rock",B35)))</formula>
    </cfRule>
    <cfRule type="containsText" dxfId="233" priority="123" operator="containsText" text="Poison">
      <formula>NOT(ISERROR(SEARCH("Poison",B35)))</formula>
    </cfRule>
    <cfRule type="containsText" dxfId="232" priority="124" operator="containsText" text="Ice">
      <formula>NOT(ISERROR(SEARCH("Ice",B35)))</formula>
    </cfRule>
    <cfRule type="containsText" dxfId="231" priority="125" operator="containsText" text="Ground">
      <formula>NOT(ISERROR(SEARCH("Ground",B35)))</formula>
    </cfRule>
    <cfRule type="containsText" dxfId="230" priority="126" operator="containsText" text="Grass">
      <formula>NOT(ISERROR(SEARCH("Grass",B35)))</formula>
    </cfRule>
    <cfRule type="containsText" dxfId="229" priority="127" operator="containsText" text="Flying">
      <formula>NOT(ISERROR(SEARCH("Flying",B35)))</formula>
    </cfRule>
    <cfRule type="containsText" dxfId="228" priority="128" operator="containsText" text="Fighting">
      <formula>NOT(ISERROR(SEARCH("Fighting",B35)))</formula>
    </cfRule>
    <cfRule type="containsText" dxfId="227" priority="129" operator="containsText" text="Electric">
      <formula>NOT(ISERROR(SEARCH("Electric",B35)))</formula>
    </cfRule>
    <cfRule type="containsText" dxfId="226" priority="130" operator="containsText" text="Dragon">
      <formula>NOT(ISERROR(SEARCH("Dragon",B35)))</formula>
    </cfRule>
    <cfRule type="containsText" dxfId="225" priority="131" operator="containsText" text="Dark">
      <formula>NOT(ISERROR(SEARCH("Dark",B35)))</formula>
    </cfRule>
    <cfRule type="containsText" dxfId="224" priority="132" operator="containsText" text="Bug">
      <formula>NOT(ISERROR(SEARCH("Bug",B35)))</formula>
    </cfRule>
    <cfRule type="containsText" dxfId="223" priority="133" operator="containsText" text="Fire">
      <formula>NOT(ISERROR(SEARCH("Fire",B35)))</formula>
    </cfRule>
    <cfRule type="containsText" dxfId="222" priority="134" operator="containsText" text="Normal">
      <formula>NOT(ISERROR(SEARCH("Normal",B35)))</formula>
    </cfRule>
    <cfRule type="containsText" dxfId="221" priority="135" operator="containsText" text="Psychic">
      <formula>NOT(ISERROR(SEARCH("Psychic",B35)))</formula>
    </cfRule>
    <cfRule type="containsText" dxfId="220" priority="136" operator="containsText" text="Ghost">
      <formula>NOT(ISERROR(SEARCH("Ghost",B35)))</formula>
    </cfRule>
  </conditionalFormatting>
  <conditionalFormatting sqref="B38">
    <cfRule type="containsText" dxfId="219" priority="103" operator="containsText" text="Water">
      <formula>NOT(ISERROR(SEARCH("Water",B38)))</formula>
    </cfRule>
    <cfRule type="containsText" dxfId="218" priority="104" operator="containsText" text="Steel">
      <formula>NOT(ISERROR(SEARCH("Steel",B38)))</formula>
    </cfRule>
    <cfRule type="containsText" dxfId="217" priority="105" operator="containsText" text="Rock">
      <formula>NOT(ISERROR(SEARCH("Rock",B38)))</formula>
    </cfRule>
    <cfRule type="containsText" dxfId="216" priority="106" operator="containsText" text="Poison">
      <formula>NOT(ISERROR(SEARCH("Poison",B38)))</formula>
    </cfRule>
    <cfRule type="containsText" dxfId="215" priority="107" operator="containsText" text="Ice">
      <formula>NOT(ISERROR(SEARCH("Ice",B38)))</formula>
    </cfRule>
    <cfRule type="containsText" dxfId="214" priority="108" operator="containsText" text="Ground">
      <formula>NOT(ISERROR(SEARCH("Ground",B38)))</formula>
    </cfRule>
    <cfRule type="containsText" dxfId="213" priority="109" operator="containsText" text="Grass">
      <formula>NOT(ISERROR(SEARCH("Grass",B38)))</formula>
    </cfRule>
    <cfRule type="containsText" dxfId="212" priority="110" operator="containsText" text="Flying">
      <formula>NOT(ISERROR(SEARCH("Flying",B38)))</formula>
    </cfRule>
    <cfRule type="containsText" dxfId="211" priority="111" operator="containsText" text="Fighting">
      <formula>NOT(ISERROR(SEARCH("Fighting",B38)))</formula>
    </cfRule>
    <cfRule type="containsText" dxfId="210" priority="112" operator="containsText" text="Electric">
      <formula>NOT(ISERROR(SEARCH("Electric",B38)))</formula>
    </cfRule>
    <cfRule type="containsText" dxfId="209" priority="113" operator="containsText" text="Dragon">
      <formula>NOT(ISERROR(SEARCH("Dragon",B38)))</formula>
    </cfRule>
    <cfRule type="containsText" dxfId="208" priority="114" operator="containsText" text="Dark">
      <formula>NOT(ISERROR(SEARCH("Dark",B38)))</formula>
    </cfRule>
    <cfRule type="containsText" dxfId="207" priority="115" operator="containsText" text="Bug">
      <formula>NOT(ISERROR(SEARCH("Bug",B38)))</formula>
    </cfRule>
    <cfRule type="containsText" dxfId="206" priority="116" operator="containsText" text="Fire">
      <formula>NOT(ISERROR(SEARCH("Fire",B38)))</formula>
    </cfRule>
    <cfRule type="containsText" dxfId="205" priority="117" operator="containsText" text="Normal">
      <formula>NOT(ISERROR(SEARCH("Normal",B38)))</formula>
    </cfRule>
    <cfRule type="containsText" dxfId="204" priority="118" operator="containsText" text="Psychic">
      <formula>NOT(ISERROR(SEARCH("Psychic",B38)))</formula>
    </cfRule>
    <cfRule type="containsText" dxfId="203" priority="119" operator="containsText" text="Ghost">
      <formula>NOT(ISERROR(SEARCH("Ghost",B38)))</formula>
    </cfRule>
  </conditionalFormatting>
  <conditionalFormatting sqref="C87">
    <cfRule type="containsText" dxfId="202" priority="86" operator="containsText" text="Water">
      <formula>NOT(ISERROR(SEARCH("Water",C87)))</formula>
    </cfRule>
    <cfRule type="containsText" dxfId="201" priority="87" operator="containsText" text="Steel">
      <formula>NOT(ISERROR(SEARCH("Steel",C87)))</formula>
    </cfRule>
    <cfRule type="containsText" dxfId="200" priority="88" operator="containsText" text="Rock">
      <formula>NOT(ISERROR(SEARCH("Rock",C87)))</formula>
    </cfRule>
    <cfRule type="containsText" dxfId="199" priority="89" operator="containsText" text="Poison">
      <formula>NOT(ISERROR(SEARCH("Poison",C87)))</formula>
    </cfRule>
    <cfRule type="containsText" dxfId="198" priority="90" operator="containsText" text="Ice">
      <formula>NOT(ISERROR(SEARCH("Ice",C87)))</formula>
    </cfRule>
    <cfRule type="containsText" dxfId="197" priority="91" operator="containsText" text="Ground">
      <formula>NOT(ISERROR(SEARCH("Ground",C87)))</formula>
    </cfRule>
    <cfRule type="containsText" dxfId="196" priority="92" operator="containsText" text="Grass">
      <formula>NOT(ISERROR(SEARCH("Grass",C87)))</formula>
    </cfRule>
    <cfRule type="containsText" dxfId="195" priority="93" operator="containsText" text="Flying">
      <formula>NOT(ISERROR(SEARCH("Flying",C87)))</formula>
    </cfRule>
    <cfRule type="containsText" dxfId="194" priority="94" operator="containsText" text="Fighting">
      <formula>NOT(ISERROR(SEARCH("Fighting",C87)))</formula>
    </cfRule>
    <cfRule type="containsText" dxfId="193" priority="95" operator="containsText" text="Electric">
      <formula>NOT(ISERROR(SEARCH("Electric",C87)))</formula>
    </cfRule>
    <cfRule type="containsText" dxfId="192" priority="96" operator="containsText" text="Dragon">
      <formula>NOT(ISERROR(SEARCH("Dragon",C87)))</formula>
    </cfRule>
    <cfRule type="containsText" dxfId="191" priority="97" operator="containsText" text="Dark">
      <formula>NOT(ISERROR(SEARCH("Dark",C87)))</formula>
    </cfRule>
    <cfRule type="containsText" dxfId="190" priority="98" operator="containsText" text="Bug">
      <formula>NOT(ISERROR(SEARCH("Bug",C87)))</formula>
    </cfRule>
    <cfRule type="containsText" dxfId="189" priority="99" operator="containsText" text="Fire">
      <formula>NOT(ISERROR(SEARCH("Fire",C87)))</formula>
    </cfRule>
    <cfRule type="containsText" dxfId="188" priority="100" operator="containsText" text="Normal">
      <formula>NOT(ISERROR(SEARCH("Normal",C87)))</formula>
    </cfRule>
    <cfRule type="containsText" dxfId="187" priority="101" operator="containsText" text="Psychic">
      <formula>NOT(ISERROR(SEARCH("Psychic",C87)))</formula>
    </cfRule>
    <cfRule type="containsText" dxfId="186" priority="102" operator="containsText" text="Ghost">
      <formula>NOT(ISERROR(SEARCH("Ghost",C87)))</formula>
    </cfRule>
  </conditionalFormatting>
  <conditionalFormatting sqref="B82">
    <cfRule type="containsText" dxfId="185" priority="69" operator="containsText" text="Water">
      <formula>NOT(ISERROR(SEARCH("Water",B82)))</formula>
    </cfRule>
    <cfRule type="containsText" dxfId="184" priority="70" operator="containsText" text="Steel">
      <formula>NOT(ISERROR(SEARCH("Steel",B82)))</formula>
    </cfRule>
    <cfRule type="containsText" dxfId="183" priority="71" operator="containsText" text="Rock">
      <formula>NOT(ISERROR(SEARCH("Rock",B82)))</formula>
    </cfRule>
    <cfRule type="containsText" dxfId="182" priority="72" operator="containsText" text="Poison">
      <formula>NOT(ISERROR(SEARCH("Poison",B82)))</formula>
    </cfRule>
    <cfRule type="containsText" dxfId="181" priority="73" operator="containsText" text="Ice">
      <formula>NOT(ISERROR(SEARCH("Ice",B82)))</formula>
    </cfRule>
    <cfRule type="containsText" dxfId="180" priority="74" operator="containsText" text="Ground">
      <formula>NOT(ISERROR(SEARCH("Ground",B82)))</formula>
    </cfRule>
    <cfRule type="containsText" dxfId="179" priority="75" operator="containsText" text="Grass">
      <formula>NOT(ISERROR(SEARCH("Grass",B82)))</formula>
    </cfRule>
    <cfRule type="containsText" dxfId="178" priority="76" operator="containsText" text="Flying">
      <formula>NOT(ISERROR(SEARCH("Flying",B82)))</formula>
    </cfRule>
    <cfRule type="containsText" dxfId="177" priority="77" operator="containsText" text="Fighting">
      <formula>NOT(ISERROR(SEARCH("Fighting",B82)))</formula>
    </cfRule>
    <cfRule type="containsText" dxfId="176" priority="78" operator="containsText" text="Electric">
      <formula>NOT(ISERROR(SEARCH("Electric",B82)))</formula>
    </cfRule>
    <cfRule type="containsText" dxfId="175" priority="79" operator="containsText" text="Dragon">
      <formula>NOT(ISERROR(SEARCH("Dragon",B82)))</formula>
    </cfRule>
    <cfRule type="containsText" dxfId="174" priority="80" operator="containsText" text="Dark">
      <formula>NOT(ISERROR(SEARCH("Dark",B82)))</formula>
    </cfRule>
    <cfRule type="containsText" dxfId="173" priority="81" operator="containsText" text="Bug">
      <formula>NOT(ISERROR(SEARCH("Bug",B82)))</formula>
    </cfRule>
    <cfRule type="containsText" dxfId="172" priority="82" operator="containsText" text="Fire">
      <formula>NOT(ISERROR(SEARCH("Fire",B82)))</formula>
    </cfRule>
    <cfRule type="containsText" dxfId="171" priority="83" operator="containsText" text="Normal">
      <formula>NOT(ISERROR(SEARCH("Normal",B82)))</formula>
    </cfRule>
    <cfRule type="containsText" dxfId="170" priority="84" operator="containsText" text="Psychic">
      <formula>NOT(ISERROR(SEARCH("Psychic",B82)))</formula>
    </cfRule>
    <cfRule type="containsText" dxfId="169" priority="85" operator="containsText" text="Ghost">
      <formula>NOT(ISERROR(SEARCH("Ghost",B82)))</formula>
    </cfRule>
  </conditionalFormatting>
  <conditionalFormatting sqref="C83">
    <cfRule type="containsText" dxfId="168" priority="52" operator="containsText" text="Water">
      <formula>NOT(ISERROR(SEARCH("Water",C83)))</formula>
    </cfRule>
    <cfRule type="containsText" dxfId="167" priority="53" operator="containsText" text="Steel">
      <formula>NOT(ISERROR(SEARCH("Steel",C83)))</formula>
    </cfRule>
    <cfRule type="containsText" dxfId="166" priority="54" operator="containsText" text="Rock">
      <formula>NOT(ISERROR(SEARCH("Rock",C83)))</formula>
    </cfRule>
    <cfRule type="containsText" dxfId="165" priority="55" operator="containsText" text="Poison">
      <formula>NOT(ISERROR(SEARCH("Poison",C83)))</formula>
    </cfRule>
    <cfRule type="containsText" dxfId="164" priority="56" operator="containsText" text="Ice">
      <formula>NOT(ISERROR(SEARCH("Ice",C83)))</formula>
    </cfRule>
    <cfRule type="containsText" dxfId="163" priority="57" operator="containsText" text="Ground">
      <formula>NOT(ISERROR(SEARCH("Ground",C83)))</formula>
    </cfRule>
    <cfRule type="containsText" dxfId="162" priority="58" operator="containsText" text="Grass">
      <formula>NOT(ISERROR(SEARCH("Grass",C83)))</formula>
    </cfRule>
    <cfRule type="containsText" dxfId="161" priority="59" operator="containsText" text="Flying">
      <formula>NOT(ISERROR(SEARCH("Flying",C83)))</formula>
    </cfRule>
    <cfRule type="containsText" dxfId="160" priority="60" operator="containsText" text="Fighting">
      <formula>NOT(ISERROR(SEARCH("Fighting",C83)))</formula>
    </cfRule>
    <cfRule type="containsText" dxfId="159" priority="61" operator="containsText" text="Electric">
      <formula>NOT(ISERROR(SEARCH("Electric",C83)))</formula>
    </cfRule>
    <cfRule type="containsText" dxfId="158" priority="62" operator="containsText" text="Dragon">
      <formula>NOT(ISERROR(SEARCH("Dragon",C83)))</formula>
    </cfRule>
    <cfRule type="containsText" dxfId="157" priority="63" operator="containsText" text="Dark">
      <formula>NOT(ISERROR(SEARCH("Dark",C83)))</formula>
    </cfRule>
    <cfRule type="containsText" dxfId="156" priority="64" operator="containsText" text="Bug">
      <formula>NOT(ISERROR(SEARCH("Bug",C83)))</formula>
    </cfRule>
    <cfRule type="containsText" dxfId="155" priority="65" operator="containsText" text="Fire">
      <formula>NOT(ISERROR(SEARCH("Fire",C83)))</formula>
    </cfRule>
    <cfRule type="containsText" dxfId="154" priority="66" operator="containsText" text="Normal">
      <formula>NOT(ISERROR(SEARCH("Normal",C83)))</formula>
    </cfRule>
    <cfRule type="containsText" dxfId="153" priority="67" operator="containsText" text="Psychic">
      <formula>NOT(ISERROR(SEARCH("Psychic",C83)))</formula>
    </cfRule>
    <cfRule type="containsText" dxfId="152" priority="68" operator="containsText" text="Ghost">
      <formula>NOT(ISERROR(SEARCH("Ghost",C83)))</formula>
    </cfRule>
  </conditionalFormatting>
  <conditionalFormatting sqref="C68">
    <cfRule type="containsText" dxfId="151" priority="35" operator="containsText" text="Water">
      <formula>NOT(ISERROR(SEARCH("Water",C68)))</formula>
    </cfRule>
    <cfRule type="containsText" dxfId="150" priority="36" operator="containsText" text="Steel">
      <formula>NOT(ISERROR(SEARCH("Steel",C68)))</formula>
    </cfRule>
    <cfRule type="containsText" dxfId="149" priority="37" operator="containsText" text="Rock">
      <formula>NOT(ISERROR(SEARCH("Rock",C68)))</formula>
    </cfRule>
    <cfRule type="containsText" dxfId="148" priority="38" operator="containsText" text="Poison">
      <formula>NOT(ISERROR(SEARCH("Poison",C68)))</formula>
    </cfRule>
    <cfRule type="containsText" dxfId="147" priority="39" operator="containsText" text="Ice">
      <formula>NOT(ISERROR(SEARCH("Ice",C68)))</formula>
    </cfRule>
    <cfRule type="containsText" dxfId="146" priority="40" operator="containsText" text="Ground">
      <formula>NOT(ISERROR(SEARCH("Ground",C68)))</formula>
    </cfRule>
    <cfRule type="containsText" dxfId="145" priority="41" operator="containsText" text="Grass">
      <formula>NOT(ISERROR(SEARCH("Grass",C68)))</formula>
    </cfRule>
    <cfRule type="containsText" dxfId="144" priority="42" operator="containsText" text="Flying">
      <formula>NOT(ISERROR(SEARCH("Flying",C68)))</formula>
    </cfRule>
    <cfRule type="containsText" dxfId="143" priority="43" operator="containsText" text="Fighting">
      <formula>NOT(ISERROR(SEARCH("Fighting",C68)))</formula>
    </cfRule>
    <cfRule type="containsText" dxfId="142" priority="44" operator="containsText" text="Electric">
      <formula>NOT(ISERROR(SEARCH("Electric",C68)))</formula>
    </cfRule>
    <cfRule type="containsText" dxfId="141" priority="45" operator="containsText" text="Dragon">
      <formula>NOT(ISERROR(SEARCH("Dragon",C68)))</formula>
    </cfRule>
    <cfRule type="containsText" dxfId="140" priority="46" operator="containsText" text="Dark">
      <formula>NOT(ISERROR(SEARCH("Dark",C68)))</formula>
    </cfRule>
    <cfRule type="containsText" dxfId="139" priority="47" operator="containsText" text="Bug">
      <formula>NOT(ISERROR(SEARCH("Bug",C68)))</formula>
    </cfRule>
    <cfRule type="containsText" dxfId="138" priority="48" operator="containsText" text="Fire">
      <formula>NOT(ISERROR(SEARCH("Fire",C68)))</formula>
    </cfRule>
    <cfRule type="containsText" dxfId="137" priority="49" operator="containsText" text="Normal">
      <formula>NOT(ISERROR(SEARCH("Normal",C68)))</formula>
    </cfRule>
    <cfRule type="containsText" dxfId="136" priority="50" operator="containsText" text="Psychic">
      <formula>NOT(ISERROR(SEARCH("Psychic",C68)))</formula>
    </cfRule>
    <cfRule type="containsText" dxfId="135" priority="51" operator="containsText" text="Ghost">
      <formula>NOT(ISERROR(SEARCH("Ghost",C68)))</formula>
    </cfRule>
  </conditionalFormatting>
  <conditionalFormatting sqref="C75">
    <cfRule type="containsText" dxfId="134" priority="18" operator="containsText" text="Water">
      <formula>NOT(ISERROR(SEARCH("Water",C75)))</formula>
    </cfRule>
    <cfRule type="containsText" dxfId="133" priority="19" operator="containsText" text="Steel">
      <formula>NOT(ISERROR(SEARCH("Steel",C75)))</formula>
    </cfRule>
    <cfRule type="containsText" dxfId="132" priority="20" operator="containsText" text="Rock">
      <formula>NOT(ISERROR(SEARCH("Rock",C75)))</formula>
    </cfRule>
    <cfRule type="containsText" dxfId="131" priority="21" operator="containsText" text="Poison">
      <formula>NOT(ISERROR(SEARCH("Poison",C75)))</formula>
    </cfRule>
    <cfRule type="containsText" dxfId="130" priority="22" operator="containsText" text="Ice">
      <formula>NOT(ISERROR(SEARCH("Ice",C75)))</formula>
    </cfRule>
    <cfRule type="containsText" dxfId="129" priority="23" operator="containsText" text="Ground">
      <formula>NOT(ISERROR(SEARCH("Ground",C75)))</formula>
    </cfRule>
    <cfRule type="containsText" dxfId="128" priority="24" operator="containsText" text="Grass">
      <formula>NOT(ISERROR(SEARCH("Grass",C75)))</formula>
    </cfRule>
    <cfRule type="containsText" dxfId="127" priority="25" operator="containsText" text="Flying">
      <formula>NOT(ISERROR(SEARCH("Flying",C75)))</formula>
    </cfRule>
    <cfRule type="containsText" dxfId="126" priority="26" operator="containsText" text="Fighting">
      <formula>NOT(ISERROR(SEARCH("Fighting",C75)))</formula>
    </cfRule>
    <cfRule type="containsText" dxfId="125" priority="27" operator="containsText" text="Electric">
      <formula>NOT(ISERROR(SEARCH("Electric",C75)))</formula>
    </cfRule>
    <cfRule type="containsText" dxfId="124" priority="28" operator="containsText" text="Dragon">
      <formula>NOT(ISERROR(SEARCH("Dragon",C75)))</formula>
    </cfRule>
    <cfRule type="containsText" dxfId="123" priority="29" operator="containsText" text="Dark">
      <formula>NOT(ISERROR(SEARCH("Dark",C75)))</formula>
    </cfRule>
    <cfRule type="containsText" dxfId="122" priority="30" operator="containsText" text="Bug">
      <formula>NOT(ISERROR(SEARCH("Bug",C75)))</formula>
    </cfRule>
    <cfRule type="containsText" dxfId="121" priority="31" operator="containsText" text="Fire">
      <formula>NOT(ISERROR(SEARCH("Fire",C75)))</formula>
    </cfRule>
    <cfRule type="containsText" dxfId="120" priority="32" operator="containsText" text="Normal">
      <formula>NOT(ISERROR(SEARCH("Normal",C75)))</formula>
    </cfRule>
    <cfRule type="containsText" dxfId="119" priority="33" operator="containsText" text="Psychic">
      <formula>NOT(ISERROR(SEARCH("Psychic",C75)))</formula>
    </cfRule>
    <cfRule type="containsText" dxfId="118" priority="34" operator="containsText" text="Ghost">
      <formula>NOT(ISERROR(SEARCH("Ghost",C75)))</formula>
    </cfRule>
  </conditionalFormatting>
  <conditionalFormatting sqref="E78">
    <cfRule type="containsText" dxfId="117" priority="1" operator="containsText" text="Water">
      <formula>NOT(ISERROR(SEARCH("Water",E78)))</formula>
    </cfRule>
    <cfRule type="containsText" dxfId="116" priority="2" operator="containsText" text="Steel">
      <formula>NOT(ISERROR(SEARCH("Steel",E78)))</formula>
    </cfRule>
    <cfRule type="containsText" dxfId="115" priority="3" operator="containsText" text="Rock">
      <formula>NOT(ISERROR(SEARCH("Rock",E78)))</formula>
    </cfRule>
    <cfRule type="containsText" dxfId="114" priority="4" operator="containsText" text="Poison">
      <formula>NOT(ISERROR(SEARCH("Poison",E78)))</formula>
    </cfRule>
    <cfRule type="containsText" dxfId="113" priority="5" operator="containsText" text="Ice">
      <formula>NOT(ISERROR(SEARCH("Ice",E78)))</formula>
    </cfRule>
    <cfRule type="containsText" dxfId="112" priority="6" operator="containsText" text="Ground">
      <formula>NOT(ISERROR(SEARCH("Ground",E78)))</formula>
    </cfRule>
    <cfRule type="containsText" dxfId="111" priority="7" operator="containsText" text="Grass">
      <formula>NOT(ISERROR(SEARCH("Grass",E78)))</formula>
    </cfRule>
    <cfRule type="containsText" dxfId="110" priority="8" operator="containsText" text="Flying">
      <formula>NOT(ISERROR(SEARCH("Flying",E78)))</formula>
    </cfRule>
    <cfRule type="containsText" dxfId="109" priority="9" operator="containsText" text="Fighting">
      <formula>NOT(ISERROR(SEARCH("Fighting",E78)))</formula>
    </cfRule>
    <cfRule type="containsText" dxfId="108" priority="10" operator="containsText" text="Electric">
      <formula>NOT(ISERROR(SEARCH("Electric",E78)))</formula>
    </cfRule>
    <cfRule type="containsText" dxfId="107" priority="11" operator="containsText" text="Dragon">
      <formula>NOT(ISERROR(SEARCH("Dragon",E78)))</formula>
    </cfRule>
    <cfRule type="containsText" dxfId="106" priority="12" operator="containsText" text="Dark">
      <formula>NOT(ISERROR(SEARCH("Dark",E78)))</formula>
    </cfRule>
    <cfRule type="containsText" dxfId="105" priority="13" operator="containsText" text="Bug">
      <formula>NOT(ISERROR(SEARCH("Bug",E78)))</formula>
    </cfRule>
    <cfRule type="containsText" dxfId="104" priority="14" operator="containsText" text="Fire">
      <formula>NOT(ISERROR(SEARCH("Fire",E78)))</formula>
    </cfRule>
    <cfRule type="containsText" dxfId="103" priority="15" operator="containsText" text="Normal">
      <formula>NOT(ISERROR(SEARCH("Normal",E78)))</formula>
    </cfRule>
    <cfRule type="containsText" dxfId="102" priority="16" operator="containsText" text="Psychic">
      <formula>NOT(ISERROR(SEARCH("Psychic",E78)))</formula>
    </cfRule>
    <cfRule type="containsText" dxfId="101" priority="17" operator="containsText" text="Ghost">
      <formula>NOT(ISERROR(SEARCH("Ghost",E78)))</formula>
    </cfRule>
  </conditionalFormatting>
  <dataValidations disablePrompts="1" count="1">
    <dataValidation type="list" allowBlank="1" showInputMessage="1" showErrorMessage="1" sqref="G21">
      <formula1>"Physical, Special, Status"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PartySavesSheet"/>
  <dimension ref="A1:XFC1"/>
  <sheetViews>
    <sheetView workbookViewId="0">
      <pane ySplit="1" topLeftCell="A2" activePane="bottomLeft" state="frozen"/>
      <selection pane="bottomLeft" activeCell="E3" sqref="E3"/>
    </sheetView>
  </sheetViews>
  <sheetFormatPr defaultColWidth="15.7109375" defaultRowHeight="15"/>
  <cols>
    <col min="1" max="1" width="9.85546875" customWidth="1"/>
    <col min="4" max="4" width="8.85546875" customWidth="1"/>
  </cols>
  <sheetData>
    <row r="1" spans="1:16383">
      <c r="A1" s="27" t="s">
        <v>123</v>
      </c>
      <c r="B1" s="27" t="s">
        <v>122</v>
      </c>
      <c r="C1" s="27" t="s">
        <v>1060</v>
      </c>
      <c r="D1" s="27" t="s">
        <v>128</v>
      </c>
      <c r="E1" s="27" t="s">
        <v>0</v>
      </c>
      <c r="F1" s="27" t="s">
        <v>124</v>
      </c>
      <c r="G1" s="27" t="s">
        <v>125</v>
      </c>
      <c r="H1" s="27" t="s">
        <v>126</v>
      </c>
      <c r="I1" s="27" t="s">
        <v>127</v>
      </c>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c r="MV1" s="27"/>
      <c r="MW1" s="27"/>
      <c r="MX1" s="27"/>
      <c r="MY1" s="27"/>
      <c r="MZ1" s="27"/>
      <c r="NA1" s="27"/>
      <c r="NB1" s="27"/>
      <c r="NC1" s="27"/>
      <c r="ND1" s="27"/>
      <c r="NE1" s="27"/>
      <c r="NF1" s="27"/>
      <c r="NG1" s="27"/>
      <c r="NH1" s="27"/>
      <c r="NI1" s="27"/>
      <c r="NJ1" s="27"/>
      <c r="NK1" s="27"/>
      <c r="NL1" s="27"/>
      <c r="NM1" s="27"/>
      <c r="NN1" s="27"/>
      <c r="NO1" s="27"/>
      <c r="NP1" s="27"/>
      <c r="NQ1" s="27"/>
      <c r="NR1" s="27"/>
      <c r="NS1" s="27"/>
      <c r="NT1" s="27"/>
      <c r="NU1" s="27"/>
      <c r="NV1" s="27"/>
      <c r="NW1" s="27"/>
      <c r="NX1" s="27"/>
      <c r="NY1" s="27"/>
      <c r="NZ1" s="27"/>
      <c r="OA1" s="27"/>
      <c r="OB1" s="27"/>
      <c r="OC1" s="27"/>
      <c r="OD1" s="27"/>
      <c r="OE1" s="27"/>
      <c r="OF1" s="27"/>
      <c r="OG1" s="27"/>
      <c r="OH1" s="27"/>
      <c r="OI1" s="27"/>
      <c r="OJ1" s="27"/>
      <c r="OK1" s="27"/>
      <c r="OL1" s="27"/>
      <c r="OM1" s="27"/>
      <c r="ON1" s="27"/>
      <c r="OO1" s="27"/>
      <c r="OP1" s="27"/>
      <c r="OQ1" s="27"/>
      <c r="OR1" s="27"/>
      <c r="OS1" s="27"/>
      <c r="OT1" s="27"/>
      <c r="OU1" s="27"/>
      <c r="OV1" s="27"/>
      <c r="OW1" s="27"/>
      <c r="OX1" s="27"/>
      <c r="OY1" s="27"/>
      <c r="OZ1" s="27"/>
      <c r="PA1" s="27"/>
      <c r="PB1" s="27"/>
      <c r="PC1" s="27"/>
      <c r="PD1" s="27"/>
      <c r="PE1" s="27"/>
      <c r="PF1" s="27"/>
      <c r="PG1" s="27"/>
      <c r="PH1" s="27"/>
      <c r="PI1" s="27"/>
      <c r="PJ1" s="27"/>
      <c r="PK1" s="27"/>
      <c r="PL1" s="27"/>
      <c r="PM1" s="27"/>
      <c r="PN1" s="27"/>
      <c r="PO1" s="27"/>
      <c r="PP1" s="27"/>
      <c r="PQ1" s="27"/>
      <c r="PR1" s="27"/>
      <c r="PS1" s="27"/>
      <c r="PT1" s="27"/>
      <c r="PU1" s="27"/>
      <c r="PV1" s="27"/>
      <c r="PW1" s="27"/>
      <c r="PX1" s="27"/>
      <c r="PY1" s="27"/>
      <c r="PZ1" s="27"/>
      <c r="QA1" s="27"/>
      <c r="QB1" s="27"/>
      <c r="QC1" s="27"/>
      <c r="QD1" s="27"/>
      <c r="QE1" s="27"/>
      <c r="QF1" s="27"/>
      <c r="QG1" s="27"/>
      <c r="QH1" s="27"/>
      <c r="QI1" s="27"/>
      <c r="QJ1" s="27"/>
      <c r="QK1" s="27"/>
      <c r="QL1" s="27"/>
      <c r="QM1" s="27"/>
      <c r="QN1" s="27"/>
      <c r="QO1" s="27"/>
      <c r="QP1" s="27"/>
      <c r="QQ1" s="27"/>
      <c r="QR1" s="27"/>
      <c r="QS1" s="27"/>
      <c r="QT1" s="27"/>
      <c r="QU1" s="27"/>
      <c r="QV1" s="27"/>
      <c r="QW1" s="27"/>
      <c r="QX1" s="27"/>
      <c r="QY1" s="27"/>
      <c r="QZ1" s="27"/>
      <c r="RA1" s="27"/>
      <c r="RB1" s="27"/>
      <c r="RC1" s="27"/>
      <c r="RD1" s="27"/>
      <c r="RE1" s="27"/>
      <c r="RF1" s="27"/>
      <c r="RG1" s="27"/>
      <c r="RH1" s="27"/>
      <c r="RI1" s="27"/>
      <c r="RJ1" s="27"/>
      <c r="RK1" s="27"/>
      <c r="RL1" s="27"/>
      <c r="RM1" s="27"/>
      <c r="RN1" s="27"/>
      <c r="RO1" s="27"/>
      <c r="RP1" s="27"/>
      <c r="RQ1" s="27"/>
      <c r="RR1" s="27"/>
      <c r="RS1" s="27"/>
      <c r="RT1" s="27"/>
      <c r="RU1" s="27"/>
      <c r="RV1" s="27"/>
      <c r="RW1" s="27"/>
      <c r="RX1" s="27"/>
      <c r="RY1" s="27"/>
      <c r="RZ1" s="27"/>
      <c r="SA1" s="27"/>
      <c r="SB1" s="27"/>
      <c r="SC1" s="27"/>
      <c r="SD1" s="27"/>
      <c r="SE1" s="27"/>
      <c r="SF1" s="27"/>
      <c r="SG1" s="27"/>
      <c r="SH1" s="27"/>
      <c r="SI1" s="27"/>
      <c r="SJ1" s="27"/>
      <c r="SK1" s="27"/>
      <c r="SL1" s="27"/>
      <c r="SM1" s="27"/>
      <c r="SN1" s="27"/>
      <c r="SO1" s="27"/>
      <c r="SP1" s="27"/>
      <c r="SQ1" s="27"/>
      <c r="SR1" s="27"/>
      <c r="SS1" s="27"/>
      <c r="ST1" s="27"/>
      <c r="SU1" s="27"/>
      <c r="SV1" s="27"/>
      <c r="SW1" s="27"/>
      <c r="SX1" s="27"/>
      <c r="SY1" s="27"/>
      <c r="SZ1" s="27"/>
      <c r="TA1" s="27"/>
      <c r="TB1" s="27"/>
      <c r="TC1" s="27"/>
      <c r="TD1" s="27"/>
      <c r="TE1" s="27"/>
      <c r="TF1" s="27"/>
      <c r="TG1" s="27"/>
      <c r="TH1" s="27"/>
      <c r="TI1" s="27"/>
      <c r="TJ1" s="27"/>
      <c r="TK1" s="27"/>
      <c r="TL1" s="27"/>
      <c r="TM1" s="27"/>
      <c r="TN1" s="27"/>
      <c r="TO1" s="27"/>
      <c r="TP1" s="27"/>
      <c r="TQ1" s="27"/>
      <c r="TR1" s="27"/>
      <c r="TS1" s="27"/>
      <c r="TT1" s="27"/>
      <c r="TU1" s="27"/>
      <c r="TV1" s="27"/>
      <c r="TW1" s="27"/>
      <c r="TX1" s="27"/>
      <c r="TY1" s="27"/>
      <c r="TZ1" s="27"/>
      <c r="UA1" s="27"/>
      <c r="UB1" s="27"/>
      <c r="UC1" s="27"/>
      <c r="UD1" s="27"/>
      <c r="UE1" s="27"/>
      <c r="UF1" s="27"/>
      <c r="UG1" s="27"/>
      <c r="UH1" s="27"/>
      <c r="UI1" s="27"/>
      <c r="UJ1" s="27"/>
      <c r="UK1" s="27"/>
      <c r="UL1" s="27"/>
      <c r="UM1" s="27"/>
      <c r="UN1" s="27"/>
      <c r="UO1" s="27"/>
      <c r="UP1" s="27"/>
      <c r="UQ1" s="27"/>
      <c r="UR1" s="27"/>
      <c r="US1" s="27"/>
      <c r="UT1" s="27"/>
      <c r="UU1" s="27"/>
      <c r="UV1" s="27"/>
      <c r="UW1" s="27"/>
      <c r="UX1" s="27"/>
      <c r="UY1" s="27"/>
      <c r="UZ1" s="27"/>
      <c r="VA1" s="27"/>
      <c r="VB1" s="27"/>
      <c r="VC1" s="27"/>
      <c r="VD1" s="27"/>
      <c r="VE1" s="27"/>
      <c r="VF1" s="27"/>
      <c r="VG1" s="27"/>
      <c r="VH1" s="27"/>
      <c r="VI1" s="27"/>
      <c r="VJ1" s="27"/>
      <c r="VK1" s="27"/>
      <c r="VL1" s="27"/>
      <c r="VM1" s="27"/>
      <c r="VN1" s="27"/>
      <c r="VO1" s="27"/>
      <c r="VP1" s="27"/>
      <c r="VQ1" s="27"/>
      <c r="VR1" s="27"/>
      <c r="VS1" s="27"/>
      <c r="VT1" s="27"/>
      <c r="VU1" s="27"/>
      <c r="VV1" s="27"/>
      <c r="VW1" s="27"/>
      <c r="VX1" s="27"/>
      <c r="VY1" s="27"/>
      <c r="VZ1" s="27"/>
      <c r="WA1" s="27"/>
      <c r="WB1" s="27"/>
      <c r="WC1" s="27"/>
      <c r="WD1" s="27"/>
      <c r="WE1" s="27"/>
      <c r="WF1" s="27"/>
      <c r="WG1" s="27"/>
      <c r="WH1" s="27"/>
      <c r="WI1" s="27"/>
      <c r="WJ1" s="27"/>
      <c r="WK1" s="27"/>
      <c r="WL1" s="27"/>
      <c r="WM1" s="27"/>
      <c r="WN1" s="27"/>
      <c r="WO1" s="27"/>
      <c r="WP1" s="27"/>
      <c r="WQ1" s="27"/>
      <c r="WR1" s="27"/>
      <c r="WS1" s="27"/>
      <c r="WT1" s="27"/>
      <c r="WU1" s="27"/>
      <c r="WV1" s="27"/>
      <c r="WW1" s="27"/>
      <c r="WX1" s="27"/>
      <c r="WY1" s="27"/>
      <c r="WZ1" s="27"/>
      <c r="XA1" s="27"/>
      <c r="XB1" s="27"/>
      <c r="XC1" s="27"/>
      <c r="XD1" s="27"/>
      <c r="XE1" s="27"/>
      <c r="XF1" s="27"/>
      <c r="XG1" s="27"/>
      <c r="XH1" s="27"/>
      <c r="XI1" s="27"/>
      <c r="XJ1" s="27"/>
      <c r="XK1" s="27"/>
      <c r="XL1" s="27"/>
      <c r="XM1" s="27"/>
      <c r="XN1" s="27"/>
      <c r="XO1" s="27"/>
      <c r="XP1" s="27"/>
      <c r="XQ1" s="27"/>
      <c r="XR1" s="27"/>
      <c r="XS1" s="27"/>
      <c r="XT1" s="27"/>
      <c r="XU1" s="27"/>
      <c r="XV1" s="27"/>
      <c r="XW1" s="27"/>
      <c r="XX1" s="27"/>
      <c r="XY1" s="27"/>
      <c r="XZ1" s="27"/>
      <c r="YA1" s="27"/>
      <c r="YB1" s="27"/>
      <c r="YC1" s="27"/>
      <c r="YD1" s="27"/>
      <c r="YE1" s="27"/>
      <c r="YF1" s="27"/>
      <c r="YG1" s="27"/>
      <c r="YH1" s="27"/>
      <c r="YI1" s="27"/>
      <c r="YJ1" s="27"/>
      <c r="YK1" s="27"/>
      <c r="YL1" s="27"/>
      <c r="YM1" s="27"/>
      <c r="YN1" s="27"/>
      <c r="YO1" s="27"/>
      <c r="YP1" s="27"/>
      <c r="YQ1" s="27"/>
      <c r="YR1" s="27"/>
      <c r="YS1" s="27"/>
      <c r="YT1" s="27"/>
      <c r="YU1" s="27"/>
      <c r="YV1" s="27"/>
      <c r="YW1" s="27"/>
      <c r="YX1" s="27"/>
      <c r="YY1" s="27"/>
      <c r="YZ1" s="27"/>
      <c r="ZA1" s="27"/>
      <c r="ZB1" s="27"/>
      <c r="ZC1" s="27"/>
      <c r="ZD1" s="27"/>
      <c r="ZE1" s="27"/>
      <c r="ZF1" s="27"/>
      <c r="ZG1" s="27"/>
      <c r="ZH1" s="27"/>
      <c r="ZI1" s="27"/>
      <c r="ZJ1" s="27"/>
      <c r="ZK1" s="27"/>
      <c r="ZL1" s="27"/>
      <c r="ZM1" s="27"/>
      <c r="ZN1" s="27"/>
      <c r="ZO1" s="27"/>
      <c r="ZP1" s="27"/>
      <c r="ZQ1" s="27"/>
      <c r="ZR1" s="27"/>
      <c r="ZS1" s="27"/>
      <c r="ZT1" s="27"/>
      <c r="ZU1" s="27"/>
      <c r="ZV1" s="27"/>
      <c r="ZW1" s="27"/>
      <c r="ZX1" s="27"/>
      <c r="ZY1" s="27"/>
      <c r="ZZ1" s="27"/>
      <c r="AAA1" s="27"/>
      <c r="AAB1" s="27"/>
      <c r="AAC1" s="27"/>
      <c r="AAD1" s="27"/>
      <c r="AAE1" s="27"/>
      <c r="AAF1" s="27"/>
      <c r="AAG1" s="27"/>
      <c r="AAH1" s="27"/>
      <c r="AAI1" s="27"/>
      <c r="AAJ1" s="27"/>
      <c r="AAK1" s="27"/>
      <c r="AAL1" s="27"/>
      <c r="AAM1" s="27"/>
      <c r="AAN1" s="27"/>
      <c r="AAO1" s="27"/>
      <c r="AAP1" s="27"/>
      <c r="AAQ1" s="27"/>
      <c r="AAR1" s="27"/>
      <c r="AAS1" s="27"/>
      <c r="AAT1" s="27"/>
      <c r="AAU1" s="27"/>
      <c r="AAV1" s="27"/>
      <c r="AAW1" s="27"/>
      <c r="AAX1" s="27"/>
      <c r="AAY1" s="27"/>
      <c r="AAZ1" s="27"/>
      <c r="ABA1" s="27"/>
      <c r="ABB1" s="27"/>
      <c r="ABC1" s="27"/>
      <c r="ABD1" s="27"/>
      <c r="ABE1" s="27"/>
      <c r="ABF1" s="27"/>
      <c r="ABG1" s="27"/>
      <c r="ABH1" s="27"/>
      <c r="ABI1" s="27"/>
      <c r="ABJ1" s="27"/>
      <c r="ABK1" s="27"/>
      <c r="ABL1" s="27"/>
      <c r="ABM1" s="27"/>
      <c r="ABN1" s="27"/>
      <c r="ABO1" s="27"/>
      <c r="ABP1" s="27"/>
      <c r="ABQ1" s="27"/>
      <c r="ABR1" s="27"/>
      <c r="ABS1" s="27"/>
      <c r="ABT1" s="27"/>
      <c r="ABU1" s="27"/>
      <c r="ABV1" s="27"/>
      <c r="ABW1" s="27"/>
      <c r="ABX1" s="27"/>
      <c r="ABY1" s="27"/>
      <c r="ABZ1" s="27"/>
      <c r="ACA1" s="27"/>
      <c r="ACB1" s="27"/>
      <c r="ACC1" s="27"/>
      <c r="ACD1" s="27"/>
      <c r="ACE1" s="27"/>
      <c r="ACF1" s="27"/>
      <c r="ACG1" s="27"/>
      <c r="ACH1" s="27"/>
      <c r="ACI1" s="27"/>
      <c r="ACJ1" s="27"/>
      <c r="ACK1" s="27"/>
      <c r="ACL1" s="27"/>
      <c r="ACM1" s="27"/>
      <c r="ACN1" s="27"/>
      <c r="ACO1" s="27"/>
      <c r="ACP1" s="27"/>
      <c r="ACQ1" s="27"/>
      <c r="ACR1" s="27"/>
      <c r="ACS1" s="27"/>
      <c r="ACT1" s="27"/>
      <c r="ACU1" s="27"/>
      <c r="ACV1" s="27"/>
      <c r="ACW1" s="27"/>
      <c r="ACX1" s="27"/>
      <c r="ACY1" s="27"/>
      <c r="ACZ1" s="27"/>
      <c r="ADA1" s="27"/>
      <c r="ADB1" s="27"/>
      <c r="ADC1" s="27"/>
      <c r="ADD1" s="27"/>
      <c r="ADE1" s="27"/>
      <c r="ADF1" s="27"/>
      <c r="ADG1" s="27"/>
      <c r="ADH1" s="27"/>
      <c r="ADI1" s="27"/>
      <c r="ADJ1" s="27"/>
      <c r="ADK1" s="27"/>
      <c r="ADL1" s="27"/>
      <c r="ADM1" s="27"/>
      <c r="ADN1" s="27"/>
      <c r="ADO1" s="27"/>
      <c r="ADP1" s="27"/>
      <c r="ADQ1" s="27"/>
      <c r="ADR1" s="27"/>
      <c r="ADS1" s="27"/>
      <c r="ADT1" s="27"/>
      <c r="ADU1" s="27"/>
      <c r="ADV1" s="27"/>
      <c r="ADW1" s="27"/>
      <c r="ADX1" s="27"/>
      <c r="ADY1" s="27"/>
      <c r="ADZ1" s="27"/>
      <c r="AEA1" s="27"/>
      <c r="AEB1" s="27"/>
      <c r="AEC1" s="27"/>
      <c r="AED1" s="27"/>
      <c r="AEE1" s="27"/>
      <c r="AEF1" s="27"/>
      <c r="AEG1" s="27"/>
      <c r="AEH1" s="27"/>
      <c r="AEI1" s="27"/>
      <c r="AEJ1" s="27"/>
      <c r="AEK1" s="27"/>
      <c r="AEL1" s="27"/>
      <c r="AEM1" s="27"/>
      <c r="AEN1" s="27"/>
      <c r="AEO1" s="27"/>
      <c r="AEP1" s="27"/>
      <c r="AEQ1" s="27"/>
      <c r="AER1" s="27"/>
      <c r="AES1" s="27"/>
      <c r="AET1" s="27"/>
      <c r="AEU1" s="27"/>
      <c r="AEV1" s="27"/>
      <c r="AEW1" s="27"/>
      <c r="AEX1" s="27"/>
      <c r="AEY1" s="27"/>
      <c r="AEZ1" s="27"/>
      <c r="AFA1" s="27"/>
      <c r="AFB1" s="27"/>
      <c r="AFC1" s="27"/>
      <c r="AFD1" s="27"/>
      <c r="AFE1" s="27"/>
      <c r="AFF1" s="27"/>
      <c r="AFG1" s="27"/>
      <c r="AFH1" s="27"/>
      <c r="AFI1" s="27"/>
      <c r="AFJ1" s="27"/>
      <c r="AFK1" s="27"/>
      <c r="AFL1" s="27"/>
      <c r="AFM1" s="27"/>
      <c r="AFN1" s="27"/>
      <c r="AFO1" s="27"/>
      <c r="AFP1" s="27"/>
      <c r="AFQ1" s="27"/>
      <c r="AFR1" s="27"/>
      <c r="AFS1" s="27"/>
      <c r="AFT1" s="27"/>
      <c r="AFU1" s="27"/>
      <c r="AFV1" s="27"/>
      <c r="AFW1" s="27"/>
      <c r="AFX1" s="27"/>
      <c r="AFY1" s="27"/>
      <c r="AFZ1" s="27"/>
      <c r="AGA1" s="27"/>
      <c r="AGB1" s="27"/>
      <c r="AGC1" s="27"/>
      <c r="AGD1" s="27"/>
      <c r="AGE1" s="27"/>
      <c r="AGF1" s="27"/>
      <c r="AGG1" s="27"/>
      <c r="AGH1" s="27"/>
      <c r="AGI1" s="27"/>
      <c r="AGJ1" s="27"/>
      <c r="AGK1" s="27"/>
      <c r="AGL1" s="27"/>
      <c r="AGM1" s="27"/>
      <c r="AGN1" s="27"/>
      <c r="AGO1" s="27"/>
      <c r="AGP1" s="27"/>
      <c r="AGQ1" s="27"/>
      <c r="AGR1" s="27"/>
      <c r="AGS1" s="27"/>
      <c r="AGT1" s="27"/>
      <c r="AGU1" s="27"/>
      <c r="AGV1" s="27"/>
      <c r="AGW1" s="27"/>
      <c r="AGX1" s="27"/>
      <c r="AGY1" s="27"/>
      <c r="AGZ1" s="27"/>
      <c r="AHA1" s="27"/>
      <c r="AHB1" s="27"/>
      <c r="AHC1" s="27"/>
      <c r="AHD1" s="27"/>
      <c r="AHE1" s="27"/>
      <c r="AHF1" s="27"/>
      <c r="AHG1" s="27"/>
      <c r="AHH1" s="27"/>
      <c r="AHI1" s="27"/>
      <c r="AHJ1" s="27"/>
      <c r="AHK1" s="27"/>
      <c r="AHL1" s="27"/>
      <c r="AHM1" s="27"/>
      <c r="AHN1" s="27"/>
      <c r="AHO1" s="27"/>
      <c r="AHP1" s="27"/>
      <c r="AHQ1" s="27"/>
      <c r="AHR1" s="27"/>
      <c r="AHS1" s="27"/>
      <c r="AHT1" s="27"/>
      <c r="AHU1" s="27"/>
      <c r="AHV1" s="27"/>
      <c r="AHW1" s="27"/>
      <c r="AHX1" s="27"/>
      <c r="AHY1" s="27"/>
      <c r="AHZ1" s="27"/>
      <c r="AIA1" s="27"/>
      <c r="AIB1" s="27"/>
      <c r="AIC1" s="27"/>
      <c r="AID1" s="27"/>
      <c r="AIE1" s="27"/>
      <c r="AIF1" s="27"/>
      <c r="AIG1" s="27"/>
      <c r="AIH1" s="27"/>
      <c r="AII1" s="27"/>
      <c r="AIJ1" s="27"/>
      <c r="AIK1" s="27"/>
      <c r="AIL1" s="27"/>
      <c r="AIM1" s="27"/>
      <c r="AIN1" s="27"/>
      <c r="AIO1" s="27"/>
      <c r="AIP1" s="27"/>
      <c r="AIQ1" s="27"/>
      <c r="AIR1" s="27"/>
      <c r="AIS1" s="27"/>
      <c r="AIT1" s="27"/>
      <c r="AIU1" s="27"/>
      <c r="AIV1" s="27"/>
      <c r="AIW1" s="27"/>
      <c r="AIX1" s="27"/>
      <c r="AIY1" s="27"/>
      <c r="AIZ1" s="27"/>
      <c r="AJA1" s="27"/>
      <c r="AJB1" s="27"/>
      <c r="AJC1" s="27"/>
      <c r="AJD1" s="27"/>
      <c r="AJE1" s="27"/>
      <c r="AJF1" s="27"/>
      <c r="AJG1" s="27"/>
      <c r="AJH1" s="27"/>
      <c r="AJI1" s="27"/>
      <c r="AJJ1" s="27"/>
      <c r="AJK1" s="27"/>
      <c r="AJL1" s="27"/>
      <c r="AJM1" s="27"/>
      <c r="AJN1" s="27"/>
      <c r="AJO1" s="27"/>
      <c r="AJP1" s="27"/>
      <c r="AJQ1" s="27"/>
      <c r="AJR1" s="27"/>
      <c r="AJS1" s="27"/>
      <c r="AJT1" s="27"/>
      <c r="AJU1" s="27"/>
      <c r="AJV1" s="27"/>
      <c r="AJW1" s="27"/>
      <c r="AJX1" s="27"/>
      <c r="AJY1" s="27"/>
      <c r="AJZ1" s="27"/>
      <c r="AKA1" s="27"/>
      <c r="AKB1" s="27"/>
      <c r="AKC1" s="27"/>
      <c r="AKD1" s="27"/>
      <c r="AKE1" s="27"/>
      <c r="AKF1" s="27"/>
      <c r="AKG1" s="27"/>
      <c r="AKH1" s="27"/>
      <c r="AKI1" s="27"/>
      <c r="AKJ1" s="27"/>
      <c r="AKK1" s="27"/>
      <c r="AKL1" s="27"/>
      <c r="AKM1" s="27"/>
      <c r="AKN1" s="27"/>
      <c r="AKO1" s="27"/>
      <c r="AKP1" s="27"/>
      <c r="AKQ1" s="27"/>
      <c r="AKR1" s="27"/>
      <c r="AKS1" s="27"/>
      <c r="AKT1" s="27"/>
      <c r="AKU1" s="27"/>
      <c r="AKV1" s="27"/>
      <c r="AKW1" s="27"/>
      <c r="AKX1" s="27"/>
      <c r="AKY1" s="27"/>
      <c r="AKZ1" s="27"/>
      <c r="ALA1" s="27"/>
      <c r="ALB1" s="27"/>
      <c r="ALC1" s="27"/>
      <c r="ALD1" s="27"/>
      <c r="ALE1" s="27"/>
      <c r="ALF1" s="27"/>
      <c r="ALG1" s="27"/>
      <c r="ALH1" s="27"/>
      <c r="ALI1" s="27"/>
      <c r="ALJ1" s="27"/>
      <c r="ALK1" s="27"/>
      <c r="ALL1" s="27"/>
      <c r="ALM1" s="27"/>
      <c r="ALN1" s="27"/>
      <c r="ALO1" s="27"/>
      <c r="ALP1" s="27"/>
      <c r="ALQ1" s="27"/>
      <c r="ALR1" s="27"/>
      <c r="ALS1" s="27"/>
      <c r="ALT1" s="27"/>
      <c r="ALU1" s="27"/>
      <c r="ALV1" s="27"/>
      <c r="ALW1" s="27"/>
      <c r="ALX1" s="27"/>
      <c r="ALY1" s="27"/>
      <c r="ALZ1" s="27"/>
      <c r="AMA1" s="27"/>
      <c r="AMB1" s="27"/>
      <c r="AMC1" s="27"/>
      <c r="AMD1" s="27"/>
      <c r="AME1" s="27"/>
      <c r="AMF1" s="27"/>
      <c r="AMG1" s="27"/>
      <c r="AMH1" s="27"/>
      <c r="AMI1" s="27"/>
      <c r="AMJ1" s="27"/>
      <c r="AMK1" s="27"/>
      <c r="AML1" s="27"/>
      <c r="AMM1" s="27"/>
      <c r="AMN1" s="27"/>
      <c r="AMO1" s="27"/>
      <c r="AMP1" s="27"/>
      <c r="AMQ1" s="27"/>
      <c r="AMR1" s="27"/>
      <c r="AMS1" s="27"/>
      <c r="AMT1" s="27"/>
      <c r="AMU1" s="27"/>
      <c r="AMV1" s="27"/>
      <c r="AMW1" s="27"/>
      <c r="AMX1" s="27"/>
      <c r="AMY1" s="27"/>
      <c r="AMZ1" s="27"/>
      <c r="ANA1" s="27"/>
      <c r="ANB1" s="27"/>
      <c r="ANC1" s="27"/>
      <c r="AND1" s="27"/>
      <c r="ANE1" s="27"/>
      <c r="ANF1" s="27"/>
      <c r="ANG1" s="27"/>
      <c r="ANH1" s="27"/>
      <c r="ANI1" s="27"/>
      <c r="ANJ1" s="27"/>
      <c r="ANK1" s="27"/>
      <c r="ANL1" s="27"/>
      <c r="ANM1" s="27"/>
      <c r="ANN1" s="27"/>
      <c r="ANO1" s="27"/>
      <c r="ANP1" s="27"/>
      <c r="ANQ1" s="27"/>
      <c r="ANR1" s="27"/>
      <c r="ANS1" s="27"/>
      <c r="ANT1" s="27"/>
      <c r="ANU1" s="27"/>
      <c r="ANV1" s="27"/>
      <c r="ANW1" s="27"/>
      <c r="ANX1" s="27"/>
      <c r="ANY1" s="27"/>
      <c r="ANZ1" s="27"/>
      <c r="AOA1" s="27"/>
      <c r="AOB1" s="27"/>
      <c r="AOC1" s="27"/>
      <c r="AOD1" s="27"/>
      <c r="AOE1" s="27"/>
      <c r="AOF1" s="27"/>
      <c r="AOG1" s="27"/>
      <c r="AOH1" s="27"/>
      <c r="AOI1" s="27"/>
      <c r="AOJ1" s="27"/>
      <c r="AOK1" s="27"/>
      <c r="AOL1" s="27"/>
      <c r="AOM1" s="27"/>
      <c r="AON1" s="27"/>
      <c r="AOO1" s="27"/>
      <c r="AOP1" s="27"/>
      <c r="AOQ1" s="27"/>
      <c r="AOR1" s="27"/>
      <c r="AOS1" s="27"/>
      <c r="AOT1" s="27"/>
      <c r="AOU1" s="27"/>
      <c r="AOV1" s="27"/>
      <c r="AOW1" s="27"/>
      <c r="AOX1" s="27"/>
      <c r="AOY1" s="27"/>
      <c r="AOZ1" s="27"/>
      <c r="APA1" s="27"/>
      <c r="APB1" s="27"/>
      <c r="APC1" s="27"/>
      <c r="APD1" s="27"/>
      <c r="APE1" s="27"/>
      <c r="APF1" s="27"/>
      <c r="APG1" s="27"/>
      <c r="APH1" s="27"/>
      <c r="API1" s="27"/>
      <c r="APJ1" s="27"/>
      <c r="APK1" s="27"/>
      <c r="APL1" s="27"/>
      <c r="APM1" s="27"/>
      <c r="APN1" s="27"/>
      <c r="APO1" s="27"/>
      <c r="APP1" s="27"/>
      <c r="APQ1" s="27"/>
      <c r="APR1" s="27"/>
      <c r="APS1" s="27"/>
      <c r="APT1" s="27"/>
      <c r="APU1" s="27"/>
      <c r="APV1" s="27"/>
      <c r="APW1" s="27"/>
      <c r="APX1" s="27"/>
      <c r="APY1" s="27"/>
      <c r="APZ1" s="27"/>
      <c r="AQA1" s="27"/>
      <c r="AQB1" s="27"/>
      <c r="AQC1" s="27"/>
      <c r="AQD1" s="27"/>
      <c r="AQE1" s="27"/>
      <c r="AQF1" s="27"/>
      <c r="AQG1" s="27"/>
      <c r="AQH1" s="27"/>
      <c r="AQI1" s="27"/>
      <c r="AQJ1" s="27"/>
      <c r="AQK1" s="27"/>
      <c r="AQL1" s="27"/>
      <c r="AQM1" s="27"/>
      <c r="AQN1" s="27"/>
      <c r="AQO1" s="27"/>
      <c r="AQP1" s="27"/>
      <c r="AQQ1" s="27"/>
      <c r="AQR1" s="27"/>
      <c r="AQS1" s="27"/>
      <c r="AQT1" s="27"/>
      <c r="AQU1" s="27"/>
      <c r="AQV1" s="27"/>
      <c r="AQW1" s="27"/>
      <c r="AQX1" s="27"/>
      <c r="AQY1" s="27"/>
      <c r="AQZ1" s="27"/>
      <c r="ARA1" s="27"/>
      <c r="ARB1" s="27"/>
      <c r="ARC1" s="27"/>
      <c r="ARD1" s="27"/>
      <c r="ARE1" s="27"/>
      <c r="ARF1" s="27"/>
      <c r="ARG1" s="27"/>
      <c r="ARH1" s="27"/>
      <c r="ARI1" s="27"/>
      <c r="ARJ1" s="27"/>
      <c r="ARK1" s="27"/>
      <c r="ARL1" s="27"/>
      <c r="ARM1" s="27"/>
      <c r="ARN1" s="27"/>
      <c r="ARO1" s="27"/>
      <c r="ARP1" s="27"/>
      <c r="ARQ1" s="27"/>
      <c r="ARR1" s="27"/>
      <c r="ARS1" s="27"/>
      <c r="ART1" s="27"/>
      <c r="ARU1" s="27"/>
      <c r="ARV1" s="27"/>
      <c r="ARW1" s="27"/>
      <c r="ARX1" s="27"/>
      <c r="ARY1" s="27"/>
      <c r="ARZ1" s="27"/>
      <c r="ASA1" s="27"/>
      <c r="ASB1" s="27"/>
      <c r="ASC1" s="27"/>
      <c r="ASD1" s="27"/>
      <c r="ASE1" s="27"/>
      <c r="ASF1" s="27"/>
      <c r="ASG1" s="27"/>
      <c r="ASH1" s="27"/>
      <c r="ASI1" s="27"/>
      <c r="ASJ1" s="27"/>
      <c r="ASK1" s="27"/>
      <c r="ASL1" s="27"/>
      <c r="ASM1" s="27"/>
      <c r="ASN1" s="27"/>
      <c r="ASO1" s="27"/>
      <c r="ASP1" s="27"/>
      <c r="ASQ1" s="27"/>
      <c r="ASR1" s="27"/>
      <c r="ASS1" s="27"/>
      <c r="AST1" s="27"/>
      <c r="ASU1" s="27"/>
      <c r="ASV1" s="27"/>
      <c r="ASW1" s="27"/>
      <c r="ASX1" s="27"/>
      <c r="ASY1" s="27"/>
      <c r="ASZ1" s="27"/>
      <c r="ATA1" s="27"/>
      <c r="ATB1" s="27"/>
      <c r="ATC1" s="27"/>
      <c r="ATD1" s="27"/>
      <c r="ATE1" s="27"/>
      <c r="ATF1" s="27"/>
      <c r="ATG1" s="27"/>
      <c r="ATH1" s="27"/>
      <c r="ATI1" s="27"/>
      <c r="ATJ1" s="27"/>
      <c r="ATK1" s="27"/>
      <c r="ATL1" s="27"/>
      <c r="ATM1" s="27"/>
      <c r="ATN1" s="27"/>
      <c r="ATO1" s="27"/>
      <c r="ATP1" s="27"/>
      <c r="ATQ1" s="27"/>
      <c r="ATR1" s="27"/>
      <c r="ATS1" s="27"/>
      <c r="ATT1" s="27"/>
      <c r="ATU1" s="27"/>
      <c r="ATV1" s="27"/>
      <c r="ATW1" s="27"/>
      <c r="ATX1" s="27"/>
      <c r="ATY1" s="27"/>
      <c r="ATZ1" s="27"/>
      <c r="AUA1" s="27"/>
      <c r="AUB1" s="27"/>
      <c r="AUC1" s="27"/>
      <c r="AUD1" s="27"/>
      <c r="AUE1" s="27"/>
      <c r="AUF1" s="27"/>
      <c r="AUG1" s="27"/>
      <c r="AUH1" s="27"/>
      <c r="AUI1" s="27"/>
      <c r="AUJ1" s="27"/>
      <c r="AUK1" s="27"/>
      <c r="AUL1" s="27"/>
      <c r="AUM1" s="27"/>
      <c r="AUN1" s="27"/>
      <c r="AUO1" s="27"/>
      <c r="AUP1" s="27"/>
      <c r="AUQ1" s="27"/>
      <c r="AUR1" s="27"/>
      <c r="AUS1" s="27"/>
      <c r="AUT1" s="27"/>
      <c r="AUU1" s="27"/>
      <c r="AUV1" s="27"/>
      <c r="AUW1" s="27"/>
      <c r="AUX1" s="27"/>
      <c r="AUY1" s="27"/>
      <c r="AUZ1" s="27"/>
      <c r="AVA1" s="27"/>
      <c r="AVB1" s="27"/>
      <c r="AVC1" s="27"/>
      <c r="AVD1" s="27"/>
      <c r="AVE1" s="27"/>
      <c r="AVF1" s="27"/>
      <c r="AVG1" s="27"/>
      <c r="AVH1" s="27"/>
      <c r="AVI1" s="27"/>
      <c r="AVJ1" s="27"/>
      <c r="AVK1" s="27"/>
      <c r="AVL1" s="27"/>
      <c r="AVM1" s="27"/>
      <c r="AVN1" s="27"/>
      <c r="AVO1" s="27"/>
      <c r="AVP1" s="27"/>
      <c r="AVQ1" s="27"/>
      <c r="AVR1" s="27"/>
      <c r="AVS1" s="27"/>
      <c r="AVT1" s="27"/>
      <c r="AVU1" s="27"/>
      <c r="AVV1" s="27"/>
      <c r="AVW1" s="27"/>
      <c r="AVX1" s="27"/>
      <c r="AVY1" s="27"/>
      <c r="AVZ1" s="27"/>
      <c r="AWA1" s="27"/>
      <c r="AWB1" s="27"/>
      <c r="AWC1" s="27"/>
      <c r="AWD1" s="27"/>
      <c r="AWE1" s="27"/>
      <c r="AWF1" s="27"/>
      <c r="AWG1" s="27"/>
      <c r="AWH1" s="27"/>
      <c r="AWI1" s="27"/>
      <c r="AWJ1" s="27"/>
      <c r="AWK1" s="27"/>
      <c r="AWL1" s="27"/>
      <c r="AWM1" s="27"/>
      <c r="AWN1" s="27"/>
      <c r="AWO1" s="27"/>
      <c r="AWP1" s="27"/>
      <c r="AWQ1" s="27"/>
      <c r="AWR1" s="27"/>
      <c r="AWS1" s="27"/>
      <c r="AWT1" s="27"/>
      <c r="AWU1" s="27"/>
      <c r="AWV1" s="27"/>
      <c r="AWW1" s="27"/>
      <c r="AWX1" s="27"/>
      <c r="AWY1" s="27"/>
      <c r="AWZ1" s="27"/>
      <c r="AXA1" s="27"/>
      <c r="AXB1" s="27"/>
      <c r="AXC1" s="27"/>
      <c r="AXD1" s="27"/>
      <c r="AXE1" s="27"/>
      <c r="AXF1" s="27"/>
      <c r="AXG1" s="27"/>
      <c r="AXH1" s="27"/>
      <c r="AXI1" s="27"/>
      <c r="AXJ1" s="27"/>
      <c r="AXK1" s="27"/>
      <c r="AXL1" s="27"/>
      <c r="AXM1" s="27"/>
      <c r="AXN1" s="27"/>
      <c r="AXO1" s="27"/>
      <c r="AXP1" s="27"/>
      <c r="AXQ1" s="27"/>
      <c r="AXR1" s="27"/>
      <c r="AXS1" s="27"/>
      <c r="AXT1" s="27"/>
      <c r="AXU1" s="27"/>
      <c r="AXV1" s="27"/>
      <c r="AXW1" s="27"/>
      <c r="AXX1" s="27"/>
      <c r="AXY1" s="27"/>
      <c r="AXZ1" s="27"/>
      <c r="AYA1" s="27"/>
      <c r="AYB1" s="27"/>
      <c r="AYC1" s="27"/>
      <c r="AYD1" s="27"/>
      <c r="AYE1" s="27"/>
      <c r="AYF1" s="27"/>
      <c r="AYG1" s="27"/>
      <c r="AYH1" s="27"/>
      <c r="AYI1" s="27"/>
      <c r="AYJ1" s="27"/>
      <c r="AYK1" s="27"/>
      <c r="AYL1" s="27"/>
      <c r="AYM1" s="27"/>
      <c r="AYN1" s="27"/>
      <c r="AYO1" s="27"/>
      <c r="AYP1" s="27"/>
      <c r="AYQ1" s="27"/>
      <c r="AYR1" s="27"/>
      <c r="AYS1" s="27"/>
      <c r="AYT1" s="27"/>
      <c r="AYU1" s="27"/>
      <c r="AYV1" s="27"/>
      <c r="AYW1" s="27"/>
      <c r="AYX1" s="27"/>
      <c r="AYY1" s="27"/>
      <c r="AYZ1" s="27"/>
      <c r="AZA1" s="27"/>
      <c r="AZB1" s="27"/>
      <c r="AZC1" s="27"/>
      <c r="AZD1" s="27"/>
      <c r="AZE1" s="27"/>
      <c r="AZF1" s="27"/>
      <c r="AZG1" s="27"/>
      <c r="AZH1" s="27"/>
      <c r="AZI1" s="27"/>
      <c r="AZJ1" s="27"/>
      <c r="AZK1" s="27"/>
      <c r="AZL1" s="27"/>
      <c r="AZM1" s="27"/>
      <c r="AZN1" s="27"/>
      <c r="AZO1" s="27"/>
      <c r="AZP1" s="27"/>
      <c r="AZQ1" s="27"/>
      <c r="AZR1" s="27"/>
      <c r="AZS1" s="27"/>
      <c r="AZT1" s="27"/>
      <c r="AZU1" s="27"/>
      <c r="AZV1" s="27"/>
      <c r="AZW1" s="27"/>
      <c r="AZX1" s="27"/>
      <c r="AZY1" s="27"/>
      <c r="AZZ1" s="27"/>
      <c r="BAA1" s="27"/>
      <c r="BAB1" s="27"/>
      <c r="BAC1" s="27"/>
      <c r="BAD1" s="27"/>
      <c r="BAE1" s="27"/>
      <c r="BAF1" s="27"/>
      <c r="BAG1" s="27"/>
      <c r="BAH1" s="27"/>
      <c r="BAI1" s="27"/>
      <c r="BAJ1" s="27"/>
      <c r="BAK1" s="27"/>
      <c r="BAL1" s="27"/>
      <c r="BAM1" s="27"/>
      <c r="BAN1" s="27"/>
      <c r="BAO1" s="27"/>
      <c r="BAP1" s="27"/>
      <c r="BAQ1" s="27"/>
      <c r="BAR1" s="27"/>
      <c r="BAS1" s="27"/>
      <c r="BAT1" s="27"/>
      <c r="BAU1" s="27"/>
      <c r="BAV1" s="27"/>
      <c r="BAW1" s="27"/>
      <c r="BAX1" s="27"/>
      <c r="BAY1" s="27"/>
      <c r="BAZ1" s="27"/>
      <c r="BBA1" s="27"/>
      <c r="BBB1" s="27"/>
      <c r="BBC1" s="27"/>
      <c r="BBD1" s="27"/>
      <c r="BBE1" s="27"/>
      <c r="BBF1" s="27"/>
      <c r="BBG1" s="27"/>
      <c r="BBH1" s="27"/>
      <c r="BBI1" s="27"/>
      <c r="BBJ1" s="27"/>
      <c r="BBK1" s="27"/>
      <c r="BBL1" s="27"/>
      <c r="BBM1" s="27"/>
      <c r="BBN1" s="27"/>
      <c r="BBO1" s="27"/>
      <c r="BBP1" s="27"/>
      <c r="BBQ1" s="27"/>
      <c r="BBR1" s="27"/>
      <c r="BBS1" s="27"/>
      <c r="BBT1" s="27"/>
      <c r="BBU1" s="27"/>
      <c r="BBV1" s="27"/>
      <c r="BBW1" s="27"/>
      <c r="BBX1" s="27"/>
      <c r="BBY1" s="27"/>
      <c r="BBZ1" s="27"/>
      <c r="BCA1" s="27"/>
      <c r="BCB1" s="27"/>
      <c r="BCC1" s="27"/>
      <c r="BCD1" s="27"/>
      <c r="BCE1" s="27"/>
      <c r="BCF1" s="27"/>
      <c r="BCG1" s="27"/>
      <c r="BCH1" s="27"/>
      <c r="BCI1" s="27"/>
      <c r="BCJ1" s="27"/>
      <c r="BCK1" s="27"/>
      <c r="BCL1" s="27"/>
      <c r="BCM1" s="27"/>
      <c r="BCN1" s="27"/>
      <c r="BCO1" s="27"/>
      <c r="BCP1" s="27"/>
      <c r="BCQ1" s="27"/>
      <c r="BCR1" s="27"/>
      <c r="BCS1" s="27"/>
      <c r="BCT1" s="27"/>
      <c r="BCU1" s="27"/>
      <c r="BCV1" s="27"/>
      <c r="BCW1" s="27"/>
      <c r="BCX1" s="27"/>
      <c r="BCY1" s="27"/>
      <c r="BCZ1" s="27"/>
      <c r="BDA1" s="27"/>
      <c r="BDB1" s="27"/>
      <c r="BDC1" s="27"/>
      <c r="BDD1" s="27"/>
      <c r="BDE1" s="27"/>
      <c r="BDF1" s="27"/>
      <c r="BDG1" s="27"/>
      <c r="BDH1" s="27"/>
      <c r="BDI1" s="27"/>
      <c r="BDJ1" s="27"/>
      <c r="BDK1" s="27"/>
      <c r="BDL1" s="27"/>
      <c r="BDM1" s="27"/>
      <c r="BDN1" s="27"/>
      <c r="BDO1" s="27"/>
      <c r="BDP1" s="27"/>
      <c r="BDQ1" s="27"/>
      <c r="BDR1" s="27"/>
      <c r="BDS1" s="27"/>
      <c r="BDT1" s="27"/>
      <c r="BDU1" s="27"/>
      <c r="BDV1" s="27"/>
      <c r="BDW1" s="27"/>
      <c r="BDX1" s="27"/>
      <c r="BDY1" s="27"/>
      <c r="BDZ1" s="27"/>
      <c r="BEA1" s="27"/>
      <c r="BEB1" s="27"/>
      <c r="BEC1" s="27"/>
      <c r="BED1" s="27"/>
      <c r="BEE1" s="27"/>
      <c r="BEF1" s="27"/>
      <c r="BEG1" s="27"/>
      <c r="BEH1" s="27"/>
      <c r="BEI1" s="27"/>
      <c r="BEJ1" s="27"/>
      <c r="BEK1" s="27"/>
      <c r="BEL1" s="27"/>
      <c r="BEM1" s="27"/>
      <c r="BEN1" s="27"/>
      <c r="BEO1" s="27"/>
      <c r="BEP1" s="27"/>
      <c r="BEQ1" s="27"/>
      <c r="BER1" s="27"/>
      <c r="BES1" s="27"/>
      <c r="BET1" s="27"/>
      <c r="BEU1" s="27"/>
      <c r="BEV1" s="27"/>
      <c r="BEW1" s="27"/>
      <c r="BEX1" s="27"/>
      <c r="BEY1" s="27"/>
      <c r="BEZ1" s="27"/>
      <c r="BFA1" s="27"/>
      <c r="BFB1" s="27"/>
      <c r="BFC1" s="27"/>
      <c r="BFD1" s="27"/>
      <c r="BFE1" s="27"/>
      <c r="BFF1" s="27"/>
      <c r="BFG1" s="27"/>
      <c r="BFH1" s="27"/>
      <c r="BFI1" s="27"/>
      <c r="BFJ1" s="27"/>
      <c r="BFK1" s="27"/>
      <c r="BFL1" s="27"/>
      <c r="BFM1" s="27"/>
      <c r="BFN1" s="27"/>
      <c r="BFO1" s="27"/>
      <c r="BFP1" s="27"/>
      <c r="BFQ1" s="27"/>
      <c r="BFR1" s="27"/>
      <c r="BFS1" s="27"/>
      <c r="BFT1" s="27"/>
      <c r="BFU1" s="27"/>
      <c r="BFV1" s="27"/>
      <c r="BFW1" s="27"/>
      <c r="BFX1" s="27"/>
      <c r="BFY1" s="27"/>
      <c r="BFZ1" s="27"/>
      <c r="BGA1" s="27"/>
      <c r="BGB1" s="27"/>
      <c r="BGC1" s="27"/>
      <c r="BGD1" s="27"/>
      <c r="BGE1" s="27"/>
      <c r="BGF1" s="27"/>
      <c r="BGG1" s="27"/>
      <c r="BGH1" s="27"/>
      <c r="BGI1" s="27"/>
      <c r="BGJ1" s="27"/>
      <c r="BGK1" s="27"/>
      <c r="BGL1" s="27"/>
      <c r="BGM1" s="27"/>
      <c r="BGN1" s="27"/>
      <c r="BGO1" s="27"/>
      <c r="BGP1" s="27"/>
      <c r="BGQ1" s="27"/>
      <c r="BGR1" s="27"/>
      <c r="BGS1" s="27"/>
      <c r="BGT1" s="27"/>
      <c r="BGU1" s="27"/>
      <c r="BGV1" s="27"/>
      <c r="BGW1" s="27"/>
      <c r="BGX1" s="27"/>
      <c r="BGY1" s="27"/>
      <c r="BGZ1" s="27"/>
      <c r="BHA1" s="27"/>
      <c r="BHB1" s="27"/>
      <c r="BHC1" s="27"/>
      <c r="BHD1" s="27"/>
      <c r="BHE1" s="27"/>
      <c r="BHF1" s="27"/>
      <c r="BHG1" s="27"/>
      <c r="BHH1" s="27"/>
      <c r="BHI1" s="27"/>
      <c r="BHJ1" s="27"/>
      <c r="BHK1" s="27"/>
      <c r="BHL1" s="27"/>
      <c r="BHM1" s="27"/>
      <c r="BHN1" s="27"/>
      <c r="BHO1" s="27"/>
      <c r="BHP1" s="27"/>
      <c r="BHQ1" s="27"/>
      <c r="BHR1" s="27"/>
      <c r="BHS1" s="27"/>
      <c r="BHT1" s="27"/>
      <c r="BHU1" s="27"/>
      <c r="BHV1" s="27"/>
      <c r="BHW1" s="27"/>
      <c r="BHX1" s="27"/>
      <c r="BHY1" s="27"/>
      <c r="BHZ1" s="27"/>
      <c r="BIA1" s="27"/>
      <c r="BIB1" s="27"/>
      <c r="BIC1" s="27"/>
      <c r="BID1" s="27"/>
      <c r="BIE1" s="27"/>
      <c r="BIF1" s="27"/>
      <c r="BIG1" s="27"/>
      <c r="BIH1" s="27"/>
      <c r="BII1" s="27"/>
      <c r="BIJ1" s="27"/>
      <c r="BIK1" s="27"/>
      <c r="BIL1" s="27"/>
      <c r="BIM1" s="27"/>
      <c r="BIN1" s="27"/>
      <c r="BIO1" s="27"/>
      <c r="BIP1" s="27"/>
      <c r="BIQ1" s="27"/>
      <c r="BIR1" s="27"/>
      <c r="BIS1" s="27"/>
      <c r="BIT1" s="27"/>
      <c r="BIU1" s="27"/>
      <c r="BIV1" s="27"/>
      <c r="BIW1" s="27"/>
      <c r="BIX1" s="27"/>
      <c r="BIY1" s="27"/>
      <c r="BIZ1" s="27"/>
      <c r="BJA1" s="27"/>
      <c r="BJB1" s="27"/>
      <c r="BJC1" s="27"/>
      <c r="BJD1" s="27"/>
      <c r="BJE1" s="27"/>
      <c r="BJF1" s="27"/>
      <c r="BJG1" s="27"/>
      <c r="BJH1" s="27"/>
      <c r="BJI1" s="27"/>
      <c r="BJJ1" s="27"/>
      <c r="BJK1" s="27"/>
      <c r="BJL1" s="27"/>
      <c r="BJM1" s="27"/>
      <c r="BJN1" s="27"/>
      <c r="BJO1" s="27"/>
      <c r="BJP1" s="27"/>
      <c r="BJQ1" s="27"/>
      <c r="BJR1" s="27"/>
      <c r="BJS1" s="27"/>
      <c r="BJT1" s="27"/>
      <c r="BJU1" s="27"/>
      <c r="BJV1" s="27"/>
      <c r="BJW1" s="27"/>
      <c r="BJX1" s="27"/>
      <c r="BJY1" s="27"/>
      <c r="BJZ1" s="27"/>
      <c r="BKA1" s="27"/>
      <c r="BKB1" s="27"/>
      <c r="BKC1" s="27"/>
      <c r="BKD1" s="27"/>
      <c r="BKE1" s="27"/>
      <c r="BKF1" s="27"/>
      <c r="BKG1" s="27"/>
      <c r="BKH1" s="27"/>
      <c r="BKI1" s="27"/>
      <c r="BKJ1" s="27"/>
      <c r="BKK1" s="27"/>
      <c r="BKL1" s="27"/>
      <c r="BKM1" s="27"/>
      <c r="BKN1" s="27"/>
      <c r="BKO1" s="27"/>
      <c r="BKP1" s="27"/>
      <c r="BKQ1" s="27"/>
      <c r="BKR1" s="27"/>
      <c r="BKS1" s="27"/>
      <c r="BKT1" s="27"/>
      <c r="BKU1" s="27"/>
      <c r="BKV1" s="27"/>
      <c r="BKW1" s="27"/>
      <c r="BKX1" s="27"/>
      <c r="BKY1" s="27"/>
      <c r="BKZ1" s="27"/>
      <c r="BLA1" s="27"/>
      <c r="BLB1" s="27"/>
      <c r="BLC1" s="27"/>
      <c r="BLD1" s="27"/>
      <c r="BLE1" s="27"/>
      <c r="BLF1" s="27"/>
      <c r="BLG1" s="27"/>
      <c r="BLH1" s="27"/>
      <c r="BLI1" s="27"/>
      <c r="BLJ1" s="27"/>
      <c r="BLK1" s="27"/>
      <c r="BLL1" s="27"/>
      <c r="BLM1" s="27"/>
      <c r="BLN1" s="27"/>
      <c r="BLO1" s="27"/>
      <c r="BLP1" s="27"/>
      <c r="BLQ1" s="27"/>
      <c r="BLR1" s="27"/>
      <c r="BLS1" s="27"/>
      <c r="BLT1" s="27"/>
      <c r="BLU1" s="27"/>
      <c r="BLV1" s="27"/>
      <c r="BLW1" s="27"/>
      <c r="BLX1" s="27"/>
      <c r="BLY1" s="27"/>
      <c r="BLZ1" s="27"/>
      <c r="BMA1" s="27"/>
      <c r="BMB1" s="27"/>
      <c r="BMC1" s="27"/>
      <c r="BMD1" s="27"/>
      <c r="BME1" s="27"/>
      <c r="BMF1" s="27"/>
      <c r="BMG1" s="27"/>
      <c r="BMH1" s="27"/>
      <c r="BMI1" s="27"/>
      <c r="BMJ1" s="27"/>
      <c r="BMK1" s="27"/>
      <c r="BML1" s="27"/>
      <c r="BMM1" s="27"/>
      <c r="BMN1" s="27"/>
      <c r="BMO1" s="27"/>
      <c r="BMP1" s="27"/>
      <c r="BMQ1" s="27"/>
      <c r="BMR1" s="27"/>
      <c r="BMS1" s="27"/>
      <c r="BMT1" s="27"/>
      <c r="BMU1" s="27"/>
      <c r="BMV1" s="27"/>
      <c r="BMW1" s="27"/>
      <c r="BMX1" s="27"/>
      <c r="BMY1" s="27"/>
      <c r="BMZ1" s="27"/>
      <c r="BNA1" s="27"/>
      <c r="BNB1" s="27"/>
      <c r="BNC1" s="27"/>
      <c r="BND1" s="27"/>
      <c r="BNE1" s="27"/>
      <c r="BNF1" s="27"/>
      <c r="BNG1" s="27"/>
      <c r="BNH1" s="27"/>
      <c r="BNI1" s="27"/>
      <c r="BNJ1" s="27"/>
      <c r="BNK1" s="27"/>
      <c r="BNL1" s="27"/>
      <c r="BNM1" s="27"/>
      <c r="BNN1" s="27"/>
      <c r="BNO1" s="27"/>
      <c r="BNP1" s="27"/>
      <c r="BNQ1" s="27"/>
      <c r="BNR1" s="27"/>
      <c r="BNS1" s="27"/>
      <c r="BNT1" s="27"/>
      <c r="BNU1" s="27"/>
      <c r="BNV1" s="27"/>
      <c r="BNW1" s="27"/>
      <c r="BNX1" s="27"/>
      <c r="BNY1" s="27"/>
      <c r="BNZ1" s="27"/>
      <c r="BOA1" s="27"/>
      <c r="BOB1" s="27"/>
      <c r="BOC1" s="27"/>
      <c r="BOD1" s="27"/>
      <c r="BOE1" s="27"/>
      <c r="BOF1" s="27"/>
      <c r="BOG1" s="27"/>
      <c r="BOH1" s="27"/>
      <c r="BOI1" s="27"/>
      <c r="BOJ1" s="27"/>
      <c r="BOK1" s="27"/>
      <c r="BOL1" s="27"/>
      <c r="BOM1" s="27"/>
      <c r="BON1" s="27"/>
      <c r="BOO1" s="27"/>
      <c r="BOP1" s="27"/>
      <c r="BOQ1" s="27"/>
      <c r="BOR1" s="27"/>
      <c r="BOS1" s="27"/>
      <c r="BOT1" s="27"/>
      <c r="BOU1" s="27"/>
      <c r="BOV1" s="27"/>
      <c r="BOW1" s="27"/>
      <c r="BOX1" s="27"/>
      <c r="BOY1" s="27"/>
      <c r="BOZ1" s="27"/>
      <c r="BPA1" s="27"/>
      <c r="BPB1" s="27"/>
      <c r="BPC1" s="27"/>
      <c r="BPD1" s="27"/>
      <c r="BPE1" s="27"/>
      <c r="BPF1" s="27"/>
      <c r="BPG1" s="27"/>
      <c r="BPH1" s="27"/>
      <c r="BPI1" s="27"/>
      <c r="BPJ1" s="27"/>
      <c r="BPK1" s="27"/>
      <c r="BPL1" s="27"/>
      <c r="BPM1" s="27"/>
      <c r="BPN1" s="27"/>
      <c r="BPO1" s="27"/>
      <c r="BPP1" s="27"/>
      <c r="BPQ1" s="27"/>
      <c r="BPR1" s="27"/>
      <c r="BPS1" s="27"/>
      <c r="BPT1" s="27"/>
      <c r="BPU1" s="27"/>
      <c r="BPV1" s="27"/>
      <c r="BPW1" s="27"/>
      <c r="BPX1" s="27"/>
      <c r="BPY1" s="27"/>
      <c r="BPZ1" s="27"/>
      <c r="BQA1" s="27"/>
      <c r="BQB1" s="27"/>
      <c r="BQC1" s="27"/>
      <c r="BQD1" s="27"/>
      <c r="BQE1" s="27"/>
      <c r="BQF1" s="27"/>
      <c r="BQG1" s="27"/>
      <c r="BQH1" s="27"/>
      <c r="BQI1" s="27"/>
      <c r="BQJ1" s="27"/>
      <c r="BQK1" s="27"/>
      <c r="BQL1" s="27"/>
      <c r="BQM1" s="27"/>
      <c r="BQN1" s="27"/>
      <c r="BQO1" s="27"/>
      <c r="BQP1" s="27"/>
      <c r="BQQ1" s="27"/>
      <c r="BQR1" s="27"/>
      <c r="BQS1" s="27"/>
      <c r="BQT1" s="27"/>
      <c r="BQU1" s="27"/>
      <c r="BQV1" s="27"/>
      <c r="BQW1" s="27"/>
      <c r="BQX1" s="27"/>
      <c r="BQY1" s="27"/>
      <c r="BQZ1" s="27"/>
      <c r="BRA1" s="27"/>
      <c r="BRB1" s="27"/>
      <c r="BRC1" s="27"/>
      <c r="BRD1" s="27"/>
      <c r="BRE1" s="27"/>
      <c r="BRF1" s="27"/>
      <c r="BRG1" s="27"/>
      <c r="BRH1" s="27"/>
      <c r="BRI1" s="27"/>
      <c r="BRJ1" s="27"/>
      <c r="BRK1" s="27"/>
      <c r="BRL1" s="27"/>
      <c r="BRM1" s="27"/>
      <c r="BRN1" s="27"/>
      <c r="BRO1" s="27"/>
      <c r="BRP1" s="27"/>
      <c r="BRQ1" s="27"/>
      <c r="BRR1" s="27"/>
      <c r="BRS1" s="27"/>
      <c r="BRT1" s="27"/>
      <c r="BRU1" s="27"/>
      <c r="BRV1" s="27"/>
      <c r="BRW1" s="27"/>
      <c r="BRX1" s="27"/>
      <c r="BRY1" s="27"/>
      <c r="BRZ1" s="27"/>
      <c r="BSA1" s="27"/>
      <c r="BSB1" s="27"/>
      <c r="BSC1" s="27"/>
      <c r="BSD1" s="27"/>
      <c r="BSE1" s="27"/>
      <c r="BSF1" s="27"/>
      <c r="BSG1" s="27"/>
      <c r="BSH1" s="27"/>
      <c r="BSI1" s="27"/>
      <c r="BSJ1" s="27"/>
      <c r="BSK1" s="27"/>
      <c r="BSL1" s="27"/>
      <c r="BSM1" s="27"/>
      <c r="BSN1" s="27"/>
      <c r="BSO1" s="27"/>
      <c r="BSP1" s="27"/>
      <c r="BSQ1" s="27"/>
      <c r="BSR1" s="27"/>
      <c r="BSS1" s="27"/>
      <c r="BST1" s="27"/>
      <c r="BSU1" s="27"/>
      <c r="BSV1" s="27"/>
      <c r="BSW1" s="27"/>
      <c r="BSX1" s="27"/>
      <c r="BSY1" s="27"/>
      <c r="BSZ1" s="27"/>
      <c r="BTA1" s="27"/>
      <c r="BTB1" s="27"/>
      <c r="BTC1" s="27"/>
      <c r="BTD1" s="27"/>
      <c r="BTE1" s="27"/>
      <c r="BTF1" s="27"/>
      <c r="BTG1" s="27"/>
      <c r="BTH1" s="27"/>
      <c r="BTI1" s="27"/>
      <c r="BTJ1" s="27"/>
      <c r="BTK1" s="27"/>
      <c r="BTL1" s="27"/>
      <c r="BTM1" s="27"/>
      <c r="BTN1" s="27"/>
      <c r="BTO1" s="27"/>
      <c r="BTP1" s="27"/>
      <c r="BTQ1" s="27"/>
      <c r="BTR1" s="27"/>
      <c r="BTS1" s="27"/>
      <c r="BTT1" s="27"/>
      <c r="BTU1" s="27"/>
      <c r="BTV1" s="27"/>
      <c r="BTW1" s="27"/>
      <c r="BTX1" s="27"/>
      <c r="BTY1" s="27"/>
      <c r="BTZ1" s="27"/>
      <c r="BUA1" s="27"/>
      <c r="BUB1" s="27"/>
      <c r="BUC1" s="27"/>
      <c r="BUD1" s="27"/>
      <c r="BUE1" s="27"/>
      <c r="BUF1" s="27"/>
      <c r="BUG1" s="27"/>
      <c r="BUH1" s="27"/>
      <c r="BUI1" s="27"/>
      <c r="BUJ1" s="27"/>
      <c r="BUK1" s="27"/>
      <c r="BUL1" s="27"/>
      <c r="BUM1" s="27"/>
      <c r="BUN1" s="27"/>
      <c r="BUO1" s="27"/>
      <c r="BUP1" s="27"/>
      <c r="BUQ1" s="27"/>
      <c r="BUR1" s="27"/>
      <c r="BUS1" s="27"/>
      <c r="BUT1" s="27"/>
      <c r="BUU1" s="27"/>
      <c r="BUV1" s="27"/>
      <c r="BUW1" s="27"/>
      <c r="BUX1" s="27"/>
      <c r="BUY1" s="27"/>
      <c r="BUZ1" s="27"/>
      <c r="BVA1" s="27"/>
      <c r="BVB1" s="27"/>
      <c r="BVC1" s="27"/>
      <c r="BVD1" s="27"/>
      <c r="BVE1" s="27"/>
      <c r="BVF1" s="27"/>
      <c r="BVG1" s="27"/>
      <c r="BVH1" s="27"/>
      <c r="BVI1" s="27"/>
      <c r="BVJ1" s="27"/>
      <c r="BVK1" s="27"/>
      <c r="BVL1" s="27"/>
      <c r="BVM1" s="27"/>
      <c r="BVN1" s="27"/>
      <c r="BVO1" s="27"/>
      <c r="BVP1" s="27"/>
      <c r="BVQ1" s="27"/>
      <c r="BVR1" s="27"/>
      <c r="BVS1" s="27"/>
      <c r="BVT1" s="27"/>
      <c r="BVU1" s="27"/>
      <c r="BVV1" s="27"/>
      <c r="BVW1" s="27"/>
      <c r="BVX1" s="27"/>
      <c r="BVY1" s="27"/>
      <c r="BVZ1" s="27"/>
      <c r="BWA1" s="27"/>
      <c r="BWB1" s="27"/>
      <c r="BWC1" s="27"/>
      <c r="BWD1" s="27"/>
      <c r="BWE1" s="27"/>
      <c r="BWF1" s="27"/>
      <c r="BWG1" s="27"/>
      <c r="BWH1" s="27"/>
      <c r="BWI1" s="27"/>
      <c r="BWJ1" s="27"/>
      <c r="BWK1" s="27"/>
      <c r="BWL1" s="27"/>
      <c r="BWM1" s="27"/>
      <c r="BWN1" s="27"/>
      <c r="BWO1" s="27"/>
      <c r="BWP1" s="27"/>
      <c r="BWQ1" s="27"/>
      <c r="BWR1" s="27"/>
      <c r="BWS1" s="27"/>
      <c r="BWT1" s="27"/>
      <c r="BWU1" s="27"/>
      <c r="BWV1" s="27"/>
      <c r="BWW1" s="27"/>
      <c r="BWX1" s="27"/>
      <c r="BWY1" s="27"/>
      <c r="BWZ1" s="27"/>
      <c r="BXA1" s="27"/>
      <c r="BXB1" s="27"/>
      <c r="BXC1" s="27"/>
      <c r="BXD1" s="27"/>
      <c r="BXE1" s="27"/>
      <c r="BXF1" s="27"/>
      <c r="BXG1" s="27"/>
      <c r="BXH1" s="27"/>
      <c r="BXI1" s="27"/>
      <c r="BXJ1" s="27"/>
      <c r="BXK1" s="27"/>
      <c r="BXL1" s="27"/>
      <c r="BXM1" s="27"/>
      <c r="BXN1" s="27"/>
      <c r="BXO1" s="27"/>
      <c r="BXP1" s="27"/>
      <c r="BXQ1" s="27"/>
      <c r="BXR1" s="27"/>
      <c r="BXS1" s="27"/>
      <c r="BXT1" s="27"/>
      <c r="BXU1" s="27"/>
      <c r="BXV1" s="27"/>
      <c r="BXW1" s="27"/>
      <c r="BXX1" s="27"/>
      <c r="BXY1" s="27"/>
      <c r="BXZ1" s="27"/>
      <c r="BYA1" s="27"/>
      <c r="BYB1" s="27"/>
      <c r="BYC1" s="27"/>
      <c r="BYD1" s="27"/>
      <c r="BYE1" s="27"/>
      <c r="BYF1" s="27"/>
      <c r="BYG1" s="27"/>
      <c r="BYH1" s="27"/>
      <c r="BYI1" s="27"/>
      <c r="BYJ1" s="27"/>
      <c r="BYK1" s="27"/>
      <c r="BYL1" s="27"/>
      <c r="BYM1" s="27"/>
      <c r="BYN1" s="27"/>
      <c r="BYO1" s="27"/>
      <c r="BYP1" s="27"/>
      <c r="BYQ1" s="27"/>
      <c r="BYR1" s="27"/>
      <c r="BYS1" s="27"/>
      <c r="BYT1" s="27"/>
      <c r="BYU1" s="27"/>
      <c r="BYV1" s="27"/>
      <c r="BYW1" s="27"/>
      <c r="BYX1" s="27"/>
      <c r="BYY1" s="27"/>
      <c r="BYZ1" s="27"/>
      <c r="BZA1" s="27"/>
      <c r="BZB1" s="27"/>
      <c r="BZC1" s="27"/>
      <c r="BZD1" s="27"/>
      <c r="BZE1" s="27"/>
      <c r="BZF1" s="27"/>
      <c r="BZG1" s="27"/>
      <c r="BZH1" s="27"/>
      <c r="BZI1" s="27"/>
      <c r="BZJ1" s="27"/>
      <c r="BZK1" s="27"/>
      <c r="BZL1" s="27"/>
      <c r="BZM1" s="27"/>
      <c r="BZN1" s="27"/>
      <c r="BZO1" s="27"/>
      <c r="BZP1" s="27"/>
      <c r="BZQ1" s="27"/>
      <c r="BZR1" s="27"/>
      <c r="BZS1" s="27"/>
      <c r="BZT1" s="27"/>
      <c r="BZU1" s="27"/>
      <c r="BZV1" s="27"/>
      <c r="BZW1" s="27"/>
      <c r="BZX1" s="27"/>
      <c r="BZY1" s="27"/>
      <c r="BZZ1" s="27"/>
      <c r="CAA1" s="27"/>
      <c r="CAB1" s="27"/>
      <c r="CAC1" s="27"/>
      <c r="CAD1" s="27"/>
      <c r="CAE1" s="27"/>
      <c r="CAF1" s="27"/>
      <c r="CAG1" s="27"/>
      <c r="CAH1" s="27"/>
      <c r="CAI1" s="27"/>
      <c r="CAJ1" s="27"/>
      <c r="CAK1" s="27"/>
      <c r="CAL1" s="27"/>
      <c r="CAM1" s="27"/>
      <c r="CAN1" s="27"/>
      <c r="CAO1" s="27"/>
      <c r="CAP1" s="27"/>
      <c r="CAQ1" s="27"/>
      <c r="CAR1" s="27"/>
      <c r="CAS1" s="27"/>
      <c r="CAT1" s="27"/>
      <c r="CAU1" s="27"/>
      <c r="CAV1" s="27"/>
      <c r="CAW1" s="27"/>
      <c r="CAX1" s="27"/>
      <c r="CAY1" s="27"/>
      <c r="CAZ1" s="27"/>
      <c r="CBA1" s="27"/>
      <c r="CBB1" s="27"/>
      <c r="CBC1" s="27"/>
      <c r="CBD1" s="27"/>
      <c r="CBE1" s="27"/>
      <c r="CBF1" s="27"/>
      <c r="CBG1" s="27"/>
      <c r="CBH1" s="27"/>
      <c r="CBI1" s="27"/>
      <c r="CBJ1" s="27"/>
      <c r="CBK1" s="27"/>
      <c r="CBL1" s="27"/>
      <c r="CBM1" s="27"/>
      <c r="CBN1" s="27"/>
      <c r="CBO1" s="27"/>
      <c r="CBP1" s="27"/>
      <c r="CBQ1" s="27"/>
      <c r="CBR1" s="27"/>
      <c r="CBS1" s="27"/>
      <c r="CBT1" s="27"/>
      <c r="CBU1" s="27"/>
      <c r="CBV1" s="27"/>
      <c r="CBW1" s="27"/>
      <c r="CBX1" s="27"/>
      <c r="CBY1" s="27"/>
      <c r="CBZ1" s="27"/>
      <c r="CCA1" s="27"/>
      <c r="CCB1" s="27"/>
      <c r="CCC1" s="27"/>
      <c r="CCD1" s="27"/>
      <c r="CCE1" s="27"/>
      <c r="CCF1" s="27"/>
      <c r="CCG1" s="27"/>
      <c r="CCH1" s="27"/>
      <c r="CCI1" s="27"/>
      <c r="CCJ1" s="27"/>
      <c r="CCK1" s="27"/>
      <c r="CCL1" s="27"/>
      <c r="CCM1" s="27"/>
      <c r="CCN1" s="27"/>
      <c r="CCO1" s="27"/>
      <c r="CCP1" s="27"/>
      <c r="CCQ1" s="27"/>
      <c r="CCR1" s="27"/>
      <c r="CCS1" s="27"/>
      <c r="CCT1" s="27"/>
      <c r="CCU1" s="27"/>
      <c r="CCV1" s="27"/>
      <c r="CCW1" s="27"/>
      <c r="CCX1" s="27"/>
      <c r="CCY1" s="27"/>
      <c r="CCZ1" s="27"/>
      <c r="CDA1" s="27"/>
      <c r="CDB1" s="27"/>
      <c r="CDC1" s="27"/>
      <c r="CDD1" s="27"/>
      <c r="CDE1" s="27"/>
      <c r="CDF1" s="27"/>
      <c r="CDG1" s="27"/>
      <c r="CDH1" s="27"/>
      <c r="CDI1" s="27"/>
      <c r="CDJ1" s="27"/>
      <c r="CDK1" s="27"/>
      <c r="CDL1" s="27"/>
      <c r="CDM1" s="27"/>
      <c r="CDN1" s="27"/>
      <c r="CDO1" s="27"/>
      <c r="CDP1" s="27"/>
      <c r="CDQ1" s="27"/>
      <c r="CDR1" s="27"/>
      <c r="CDS1" s="27"/>
      <c r="CDT1" s="27"/>
      <c r="CDU1" s="27"/>
      <c r="CDV1" s="27"/>
      <c r="CDW1" s="27"/>
      <c r="CDX1" s="27"/>
      <c r="CDY1" s="27"/>
      <c r="CDZ1" s="27"/>
      <c r="CEA1" s="27"/>
      <c r="CEB1" s="27"/>
      <c r="CEC1" s="27"/>
      <c r="CED1" s="27"/>
      <c r="CEE1" s="27"/>
      <c r="CEF1" s="27"/>
      <c r="CEG1" s="27"/>
      <c r="CEH1" s="27"/>
      <c r="CEI1" s="27"/>
      <c r="CEJ1" s="27"/>
      <c r="CEK1" s="27"/>
      <c r="CEL1" s="27"/>
      <c r="CEM1" s="27"/>
      <c r="CEN1" s="27"/>
      <c r="CEO1" s="27"/>
      <c r="CEP1" s="27"/>
      <c r="CEQ1" s="27"/>
      <c r="CER1" s="27"/>
      <c r="CES1" s="27"/>
      <c r="CET1" s="27"/>
      <c r="CEU1" s="27"/>
      <c r="CEV1" s="27"/>
      <c r="CEW1" s="27"/>
      <c r="CEX1" s="27"/>
      <c r="CEY1" s="27"/>
      <c r="CEZ1" s="27"/>
      <c r="CFA1" s="27"/>
      <c r="CFB1" s="27"/>
      <c r="CFC1" s="27"/>
      <c r="CFD1" s="27"/>
      <c r="CFE1" s="27"/>
      <c r="CFF1" s="27"/>
      <c r="CFG1" s="27"/>
      <c r="CFH1" s="27"/>
      <c r="CFI1" s="27"/>
      <c r="CFJ1" s="27"/>
      <c r="CFK1" s="27"/>
      <c r="CFL1" s="27"/>
      <c r="CFM1" s="27"/>
      <c r="CFN1" s="27"/>
      <c r="CFO1" s="27"/>
      <c r="CFP1" s="27"/>
      <c r="CFQ1" s="27"/>
      <c r="CFR1" s="27"/>
      <c r="CFS1" s="27"/>
      <c r="CFT1" s="27"/>
      <c r="CFU1" s="27"/>
      <c r="CFV1" s="27"/>
      <c r="CFW1" s="27"/>
      <c r="CFX1" s="27"/>
      <c r="CFY1" s="27"/>
      <c r="CFZ1" s="27"/>
      <c r="CGA1" s="27"/>
      <c r="CGB1" s="27"/>
      <c r="CGC1" s="27"/>
      <c r="CGD1" s="27"/>
      <c r="CGE1" s="27"/>
      <c r="CGF1" s="27"/>
      <c r="CGG1" s="27"/>
      <c r="CGH1" s="27"/>
      <c r="CGI1" s="27"/>
      <c r="CGJ1" s="27"/>
      <c r="CGK1" s="27"/>
      <c r="CGL1" s="27"/>
      <c r="CGM1" s="27"/>
      <c r="CGN1" s="27"/>
      <c r="CGO1" s="27"/>
      <c r="CGP1" s="27"/>
      <c r="CGQ1" s="27"/>
      <c r="CGR1" s="27"/>
      <c r="CGS1" s="27"/>
      <c r="CGT1" s="27"/>
      <c r="CGU1" s="27"/>
      <c r="CGV1" s="27"/>
      <c r="CGW1" s="27"/>
      <c r="CGX1" s="27"/>
      <c r="CGY1" s="27"/>
      <c r="CGZ1" s="27"/>
      <c r="CHA1" s="27"/>
      <c r="CHB1" s="27"/>
      <c r="CHC1" s="27"/>
      <c r="CHD1" s="27"/>
      <c r="CHE1" s="27"/>
      <c r="CHF1" s="27"/>
      <c r="CHG1" s="27"/>
      <c r="CHH1" s="27"/>
      <c r="CHI1" s="27"/>
      <c r="CHJ1" s="27"/>
      <c r="CHK1" s="27"/>
      <c r="CHL1" s="27"/>
      <c r="CHM1" s="27"/>
      <c r="CHN1" s="27"/>
      <c r="CHO1" s="27"/>
      <c r="CHP1" s="27"/>
      <c r="CHQ1" s="27"/>
      <c r="CHR1" s="27"/>
      <c r="CHS1" s="27"/>
      <c r="CHT1" s="27"/>
      <c r="CHU1" s="27"/>
      <c r="CHV1" s="27"/>
      <c r="CHW1" s="27"/>
      <c r="CHX1" s="27"/>
      <c r="CHY1" s="27"/>
      <c r="CHZ1" s="27"/>
      <c r="CIA1" s="27"/>
      <c r="CIB1" s="27"/>
      <c r="CIC1" s="27"/>
      <c r="CID1" s="27"/>
      <c r="CIE1" s="27"/>
      <c r="CIF1" s="27"/>
      <c r="CIG1" s="27"/>
      <c r="CIH1" s="27"/>
      <c r="CII1" s="27"/>
      <c r="CIJ1" s="27"/>
      <c r="CIK1" s="27"/>
      <c r="CIL1" s="27"/>
      <c r="CIM1" s="27"/>
      <c r="CIN1" s="27"/>
      <c r="CIO1" s="27"/>
      <c r="CIP1" s="27"/>
      <c r="CIQ1" s="27"/>
      <c r="CIR1" s="27"/>
      <c r="CIS1" s="27"/>
      <c r="CIT1" s="27"/>
      <c r="CIU1" s="27"/>
      <c r="CIV1" s="27"/>
      <c r="CIW1" s="27"/>
      <c r="CIX1" s="27"/>
      <c r="CIY1" s="27"/>
      <c r="CIZ1" s="27"/>
      <c r="CJA1" s="27"/>
      <c r="CJB1" s="27"/>
      <c r="CJC1" s="27"/>
      <c r="CJD1" s="27"/>
      <c r="CJE1" s="27"/>
      <c r="CJF1" s="27"/>
      <c r="CJG1" s="27"/>
      <c r="CJH1" s="27"/>
      <c r="CJI1" s="27"/>
      <c r="CJJ1" s="27"/>
      <c r="CJK1" s="27"/>
      <c r="CJL1" s="27"/>
      <c r="CJM1" s="27"/>
      <c r="CJN1" s="27"/>
      <c r="CJO1" s="27"/>
      <c r="CJP1" s="27"/>
      <c r="CJQ1" s="27"/>
      <c r="CJR1" s="27"/>
      <c r="CJS1" s="27"/>
      <c r="CJT1" s="27"/>
      <c r="CJU1" s="27"/>
      <c r="CJV1" s="27"/>
      <c r="CJW1" s="27"/>
      <c r="CJX1" s="27"/>
      <c r="CJY1" s="27"/>
      <c r="CJZ1" s="27"/>
      <c r="CKA1" s="27"/>
      <c r="CKB1" s="27"/>
      <c r="CKC1" s="27"/>
      <c r="CKD1" s="27"/>
      <c r="CKE1" s="27"/>
      <c r="CKF1" s="27"/>
      <c r="CKG1" s="27"/>
      <c r="CKH1" s="27"/>
      <c r="CKI1" s="27"/>
      <c r="CKJ1" s="27"/>
      <c r="CKK1" s="27"/>
      <c r="CKL1" s="27"/>
      <c r="CKM1" s="27"/>
      <c r="CKN1" s="27"/>
      <c r="CKO1" s="27"/>
      <c r="CKP1" s="27"/>
      <c r="CKQ1" s="27"/>
      <c r="CKR1" s="27"/>
      <c r="CKS1" s="27"/>
      <c r="CKT1" s="27"/>
      <c r="CKU1" s="27"/>
      <c r="CKV1" s="27"/>
      <c r="CKW1" s="27"/>
      <c r="CKX1" s="27"/>
      <c r="CKY1" s="27"/>
      <c r="CKZ1" s="27"/>
      <c r="CLA1" s="27"/>
      <c r="CLB1" s="27"/>
      <c r="CLC1" s="27"/>
      <c r="CLD1" s="27"/>
      <c r="CLE1" s="27"/>
      <c r="CLF1" s="27"/>
      <c r="CLG1" s="27"/>
      <c r="CLH1" s="27"/>
      <c r="CLI1" s="27"/>
      <c r="CLJ1" s="27"/>
      <c r="CLK1" s="27"/>
      <c r="CLL1" s="27"/>
      <c r="CLM1" s="27"/>
      <c r="CLN1" s="27"/>
      <c r="CLO1" s="27"/>
      <c r="CLP1" s="27"/>
      <c r="CLQ1" s="27"/>
      <c r="CLR1" s="27"/>
      <c r="CLS1" s="27"/>
      <c r="CLT1" s="27"/>
      <c r="CLU1" s="27"/>
      <c r="CLV1" s="27"/>
      <c r="CLW1" s="27"/>
      <c r="CLX1" s="27"/>
      <c r="CLY1" s="27"/>
      <c r="CLZ1" s="27"/>
      <c r="CMA1" s="27"/>
      <c r="CMB1" s="27"/>
      <c r="CMC1" s="27"/>
      <c r="CMD1" s="27"/>
      <c r="CME1" s="27"/>
      <c r="CMF1" s="27"/>
      <c r="CMG1" s="27"/>
      <c r="CMH1" s="27"/>
      <c r="CMI1" s="27"/>
      <c r="CMJ1" s="27"/>
      <c r="CMK1" s="27"/>
      <c r="CML1" s="27"/>
      <c r="CMM1" s="27"/>
      <c r="CMN1" s="27"/>
      <c r="CMO1" s="27"/>
      <c r="CMP1" s="27"/>
      <c r="CMQ1" s="27"/>
      <c r="CMR1" s="27"/>
      <c r="CMS1" s="27"/>
      <c r="CMT1" s="27"/>
      <c r="CMU1" s="27"/>
      <c r="CMV1" s="27"/>
      <c r="CMW1" s="27"/>
      <c r="CMX1" s="27"/>
      <c r="CMY1" s="27"/>
      <c r="CMZ1" s="27"/>
      <c r="CNA1" s="27"/>
      <c r="CNB1" s="27"/>
      <c r="CNC1" s="27"/>
      <c r="CND1" s="27"/>
      <c r="CNE1" s="27"/>
      <c r="CNF1" s="27"/>
      <c r="CNG1" s="27"/>
      <c r="CNH1" s="27"/>
      <c r="CNI1" s="27"/>
      <c r="CNJ1" s="27"/>
      <c r="CNK1" s="27"/>
      <c r="CNL1" s="27"/>
      <c r="CNM1" s="27"/>
      <c r="CNN1" s="27"/>
      <c r="CNO1" s="27"/>
      <c r="CNP1" s="27"/>
      <c r="CNQ1" s="27"/>
      <c r="CNR1" s="27"/>
      <c r="CNS1" s="27"/>
      <c r="CNT1" s="27"/>
      <c r="CNU1" s="27"/>
      <c r="CNV1" s="27"/>
      <c r="CNW1" s="27"/>
      <c r="CNX1" s="27"/>
      <c r="CNY1" s="27"/>
      <c r="CNZ1" s="27"/>
      <c r="COA1" s="27"/>
      <c r="COB1" s="27"/>
      <c r="COC1" s="27"/>
      <c r="COD1" s="27"/>
      <c r="COE1" s="27"/>
      <c r="COF1" s="27"/>
      <c r="COG1" s="27"/>
      <c r="COH1" s="27"/>
      <c r="COI1" s="27"/>
      <c r="COJ1" s="27"/>
      <c r="COK1" s="27"/>
      <c r="COL1" s="27"/>
      <c r="COM1" s="27"/>
      <c r="CON1" s="27"/>
      <c r="COO1" s="27"/>
      <c r="COP1" s="27"/>
      <c r="COQ1" s="27"/>
      <c r="COR1" s="27"/>
      <c r="COS1" s="27"/>
      <c r="COT1" s="27"/>
      <c r="COU1" s="27"/>
      <c r="COV1" s="27"/>
      <c r="COW1" s="27"/>
      <c r="COX1" s="27"/>
      <c r="COY1" s="27"/>
      <c r="COZ1" s="27"/>
      <c r="CPA1" s="27"/>
      <c r="CPB1" s="27"/>
      <c r="CPC1" s="27"/>
      <c r="CPD1" s="27"/>
      <c r="CPE1" s="27"/>
      <c r="CPF1" s="27"/>
      <c r="CPG1" s="27"/>
      <c r="CPH1" s="27"/>
      <c r="CPI1" s="27"/>
      <c r="CPJ1" s="27"/>
      <c r="CPK1" s="27"/>
      <c r="CPL1" s="27"/>
      <c r="CPM1" s="27"/>
      <c r="CPN1" s="27"/>
      <c r="CPO1" s="27"/>
      <c r="CPP1" s="27"/>
      <c r="CPQ1" s="27"/>
      <c r="CPR1" s="27"/>
      <c r="CPS1" s="27"/>
      <c r="CPT1" s="27"/>
      <c r="CPU1" s="27"/>
      <c r="CPV1" s="27"/>
      <c r="CPW1" s="27"/>
      <c r="CPX1" s="27"/>
      <c r="CPY1" s="27"/>
      <c r="CPZ1" s="27"/>
      <c r="CQA1" s="27"/>
      <c r="CQB1" s="27"/>
      <c r="CQC1" s="27"/>
      <c r="CQD1" s="27"/>
      <c r="CQE1" s="27"/>
      <c r="CQF1" s="27"/>
      <c r="CQG1" s="27"/>
      <c r="CQH1" s="27"/>
      <c r="CQI1" s="27"/>
      <c r="CQJ1" s="27"/>
      <c r="CQK1" s="27"/>
      <c r="CQL1" s="27"/>
      <c r="CQM1" s="27"/>
      <c r="CQN1" s="27"/>
      <c r="CQO1" s="27"/>
      <c r="CQP1" s="27"/>
      <c r="CQQ1" s="27"/>
      <c r="CQR1" s="27"/>
      <c r="CQS1" s="27"/>
      <c r="CQT1" s="27"/>
      <c r="CQU1" s="27"/>
      <c r="CQV1" s="27"/>
      <c r="CQW1" s="27"/>
      <c r="CQX1" s="27"/>
      <c r="CQY1" s="27"/>
      <c r="CQZ1" s="27"/>
      <c r="CRA1" s="27"/>
      <c r="CRB1" s="27"/>
      <c r="CRC1" s="27"/>
      <c r="CRD1" s="27"/>
      <c r="CRE1" s="27"/>
      <c r="CRF1" s="27"/>
      <c r="CRG1" s="27"/>
      <c r="CRH1" s="27"/>
      <c r="CRI1" s="27"/>
      <c r="CRJ1" s="27"/>
      <c r="CRK1" s="27"/>
      <c r="CRL1" s="27"/>
      <c r="CRM1" s="27"/>
      <c r="CRN1" s="27"/>
      <c r="CRO1" s="27"/>
      <c r="CRP1" s="27"/>
      <c r="CRQ1" s="27"/>
      <c r="CRR1" s="27"/>
      <c r="CRS1" s="27"/>
      <c r="CRT1" s="27"/>
      <c r="CRU1" s="27"/>
      <c r="CRV1" s="27"/>
      <c r="CRW1" s="27"/>
      <c r="CRX1" s="27"/>
      <c r="CRY1" s="27"/>
      <c r="CRZ1" s="27"/>
      <c r="CSA1" s="27"/>
      <c r="CSB1" s="27"/>
      <c r="CSC1" s="27"/>
      <c r="CSD1" s="27"/>
      <c r="CSE1" s="27"/>
      <c r="CSF1" s="27"/>
      <c r="CSG1" s="27"/>
      <c r="CSH1" s="27"/>
      <c r="CSI1" s="27"/>
      <c r="CSJ1" s="27"/>
      <c r="CSK1" s="27"/>
      <c r="CSL1" s="27"/>
      <c r="CSM1" s="27"/>
      <c r="CSN1" s="27"/>
      <c r="CSO1" s="27"/>
      <c r="CSP1" s="27"/>
      <c r="CSQ1" s="27"/>
      <c r="CSR1" s="27"/>
      <c r="CSS1" s="27"/>
      <c r="CST1" s="27"/>
      <c r="CSU1" s="27"/>
      <c r="CSV1" s="27"/>
      <c r="CSW1" s="27"/>
      <c r="CSX1" s="27"/>
      <c r="CSY1" s="27"/>
      <c r="CSZ1" s="27"/>
      <c r="CTA1" s="27"/>
      <c r="CTB1" s="27"/>
      <c r="CTC1" s="27"/>
      <c r="CTD1" s="27"/>
      <c r="CTE1" s="27"/>
      <c r="CTF1" s="27"/>
      <c r="CTG1" s="27"/>
      <c r="CTH1" s="27"/>
      <c r="CTI1" s="27"/>
      <c r="CTJ1" s="27"/>
      <c r="CTK1" s="27"/>
      <c r="CTL1" s="27"/>
      <c r="CTM1" s="27"/>
      <c r="CTN1" s="27"/>
      <c r="CTO1" s="27"/>
      <c r="CTP1" s="27"/>
      <c r="CTQ1" s="27"/>
      <c r="CTR1" s="27"/>
      <c r="CTS1" s="27"/>
      <c r="CTT1" s="27"/>
      <c r="CTU1" s="27"/>
      <c r="CTV1" s="27"/>
      <c r="CTW1" s="27"/>
      <c r="CTX1" s="27"/>
      <c r="CTY1" s="27"/>
      <c r="CTZ1" s="27"/>
      <c r="CUA1" s="27"/>
      <c r="CUB1" s="27"/>
      <c r="CUC1" s="27"/>
      <c r="CUD1" s="27"/>
      <c r="CUE1" s="27"/>
      <c r="CUF1" s="27"/>
      <c r="CUG1" s="27"/>
      <c r="CUH1" s="27"/>
      <c r="CUI1" s="27"/>
      <c r="CUJ1" s="27"/>
      <c r="CUK1" s="27"/>
      <c r="CUL1" s="27"/>
      <c r="CUM1" s="27"/>
      <c r="CUN1" s="27"/>
      <c r="CUO1" s="27"/>
      <c r="CUP1" s="27"/>
      <c r="CUQ1" s="27"/>
      <c r="CUR1" s="27"/>
      <c r="CUS1" s="27"/>
      <c r="CUT1" s="27"/>
      <c r="CUU1" s="27"/>
      <c r="CUV1" s="27"/>
      <c r="CUW1" s="27"/>
      <c r="CUX1" s="27"/>
      <c r="CUY1" s="27"/>
      <c r="CUZ1" s="27"/>
      <c r="CVA1" s="27"/>
      <c r="CVB1" s="27"/>
      <c r="CVC1" s="27"/>
      <c r="CVD1" s="27"/>
      <c r="CVE1" s="27"/>
      <c r="CVF1" s="27"/>
      <c r="CVG1" s="27"/>
      <c r="CVH1" s="27"/>
      <c r="CVI1" s="27"/>
      <c r="CVJ1" s="27"/>
      <c r="CVK1" s="27"/>
      <c r="CVL1" s="27"/>
      <c r="CVM1" s="27"/>
      <c r="CVN1" s="27"/>
      <c r="CVO1" s="27"/>
      <c r="CVP1" s="27"/>
      <c r="CVQ1" s="27"/>
      <c r="CVR1" s="27"/>
      <c r="CVS1" s="27"/>
      <c r="CVT1" s="27"/>
      <c r="CVU1" s="27"/>
      <c r="CVV1" s="27"/>
      <c r="CVW1" s="27"/>
      <c r="CVX1" s="27"/>
      <c r="CVY1" s="27"/>
      <c r="CVZ1" s="27"/>
      <c r="CWA1" s="27"/>
      <c r="CWB1" s="27"/>
      <c r="CWC1" s="27"/>
      <c r="CWD1" s="27"/>
      <c r="CWE1" s="27"/>
      <c r="CWF1" s="27"/>
      <c r="CWG1" s="27"/>
      <c r="CWH1" s="27"/>
      <c r="CWI1" s="27"/>
      <c r="CWJ1" s="27"/>
      <c r="CWK1" s="27"/>
      <c r="CWL1" s="27"/>
      <c r="CWM1" s="27"/>
      <c r="CWN1" s="27"/>
      <c r="CWO1" s="27"/>
      <c r="CWP1" s="27"/>
      <c r="CWQ1" s="27"/>
      <c r="CWR1" s="27"/>
      <c r="CWS1" s="27"/>
      <c r="CWT1" s="27"/>
      <c r="CWU1" s="27"/>
      <c r="CWV1" s="27"/>
      <c r="CWW1" s="27"/>
      <c r="CWX1" s="27"/>
      <c r="CWY1" s="27"/>
      <c r="CWZ1" s="27"/>
      <c r="CXA1" s="27"/>
      <c r="CXB1" s="27"/>
      <c r="CXC1" s="27"/>
      <c r="CXD1" s="27"/>
      <c r="CXE1" s="27"/>
      <c r="CXF1" s="27"/>
      <c r="CXG1" s="27"/>
      <c r="CXH1" s="27"/>
      <c r="CXI1" s="27"/>
      <c r="CXJ1" s="27"/>
      <c r="CXK1" s="27"/>
      <c r="CXL1" s="27"/>
      <c r="CXM1" s="27"/>
      <c r="CXN1" s="27"/>
      <c r="CXO1" s="27"/>
      <c r="CXP1" s="27"/>
      <c r="CXQ1" s="27"/>
      <c r="CXR1" s="27"/>
      <c r="CXS1" s="27"/>
      <c r="CXT1" s="27"/>
      <c r="CXU1" s="27"/>
      <c r="CXV1" s="27"/>
      <c r="CXW1" s="27"/>
      <c r="CXX1" s="27"/>
      <c r="CXY1" s="27"/>
      <c r="CXZ1" s="27"/>
      <c r="CYA1" s="27"/>
      <c r="CYB1" s="27"/>
      <c r="CYC1" s="27"/>
      <c r="CYD1" s="27"/>
      <c r="CYE1" s="27"/>
      <c r="CYF1" s="27"/>
      <c r="CYG1" s="27"/>
      <c r="CYH1" s="27"/>
      <c r="CYI1" s="27"/>
      <c r="CYJ1" s="27"/>
      <c r="CYK1" s="27"/>
      <c r="CYL1" s="27"/>
      <c r="CYM1" s="27"/>
      <c r="CYN1" s="27"/>
      <c r="CYO1" s="27"/>
      <c r="CYP1" s="27"/>
      <c r="CYQ1" s="27"/>
      <c r="CYR1" s="27"/>
      <c r="CYS1" s="27"/>
      <c r="CYT1" s="27"/>
      <c r="CYU1" s="27"/>
      <c r="CYV1" s="27"/>
      <c r="CYW1" s="27"/>
      <c r="CYX1" s="27"/>
      <c r="CYY1" s="27"/>
      <c r="CYZ1" s="27"/>
      <c r="CZA1" s="27"/>
      <c r="CZB1" s="27"/>
      <c r="CZC1" s="27"/>
      <c r="CZD1" s="27"/>
      <c r="CZE1" s="27"/>
      <c r="CZF1" s="27"/>
      <c r="CZG1" s="27"/>
      <c r="CZH1" s="27"/>
      <c r="CZI1" s="27"/>
      <c r="CZJ1" s="27"/>
      <c r="CZK1" s="27"/>
      <c r="CZL1" s="27"/>
      <c r="CZM1" s="27"/>
      <c r="CZN1" s="27"/>
      <c r="CZO1" s="27"/>
      <c r="CZP1" s="27"/>
      <c r="CZQ1" s="27"/>
      <c r="CZR1" s="27"/>
      <c r="CZS1" s="27"/>
      <c r="CZT1" s="27"/>
      <c r="CZU1" s="27"/>
      <c r="CZV1" s="27"/>
      <c r="CZW1" s="27"/>
      <c r="CZX1" s="27"/>
      <c r="CZY1" s="27"/>
      <c r="CZZ1" s="27"/>
      <c r="DAA1" s="27"/>
      <c r="DAB1" s="27"/>
      <c r="DAC1" s="27"/>
      <c r="DAD1" s="27"/>
      <c r="DAE1" s="27"/>
      <c r="DAF1" s="27"/>
      <c r="DAG1" s="27"/>
      <c r="DAH1" s="27"/>
      <c r="DAI1" s="27"/>
      <c r="DAJ1" s="27"/>
      <c r="DAK1" s="27"/>
      <c r="DAL1" s="27"/>
      <c r="DAM1" s="27"/>
      <c r="DAN1" s="27"/>
      <c r="DAO1" s="27"/>
      <c r="DAP1" s="27"/>
      <c r="DAQ1" s="27"/>
      <c r="DAR1" s="27"/>
      <c r="DAS1" s="27"/>
      <c r="DAT1" s="27"/>
      <c r="DAU1" s="27"/>
      <c r="DAV1" s="27"/>
      <c r="DAW1" s="27"/>
      <c r="DAX1" s="27"/>
      <c r="DAY1" s="27"/>
      <c r="DAZ1" s="27"/>
      <c r="DBA1" s="27"/>
      <c r="DBB1" s="27"/>
      <c r="DBC1" s="27"/>
      <c r="DBD1" s="27"/>
      <c r="DBE1" s="27"/>
      <c r="DBF1" s="27"/>
      <c r="DBG1" s="27"/>
      <c r="DBH1" s="27"/>
      <c r="DBI1" s="27"/>
      <c r="DBJ1" s="27"/>
      <c r="DBK1" s="27"/>
      <c r="DBL1" s="27"/>
      <c r="DBM1" s="27"/>
      <c r="DBN1" s="27"/>
      <c r="DBO1" s="27"/>
      <c r="DBP1" s="27"/>
      <c r="DBQ1" s="27"/>
      <c r="DBR1" s="27"/>
      <c r="DBS1" s="27"/>
      <c r="DBT1" s="27"/>
      <c r="DBU1" s="27"/>
      <c r="DBV1" s="27"/>
      <c r="DBW1" s="27"/>
      <c r="DBX1" s="27"/>
      <c r="DBY1" s="27"/>
      <c r="DBZ1" s="27"/>
      <c r="DCA1" s="27"/>
      <c r="DCB1" s="27"/>
      <c r="DCC1" s="27"/>
      <c r="DCD1" s="27"/>
      <c r="DCE1" s="27"/>
      <c r="DCF1" s="27"/>
      <c r="DCG1" s="27"/>
      <c r="DCH1" s="27"/>
      <c r="DCI1" s="27"/>
      <c r="DCJ1" s="27"/>
      <c r="DCK1" s="27"/>
      <c r="DCL1" s="27"/>
      <c r="DCM1" s="27"/>
      <c r="DCN1" s="27"/>
      <c r="DCO1" s="27"/>
      <c r="DCP1" s="27"/>
      <c r="DCQ1" s="27"/>
      <c r="DCR1" s="27"/>
      <c r="DCS1" s="27"/>
      <c r="DCT1" s="27"/>
      <c r="DCU1" s="27"/>
      <c r="DCV1" s="27"/>
      <c r="DCW1" s="27"/>
      <c r="DCX1" s="27"/>
      <c r="DCY1" s="27"/>
      <c r="DCZ1" s="27"/>
      <c r="DDA1" s="27"/>
      <c r="DDB1" s="27"/>
      <c r="DDC1" s="27"/>
      <c r="DDD1" s="27"/>
      <c r="DDE1" s="27"/>
      <c r="DDF1" s="27"/>
      <c r="DDG1" s="27"/>
      <c r="DDH1" s="27"/>
      <c r="DDI1" s="27"/>
      <c r="DDJ1" s="27"/>
      <c r="DDK1" s="27"/>
      <c r="DDL1" s="27"/>
      <c r="DDM1" s="27"/>
      <c r="DDN1" s="27"/>
      <c r="DDO1" s="27"/>
      <c r="DDP1" s="27"/>
      <c r="DDQ1" s="27"/>
      <c r="DDR1" s="27"/>
      <c r="DDS1" s="27"/>
      <c r="DDT1" s="27"/>
      <c r="DDU1" s="27"/>
      <c r="DDV1" s="27"/>
      <c r="DDW1" s="27"/>
      <c r="DDX1" s="27"/>
      <c r="DDY1" s="27"/>
      <c r="DDZ1" s="27"/>
      <c r="DEA1" s="27"/>
      <c r="DEB1" s="27"/>
      <c r="DEC1" s="27"/>
      <c r="DED1" s="27"/>
      <c r="DEE1" s="27"/>
      <c r="DEF1" s="27"/>
      <c r="DEG1" s="27"/>
      <c r="DEH1" s="27"/>
      <c r="DEI1" s="27"/>
      <c r="DEJ1" s="27"/>
      <c r="DEK1" s="27"/>
      <c r="DEL1" s="27"/>
      <c r="DEM1" s="27"/>
      <c r="DEN1" s="27"/>
      <c r="DEO1" s="27"/>
      <c r="DEP1" s="27"/>
      <c r="DEQ1" s="27"/>
      <c r="DER1" s="27"/>
      <c r="DES1" s="27"/>
      <c r="DET1" s="27"/>
      <c r="DEU1" s="27"/>
      <c r="DEV1" s="27"/>
      <c r="DEW1" s="27"/>
      <c r="DEX1" s="27"/>
      <c r="DEY1" s="27"/>
      <c r="DEZ1" s="27"/>
      <c r="DFA1" s="27"/>
      <c r="DFB1" s="27"/>
      <c r="DFC1" s="27"/>
      <c r="DFD1" s="27"/>
      <c r="DFE1" s="27"/>
      <c r="DFF1" s="27"/>
      <c r="DFG1" s="27"/>
      <c r="DFH1" s="27"/>
      <c r="DFI1" s="27"/>
      <c r="DFJ1" s="27"/>
      <c r="DFK1" s="27"/>
      <c r="DFL1" s="27"/>
      <c r="DFM1" s="27"/>
      <c r="DFN1" s="27"/>
      <c r="DFO1" s="27"/>
      <c r="DFP1" s="27"/>
      <c r="DFQ1" s="27"/>
      <c r="DFR1" s="27"/>
      <c r="DFS1" s="27"/>
      <c r="DFT1" s="27"/>
      <c r="DFU1" s="27"/>
      <c r="DFV1" s="27"/>
      <c r="DFW1" s="27"/>
      <c r="DFX1" s="27"/>
      <c r="DFY1" s="27"/>
      <c r="DFZ1" s="27"/>
      <c r="DGA1" s="27"/>
      <c r="DGB1" s="27"/>
      <c r="DGC1" s="27"/>
      <c r="DGD1" s="27"/>
      <c r="DGE1" s="27"/>
      <c r="DGF1" s="27"/>
      <c r="DGG1" s="27"/>
      <c r="DGH1" s="27"/>
      <c r="DGI1" s="27"/>
      <c r="DGJ1" s="27"/>
      <c r="DGK1" s="27"/>
      <c r="DGL1" s="27"/>
      <c r="DGM1" s="27"/>
      <c r="DGN1" s="27"/>
      <c r="DGO1" s="27"/>
      <c r="DGP1" s="27"/>
      <c r="DGQ1" s="27"/>
      <c r="DGR1" s="27"/>
      <c r="DGS1" s="27"/>
      <c r="DGT1" s="27"/>
      <c r="DGU1" s="27"/>
      <c r="DGV1" s="27"/>
      <c r="DGW1" s="27"/>
      <c r="DGX1" s="27"/>
      <c r="DGY1" s="27"/>
      <c r="DGZ1" s="27"/>
      <c r="DHA1" s="27"/>
      <c r="DHB1" s="27"/>
      <c r="DHC1" s="27"/>
      <c r="DHD1" s="27"/>
      <c r="DHE1" s="27"/>
      <c r="DHF1" s="27"/>
      <c r="DHG1" s="27"/>
      <c r="DHH1" s="27"/>
      <c r="DHI1" s="27"/>
      <c r="DHJ1" s="27"/>
      <c r="DHK1" s="27"/>
      <c r="DHL1" s="27"/>
      <c r="DHM1" s="27"/>
      <c r="DHN1" s="27"/>
      <c r="DHO1" s="27"/>
      <c r="DHP1" s="27"/>
      <c r="DHQ1" s="27"/>
      <c r="DHR1" s="27"/>
      <c r="DHS1" s="27"/>
      <c r="DHT1" s="27"/>
      <c r="DHU1" s="27"/>
      <c r="DHV1" s="27"/>
      <c r="DHW1" s="27"/>
      <c r="DHX1" s="27"/>
      <c r="DHY1" s="27"/>
      <c r="DHZ1" s="27"/>
      <c r="DIA1" s="27"/>
      <c r="DIB1" s="27"/>
      <c r="DIC1" s="27"/>
      <c r="DID1" s="27"/>
      <c r="DIE1" s="27"/>
      <c r="DIF1" s="27"/>
      <c r="DIG1" s="27"/>
      <c r="DIH1" s="27"/>
      <c r="DII1" s="27"/>
      <c r="DIJ1" s="27"/>
      <c r="DIK1" s="27"/>
      <c r="DIL1" s="27"/>
      <c r="DIM1" s="27"/>
      <c r="DIN1" s="27"/>
      <c r="DIO1" s="27"/>
      <c r="DIP1" s="27"/>
      <c r="DIQ1" s="27"/>
      <c r="DIR1" s="27"/>
      <c r="DIS1" s="27"/>
      <c r="DIT1" s="27"/>
      <c r="DIU1" s="27"/>
      <c r="DIV1" s="27"/>
      <c r="DIW1" s="27"/>
      <c r="DIX1" s="27"/>
      <c r="DIY1" s="27"/>
      <c r="DIZ1" s="27"/>
      <c r="DJA1" s="27"/>
      <c r="DJB1" s="27"/>
      <c r="DJC1" s="27"/>
      <c r="DJD1" s="27"/>
      <c r="DJE1" s="27"/>
      <c r="DJF1" s="27"/>
      <c r="DJG1" s="27"/>
      <c r="DJH1" s="27"/>
      <c r="DJI1" s="27"/>
      <c r="DJJ1" s="27"/>
      <c r="DJK1" s="27"/>
      <c r="DJL1" s="27"/>
      <c r="DJM1" s="27"/>
      <c r="DJN1" s="27"/>
      <c r="DJO1" s="27"/>
      <c r="DJP1" s="27"/>
      <c r="DJQ1" s="27"/>
      <c r="DJR1" s="27"/>
      <c r="DJS1" s="27"/>
      <c r="DJT1" s="27"/>
      <c r="DJU1" s="27"/>
      <c r="DJV1" s="27"/>
      <c r="DJW1" s="27"/>
      <c r="DJX1" s="27"/>
      <c r="DJY1" s="27"/>
      <c r="DJZ1" s="27"/>
      <c r="DKA1" s="27"/>
      <c r="DKB1" s="27"/>
      <c r="DKC1" s="27"/>
      <c r="DKD1" s="27"/>
      <c r="DKE1" s="27"/>
      <c r="DKF1" s="27"/>
      <c r="DKG1" s="27"/>
      <c r="DKH1" s="27"/>
      <c r="DKI1" s="27"/>
      <c r="DKJ1" s="27"/>
      <c r="DKK1" s="27"/>
      <c r="DKL1" s="27"/>
      <c r="DKM1" s="27"/>
      <c r="DKN1" s="27"/>
      <c r="DKO1" s="27"/>
      <c r="DKP1" s="27"/>
      <c r="DKQ1" s="27"/>
      <c r="DKR1" s="27"/>
      <c r="DKS1" s="27"/>
      <c r="DKT1" s="27"/>
      <c r="DKU1" s="27"/>
      <c r="DKV1" s="27"/>
      <c r="DKW1" s="27"/>
      <c r="DKX1" s="27"/>
      <c r="DKY1" s="27"/>
      <c r="DKZ1" s="27"/>
      <c r="DLA1" s="27"/>
      <c r="DLB1" s="27"/>
      <c r="DLC1" s="27"/>
      <c r="DLD1" s="27"/>
      <c r="DLE1" s="27"/>
      <c r="DLF1" s="27"/>
      <c r="DLG1" s="27"/>
      <c r="DLH1" s="27"/>
      <c r="DLI1" s="27"/>
      <c r="DLJ1" s="27"/>
      <c r="DLK1" s="27"/>
      <c r="DLL1" s="27"/>
      <c r="DLM1" s="27"/>
      <c r="DLN1" s="27"/>
      <c r="DLO1" s="27"/>
      <c r="DLP1" s="27"/>
      <c r="DLQ1" s="27"/>
      <c r="DLR1" s="27"/>
      <c r="DLS1" s="27"/>
      <c r="DLT1" s="27"/>
      <c r="DLU1" s="27"/>
      <c r="DLV1" s="27"/>
      <c r="DLW1" s="27"/>
      <c r="DLX1" s="27"/>
      <c r="DLY1" s="27"/>
      <c r="DLZ1" s="27"/>
      <c r="DMA1" s="27"/>
      <c r="DMB1" s="27"/>
      <c r="DMC1" s="27"/>
      <c r="DMD1" s="27"/>
      <c r="DME1" s="27"/>
      <c r="DMF1" s="27"/>
      <c r="DMG1" s="27"/>
      <c r="DMH1" s="27"/>
      <c r="DMI1" s="27"/>
      <c r="DMJ1" s="27"/>
      <c r="DMK1" s="27"/>
      <c r="DML1" s="27"/>
      <c r="DMM1" s="27"/>
      <c r="DMN1" s="27"/>
      <c r="DMO1" s="27"/>
      <c r="DMP1" s="27"/>
      <c r="DMQ1" s="27"/>
      <c r="DMR1" s="27"/>
      <c r="DMS1" s="27"/>
      <c r="DMT1" s="27"/>
      <c r="DMU1" s="27"/>
      <c r="DMV1" s="27"/>
      <c r="DMW1" s="27"/>
      <c r="DMX1" s="27"/>
      <c r="DMY1" s="27"/>
      <c r="DMZ1" s="27"/>
      <c r="DNA1" s="27"/>
      <c r="DNB1" s="27"/>
      <c r="DNC1" s="27"/>
      <c r="DND1" s="27"/>
      <c r="DNE1" s="27"/>
      <c r="DNF1" s="27"/>
      <c r="DNG1" s="27"/>
      <c r="DNH1" s="27"/>
      <c r="DNI1" s="27"/>
      <c r="DNJ1" s="27"/>
      <c r="DNK1" s="27"/>
      <c r="DNL1" s="27"/>
      <c r="DNM1" s="27"/>
      <c r="DNN1" s="27"/>
      <c r="DNO1" s="27"/>
      <c r="DNP1" s="27"/>
      <c r="DNQ1" s="27"/>
      <c r="DNR1" s="27"/>
      <c r="DNS1" s="27"/>
      <c r="DNT1" s="27"/>
      <c r="DNU1" s="27"/>
      <c r="DNV1" s="27"/>
      <c r="DNW1" s="27"/>
      <c r="DNX1" s="27"/>
      <c r="DNY1" s="27"/>
      <c r="DNZ1" s="27"/>
      <c r="DOA1" s="27"/>
      <c r="DOB1" s="27"/>
      <c r="DOC1" s="27"/>
      <c r="DOD1" s="27"/>
      <c r="DOE1" s="27"/>
      <c r="DOF1" s="27"/>
      <c r="DOG1" s="27"/>
      <c r="DOH1" s="27"/>
      <c r="DOI1" s="27"/>
      <c r="DOJ1" s="27"/>
      <c r="DOK1" s="27"/>
      <c r="DOL1" s="27"/>
      <c r="DOM1" s="27"/>
      <c r="DON1" s="27"/>
      <c r="DOO1" s="27"/>
      <c r="DOP1" s="27"/>
      <c r="DOQ1" s="27"/>
      <c r="DOR1" s="27"/>
      <c r="DOS1" s="27"/>
      <c r="DOT1" s="27"/>
      <c r="DOU1" s="27"/>
      <c r="DOV1" s="27"/>
      <c r="DOW1" s="27"/>
      <c r="DOX1" s="27"/>
      <c r="DOY1" s="27"/>
      <c r="DOZ1" s="27"/>
      <c r="DPA1" s="27"/>
      <c r="DPB1" s="27"/>
      <c r="DPC1" s="27"/>
      <c r="DPD1" s="27"/>
      <c r="DPE1" s="27"/>
      <c r="DPF1" s="27"/>
      <c r="DPG1" s="27"/>
      <c r="DPH1" s="27"/>
      <c r="DPI1" s="27"/>
      <c r="DPJ1" s="27"/>
      <c r="DPK1" s="27"/>
      <c r="DPL1" s="27"/>
      <c r="DPM1" s="27"/>
      <c r="DPN1" s="27"/>
      <c r="DPO1" s="27"/>
      <c r="DPP1" s="27"/>
      <c r="DPQ1" s="27"/>
      <c r="DPR1" s="27"/>
      <c r="DPS1" s="27"/>
      <c r="DPT1" s="27"/>
      <c r="DPU1" s="27"/>
      <c r="DPV1" s="27"/>
      <c r="DPW1" s="27"/>
      <c r="DPX1" s="27"/>
      <c r="DPY1" s="27"/>
      <c r="DPZ1" s="27"/>
      <c r="DQA1" s="27"/>
      <c r="DQB1" s="27"/>
      <c r="DQC1" s="27"/>
      <c r="DQD1" s="27"/>
      <c r="DQE1" s="27"/>
      <c r="DQF1" s="27"/>
      <c r="DQG1" s="27"/>
      <c r="DQH1" s="27"/>
      <c r="DQI1" s="27"/>
      <c r="DQJ1" s="27"/>
      <c r="DQK1" s="27"/>
      <c r="DQL1" s="27"/>
      <c r="DQM1" s="27"/>
      <c r="DQN1" s="27"/>
      <c r="DQO1" s="27"/>
      <c r="DQP1" s="27"/>
      <c r="DQQ1" s="27"/>
      <c r="DQR1" s="27"/>
      <c r="DQS1" s="27"/>
      <c r="DQT1" s="27"/>
      <c r="DQU1" s="27"/>
      <c r="DQV1" s="27"/>
      <c r="DQW1" s="27"/>
      <c r="DQX1" s="27"/>
      <c r="DQY1" s="27"/>
      <c r="DQZ1" s="27"/>
      <c r="DRA1" s="27"/>
      <c r="DRB1" s="27"/>
      <c r="DRC1" s="27"/>
      <c r="DRD1" s="27"/>
      <c r="DRE1" s="27"/>
      <c r="DRF1" s="27"/>
      <c r="DRG1" s="27"/>
      <c r="DRH1" s="27"/>
      <c r="DRI1" s="27"/>
      <c r="DRJ1" s="27"/>
      <c r="DRK1" s="27"/>
      <c r="DRL1" s="27"/>
      <c r="DRM1" s="27"/>
      <c r="DRN1" s="27"/>
      <c r="DRO1" s="27"/>
      <c r="DRP1" s="27"/>
      <c r="DRQ1" s="27"/>
      <c r="DRR1" s="27"/>
      <c r="DRS1" s="27"/>
      <c r="DRT1" s="27"/>
      <c r="DRU1" s="27"/>
      <c r="DRV1" s="27"/>
      <c r="DRW1" s="27"/>
      <c r="DRX1" s="27"/>
      <c r="DRY1" s="27"/>
      <c r="DRZ1" s="27"/>
      <c r="DSA1" s="27"/>
      <c r="DSB1" s="27"/>
      <c r="DSC1" s="27"/>
      <c r="DSD1" s="27"/>
      <c r="DSE1" s="27"/>
      <c r="DSF1" s="27"/>
      <c r="DSG1" s="27"/>
      <c r="DSH1" s="27"/>
      <c r="DSI1" s="27"/>
      <c r="DSJ1" s="27"/>
      <c r="DSK1" s="27"/>
      <c r="DSL1" s="27"/>
      <c r="DSM1" s="27"/>
      <c r="DSN1" s="27"/>
      <c r="DSO1" s="27"/>
      <c r="DSP1" s="27"/>
      <c r="DSQ1" s="27"/>
      <c r="DSR1" s="27"/>
      <c r="DSS1" s="27"/>
      <c r="DST1" s="27"/>
      <c r="DSU1" s="27"/>
      <c r="DSV1" s="27"/>
      <c r="DSW1" s="27"/>
      <c r="DSX1" s="27"/>
      <c r="DSY1" s="27"/>
      <c r="DSZ1" s="27"/>
      <c r="DTA1" s="27"/>
      <c r="DTB1" s="27"/>
      <c r="DTC1" s="27"/>
      <c r="DTD1" s="27"/>
      <c r="DTE1" s="27"/>
      <c r="DTF1" s="27"/>
      <c r="DTG1" s="27"/>
      <c r="DTH1" s="27"/>
      <c r="DTI1" s="27"/>
      <c r="DTJ1" s="27"/>
      <c r="DTK1" s="27"/>
      <c r="DTL1" s="27"/>
      <c r="DTM1" s="27"/>
      <c r="DTN1" s="27"/>
      <c r="DTO1" s="27"/>
      <c r="DTP1" s="27"/>
      <c r="DTQ1" s="27"/>
      <c r="DTR1" s="27"/>
      <c r="DTS1" s="27"/>
      <c r="DTT1" s="27"/>
      <c r="DTU1" s="27"/>
      <c r="DTV1" s="27"/>
      <c r="DTW1" s="27"/>
      <c r="DTX1" s="27"/>
      <c r="DTY1" s="27"/>
      <c r="DTZ1" s="27"/>
      <c r="DUA1" s="27"/>
      <c r="DUB1" s="27"/>
      <c r="DUC1" s="27"/>
      <c r="DUD1" s="27"/>
      <c r="DUE1" s="27"/>
      <c r="DUF1" s="27"/>
      <c r="DUG1" s="27"/>
      <c r="DUH1" s="27"/>
      <c r="DUI1" s="27"/>
      <c r="DUJ1" s="27"/>
      <c r="DUK1" s="27"/>
      <c r="DUL1" s="27"/>
      <c r="DUM1" s="27"/>
      <c r="DUN1" s="27"/>
      <c r="DUO1" s="27"/>
      <c r="DUP1" s="27"/>
      <c r="DUQ1" s="27"/>
      <c r="DUR1" s="27"/>
      <c r="DUS1" s="27"/>
      <c r="DUT1" s="27"/>
      <c r="DUU1" s="27"/>
      <c r="DUV1" s="27"/>
      <c r="DUW1" s="27"/>
      <c r="DUX1" s="27"/>
      <c r="DUY1" s="27"/>
      <c r="DUZ1" s="27"/>
      <c r="DVA1" s="27"/>
      <c r="DVB1" s="27"/>
      <c r="DVC1" s="27"/>
      <c r="DVD1" s="27"/>
      <c r="DVE1" s="27"/>
      <c r="DVF1" s="27"/>
      <c r="DVG1" s="27"/>
      <c r="DVH1" s="27"/>
      <c r="DVI1" s="27"/>
      <c r="DVJ1" s="27"/>
      <c r="DVK1" s="27"/>
      <c r="DVL1" s="27"/>
      <c r="DVM1" s="27"/>
      <c r="DVN1" s="27"/>
      <c r="DVO1" s="27"/>
      <c r="DVP1" s="27"/>
      <c r="DVQ1" s="27"/>
      <c r="DVR1" s="27"/>
      <c r="DVS1" s="27"/>
      <c r="DVT1" s="27"/>
      <c r="DVU1" s="27"/>
      <c r="DVV1" s="27"/>
      <c r="DVW1" s="27"/>
      <c r="DVX1" s="27"/>
      <c r="DVY1" s="27"/>
      <c r="DVZ1" s="27"/>
      <c r="DWA1" s="27"/>
      <c r="DWB1" s="27"/>
      <c r="DWC1" s="27"/>
      <c r="DWD1" s="27"/>
      <c r="DWE1" s="27"/>
      <c r="DWF1" s="27"/>
      <c r="DWG1" s="27"/>
      <c r="DWH1" s="27"/>
      <c r="DWI1" s="27"/>
      <c r="DWJ1" s="27"/>
      <c r="DWK1" s="27"/>
      <c r="DWL1" s="27"/>
      <c r="DWM1" s="27"/>
      <c r="DWN1" s="27"/>
      <c r="DWO1" s="27"/>
      <c r="DWP1" s="27"/>
      <c r="DWQ1" s="27"/>
      <c r="DWR1" s="27"/>
      <c r="DWS1" s="27"/>
      <c r="DWT1" s="27"/>
      <c r="DWU1" s="27"/>
      <c r="DWV1" s="27"/>
      <c r="DWW1" s="27"/>
      <c r="DWX1" s="27"/>
      <c r="DWY1" s="27"/>
      <c r="DWZ1" s="27"/>
      <c r="DXA1" s="27"/>
      <c r="DXB1" s="27"/>
      <c r="DXC1" s="27"/>
      <c r="DXD1" s="27"/>
      <c r="DXE1" s="27"/>
      <c r="DXF1" s="27"/>
      <c r="DXG1" s="27"/>
      <c r="DXH1" s="27"/>
      <c r="DXI1" s="27"/>
      <c r="DXJ1" s="27"/>
      <c r="DXK1" s="27"/>
      <c r="DXL1" s="27"/>
      <c r="DXM1" s="27"/>
      <c r="DXN1" s="27"/>
      <c r="DXO1" s="27"/>
      <c r="DXP1" s="27"/>
      <c r="DXQ1" s="27"/>
      <c r="DXR1" s="27"/>
      <c r="DXS1" s="27"/>
      <c r="DXT1" s="27"/>
      <c r="DXU1" s="27"/>
      <c r="DXV1" s="27"/>
      <c r="DXW1" s="27"/>
      <c r="DXX1" s="27"/>
      <c r="DXY1" s="27"/>
      <c r="DXZ1" s="27"/>
      <c r="DYA1" s="27"/>
      <c r="DYB1" s="27"/>
      <c r="DYC1" s="27"/>
      <c r="DYD1" s="27"/>
      <c r="DYE1" s="27"/>
      <c r="DYF1" s="27"/>
      <c r="DYG1" s="27"/>
      <c r="DYH1" s="27"/>
      <c r="DYI1" s="27"/>
      <c r="DYJ1" s="27"/>
      <c r="DYK1" s="27"/>
      <c r="DYL1" s="27"/>
      <c r="DYM1" s="27"/>
      <c r="DYN1" s="27"/>
      <c r="DYO1" s="27"/>
      <c r="DYP1" s="27"/>
      <c r="DYQ1" s="27"/>
      <c r="DYR1" s="27"/>
      <c r="DYS1" s="27"/>
      <c r="DYT1" s="27"/>
      <c r="DYU1" s="27"/>
      <c r="DYV1" s="27"/>
      <c r="DYW1" s="27"/>
      <c r="DYX1" s="27"/>
      <c r="DYY1" s="27"/>
      <c r="DYZ1" s="27"/>
      <c r="DZA1" s="27"/>
      <c r="DZB1" s="27"/>
      <c r="DZC1" s="27"/>
      <c r="DZD1" s="27"/>
      <c r="DZE1" s="27"/>
      <c r="DZF1" s="27"/>
      <c r="DZG1" s="27"/>
      <c r="DZH1" s="27"/>
      <c r="DZI1" s="27"/>
      <c r="DZJ1" s="27"/>
      <c r="DZK1" s="27"/>
      <c r="DZL1" s="27"/>
      <c r="DZM1" s="27"/>
      <c r="DZN1" s="27"/>
      <c r="DZO1" s="27"/>
      <c r="DZP1" s="27"/>
      <c r="DZQ1" s="27"/>
      <c r="DZR1" s="27"/>
      <c r="DZS1" s="27"/>
      <c r="DZT1" s="27"/>
      <c r="DZU1" s="27"/>
      <c r="DZV1" s="27"/>
      <c r="DZW1" s="27"/>
      <c r="DZX1" s="27"/>
      <c r="DZY1" s="27"/>
      <c r="DZZ1" s="27"/>
      <c r="EAA1" s="27"/>
      <c r="EAB1" s="27"/>
      <c r="EAC1" s="27"/>
      <c r="EAD1" s="27"/>
      <c r="EAE1" s="27"/>
      <c r="EAF1" s="27"/>
      <c r="EAG1" s="27"/>
      <c r="EAH1" s="27"/>
      <c r="EAI1" s="27"/>
      <c r="EAJ1" s="27"/>
      <c r="EAK1" s="27"/>
      <c r="EAL1" s="27"/>
      <c r="EAM1" s="27"/>
      <c r="EAN1" s="27"/>
      <c r="EAO1" s="27"/>
      <c r="EAP1" s="27"/>
      <c r="EAQ1" s="27"/>
      <c r="EAR1" s="27"/>
      <c r="EAS1" s="27"/>
      <c r="EAT1" s="27"/>
      <c r="EAU1" s="27"/>
      <c r="EAV1" s="27"/>
      <c r="EAW1" s="27"/>
      <c r="EAX1" s="27"/>
      <c r="EAY1" s="27"/>
      <c r="EAZ1" s="27"/>
      <c r="EBA1" s="27"/>
      <c r="EBB1" s="27"/>
      <c r="EBC1" s="27"/>
      <c r="EBD1" s="27"/>
      <c r="EBE1" s="27"/>
      <c r="EBF1" s="27"/>
      <c r="EBG1" s="27"/>
      <c r="EBH1" s="27"/>
      <c r="EBI1" s="27"/>
      <c r="EBJ1" s="27"/>
      <c r="EBK1" s="27"/>
      <c r="EBL1" s="27"/>
      <c r="EBM1" s="27"/>
      <c r="EBN1" s="27"/>
      <c r="EBO1" s="27"/>
      <c r="EBP1" s="27"/>
      <c r="EBQ1" s="27"/>
      <c r="EBR1" s="27"/>
      <c r="EBS1" s="27"/>
      <c r="EBT1" s="27"/>
      <c r="EBU1" s="27"/>
      <c r="EBV1" s="27"/>
      <c r="EBW1" s="27"/>
      <c r="EBX1" s="27"/>
      <c r="EBY1" s="27"/>
      <c r="EBZ1" s="27"/>
      <c r="ECA1" s="27"/>
      <c r="ECB1" s="27"/>
      <c r="ECC1" s="27"/>
      <c r="ECD1" s="27"/>
      <c r="ECE1" s="27"/>
      <c r="ECF1" s="27"/>
      <c r="ECG1" s="27"/>
      <c r="ECH1" s="27"/>
      <c r="ECI1" s="27"/>
      <c r="ECJ1" s="27"/>
      <c r="ECK1" s="27"/>
      <c r="ECL1" s="27"/>
      <c r="ECM1" s="27"/>
      <c r="ECN1" s="27"/>
      <c r="ECO1" s="27"/>
      <c r="ECP1" s="27"/>
      <c r="ECQ1" s="27"/>
      <c r="ECR1" s="27"/>
      <c r="ECS1" s="27"/>
      <c r="ECT1" s="27"/>
      <c r="ECU1" s="27"/>
      <c r="ECV1" s="27"/>
      <c r="ECW1" s="27"/>
      <c r="ECX1" s="27"/>
      <c r="ECY1" s="27"/>
      <c r="ECZ1" s="27"/>
      <c r="EDA1" s="27"/>
      <c r="EDB1" s="27"/>
      <c r="EDC1" s="27"/>
      <c r="EDD1" s="27"/>
      <c r="EDE1" s="27"/>
      <c r="EDF1" s="27"/>
      <c r="EDG1" s="27"/>
      <c r="EDH1" s="27"/>
      <c r="EDI1" s="27"/>
      <c r="EDJ1" s="27"/>
      <c r="EDK1" s="27"/>
      <c r="EDL1" s="27"/>
      <c r="EDM1" s="27"/>
      <c r="EDN1" s="27"/>
      <c r="EDO1" s="27"/>
      <c r="EDP1" s="27"/>
      <c r="EDQ1" s="27"/>
      <c r="EDR1" s="27"/>
      <c r="EDS1" s="27"/>
      <c r="EDT1" s="27"/>
      <c r="EDU1" s="27"/>
      <c r="EDV1" s="27"/>
      <c r="EDW1" s="27"/>
      <c r="EDX1" s="27"/>
      <c r="EDY1" s="27"/>
      <c r="EDZ1" s="27"/>
      <c r="EEA1" s="27"/>
      <c r="EEB1" s="27"/>
      <c r="EEC1" s="27"/>
      <c r="EED1" s="27"/>
      <c r="EEE1" s="27"/>
      <c r="EEF1" s="27"/>
      <c r="EEG1" s="27"/>
      <c r="EEH1" s="27"/>
      <c r="EEI1" s="27"/>
      <c r="EEJ1" s="27"/>
      <c r="EEK1" s="27"/>
      <c r="EEL1" s="27"/>
      <c r="EEM1" s="27"/>
      <c r="EEN1" s="27"/>
      <c r="EEO1" s="27"/>
      <c r="EEP1" s="27"/>
      <c r="EEQ1" s="27"/>
      <c r="EER1" s="27"/>
      <c r="EES1" s="27"/>
      <c r="EET1" s="27"/>
      <c r="EEU1" s="27"/>
      <c r="EEV1" s="27"/>
      <c r="EEW1" s="27"/>
      <c r="EEX1" s="27"/>
      <c r="EEY1" s="27"/>
      <c r="EEZ1" s="27"/>
      <c r="EFA1" s="27"/>
      <c r="EFB1" s="27"/>
      <c r="EFC1" s="27"/>
      <c r="EFD1" s="27"/>
      <c r="EFE1" s="27"/>
      <c r="EFF1" s="27"/>
      <c r="EFG1" s="27"/>
      <c r="EFH1" s="27"/>
      <c r="EFI1" s="27"/>
      <c r="EFJ1" s="27"/>
      <c r="EFK1" s="27"/>
      <c r="EFL1" s="27"/>
      <c r="EFM1" s="27"/>
      <c r="EFN1" s="27"/>
      <c r="EFO1" s="27"/>
      <c r="EFP1" s="27"/>
      <c r="EFQ1" s="27"/>
      <c r="EFR1" s="27"/>
      <c r="EFS1" s="27"/>
      <c r="EFT1" s="27"/>
      <c r="EFU1" s="27"/>
      <c r="EFV1" s="27"/>
      <c r="EFW1" s="27"/>
      <c r="EFX1" s="27"/>
      <c r="EFY1" s="27"/>
      <c r="EFZ1" s="27"/>
      <c r="EGA1" s="27"/>
      <c r="EGB1" s="27"/>
      <c r="EGC1" s="27"/>
      <c r="EGD1" s="27"/>
      <c r="EGE1" s="27"/>
      <c r="EGF1" s="27"/>
      <c r="EGG1" s="27"/>
      <c r="EGH1" s="27"/>
      <c r="EGI1" s="27"/>
      <c r="EGJ1" s="27"/>
      <c r="EGK1" s="27"/>
      <c r="EGL1" s="27"/>
      <c r="EGM1" s="27"/>
      <c r="EGN1" s="27"/>
      <c r="EGO1" s="27"/>
      <c r="EGP1" s="27"/>
      <c r="EGQ1" s="27"/>
      <c r="EGR1" s="27"/>
      <c r="EGS1" s="27"/>
      <c r="EGT1" s="27"/>
      <c r="EGU1" s="27"/>
      <c r="EGV1" s="27"/>
      <c r="EGW1" s="27"/>
      <c r="EGX1" s="27"/>
      <c r="EGY1" s="27"/>
      <c r="EGZ1" s="27"/>
      <c r="EHA1" s="27"/>
      <c r="EHB1" s="27"/>
      <c r="EHC1" s="27"/>
      <c r="EHD1" s="27"/>
      <c r="EHE1" s="27"/>
      <c r="EHF1" s="27"/>
      <c r="EHG1" s="27"/>
      <c r="EHH1" s="27"/>
      <c r="EHI1" s="27"/>
      <c r="EHJ1" s="27"/>
      <c r="EHK1" s="27"/>
      <c r="EHL1" s="27"/>
      <c r="EHM1" s="27"/>
      <c r="EHN1" s="27"/>
      <c r="EHO1" s="27"/>
      <c r="EHP1" s="27"/>
      <c r="EHQ1" s="27"/>
      <c r="EHR1" s="27"/>
      <c r="EHS1" s="27"/>
      <c r="EHT1" s="27"/>
      <c r="EHU1" s="27"/>
      <c r="EHV1" s="27"/>
      <c r="EHW1" s="27"/>
      <c r="EHX1" s="27"/>
      <c r="EHY1" s="27"/>
      <c r="EHZ1" s="27"/>
      <c r="EIA1" s="27"/>
      <c r="EIB1" s="27"/>
      <c r="EIC1" s="27"/>
      <c r="EID1" s="27"/>
      <c r="EIE1" s="27"/>
      <c r="EIF1" s="27"/>
      <c r="EIG1" s="27"/>
      <c r="EIH1" s="27"/>
      <c r="EII1" s="27"/>
      <c r="EIJ1" s="27"/>
      <c r="EIK1" s="27"/>
      <c r="EIL1" s="27"/>
      <c r="EIM1" s="27"/>
      <c r="EIN1" s="27"/>
      <c r="EIO1" s="27"/>
      <c r="EIP1" s="27"/>
      <c r="EIQ1" s="27"/>
      <c r="EIR1" s="27"/>
      <c r="EIS1" s="27"/>
      <c r="EIT1" s="27"/>
      <c r="EIU1" s="27"/>
      <c r="EIV1" s="27"/>
      <c r="EIW1" s="27"/>
      <c r="EIX1" s="27"/>
      <c r="EIY1" s="27"/>
      <c r="EIZ1" s="27"/>
      <c r="EJA1" s="27"/>
      <c r="EJB1" s="27"/>
      <c r="EJC1" s="27"/>
      <c r="EJD1" s="27"/>
      <c r="EJE1" s="27"/>
      <c r="EJF1" s="27"/>
      <c r="EJG1" s="27"/>
      <c r="EJH1" s="27"/>
      <c r="EJI1" s="27"/>
      <c r="EJJ1" s="27"/>
      <c r="EJK1" s="27"/>
      <c r="EJL1" s="27"/>
      <c r="EJM1" s="27"/>
      <c r="EJN1" s="27"/>
      <c r="EJO1" s="27"/>
      <c r="EJP1" s="27"/>
      <c r="EJQ1" s="27"/>
      <c r="EJR1" s="27"/>
      <c r="EJS1" s="27"/>
      <c r="EJT1" s="27"/>
      <c r="EJU1" s="27"/>
      <c r="EJV1" s="27"/>
      <c r="EJW1" s="27"/>
      <c r="EJX1" s="27"/>
      <c r="EJY1" s="27"/>
      <c r="EJZ1" s="27"/>
      <c r="EKA1" s="27"/>
      <c r="EKB1" s="27"/>
      <c r="EKC1" s="27"/>
      <c r="EKD1" s="27"/>
      <c r="EKE1" s="27"/>
      <c r="EKF1" s="27"/>
      <c r="EKG1" s="27"/>
      <c r="EKH1" s="27"/>
      <c r="EKI1" s="27"/>
      <c r="EKJ1" s="27"/>
      <c r="EKK1" s="27"/>
      <c r="EKL1" s="27"/>
      <c r="EKM1" s="27"/>
      <c r="EKN1" s="27"/>
      <c r="EKO1" s="27"/>
      <c r="EKP1" s="27"/>
      <c r="EKQ1" s="27"/>
      <c r="EKR1" s="27"/>
      <c r="EKS1" s="27"/>
      <c r="EKT1" s="27"/>
      <c r="EKU1" s="27"/>
      <c r="EKV1" s="27"/>
      <c r="EKW1" s="27"/>
      <c r="EKX1" s="27"/>
      <c r="EKY1" s="27"/>
      <c r="EKZ1" s="27"/>
      <c r="ELA1" s="27"/>
      <c r="ELB1" s="27"/>
      <c r="ELC1" s="27"/>
      <c r="ELD1" s="27"/>
      <c r="ELE1" s="27"/>
      <c r="ELF1" s="27"/>
      <c r="ELG1" s="27"/>
      <c r="ELH1" s="27"/>
      <c r="ELI1" s="27"/>
      <c r="ELJ1" s="27"/>
      <c r="ELK1" s="27"/>
      <c r="ELL1" s="27"/>
      <c r="ELM1" s="27"/>
      <c r="ELN1" s="27"/>
      <c r="ELO1" s="27"/>
      <c r="ELP1" s="27"/>
      <c r="ELQ1" s="27"/>
      <c r="ELR1" s="27"/>
      <c r="ELS1" s="27"/>
      <c r="ELT1" s="27"/>
      <c r="ELU1" s="27"/>
      <c r="ELV1" s="27"/>
      <c r="ELW1" s="27"/>
      <c r="ELX1" s="27"/>
      <c r="ELY1" s="27"/>
      <c r="ELZ1" s="27"/>
      <c r="EMA1" s="27"/>
      <c r="EMB1" s="27"/>
      <c r="EMC1" s="27"/>
      <c r="EMD1" s="27"/>
      <c r="EME1" s="27"/>
      <c r="EMF1" s="27"/>
      <c r="EMG1" s="27"/>
      <c r="EMH1" s="27"/>
      <c r="EMI1" s="27"/>
      <c r="EMJ1" s="27"/>
      <c r="EMK1" s="27"/>
      <c r="EML1" s="27"/>
      <c r="EMM1" s="27"/>
      <c r="EMN1" s="27"/>
      <c r="EMO1" s="27"/>
      <c r="EMP1" s="27"/>
      <c r="EMQ1" s="27"/>
      <c r="EMR1" s="27"/>
      <c r="EMS1" s="27"/>
      <c r="EMT1" s="27"/>
      <c r="EMU1" s="27"/>
      <c r="EMV1" s="27"/>
      <c r="EMW1" s="27"/>
      <c r="EMX1" s="27"/>
      <c r="EMY1" s="27"/>
      <c r="EMZ1" s="27"/>
      <c r="ENA1" s="27"/>
      <c r="ENB1" s="27"/>
      <c r="ENC1" s="27"/>
      <c r="END1" s="27"/>
      <c r="ENE1" s="27"/>
      <c r="ENF1" s="27"/>
      <c r="ENG1" s="27"/>
      <c r="ENH1" s="27"/>
      <c r="ENI1" s="27"/>
      <c r="ENJ1" s="27"/>
      <c r="ENK1" s="27"/>
      <c r="ENL1" s="27"/>
      <c r="ENM1" s="27"/>
      <c r="ENN1" s="27"/>
      <c r="ENO1" s="27"/>
      <c r="ENP1" s="27"/>
      <c r="ENQ1" s="27"/>
      <c r="ENR1" s="27"/>
      <c r="ENS1" s="27"/>
      <c r="ENT1" s="27"/>
      <c r="ENU1" s="27"/>
      <c r="ENV1" s="27"/>
      <c r="ENW1" s="27"/>
      <c r="ENX1" s="27"/>
      <c r="ENY1" s="27"/>
      <c r="ENZ1" s="27"/>
      <c r="EOA1" s="27"/>
      <c r="EOB1" s="27"/>
      <c r="EOC1" s="27"/>
      <c r="EOD1" s="27"/>
      <c r="EOE1" s="27"/>
      <c r="EOF1" s="27"/>
      <c r="EOG1" s="27"/>
      <c r="EOH1" s="27"/>
      <c r="EOI1" s="27"/>
      <c r="EOJ1" s="27"/>
      <c r="EOK1" s="27"/>
      <c r="EOL1" s="27"/>
      <c r="EOM1" s="27"/>
      <c r="EON1" s="27"/>
      <c r="EOO1" s="27"/>
      <c r="EOP1" s="27"/>
      <c r="EOQ1" s="27"/>
      <c r="EOR1" s="27"/>
      <c r="EOS1" s="27"/>
      <c r="EOT1" s="27"/>
      <c r="EOU1" s="27"/>
      <c r="EOV1" s="27"/>
      <c r="EOW1" s="27"/>
      <c r="EOX1" s="27"/>
      <c r="EOY1" s="27"/>
      <c r="EOZ1" s="27"/>
      <c r="EPA1" s="27"/>
      <c r="EPB1" s="27"/>
      <c r="EPC1" s="27"/>
      <c r="EPD1" s="27"/>
      <c r="EPE1" s="27"/>
      <c r="EPF1" s="27"/>
      <c r="EPG1" s="27"/>
      <c r="EPH1" s="27"/>
      <c r="EPI1" s="27"/>
      <c r="EPJ1" s="27"/>
      <c r="EPK1" s="27"/>
      <c r="EPL1" s="27"/>
      <c r="EPM1" s="27"/>
      <c r="EPN1" s="27"/>
      <c r="EPO1" s="27"/>
      <c r="EPP1" s="27"/>
      <c r="EPQ1" s="27"/>
      <c r="EPR1" s="27"/>
      <c r="EPS1" s="27"/>
      <c r="EPT1" s="27"/>
      <c r="EPU1" s="27"/>
      <c r="EPV1" s="27"/>
      <c r="EPW1" s="27"/>
      <c r="EPX1" s="27"/>
      <c r="EPY1" s="27"/>
      <c r="EPZ1" s="27"/>
      <c r="EQA1" s="27"/>
      <c r="EQB1" s="27"/>
      <c r="EQC1" s="27"/>
      <c r="EQD1" s="27"/>
      <c r="EQE1" s="27"/>
      <c r="EQF1" s="27"/>
      <c r="EQG1" s="27"/>
      <c r="EQH1" s="27"/>
      <c r="EQI1" s="27"/>
      <c r="EQJ1" s="27"/>
      <c r="EQK1" s="27"/>
      <c r="EQL1" s="27"/>
      <c r="EQM1" s="27"/>
      <c r="EQN1" s="27"/>
      <c r="EQO1" s="27"/>
      <c r="EQP1" s="27"/>
      <c r="EQQ1" s="27"/>
      <c r="EQR1" s="27"/>
      <c r="EQS1" s="27"/>
      <c r="EQT1" s="27"/>
      <c r="EQU1" s="27"/>
      <c r="EQV1" s="27"/>
      <c r="EQW1" s="27"/>
      <c r="EQX1" s="27"/>
      <c r="EQY1" s="27"/>
      <c r="EQZ1" s="27"/>
      <c r="ERA1" s="27"/>
      <c r="ERB1" s="27"/>
      <c r="ERC1" s="27"/>
      <c r="ERD1" s="27"/>
      <c r="ERE1" s="27"/>
      <c r="ERF1" s="27"/>
      <c r="ERG1" s="27"/>
      <c r="ERH1" s="27"/>
      <c r="ERI1" s="27"/>
      <c r="ERJ1" s="27"/>
      <c r="ERK1" s="27"/>
      <c r="ERL1" s="27"/>
      <c r="ERM1" s="27"/>
      <c r="ERN1" s="27"/>
      <c r="ERO1" s="27"/>
      <c r="ERP1" s="27"/>
      <c r="ERQ1" s="27"/>
      <c r="ERR1" s="27"/>
      <c r="ERS1" s="27"/>
      <c r="ERT1" s="27"/>
      <c r="ERU1" s="27"/>
      <c r="ERV1" s="27"/>
      <c r="ERW1" s="27"/>
      <c r="ERX1" s="27"/>
      <c r="ERY1" s="27"/>
      <c r="ERZ1" s="27"/>
      <c r="ESA1" s="27"/>
      <c r="ESB1" s="27"/>
      <c r="ESC1" s="27"/>
      <c r="ESD1" s="27"/>
      <c r="ESE1" s="27"/>
      <c r="ESF1" s="27"/>
      <c r="ESG1" s="27"/>
      <c r="ESH1" s="27"/>
      <c r="ESI1" s="27"/>
      <c r="ESJ1" s="27"/>
      <c r="ESK1" s="27"/>
      <c r="ESL1" s="27"/>
      <c r="ESM1" s="27"/>
      <c r="ESN1" s="27"/>
      <c r="ESO1" s="27"/>
      <c r="ESP1" s="27"/>
      <c r="ESQ1" s="27"/>
      <c r="ESR1" s="27"/>
      <c r="ESS1" s="27"/>
      <c r="EST1" s="27"/>
      <c r="ESU1" s="27"/>
      <c r="ESV1" s="27"/>
      <c r="ESW1" s="27"/>
      <c r="ESX1" s="27"/>
      <c r="ESY1" s="27"/>
      <c r="ESZ1" s="27"/>
      <c r="ETA1" s="27"/>
      <c r="ETB1" s="27"/>
      <c r="ETC1" s="27"/>
      <c r="ETD1" s="27"/>
      <c r="ETE1" s="27"/>
      <c r="ETF1" s="27"/>
      <c r="ETG1" s="27"/>
      <c r="ETH1" s="27"/>
      <c r="ETI1" s="27"/>
      <c r="ETJ1" s="27"/>
      <c r="ETK1" s="27"/>
      <c r="ETL1" s="27"/>
      <c r="ETM1" s="27"/>
      <c r="ETN1" s="27"/>
      <c r="ETO1" s="27"/>
      <c r="ETP1" s="27"/>
      <c r="ETQ1" s="27"/>
      <c r="ETR1" s="27"/>
      <c r="ETS1" s="27"/>
      <c r="ETT1" s="27"/>
      <c r="ETU1" s="27"/>
      <c r="ETV1" s="27"/>
      <c r="ETW1" s="27"/>
      <c r="ETX1" s="27"/>
      <c r="ETY1" s="27"/>
      <c r="ETZ1" s="27"/>
      <c r="EUA1" s="27"/>
      <c r="EUB1" s="27"/>
      <c r="EUC1" s="27"/>
      <c r="EUD1" s="27"/>
      <c r="EUE1" s="27"/>
      <c r="EUF1" s="27"/>
      <c r="EUG1" s="27"/>
      <c r="EUH1" s="27"/>
      <c r="EUI1" s="27"/>
      <c r="EUJ1" s="27"/>
      <c r="EUK1" s="27"/>
      <c r="EUL1" s="27"/>
      <c r="EUM1" s="27"/>
      <c r="EUN1" s="27"/>
      <c r="EUO1" s="27"/>
      <c r="EUP1" s="27"/>
      <c r="EUQ1" s="27"/>
      <c r="EUR1" s="27"/>
      <c r="EUS1" s="27"/>
      <c r="EUT1" s="27"/>
      <c r="EUU1" s="27"/>
      <c r="EUV1" s="27"/>
      <c r="EUW1" s="27"/>
      <c r="EUX1" s="27"/>
      <c r="EUY1" s="27"/>
      <c r="EUZ1" s="27"/>
      <c r="EVA1" s="27"/>
      <c r="EVB1" s="27"/>
      <c r="EVC1" s="27"/>
      <c r="EVD1" s="27"/>
      <c r="EVE1" s="27"/>
      <c r="EVF1" s="27"/>
      <c r="EVG1" s="27"/>
      <c r="EVH1" s="27"/>
      <c r="EVI1" s="27"/>
      <c r="EVJ1" s="27"/>
      <c r="EVK1" s="27"/>
      <c r="EVL1" s="27"/>
      <c r="EVM1" s="27"/>
      <c r="EVN1" s="27"/>
      <c r="EVO1" s="27"/>
      <c r="EVP1" s="27"/>
      <c r="EVQ1" s="27"/>
      <c r="EVR1" s="27"/>
      <c r="EVS1" s="27"/>
      <c r="EVT1" s="27"/>
      <c r="EVU1" s="27"/>
      <c r="EVV1" s="27"/>
      <c r="EVW1" s="27"/>
      <c r="EVX1" s="27"/>
      <c r="EVY1" s="27"/>
      <c r="EVZ1" s="27"/>
      <c r="EWA1" s="27"/>
      <c r="EWB1" s="27"/>
      <c r="EWC1" s="27"/>
      <c r="EWD1" s="27"/>
      <c r="EWE1" s="27"/>
      <c r="EWF1" s="27"/>
      <c r="EWG1" s="27"/>
      <c r="EWH1" s="27"/>
      <c r="EWI1" s="27"/>
      <c r="EWJ1" s="27"/>
      <c r="EWK1" s="27"/>
      <c r="EWL1" s="27"/>
      <c r="EWM1" s="27"/>
      <c r="EWN1" s="27"/>
      <c r="EWO1" s="27"/>
      <c r="EWP1" s="27"/>
      <c r="EWQ1" s="27"/>
      <c r="EWR1" s="27"/>
      <c r="EWS1" s="27"/>
      <c r="EWT1" s="27"/>
      <c r="EWU1" s="27"/>
      <c r="EWV1" s="27"/>
      <c r="EWW1" s="27"/>
      <c r="EWX1" s="27"/>
      <c r="EWY1" s="27"/>
      <c r="EWZ1" s="27"/>
      <c r="EXA1" s="27"/>
      <c r="EXB1" s="27"/>
      <c r="EXC1" s="27"/>
      <c r="EXD1" s="27"/>
      <c r="EXE1" s="27"/>
      <c r="EXF1" s="27"/>
      <c r="EXG1" s="27"/>
      <c r="EXH1" s="27"/>
      <c r="EXI1" s="27"/>
      <c r="EXJ1" s="27"/>
      <c r="EXK1" s="27"/>
      <c r="EXL1" s="27"/>
      <c r="EXM1" s="27"/>
      <c r="EXN1" s="27"/>
      <c r="EXO1" s="27"/>
      <c r="EXP1" s="27"/>
      <c r="EXQ1" s="27"/>
      <c r="EXR1" s="27"/>
      <c r="EXS1" s="27"/>
      <c r="EXT1" s="27"/>
      <c r="EXU1" s="27"/>
      <c r="EXV1" s="27"/>
      <c r="EXW1" s="27"/>
      <c r="EXX1" s="27"/>
      <c r="EXY1" s="27"/>
      <c r="EXZ1" s="27"/>
      <c r="EYA1" s="27"/>
      <c r="EYB1" s="27"/>
      <c r="EYC1" s="27"/>
      <c r="EYD1" s="27"/>
      <c r="EYE1" s="27"/>
      <c r="EYF1" s="27"/>
      <c r="EYG1" s="27"/>
      <c r="EYH1" s="27"/>
      <c r="EYI1" s="27"/>
      <c r="EYJ1" s="27"/>
      <c r="EYK1" s="27"/>
      <c r="EYL1" s="27"/>
      <c r="EYM1" s="27"/>
      <c r="EYN1" s="27"/>
      <c r="EYO1" s="27"/>
      <c r="EYP1" s="27"/>
      <c r="EYQ1" s="27"/>
      <c r="EYR1" s="27"/>
      <c r="EYS1" s="27"/>
      <c r="EYT1" s="27"/>
      <c r="EYU1" s="27"/>
      <c r="EYV1" s="27"/>
      <c r="EYW1" s="27"/>
      <c r="EYX1" s="27"/>
      <c r="EYY1" s="27"/>
      <c r="EYZ1" s="27"/>
      <c r="EZA1" s="27"/>
      <c r="EZB1" s="27"/>
      <c r="EZC1" s="27"/>
      <c r="EZD1" s="27"/>
      <c r="EZE1" s="27"/>
      <c r="EZF1" s="27"/>
      <c r="EZG1" s="27"/>
      <c r="EZH1" s="27"/>
      <c r="EZI1" s="27"/>
      <c r="EZJ1" s="27"/>
      <c r="EZK1" s="27"/>
      <c r="EZL1" s="27"/>
      <c r="EZM1" s="27"/>
      <c r="EZN1" s="27"/>
      <c r="EZO1" s="27"/>
      <c r="EZP1" s="27"/>
      <c r="EZQ1" s="27"/>
      <c r="EZR1" s="27"/>
      <c r="EZS1" s="27"/>
      <c r="EZT1" s="27"/>
      <c r="EZU1" s="27"/>
      <c r="EZV1" s="27"/>
      <c r="EZW1" s="27"/>
      <c r="EZX1" s="27"/>
      <c r="EZY1" s="27"/>
      <c r="EZZ1" s="27"/>
      <c r="FAA1" s="27"/>
      <c r="FAB1" s="27"/>
      <c r="FAC1" s="27"/>
      <c r="FAD1" s="27"/>
      <c r="FAE1" s="27"/>
      <c r="FAF1" s="27"/>
      <c r="FAG1" s="27"/>
      <c r="FAH1" s="27"/>
      <c r="FAI1" s="27"/>
      <c r="FAJ1" s="27"/>
      <c r="FAK1" s="27"/>
      <c r="FAL1" s="27"/>
      <c r="FAM1" s="27"/>
      <c r="FAN1" s="27"/>
      <c r="FAO1" s="27"/>
      <c r="FAP1" s="27"/>
      <c r="FAQ1" s="27"/>
      <c r="FAR1" s="27"/>
      <c r="FAS1" s="27"/>
      <c r="FAT1" s="27"/>
      <c r="FAU1" s="27"/>
      <c r="FAV1" s="27"/>
      <c r="FAW1" s="27"/>
      <c r="FAX1" s="27"/>
      <c r="FAY1" s="27"/>
      <c r="FAZ1" s="27"/>
      <c r="FBA1" s="27"/>
      <c r="FBB1" s="27"/>
      <c r="FBC1" s="27"/>
      <c r="FBD1" s="27"/>
      <c r="FBE1" s="27"/>
      <c r="FBF1" s="27"/>
      <c r="FBG1" s="27"/>
      <c r="FBH1" s="27"/>
      <c r="FBI1" s="27"/>
      <c r="FBJ1" s="27"/>
      <c r="FBK1" s="27"/>
      <c r="FBL1" s="27"/>
      <c r="FBM1" s="27"/>
      <c r="FBN1" s="27"/>
      <c r="FBO1" s="27"/>
      <c r="FBP1" s="27"/>
      <c r="FBQ1" s="27"/>
      <c r="FBR1" s="27"/>
      <c r="FBS1" s="27"/>
      <c r="FBT1" s="27"/>
      <c r="FBU1" s="27"/>
      <c r="FBV1" s="27"/>
      <c r="FBW1" s="27"/>
      <c r="FBX1" s="27"/>
      <c r="FBY1" s="27"/>
      <c r="FBZ1" s="27"/>
      <c r="FCA1" s="27"/>
      <c r="FCB1" s="27"/>
      <c r="FCC1" s="27"/>
      <c r="FCD1" s="27"/>
      <c r="FCE1" s="27"/>
      <c r="FCF1" s="27"/>
      <c r="FCG1" s="27"/>
      <c r="FCH1" s="27"/>
      <c r="FCI1" s="27"/>
      <c r="FCJ1" s="27"/>
      <c r="FCK1" s="27"/>
      <c r="FCL1" s="27"/>
      <c r="FCM1" s="27"/>
      <c r="FCN1" s="27"/>
      <c r="FCO1" s="27"/>
      <c r="FCP1" s="27"/>
      <c r="FCQ1" s="27"/>
      <c r="FCR1" s="27"/>
      <c r="FCS1" s="27"/>
      <c r="FCT1" s="27"/>
      <c r="FCU1" s="27"/>
      <c r="FCV1" s="27"/>
      <c r="FCW1" s="27"/>
      <c r="FCX1" s="27"/>
      <c r="FCY1" s="27"/>
      <c r="FCZ1" s="27"/>
      <c r="FDA1" s="27"/>
      <c r="FDB1" s="27"/>
      <c r="FDC1" s="27"/>
      <c r="FDD1" s="27"/>
      <c r="FDE1" s="27"/>
      <c r="FDF1" s="27"/>
      <c r="FDG1" s="27"/>
      <c r="FDH1" s="27"/>
      <c r="FDI1" s="27"/>
      <c r="FDJ1" s="27"/>
      <c r="FDK1" s="27"/>
      <c r="FDL1" s="27"/>
      <c r="FDM1" s="27"/>
      <c r="FDN1" s="27"/>
      <c r="FDO1" s="27"/>
      <c r="FDP1" s="27"/>
      <c r="FDQ1" s="27"/>
      <c r="FDR1" s="27"/>
      <c r="FDS1" s="27"/>
      <c r="FDT1" s="27"/>
      <c r="FDU1" s="27"/>
      <c r="FDV1" s="27"/>
      <c r="FDW1" s="27"/>
      <c r="FDX1" s="27"/>
      <c r="FDY1" s="27"/>
      <c r="FDZ1" s="27"/>
      <c r="FEA1" s="27"/>
      <c r="FEB1" s="27"/>
      <c r="FEC1" s="27"/>
      <c r="FED1" s="27"/>
      <c r="FEE1" s="27"/>
      <c r="FEF1" s="27"/>
      <c r="FEG1" s="27"/>
      <c r="FEH1" s="27"/>
      <c r="FEI1" s="27"/>
      <c r="FEJ1" s="27"/>
      <c r="FEK1" s="27"/>
      <c r="FEL1" s="27"/>
      <c r="FEM1" s="27"/>
      <c r="FEN1" s="27"/>
      <c r="FEO1" s="27"/>
      <c r="FEP1" s="27"/>
      <c r="FEQ1" s="27"/>
      <c r="FER1" s="27"/>
      <c r="FES1" s="27"/>
      <c r="FET1" s="27"/>
      <c r="FEU1" s="27"/>
      <c r="FEV1" s="27"/>
      <c r="FEW1" s="27"/>
      <c r="FEX1" s="27"/>
      <c r="FEY1" s="27"/>
      <c r="FEZ1" s="27"/>
      <c r="FFA1" s="27"/>
      <c r="FFB1" s="27"/>
      <c r="FFC1" s="27"/>
      <c r="FFD1" s="27"/>
      <c r="FFE1" s="27"/>
      <c r="FFF1" s="27"/>
      <c r="FFG1" s="27"/>
      <c r="FFH1" s="27"/>
      <c r="FFI1" s="27"/>
      <c r="FFJ1" s="27"/>
      <c r="FFK1" s="27"/>
      <c r="FFL1" s="27"/>
      <c r="FFM1" s="27"/>
      <c r="FFN1" s="27"/>
      <c r="FFO1" s="27"/>
      <c r="FFP1" s="27"/>
      <c r="FFQ1" s="27"/>
      <c r="FFR1" s="27"/>
      <c r="FFS1" s="27"/>
      <c r="FFT1" s="27"/>
      <c r="FFU1" s="27"/>
      <c r="FFV1" s="27"/>
      <c r="FFW1" s="27"/>
      <c r="FFX1" s="27"/>
      <c r="FFY1" s="27"/>
      <c r="FFZ1" s="27"/>
      <c r="FGA1" s="27"/>
      <c r="FGB1" s="27"/>
      <c r="FGC1" s="27"/>
      <c r="FGD1" s="27"/>
      <c r="FGE1" s="27"/>
      <c r="FGF1" s="27"/>
      <c r="FGG1" s="27"/>
      <c r="FGH1" s="27"/>
      <c r="FGI1" s="27"/>
      <c r="FGJ1" s="27"/>
      <c r="FGK1" s="27"/>
      <c r="FGL1" s="27"/>
      <c r="FGM1" s="27"/>
      <c r="FGN1" s="27"/>
      <c r="FGO1" s="27"/>
      <c r="FGP1" s="27"/>
      <c r="FGQ1" s="27"/>
      <c r="FGR1" s="27"/>
      <c r="FGS1" s="27"/>
      <c r="FGT1" s="27"/>
      <c r="FGU1" s="27"/>
      <c r="FGV1" s="27"/>
      <c r="FGW1" s="27"/>
      <c r="FGX1" s="27"/>
      <c r="FGY1" s="27"/>
      <c r="FGZ1" s="27"/>
      <c r="FHA1" s="27"/>
      <c r="FHB1" s="27"/>
      <c r="FHC1" s="27"/>
      <c r="FHD1" s="27"/>
      <c r="FHE1" s="27"/>
      <c r="FHF1" s="27"/>
      <c r="FHG1" s="27"/>
      <c r="FHH1" s="27"/>
      <c r="FHI1" s="27"/>
      <c r="FHJ1" s="27"/>
      <c r="FHK1" s="27"/>
      <c r="FHL1" s="27"/>
      <c r="FHM1" s="27"/>
      <c r="FHN1" s="27"/>
      <c r="FHO1" s="27"/>
      <c r="FHP1" s="27"/>
      <c r="FHQ1" s="27"/>
      <c r="FHR1" s="27"/>
      <c r="FHS1" s="27"/>
      <c r="FHT1" s="27"/>
      <c r="FHU1" s="27"/>
      <c r="FHV1" s="27"/>
      <c r="FHW1" s="27"/>
      <c r="FHX1" s="27"/>
      <c r="FHY1" s="27"/>
      <c r="FHZ1" s="27"/>
      <c r="FIA1" s="27"/>
      <c r="FIB1" s="27"/>
      <c r="FIC1" s="27"/>
      <c r="FID1" s="27"/>
      <c r="FIE1" s="27"/>
      <c r="FIF1" s="27"/>
      <c r="FIG1" s="27"/>
      <c r="FIH1" s="27"/>
      <c r="FII1" s="27"/>
      <c r="FIJ1" s="27"/>
      <c r="FIK1" s="27"/>
      <c r="FIL1" s="27"/>
      <c r="FIM1" s="27"/>
      <c r="FIN1" s="27"/>
      <c r="FIO1" s="27"/>
      <c r="FIP1" s="27"/>
      <c r="FIQ1" s="27"/>
      <c r="FIR1" s="27"/>
      <c r="FIS1" s="27"/>
      <c r="FIT1" s="27"/>
      <c r="FIU1" s="27"/>
      <c r="FIV1" s="27"/>
      <c r="FIW1" s="27"/>
      <c r="FIX1" s="27"/>
      <c r="FIY1" s="27"/>
      <c r="FIZ1" s="27"/>
      <c r="FJA1" s="27"/>
      <c r="FJB1" s="27"/>
      <c r="FJC1" s="27"/>
      <c r="FJD1" s="27"/>
      <c r="FJE1" s="27"/>
      <c r="FJF1" s="27"/>
      <c r="FJG1" s="27"/>
      <c r="FJH1" s="27"/>
      <c r="FJI1" s="27"/>
      <c r="FJJ1" s="27"/>
      <c r="FJK1" s="27"/>
      <c r="FJL1" s="27"/>
      <c r="FJM1" s="27"/>
      <c r="FJN1" s="27"/>
      <c r="FJO1" s="27"/>
      <c r="FJP1" s="27"/>
      <c r="FJQ1" s="27"/>
      <c r="FJR1" s="27"/>
      <c r="FJS1" s="27"/>
      <c r="FJT1" s="27"/>
      <c r="FJU1" s="27"/>
      <c r="FJV1" s="27"/>
      <c r="FJW1" s="27"/>
      <c r="FJX1" s="27"/>
      <c r="FJY1" s="27"/>
      <c r="FJZ1" s="27"/>
      <c r="FKA1" s="27"/>
      <c r="FKB1" s="27"/>
      <c r="FKC1" s="27"/>
      <c r="FKD1" s="27"/>
      <c r="FKE1" s="27"/>
      <c r="FKF1" s="27"/>
      <c r="FKG1" s="27"/>
      <c r="FKH1" s="27"/>
      <c r="FKI1" s="27"/>
      <c r="FKJ1" s="27"/>
      <c r="FKK1" s="27"/>
      <c r="FKL1" s="27"/>
      <c r="FKM1" s="27"/>
      <c r="FKN1" s="27"/>
      <c r="FKO1" s="27"/>
      <c r="FKP1" s="27"/>
      <c r="FKQ1" s="27"/>
      <c r="FKR1" s="27"/>
      <c r="FKS1" s="27"/>
      <c r="FKT1" s="27"/>
      <c r="FKU1" s="27"/>
      <c r="FKV1" s="27"/>
      <c r="FKW1" s="27"/>
      <c r="FKX1" s="27"/>
      <c r="FKY1" s="27"/>
      <c r="FKZ1" s="27"/>
      <c r="FLA1" s="27"/>
      <c r="FLB1" s="27"/>
      <c r="FLC1" s="27"/>
      <c r="FLD1" s="27"/>
      <c r="FLE1" s="27"/>
      <c r="FLF1" s="27"/>
      <c r="FLG1" s="27"/>
      <c r="FLH1" s="27"/>
      <c r="FLI1" s="27"/>
      <c r="FLJ1" s="27"/>
      <c r="FLK1" s="27"/>
      <c r="FLL1" s="27"/>
      <c r="FLM1" s="27"/>
      <c r="FLN1" s="27"/>
      <c r="FLO1" s="27"/>
      <c r="FLP1" s="27"/>
      <c r="FLQ1" s="27"/>
      <c r="FLR1" s="27"/>
      <c r="FLS1" s="27"/>
      <c r="FLT1" s="27"/>
      <c r="FLU1" s="27"/>
      <c r="FLV1" s="27"/>
      <c r="FLW1" s="27"/>
      <c r="FLX1" s="27"/>
      <c r="FLY1" s="27"/>
      <c r="FLZ1" s="27"/>
      <c r="FMA1" s="27"/>
      <c r="FMB1" s="27"/>
      <c r="FMC1" s="27"/>
      <c r="FMD1" s="27"/>
      <c r="FME1" s="27"/>
      <c r="FMF1" s="27"/>
      <c r="FMG1" s="27"/>
      <c r="FMH1" s="27"/>
      <c r="FMI1" s="27"/>
      <c r="FMJ1" s="27"/>
      <c r="FMK1" s="27"/>
      <c r="FML1" s="27"/>
      <c r="FMM1" s="27"/>
      <c r="FMN1" s="27"/>
      <c r="FMO1" s="27"/>
      <c r="FMP1" s="27"/>
      <c r="FMQ1" s="27"/>
      <c r="FMR1" s="27"/>
      <c r="FMS1" s="27"/>
      <c r="FMT1" s="27"/>
      <c r="FMU1" s="27"/>
      <c r="FMV1" s="27"/>
      <c r="FMW1" s="27"/>
      <c r="FMX1" s="27"/>
      <c r="FMY1" s="27"/>
      <c r="FMZ1" s="27"/>
      <c r="FNA1" s="27"/>
      <c r="FNB1" s="27"/>
      <c r="FNC1" s="27"/>
      <c r="FND1" s="27"/>
      <c r="FNE1" s="27"/>
      <c r="FNF1" s="27"/>
      <c r="FNG1" s="27"/>
      <c r="FNH1" s="27"/>
      <c r="FNI1" s="27"/>
      <c r="FNJ1" s="27"/>
      <c r="FNK1" s="27"/>
      <c r="FNL1" s="27"/>
      <c r="FNM1" s="27"/>
      <c r="FNN1" s="27"/>
      <c r="FNO1" s="27"/>
      <c r="FNP1" s="27"/>
      <c r="FNQ1" s="27"/>
      <c r="FNR1" s="27"/>
      <c r="FNS1" s="27"/>
      <c r="FNT1" s="27"/>
      <c r="FNU1" s="27"/>
      <c r="FNV1" s="27"/>
      <c r="FNW1" s="27"/>
      <c r="FNX1" s="27"/>
      <c r="FNY1" s="27"/>
      <c r="FNZ1" s="27"/>
      <c r="FOA1" s="27"/>
      <c r="FOB1" s="27"/>
      <c r="FOC1" s="27"/>
      <c r="FOD1" s="27"/>
      <c r="FOE1" s="27"/>
      <c r="FOF1" s="27"/>
      <c r="FOG1" s="27"/>
      <c r="FOH1" s="27"/>
      <c r="FOI1" s="27"/>
      <c r="FOJ1" s="27"/>
      <c r="FOK1" s="27"/>
      <c r="FOL1" s="27"/>
      <c r="FOM1" s="27"/>
      <c r="FON1" s="27"/>
      <c r="FOO1" s="27"/>
      <c r="FOP1" s="27"/>
      <c r="FOQ1" s="27"/>
      <c r="FOR1" s="27"/>
      <c r="FOS1" s="27"/>
      <c r="FOT1" s="27"/>
      <c r="FOU1" s="27"/>
      <c r="FOV1" s="27"/>
      <c r="FOW1" s="27"/>
      <c r="FOX1" s="27"/>
      <c r="FOY1" s="27"/>
      <c r="FOZ1" s="27"/>
      <c r="FPA1" s="27"/>
      <c r="FPB1" s="27"/>
      <c r="FPC1" s="27"/>
      <c r="FPD1" s="27"/>
      <c r="FPE1" s="27"/>
      <c r="FPF1" s="27"/>
      <c r="FPG1" s="27"/>
      <c r="FPH1" s="27"/>
      <c r="FPI1" s="27"/>
      <c r="FPJ1" s="27"/>
      <c r="FPK1" s="27"/>
      <c r="FPL1" s="27"/>
      <c r="FPM1" s="27"/>
      <c r="FPN1" s="27"/>
      <c r="FPO1" s="27"/>
      <c r="FPP1" s="27"/>
      <c r="FPQ1" s="27"/>
      <c r="FPR1" s="27"/>
      <c r="FPS1" s="27"/>
      <c r="FPT1" s="27"/>
      <c r="FPU1" s="27"/>
      <c r="FPV1" s="27"/>
      <c r="FPW1" s="27"/>
      <c r="FPX1" s="27"/>
      <c r="FPY1" s="27"/>
      <c r="FPZ1" s="27"/>
      <c r="FQA1" s="27"/>
      <c r="FQB1" s="27"/>
      <c r="FQC1" s="27"/>
      <c r="FQD1" s="27"/>
      <c r="FQE1" s="27"/>
      <c r="FQF1" s="27"/>
      <c r="FQG1" s="27"/>
      <c r="FQH1" s="27"/>
      <c r="FQI1" s="27"/>
      <c r="FQJ1" s="27"/>
      <c r="FQK1" s="27"/>
      <c r="FQL1" s="27"/>
      <c r="FQM1" s="27"/>
      <c r="FQN1" s="27"/>
      <c r="FQO1" s="27"/>
      <c r="FQP1" s="27"/>
      <c r="FQQ1" s="27"/>
      <c r="FQR1" s="27"/>
      <c r="FQS1" s="27"/>
      <c r="FQT1" s="27"/>
      <c r="FQU1" s="27"/>
      <c r="FQV1" s="27"/>
      <c r="FQW1" s="27"/>
      <c r="FQX1" s="27"/>
      <c r="FQY1" s="27"/>
      <c r="FQZ1" s="27"/>
      <c r="FRA1" s="27"/>
      <c r="FRB1" s="27"/>
      <c r="FRC1" s="27"/>
      <c r="FRD1" s="27"/>
      <c r="FRE1" s="27"/>
      <c r="FRF1" s="27"/>
      <c r="FRG1" s="27"/>
      <c r="FRH1" s="27"/>
      <c r="FRI1" s="27"/>
      <c r="FRJ1" s="27"/>
      <c r="FRK1" s="27"/>
      <c r="FRL1" s="27"/>
      <c r="FRM1" s="27"/>
      <c r="FRN1" s="27"/>
      <c r="FRO1" s="27"/>
      <c r="FRP1" s="27"/>
      <c r="FRQ1" s="27"/>
      <c r="FRR1" s="27"/>
      <c r="FRS1" s="27"/>
      <c r="FRT1" s="27"/>
      <c r="FRU1" s="27"/>
      <c r="FRV1" s="27"/>
      <c r="FRW1" s="27"/>
      <c r="FRX1" s="27"/>
      <c r="FRY1" s="27"/>
      <c r="FRZ1" s="27"/>
      <c r="FSA1" s="27"/>
      <c r="FSB1" s="27"/>
      <c r="FSC1" s="27"/>
      <c r="FSD1" s="27"/>
      <c r="FSE1" s="27"/>
      <c r="FSF1" s="27"/>
      <c r="FSG1" s="27"/>
      <c r="FSH1" s="27"/>
      <c r="FSI1" s="27"/>
      <c r="FSJ1" s="27"/>
      <c r="FSK1" s="27"/>
      <c r="FSL1" s="27"/>
      <c r="FSM1" s="27"/>
      <c r="FSN1" s="27"/>
      <c r="FSO1" s="27"/>
      <c r="FSP1" s="27"/>
      <c r="FSQ1" s="27"/>
      <c r="FSR1" s="27"/>
      <c r="FSS1" s="27"/>
      <c r="FST1" s="27"/>
      <c r="FSU1" s="27"/>
      <c r="FSV1" s="27"/>
      <c r="FSW1" s="27"/>
      <c r="FSX1" s="27"/>
      <c r="FSY1" s="27"/>
      <c r="FSZ1" s="27"/>
      <c r="FTA1" s="27"/>
      <c r="FTB1" s="27"/>
      <c r="FTC1" s="27"/>
      <c r="FTD1" s="27"/>
      <c r="FTE1" s="27"/>
      <c r="FTF1" s="27"/>
      <c r="FTG1" s="27"/>
      <c r="FTH1" s="27"/>
      <c r="FTI1" s="27"/>
      <c r="FTJ1" s="27"/>
      <c r="FTK1" s="27"/>
      <c r="FTL1" s="27"/>
      <c r="FTM1" s="27"/>
      <c r="FTN1" s="27"/>
      <c r="FTO1" s="27"/>
      <c r="FTP1" s="27"/>
      <c r="FTQ1" s="27"/>
      <c r="FTR1" s="27"/>
      <c r="FTS1" s="27"/>
      <c r="FTT1" s="27"/>
      <c r="FTU1" s="27"/>
      <c r="FTV1" s="27"/>
      <c r="FTW1" s="27"/>
      <c r="FTX1" s="27"/>
      <c r="FTY1" s="27"/>
      <c r="FTZ1" s="27"/>
      <c r="FUA1" s="27"/>
      <c r="FUB1" s="27"/>
      <c r="FUC1" s="27"/>
      <c r="FUD1" s="27"/>
      <c r="FUE1" s="27"/>
      <c r="FUF1" s="27"/>
      <c r="FUG1" s="27"/>
      <c r="FUH1" s="27"/>
      <c r="FUI1" s="27"/>
      <c r="FUJ1" s="27"/>
      <c r="FUK1" s="27"/>
      <c r="FUL1" s="27"/>
      <c r="FUM1" s="27"/>
      <c r="FUN1" s="27"/>
      <c r="FUO1" s="27"/>
      <c r="FUP1" s="27"/>
      <c r="FUQ1" s="27"/>
      <c r="FUR1" s="27"/>
      <c r="FUS1" s="27"/>
      <c r="FUT1" s="27"/>
      <c r="FUU1" s="27"/>
      <c r="FUV1" s="27"/>
      <c r="FUW1" s="27"/>
      <c r="FUX1" s="27"/>
      <c r="FUY1" s="27"/>
      <c r="FUZ1" s="27"/>
      <c r="FVA1" s="27"/>
      <c r="FVB1" s="27"/>
      <c r="FVC1" s="27"/>
      <c r="FVD1" s="27"/>
      <c r="FVE1" s="27"/>
      <c r="FVF1" s="27"/>
      <c r="FVG1" s="27"/>
      <c r="FVH1" s="27"/>
      <c r="FVI1" s="27"/>
      <c r="FVJ1" s="27"/>
      <c r="FVK1" s="27"/>
      <c r="FVL1" s="27"/>
      <c r="FVM1" s="27"/>
      <c r="FVN1" s="27"/>
      <c r="FVO1" s="27"/>
      <c r="FVP1" s="27"/>
      <c r="FVQ1" s="27"/>
      <c r="FVR1" s="27"/>
      <c r="FVS1" s="27"/>
      <c r="FVT1" s="27"/>
      <c r="FVU1" s="27"/>
      <c r="FVV1" s="27"/>
      <c r="FVW1" s="27"/>
      <c r="FVX1" s="27"/>
      <c r="FVY1" s="27"/>
      <c r="FVZ1" s="27"/>
      <c r="FWA1" s="27"/>
      <c r="FWB1" s="27"/>
      <c r="FWC1" s="27"/>
      <c r="FWD1" s="27"/>
      <c r="FWE1" s="27"/>
      <c r="FWF1" s="27"/>
      <c r="FWG1" s="27"/>
      <c r="FWH1" s="27"/>
      <c r="FWI1" s="27"/>
      <c r="FWJ1" s="27"/>
      <c r="FWK1" s="27"/>
      <c r="FWL1" s="27"/>
      <c r="FWM1" s="27"/>
      <c r="FWN1" s="27"/>
      <c r="FWO1" s="27"/>
      <c r="FWP1" s="27"/>
      <c r="FWQ1" s="27"/>
      <c r="FWR1" s="27"/>
      <c r="FWS1" s="27"/>
      <c r="FWT1" s="27"/>
      <c r="FWU1" s="27"/>
      <c r="FWV1" s="27"/>
      <c r="FWW1" s="27"/>
      <c r="FWX1" s="27"/>
      <c r="FWY1" s="27"/>
      <c r="FWZ1" s="27"/>
      <c r="FXA1" s="27"/>
      <c r="FXB1" s="27"/>
      <c r="FXC1" s="27"/>
      <c r="FXD1" s="27"/>
      <c r="FXE1" s="27"/>
      <c r="FXF1" s="27"/>
      <c r="FXG1" s="27"/>
      <c r="FXH1" s="27"/>
      <c r="FXI1" s="27"/>
      <c r="FXJ1" s="27"/>
      <c r="FXK1" s="27"/>
      <c r="FXL1" s="27"/>
      <c r="FXM1" s="27"/>
      <c r="FXN1" s="27"/>
      <c r="FXO1" s="27"/>
      <c r="FXP1" s="27"/>
      <c r="FXQ1" s="27"/>
      <c r="FXR1" s="27"/>
      <c r="FXS1" s="27"/>
      <c r="FXT1" s="27"/>
      <c r="FXU1" s="27"/>
      <c r="FXV1" s="27"/>
      <c r="FXW1" s="27"/>
      <c r="FXX1" s="27"/>
      <c r="FXY1" s="27"/>
      <c r="FXZ1" s="27"/>
      <c r="FYA1" s="27"/>
      <c r="FYB1" s="27"/>
      <c r="FYC1" s="27"/>
      <c r="FYD1" s="27"/>
      <c r="FYE1" s="27"/>
      <c r="FYF1" s="27"/>
      <c r="FYG1" s="27"/>
      <c r="FYH1" s="27"/>
      <c r="FYI1" s="27"/>
      <c r="FYJ1" s="27"/>
      <c r="FYK1" s="27"/>
      <c r="FYL1" s="27"/>
      <c r="FYM1" s="27"/>
      <c r="FYN1" s="27"/>
      <c r="FYO1" s="27"/>
      <c r="FYP1" s="27"/>
      <c r="FYQ1" s="27"/>
      <c r="FYR1" s="27"/>
      <c r="FYS1" s="27"/>
      <c r="FYT1" s="27"/>
      <c r="FYU1" s="27"/>
      <c r="FYV1" s="27"/>
      <c r="FYW1" s="27"/>
      <c r="FYX1" s="27"/>
      <c r="FYY1" s="27"/>
      <c r="FYZ1" s="27"/>
      <c r="FZA1" s="27"/>
      <c r="FZB1" s="27"/>
      <c r="FZC1" s="27"/>
      <c r="FZD1" s="27"/>
      <c r="FZE1" s="27"/>
      <c r="FZF1" s="27"/>
      <c r="FZG1" s="27"/>
      <c r="FZH1" s="27"/>
      <c r="FZI1" s="27"/>
      <c r="FZJ1" s="27"/>
      <c r="FZK1" s="27"/>
      <c r="FZL1" s="27"/>
      <c r="FZM1" s="27"/>
      <c r="FZN1" s="27"/>
      <c r="FZO1" s="27"/>
      <c r="FZP1" s="27"/>
      <c r="FZQ1" s="27"/>
      <c r="FZR1" s="27"/>
      <c r="FZS1" s="27"/>
      <c r="FZT1" s="27"/>
      <c r="FZU1" s="27"/>
      <c r="FZV1" s="27"/>
      <c r="FZW1" s="27"/>
      <c r="FZX1" s="27"/>
      <c r="FZY1" s="27"/>
      <c r="FZZ1" s="27"/>
      <c r="GAA1" s="27"/>
      <c r="GAB1" s="27"/>
      <c r="GAC1" s="27"/>
      <c r="GAD1" s="27"/>
      <c r="GAE1" s="27"/>
      <c r="GAF1" s="27"/>
      <c r="GAG1" s="27"/>
      <c r="GAH1" s="27"/>
      <c r="GAI1" s="27"/>
      <c r="GAJ1" s="27"/>
      <c r="GAK1" s="27"/>
      <c r="GAL1" s="27"/>
      <c r="GAM1" s="27"/>
      <c r="GAN1" s="27"/>
      <c r="GAO1" s="27"/>
      <c r="GAP1" s="27"/>
      <c r="GAQ1" s="27"/>
      <c r="GAR1" s="27"/>
      <c r="GAS1" s="27"/>
      <c r="GAT1" s="27"/>
      <c r="GAU1" s="27"/>
      <c r="GAV1" s="27"/>
      <c r="GAW1" s="27"/>
      <c r="GAX1" s="27"/>
      <c r="GAY1" s="27"/>
      <c r="GAZ1" s="27"/>
      <c r="GBA1" s="27"/>
      <c r="GBB1" s="27"/>
      <c r="GBC1" s="27"/>
      <c r="GBD1" s="27"/>
      <c r="GBE1" s="27"/>
      <c r="GBF1" s="27"/>
      <c r="GBG1" s="27"/>
      <c r="GBH1" s="27"/>
      <c r="GBI1" s="27"/>
      <c r="GBJ1" s="27"/>
      <c r="GBK1" s="27"/>
      <c r="GBL1" s="27"/>
      <c r="GBM1" s="27"/>
      <c r="GBN1" s="27"/>
      <c r="GBO1" s="27"/>
      <c r="GBP1" s="27"/>
      <c r="GBQ1" s="27"/>
      <c r="GBR1" s="27"/>
      <c r="GBS1" s="27"/>
      <c r="GBT1" s="27"/>
      <c r="GBU1" s="27"/>
      <c r="GBV1" s="27"/>
      <c r="GBW1" s="27"/>
      <c r="GBX1" s="27"/>
      <c r="GBY1" s="27"/>
      <c r="GBZ1" s="27"/>
      <c r="GCA1" s="27"/>
      <c r="GCB1" s="27"/>
      <c r="GCC1" s="27"/>
      <c r="GCD1" s="27"/>
      <c r="GCE1" s="27"/>
      <c r="GCF1" s="27"/>
      <c r="GCG1" s="27"/>
      <c r="GCH1" s="27"/>
      <c r="GCI1" s="27"/>
      <c r="GCJ1" s="27"/>
      <c r="GCK1" s="27"/>
      <c r="GCL1" s="27"/>
      <c r="GCM1" s="27"/>
      <c r="GCN1" s="27"/>
      <c r="GCO1" s="27"/>
      <c r="GCP1" s="27"/>
      <c r="GCQ1" s="27"/>
      <c r="GCR1" s="27"/>
      <c r="GCS1" s="27"/>
      <c r="GCT1" s="27"/>
      <c r="GCU1" s="27"/>
      <c r="GCV1" s="27"/>
      <c r="GCW1" s="27"/>
      <c r="GCX1" s="27"/>
      <c r="GCY1" s="27"/>
      <c r="GCZ1" s="27"/>
      <c r="GDA1" s="27"/>
      <c r="GDB1" s="27"/>
      <c r="GDC1" s="27"/>
      <c r="GDD1" s="27"/>
      <c r="GDE1" s="27"/>
      <c r="GDF1" s="27"/>
      <c r="GDG1" s="27"/>
      <c r="GDH1" s="27"/>
      <c r="GDI1" s="27"/>
      <c r="GDJ1" s="27"/>
      <c r="GDK1" s="27"/>
      <c r="GDL1" s="27"/>
      <c r="GDM1" s="27"/>
      <c r="GDN1" s="27"/>
      <c r="GDO1" s="27"/>
      <c r="GDP1" s="27"/>
      <c r="GDQ1" s="27"/>
      <c r="GDR1" s="27"/>
      <c r="GDS1" s="27"/>
      <c r="GDT1" s="27"/>
      <c r="GDU1" s="27"/>
      <c r="GDV1" s="27"/>
      <c r="GDW1" s="27"/>
      <c r="GDX1" s="27"/>
      <c r="GDY1" s="27"/>
      <c r="GDZ1" s="27"/>
      <c r="GEA1" s="27"/>
      <c r="GEB1" s="27"/>
      <c r="GEC1" s="27"/>
      <c r="GED1" s="27"/>
      <c r="GEE1" s="27"/>
      <c r="GEF1" s="27"/>
      <c r="GEG1" s="27"/>
      <c r="GEH1" s="27"/>
      <c r="GEI1" s="27"/>
      <c r="GEJ1" s="27"/>
      <c r="GEK1" s="27"/>
      <c r="GEL1" s="27"/>
      <c r="GEM1" s="27"/>
      <c r="GEN1" s="27"/>
      <c r="GEO1" s="27"/>
      <c r="GEP1" s="27"/>
      <c r="GEQ1" s="27"/>
      <c r="GER1" s="27"/>
      <c r="GES1" s="27"/>
      <c r="GET1" s="27"/>
      <c r="GEU1" s="27"/>
      <c r="GEV1" s="27"/>
      <c r="GEW1" s="27"/>
      <c r="GEX1" s="27"/>
      <c r="GEY1" s="27"/>
      <c r="GEZ1" s="27"/>
      <c r="GFA1" s="27"/>
      <c r="GFB1" s="27"/>
      <c r="GFC1" s="27"/>
      <c r="GFD1" s="27"/>
      <c r="GFE1" s="27"/>
      <c r="GFF1" s="27"/>
      <c r="GFG1" s="27"/>
      <c r="GFH1" s="27"/>
      <c r="GFI1" s="27"/>
      <c r="GFJ1" s="27"/>
      <c r="GFK1" s="27"/>
      <c r="GFL1" s="27"/>
      <c r="GFM1" s="27"/>
      <c r="GFN1" s="27"/>
      <c r="GFO1" s="27"/>
      <c r="GFP1" s="27"/>
      <c r="GFQ1" s="27"/>
      <c r="GFR1" s="27"/>
      <c r="GFS1" s="27"/>
      <c r="GFT1" s="27"/>
      <c r="GFU1" s="27"/>
      <c r="GFV1" s="27"/>
      <c r="GFW1" s="27"/>
      <c r="GFX1" s="27"/>
      <c r="GFY1" s="27"/>
      <c r="GFZ1" s="27"/>
      <c r="GGA1" s="27"/>
      <c r="GGB1" s="27"/>
      <c r="GGC1" s="27"/>
      <c r="GGD1" s="27"/>
      <c r="GGE1" s="27"/>
      <c r="GGF1" s="27"/>
      <c r="GGG1" s="27"/>
      <c r="GGH1" s="27"/>
      <c r="GGI1" s="27"/>
      <c r="GGJ1" s="27"/>
      <c r="GGK1" s="27"/>
      <c r="GGL1" s="27"/>
      <c r="GGM1" s="27"/>
      <c r="GGN1" s="27"/>
      <c r="GGO1" s="27"/>
      <c r="GGP1" s="27"/>
      <c r="GGQ1" s="27"/>
      <c r="GGR1" s="27"/>
      <c r="GGS1" s="27"/>
      <c r="GGT1" s="27"/>
      <c r="GGU1" s="27"/>
      <c r="GGV1" s="27"/>
      <c r="GGW1" s="27"/>
      <c r="GGX1" s="27"/>
      <c r="GGY1" s="27"/>
      <c r="GGZ1" s="27"/>
      <c r="GHA1" s="27"/>
      <c r="GHB1" s="27"/>
      <c r="GHC1" s="27"/>
      <c r="GHD1" s="27"/>
      <c r="GHE1" s="27"/>
      <c r="GHF1" s="27"/>
      <c r="GHG1" s="27"/>
      <c r="GHH1" s="27"/>
      <c r="GHI1" s="27"/>
      <c r="GHJ1" s="27"/>
      <c r="GHK1" s="27"/>
      <c r="GHL1" s="27"/>
      <c r="GHM1" s="27"/>
      <c r="GHN1" s="27"/>
      <c r="GHO1" s="27"/>
      <c r="GHP1" s="27"/>
      <c r="GHQ1" s="27"/>
      <c r="GHR1" s="27"/>
      <c r="GHS1" s="27"/>
      <c r="GHT1" s="27"/>
      <c r="GHU1" s="27"/>
      <c r="GHV1" s="27"/>
      <c r="GHW1" s="27"/>
      <c r="GHX1" s="27"/>
      <c r="GHY1" s="27"/>
      <c r="GHZ1" s="27"/>
      <c r="GIA1" s="27"/>
      <c r="GIB1" s="27"/>
      <c r="GIC1" s="27"/>
      <c r="GID1" s="27"/>
      <c r="GIE1" s="27"/>
      <c r="GIF1" s="27"/>
      <c r="GIG1" s="27"/>
      <c r="GIH1" s="27"/>
      <c r="GII1" s="27"/>
      <c r="GIJ1" s="27"/>
      <c r="GIK1" s="27"/>
      <c r="GIL1" s="27"/>
      <c r="GIM1" s="27"/>
      <c r="GIN1" s="27"/>
      <c r="GIO1" s="27"/>
      <c r="GIP1" s="27"/>
      <c r="GIQ1" s="27"/>
      <c r="GIR1" s="27"/>
      <c r="GIS1" s="27"/>
      <c r="GIT1" s="27"/>
      <c r="GIU1" s="27"/>
      <c r="GIV1" s="27"/>
      <c r="GIW1" s="27"/>
      <c r="GIX1" s="27"/>
      <c r="GIY1" s="27"/>
      <c r="GIZ1" s="27"/>
      <c r="GJA1" s="27"/>
      <c r="GJB1" s="27"/>
      <c r="GJC1" s="27"/>
      <c r="GJD1" s="27"/>
      <c r="GJE1" s="27"/>
      <c r="GJF1" s="27"/>
      <c r="GJG1" s="27"/>
      <c r="GJH1" s="27"/>
      <c r="GJI1" s="27"/>
      <c r="GJJ1" s="27"/>
      <c r="GJK1" s="27"/>
      <c r="GJL1" s="27"/>
      <c r="GJM1" s="27"/>
      <c r="GJN1" s="27"/>
      <c r="GJO1" s="27"/>
      <c r="GJP1" s="27"/>
      <c r="GJQ1" s="27"/>
      <c r="GJR1" s="27"/>
      <c r="GJS1" s="27"/>
      <c r="GJT1" s="27"/>
      <c r="GJU1" s="27"/>
      <c r="GJV1" s="27"/>
      <c r="GJW1" s="27"/>
      <c r="GJX1" s="27"/>
      <c r="GJY1" s="27"/>
      <c r="GJZ1" s="27"/>
      <c r="GKA1" s="27"/>
      <c r="GKB1" s="27"/>
      <c r="GKC1" s="27"/>
      <c r="GKD1" s="27"/>
      <c r="GKE1" s="27"/>
      <c r="GKF1" s="27"/>
      <c r="GKG1" s="27"/>
      <c r="GKH1" s="27"/>
      <c r="GKI1" s="27"/>
      <c r="GKJ1" s="27"/>
      <c r="GKK1" s="27"/>
      <c r="GKL1" s="27"/>
      <c r="GKM1" s="27"/>
      <c r="GKN1" s="27"/>
      <c r="GKO1" s="27"/>
      <c r="GKP1" s="27"/>
      <c r="GKQ1" s="27"/>
      <c r="GKR1" s="27"/>
      <c r="GKS1" s="27"/>
      <c r="GKT1" s="27"/>
      <c r="GKU1" s="27"/>
      <c r="GKV1" s="27"/>
      <c r="GKW1" s="27"/>
      <c r="GKX1" s="27"/>
      <c r="GKY1" s="27"/>
      <c r="GKZ1" s="27"/>
      <c r="GLA1" s="27"/>
      <c r="GLB1" s="27"/>
      <c r="GLC1" s="27"/>
      <c r="GLD1" s="27"/>
      <c r="GLE1" s="27"/>
      <c r="GLF1" s="27"/>
      <c r="GLG1" s="27"/>
      <c r="GLH1" s="27"/>
      <c r="GLI1" s="27"/>
      <c r="GLJ1" s="27"/>
      <c r="GLK1" s="27"/>
      <c r="GLL1" s="27"/>
      <c r="GLM1" s="27"/>
      <c r="GLN1" s="27"/>
      <c r="GLO1" s="27"/>
      <c r="GLP1" s="27"/>
      <c r="GLQ1" s="27"/>
      <c r="GLR1" s="27"/>
      <c r="GLS1" s="27"/>
      <c r="GLT1" s="27"/>
      <c r="GLU1" s="27"/>
      <c r="GLV1" s="27"/>
      <c r="GLW1" s="27"/>
      <c r="GLX1" s="27"/>
      <c r="GLY1" s="27"/>
      <c r="GLZ1" s="27"/>
      <c r="GMA1" s="27"/>
      <c r="GMB1" s="27"/>
      <c r="GMC1" s="27"/>
      <c r="GMD1" s="27"/>
      <c r="GME1" s="27"/>
      <c r="GMF1" s="27"/>
      <c r="GMG1" s="27"/>
      <c r="GMH1" s="27"/>
      <c r="GMI1" s="27"/>
      <c r="GMJ1" s="27"/>
      <c r="GMK1" s="27"/>
      <c r="GML1" s="27"/>
      <c r="GMM1" s="27"/>
      <c r="GMN1" s="27"/>
      <c r="GMO1" s="27"/>
      <c r="GMP1" s="27"/>
      <c r="GMQ1" s="27"/>
      <c r="GMR1" s="27"/>
      <c r="GMS1" s="27"/>
      <c r="GMT1" s="27"/>
      <c r="GMU1" s="27"/>
      <c r="GMV1" s="27"/>
      <c r="GMW1" s="27"/>
      <c r="GMX1" s="27"/>
      <c r="GMY1" s="27"/>
      <c r="GMZ1" s="27"/>
      <c r="GNA1" s="27"/>
      <c r="GNB1" s="27"/>
      <c r="GNC1" s="27"/>
      <c r="GND1" s="27"/>
      <c r="GNE1" s="27"/>
      <c r="GNF1" s="27"/>
      <c r="GNG1" s="27"/>
      <c r="GNH1" s="27"/>
      <c r="GNI1" s="27"/>
      <c r="GNJ1" s="27"/>
      <c r="GNK1" s="27"/>
      <c r="GNL1" s="27"/>
      <c r="GNM1" s="27"/>
      <c r="GNN1" s="27"/>
      <c r="GNO1" s="27"/>
      <c r="GNP1" s="27"/>
      <c r="GNQ1" s="27"/>
      <c r="GNR1" s="27"/>
      <c r="GNS1" s="27"/>
      <c r="GNT1" s="27"/>
      <c r="GNU1" s="27"/>
      <c r="GNV1" s="27"/>
      <c r="GNW1" s="27"/>
      <c r="GNX1" s="27"/>
      <c r="GNY1" s="27"/>
      <c r="GNZ1" s="27"/>
      <c r="GOA1" s="27"/>
      <c r="GOB1" s="27"/>
      <c r="GOC1" s="27"/>
      <c r="GOD1" s="27"/>
      <c r="GOE1" s="27"/>
      <c r="GOF1" s="27"/>
      <c r="GOG1" s="27"/>
      <c r="GOH1" s="27"/>
      <c r="GOI1" s="27"/>
      <c r="GOJ1" s="27"/>
      <c r="GOK1" s="27"/>
      <c r="GOL1" s="27"/>
      <c r="GOM1" s="27"/>
      <c r="GON1" s="27"/>
      <c r="GOO1" s="27"/>
      <c r="GOP1" s="27"/>
      <c r="GOQ1" s="27"/>
      <c r="GOR1" s="27"/>
      <c r="GOS1" s="27"/>
      <c r="GOT1" s="27"/>
      <c r="GOU1" s="27"/>
      <c r="GOV1" s="27"/>
      <c r="GOW1" s="27"/>
      <c r="GOX1" s="27"/>
      <c r="GOY1" s="27"/>
      <c r="GOZ1" s="27"/>
      <c r="GPA1" s="27"/>
      <c r="GPB1" s="27"/>
      <c r="GPC1" s="27"/>
      <c r="GPD1" s="27"/>
      <c r="GPE1" s="27"/>
      <c r="GPF1" s="27"/>
      <c r="GPG1" s="27"/>
      <c r="GPH1" s="27"/>
      <c r="GPI1" s="27"/>
      <c r="GPJ1" s="27"/>
      <c r="GPK1" s="27"/>
      <c r="GPL1" s="27"/>
      <c r="GPM1" s="27"/>
      <c r="GPN1" s="27"/>
      <c r="GPO1" s="27"/>
      <c r="GPP1" s="27"/>
      <c r="GPQ1" s="27"/>
      <c r="GPR1" s="27"/>
      <c r="GPS1" s="27"/>
      <c r="GPT1" s="27"/>
      <c r="GPU1" s="27"/>
      <c r="GPV1" s="27"/>
      <c r="GPW1" s="27"/>
      <c r="GPX1" s="27"/>
      <c r="GPY1" s="27"/>
      <c r="GPZ1" s="27"/>
      <c r="GQA1" s="27"/>
      <c r="GQB1" s="27"/>
      <c r="GQC1" s="27"/>
      <c r="GQD1" s="27"/>
      <c r="GQE1" s="27"/>
      <c r="GQF1" s="27"/>
      <c r="GQG1" s="27"/>
      <c r="GQH1" s="27"/>
      <c r="GQI1" s="27"/>
      <c r="GQJ1" s="27"/>
      <c r="GQK1" s="27"/>
      <c r="GQL1" s="27"/>
      <c r="GQM1" s="27"/>
      <c r="GQN1" s="27"/>
      <c r="GQO1" s="27"/>
      <c r="GQP1" s="27"/>
      <c r="GQQ1" s="27"/>
      <c r="GQR1" s="27"/>
      <c r="GQS1" s="27"/>
      <c r="GQT1" s="27"/>
      <c r="GQU1" s="27"/>
      <c r="GQV1" s="27"/>
      <c r="GQW1" s="27"/>
      <c r="GQX1" s="27"/>
      <c r="GQY1" s="27"/>
      <c r="GQZ1" s="27"/>
      <c r="GRA1" s="27"/>
      <c r="GRB1" s="27"/>
      <c r="GRC1" s="27"/>
      <c r="GRD1" s="27"/>
      <c r="GRE1" s="27"/>
      <c r="GRF1" s="27"/>
      <c r="GRG1" s="27"/>
      <c r="GRH1" s="27"/>
      <c r="GRI1" s="27"/>
      <c r="GRJ1" s="27"/>
      <c r="GRK1" s="27"/>
      <c r="GRL1" s="27"/>
      <c r="GRM1" s="27"/>
      <c r="GRN1" s="27"/>
      <c r="GRO1" s="27"/>
      <c r="GRP1" s="27"/>
      <c r="GRQ1" s="27"/>
      <c r="GRR1" s="27"/>
      <c r="GRS1" s="27"/>
      <c r="GRT1" s="27"/>
      <c r="GRU1" s="27"/>
      <c r="GRV1" s="27"/>
      <c r="GRW1" s="27"/>
      <c r="GRX1" s="27"/>
      <c r="GRY1" s="27"/>
      <c r="GRZ1" s="27"/>
      <c r="GSA1" s="27"/>
      <c r="GSB1" s="27"/>
      <c r="GSC1" s="27"/>
      <c r="GSD1" s="27"/>
      <c r="GSE1" s="27"/>
      <c r="GSF1" s="27"/>
      <c r="GSG1" s="27"/>
      <c r="GSH1" s="27"/>
      <c r="GSI1" s="27"/>
      <c r="GSJ1" s="27"/>
      <c r="GSK1" s="27"/>
      <c r="GSL1" s="27"/>
      <c r="GSM1" s="27"/>
      <c r="GSN1" s="27"/>
      <c r="GSO1" s="27"/>
      <c r="GSP1" s="27"/>
      <c r="GSQ1" s="27"/>
      <c r="GSR1" s="27"/>
      <c r="GSS1" s="27"/>
      <c r="GST1" s="27"/>
      <c r="GSU1" s="27"/>
      <c r="GSV1" s="27"/>
      <c r="GSW1" s="27"/>
      <c r="GSX1" s="27"/>
      <c r="GSY1" s="27"/>
      <c r="GSZ1" s="27"/>
      <c r="GTA1" s="27"/>
      <c r="GTB1" s="27"/>
      <c r="GTC1" s="27"/>
      <c r="GTD1" s="27"/>
      <c r="GTE1" s="27"/>
      <c r="GTF1" s="27"/>
      <c r="GTG1" s="27"/>
      <c r="GTH1" s="27"/>
      <c r="GTI1" s="27"/>
      <c r="GTJ1" s="27"/>
      <c r="GTK1" s="27"/>
      <c r="GTL1" s="27"/>
      <c r="GTM1" s="27"/>
      <c r="GTN1" s="27"/>
      <c r="GTO1" s="27"/>
      <c r="GTP1" s="27"/>
      <c r="GTQ1" s="27"/>
      <c r="GTR1" s="27"/>
      <c r="GTS1" s="27"/>
      <c r="GTT1" s="27"/>
      <c r="GTU1" s="27"/>
      <c r="GTV1" s="27"/>
      <c r="GTW1" s="27"/>
      <c r="GTX1" s="27"/>
      <c r="GTY1" s="27"/>
      <c r="GTZ1" s="27"/>
      <c r="GUA1" s="27"/>
      <c r="GUB1" s="27"/>
      <c r="GUC1" s="27"/>
      <c r="GUD1" s="27"/>
      <c r="GUE1" s="27"/>
      <c r="GUF1" s="27"/>
      <c r="GUG1" s="27"/>
      <c r="GUH1" s="27"/>
      <c r="GUI1" s="27"/>
      <c r="GUJ1" s="27"/>
      <c r="GUK1" s="27"/>
      <c r="GUL1" s="27"/>
      <c r="GUM1" s="27"/>
      <c r="GUN1" s="27"/>
      <c r="GUO1" s="27"/>
      <c r="GUP1" s="27"/>
      <c r="GUQ1" s="27"/>
      <c r="GUR1" s="27"/>
      <c r="GUS1" s="27"/>
      <c r="GUT1" s="27"/>
      <c r="GUU1" s="27"/>
      <c r="GUV1" s="27"/>
      <c r="GUW1" s="27"/>
      <c r="GUX1" s="27"/>
      <c r="GUY1" s="27"/>
      <c r="GUZ1" s="27"/>
      <c r="GVA1" s="27"/>
      <c r="GVB1" s="27"/>
      <c r="GVC1" s="27"/>
      <c r="GVD1" s="27"/>
      <c r="GVE1" s="27"/>
      <c r="GVF1" s="27"/>
      <c r="GVG1" s="27"/>
      <c r="GVH1" s="27"/>
      <c r="GVI1" s="27"/>
      <c r="GVJ1" s="27"/>
      <c r="GVK1" s="27"/>
      <c r="GVL1" s="27"/>
      <c r="GVM1" s="27"/>
      <c r="GVN1" s="27"/>
      <c r="GVO1" s="27"/>
      <c r="GVP1" s="27"/>
      <c r="GVQ1" s="27"/>
      <c r="GVR1" s="27"/>
      <c r="GVS1" s="27"/>
      <c r="GVT1" s="27"/>
      <c r="GVU1" s="27"/>
      <c r="GVV1" s="27"/>
      <c r="GVW1" s="27"/>
      <c r="GVX1" s="27"/>
      <c r="GVY1" s="27"/>
      <c r="GVZ1" s="27"/>
      <c r="GWA1" s="27"/>
      <c r="GWB1" s="27"/>
      <c r="GWC1" s="27"/>
      <c r="GWD1" s="27"/>
      <c r="GWE1" s="27"/>
      <c r="GWF1" s="27"/>
      <c r="GWG1" s="27"/>
      <c r="GWH1" s="27"/>
      <c r="GWI1" s="27"/>
      <c r="GWJ1" s="27"/>
      <c r="GWK1" s="27"/>
      <c r="GWL1" s="27"/>
      <c r="GWM1" s="27"/>
      <c r="GWN1" s="27"/>
      <c r="GWO1" s="27"/>
      <c r="GWP1" s="27"/>
      <c r="GWQ1" s="27"/>
      <c r="GWR1" s="27"/>
      <c r="GWS1" s="27"/>
      <c r="GWT1" s="27"/>
      <c r="GWU1" s="27"/>
      <c r="GWV1" s="27"/>
      <c r="GWW1" s="27"/>
      <c r="GWX1" s="27"/>
      <c r="GWY1" s="27"/>
      <c r="GWZ1" s="27"/>
      <c r="GXA1" s="27"/>
      <c r="GXB1" s="27"/>
      <c r="GXC1" s="27"/>
      <c r="GXD1" s="27"/>
      <c r="GXE1" s="27"/>
      <c r="GXF1" s="27"/>
      <c r="GXG1" s="27"/>
      <c r="GXH1" s="27"/>
      <c r="GXI1" s="27"/>
      <c r="GXJ1" s="27"/>
      <c r="GXK1" s="27"/>
      <c r="GXL1" s="27"/>
      <c r="GXM1" s="27"/>
      <c r="GXN1" s="27"/>
      <c r="GXO1" s="27"/>
      <c r="GXP1" s="27"/>
      <c r="GXQ1" s="27"/>
      <c r="GXR1" s="27"/>
      <c r="GXS1" s="27"/>
      <c r="GXT1" s="27"/>
      <c r="GXU1" s="27"/>
      <c r="GXV1" s="27"/>
      <c r="GXW1" s="27"/>
      <c r="GXX1" s="27"/>
      <c r="GXY1" s="27"/>
      <c r="GXZ1" s="27"/>
      <c r="GYA1" s="27"/>
      <c r="GYB1" s="27"/>
      <c r="GYC1" s="27"/>
      <c r="GYD1" s="27"/>
      <c r="GYE1" s="27"/>
      <c r="GYF1" s="27"/>
      <c r="GYG1" s="27"/>
      <c r="GYH1" s="27"/>
      <c r="GYI1" s="27"/>
      <c r="GYJ1" s="27"/>
      <c r="GYK1" s="27"/>
      <c r="GYL1" s="27"/>
      <c r="GYM1" s="27"/>
      <c r="GYN1" s="27"/>
      <c r="GYO1" s="27"/>
      <c r="GYP1" s="27"/>
      <c r="GYQ1" s="27"/>
      <c r="GYR1" s="27"/>
      <c r="GYS1" s="27"/>
      <c r="GYT1" s="27"/>
      <c r="GYU1" s="27"/>
      <c r="GYV1" s="27"/>
      <c r="GYW1" s="27"/>
      <c r="GYX1" s="27"/>
      <c r="GYY1" s="27"/>
      <c r="GYZ1" s="27"/>
      <c r="GZA1" s="27"/>
      <c r="GZB1" s="27"/>
      <c r="GZC1" s="27"/>
      <c r="GZD1" s="27"/>
      <c r="GZE1" s="27"/>
      <c r="GZF1" s="27"/>
      <c r="GZG1" s="27"/>
      <c r="GZH1" s="27"/>
      <c r="GZI1" s="27"/>
      <c r="GZJ1" s="27"/>
      <c r="GZK1" s="27"/>
      <c r="GZL1" s="27"/>
      <c r="GZM1" s="27"/>
      <c r="GZN1" s="27"/>
      <c r="GZO1" s="27"/>
      <c r="GZP1" s="27"/>
      <c r="GZQ1" s="27"/>
      <c r="GZR1" s="27"/>
      <c r="GZS1" s="27"/>
      <c r="GZT1" s="27"/>
      <c r="GZU1" s="27"/>
      <c r="GZV1" s="27"/>
      <c r="GZW1" s="27"/>
      <c r="GZX1" s="27"/>
      <c r="GZY1" s="27"/>
      <c r="GZZ1" s="27"/>
      <c r="HAA1" s="27"/>
      <c r="HAB1" s="27"/>
      <c r="HAC1" s="27"/>
      <c r="HAD1" s="27"/>
      <c r="HAE1" s="27"/>
      <c r="HAF1" s="27"/>
      <c r="HAG1" s="27"/>
      <c r="HAH1" s="27"/>
      <c r="HAI1" s="27"/>
      <c r="HAJ1" s="27"/>
      <c r="HAK1" s="27"/>
      <c r="HAL1" s="27"/>
      <c r="HAM1" s="27"/>
      <c r="HAN1" s="27"/>
      <c r="HAO1" s="27"/>
      <c r="HAP1" s="27"/>
      <c r="HAQ1" s="27"/>
      <c r="HAR1" s="27"/>
      <c r="HAS1" s="27"/>
      <c r="HAT1" s="27"/>
      <c r="HAU1" s="27"/>
      <c r="HAV1" s="27"/>
      <c r="HAW1" s="27"/>
      <c r="HAX1" s="27"/>
      <c r="HAY1" s="27"/>
      <c r="HAZ1" s="27"/>
      <c r="HBA1" s="27"/>
      <c r="HBB1" s="27"/>
      <c r="HBC1" s="27"/>
      <c r="HBD1" s="27"/>
      <c r="HBE1" s="27"/>
      <c r="HBF1" s="27"/>
      <c r="HBG1" s="27"/>
      <c r="HBH1" s="27"/>
      <c r="HBI1" s="27"/>
      <c r="HBJ1" s="27"/>
      <c r="HBK1" s="27"/>
      <c r="HBL1" s="27"/>
      <c r="HBM1" s="27"/>
      <c r="HBN1" s="27"/>
      <c r="HBO1" s="27"/>
      <c r="HBP1" s="27"/>
      <c r="HBQ1" s="27"/>
      <c r="HBR1" s="27"/>
      <c r="HBS1" s="27"/>
      <c r="HBT1" s="27"/>
      <c r="HBU1" s="27"/>
      <c r="HBV1" s="27"/>
      <c r="HBW1" s="27"/>
      <c r="HBX1" s="27"/>
      <c r="HBY1" s="27"/>
      <c r="HBZ1" s="27"/>
      <c r="HCA1" s="27"/>
      <c r="HCB1" s="27"/>
      <c r="HCC1" s="27"/>
      <c r="HCD1" s="27"/>
      <c r="HCE1" s="27"/>
      <c r="HCF1" s="27"/>
      <c r="HCG1" s="27"/>
      <c r="HCH1" s="27"/>
      <c r="HCI1" s="27"/>
      <c r="HCJ1" s="27"/>
      <c r="HCK1" s="27"/>
      <c r="HCL1" s="27"/>
      <c r="HCM1" s="27"/>
      <c r="HCN1" s="27"/>
      <c r="HCO1" s="27"/>
      <c r="HCP1" s="27"/>
      <c r="HCQ1" s="27"/>
      <c r="HCR1" s="27"/>
      <c r="HCS1" s="27"/>
      <c r="HCT1" s="27"/>
      <c r="HCU1" s="27"/>
      <c r="HCV1" s="27"/>
      <c r="HCW1" s="27"/>
      <c r="HCX1" s="27"/>
      <c r="HCY1" s="27"/>
      <c r="HCZ1" s="27"/>
      <c r="HDA1" s="27"/>
      <c r="HDB1" s="27"/>
      <c r="HDC1" s="27"/>
      <c r="HDD1" s="27"/>
      <c r="HDE1" s="27"/>
      <c r="HDF1" s="27"/>
      <c r="HDG1" s="27"/>
      <c r="HDH1" s="27"/>
      <c r="HDI1" s="27"/>
      <c r="HDJ1" s="27"/>
      <c r="HDK1" s="27"/>
      <c r="HDL1" s="27"/>
      <c r="HDM1" s="27"/>
      <c r="HDN1" s="27"/>
      <c r="HDO1" s="27"/>
      <c r="HDP1" s="27"/>
      <c r="HDQ1" s="27"/>
      <c r="HDR1" s="27"/>
      <c r="HDS1" s="27"/>
      <c r="HDT1" s="27"/>
      <c r="HDU1" s="27"/>
      <c r="HDV1" s="27"/>
      <c r="HDW1" s="27"/>
      <c r="HDX1" s="27"/>
      <c r="HDY1" s="27"/>
      <c r="HDZ1" s="27"/>
      <c r="HEA1" s="27"/>
      <c r="HEB1" s="27"/>
      <c r="HEC1" s="27"/>
      <c r="HED1" s="27"/>
      <c r="HEE1" s="27"/>
      <c r="HEF1" s="27"/>
      <c r="HEG1" s="27"/>
      <c r="HEH1" s="27"/>
      <c r="HEI1" s="27"/>
      <c r="HEJ1" s="27"/>
      <c r="HEK1" s="27"/>
      <c r="HEL1" s="27"/>
      <c r="HEM1" s="27"/>
      <c r="HEN1" s="27"/>
      <c r="HEO1" s="27"/>
      <c r="HEP1" s="27"/>
      <c r="HEQ1" s="27"/>
      <c r="HER1" s="27"/>
      <c r="HES1" s="27"/>
      <c r="HET1" s="27"/>
      <c r="HEU1" s="27"/>
      <c r="HEV1" s="27"/>
      <c r="HEW1" s="27"/>
      <c r="HEX1" s="27"/>
      <c r="HEY1" s="27"/>
      <c r="HEZ1" s="27"/>
      <c r="HFA1" s="27"/>
      <c r="HFB1" s="27"/>
      <c r="HFC1" s="27"/>
      <c r="HFD1" s="27"/>
      <c r="HFE1" s="27"/>
      <c r="HFF1" s="27"/>
      <c r="HFG1" s="27"/>
      <c r="HFH1" s="27"/>
      <c r="HFI1" s="27"/>
      <c r="HFJ1" s="27"/>
      <c r="HFK1" s="27"/>
      <c r="HFL1" s="27"/>
      <c r="HFM1" s="27"/>
      <c r="HFN1" s="27"/>
      <c r="HFO1" s="27"/>
      <c r="HFP1" s="27"/>
      <c r="HFQ1" s="27"/>
      <c r="HFR1" s="27"/>
      <c r="HFS1" s="27"/>
      <c r="HFT1" s="27"/>
      <c r="HFU1" s="27"/>
      <c r="HFV1" s="27"/>
      <c r="HFW1" s="27"/>
      <c r="HFX1" s="27"/>
      <c r="HFY1" s="27"/>
      <c r="HFZ1" s="27"/>
      <c r="HGA1" s="27"/>
      <c r="HGB1" s="27"/>
      <c r="HGC1" s="27"/>
      <c r="HGD1" s="27"/>
      <c r="HGE1" s="27"/>
      <c r="HGF1" s="27"/>
      <c r="HGG1" s="27"/>
      <c r="HGH1" s="27"/>
      <c r="HGI1" s="27"/>
      <c r="HGJ1" s="27"/>
      <c r="HGK1" s="27"/>
      <c r="HGL1" s="27"/>
      <c r="HGM1" s="27"/>
      <c r="HGN1" s="27"/>
      <c r="HGO1" s="27"/>
      <c r="HGP1" s="27"/>
      <c r="HGQ1" s="27"/>
      <c r="HGR1" s="27"/>
      <c r="HGS1" s="27"/>
      <c r="HGT1" s="27"/>
      <c r="HGU1" s="27"/>
      <c r="HGV1" s="27"/>
      <c r="HGW1" s="27"/>
      <c r="HGX1" s="27"/>
      <c r="HGY1" s="27"/>
      <c r="HGZ1" s="27"/>
      <c r="HHA1" s="27"/>
      <c r="HHB1" s="27"/>
      <c r="HHC1" s="27"/>
      <c r="HHD1" s="27"/>
      <c r="HHE1" s="27"/>
      <c r="HHF1" s="27"/>
      <c r="HHG1" s="27"/>
      <c r="HHH1" s="27"/>
      <c r="HHI1" s="27"/>
      <c r="HHJ1" s="27"/>
      <c r="HHK1" s="27"/>
      <c r="HHL1" s="27"/>
      <c r="HHM1" s="27"/>
      <c r="HHN1" s="27"/>
      <c r="HHO1" s="27"/>
      <c r="HHP1" s="27"/>
      <c r="HHQ1" s="27"/>
      <c r="HHR1" s="27"/>
      <c r="HHS1" s="27"/>
      <c r="HHT1" s="27"/>
      <c r="HHU1" s="27"/>
      <c r="HHV1" s="27"/>
      <c r="HHW1" s="27"/>
      <c r="HHX1" s="27"/>
      <c r="HHY1" s="27"/>
      <c r="HHZ1" s="27"/>
      <c r="HIA1" s="27"/>
      <c r="HIB1" s="27"/>
      <c r="HIC1" s="27"/>
      <c r="HID1" s="27"/>
      <c r="HIE1" s="27"/>
      <c r="HIF1" s="27"/>
      <c r="HIG1" s="27"/>
      <c r="HIH1" s="27"/>
      <c r="HII1" s="27"/>
      <c r="HIJ1" s="27"/>
      <c r="HIK1" s="27"/>
      <c r="HIL1" s="27"/>
      <c r="HIM1" s="27"/>
      <c r="HIN1" s="27"/>
      <c r="HIO1" s="27"/>
      <c r="HIP1" s="27"/>
      <c r="HIQ1" s="27"/>
      <c r="HIR1" s="27"/>
      <c r="HIS1" s="27"/>
      <c r="HIT1" s="27"/>
      <c r="HIU1" s="27"/>
      <c r="HIV1" s="27"/>
      <c r="HIW1" s="27"/>
      <c r="HIX1" s="27"/>
      <c r="HIY1" s="27"/>
      <c r="HIZ1" s="27"/>
      <c r="HJA1" s="27"/>
      <c r="HJB1" s="27"/>
      <c r="HJC1" s="27"/>
      <c r="HJD1" s="27"/>
      <c r="HJE1" s="27"/>
      <c r="HJF1" s="27"/>
      <c r="HJG1" s="27"/>
      <c r="HJH1" s="27"/>
      <c r="HJI1" s="27"/>
      <c r="HJJ1" s="27"/>
      <c r="HJK1" s="27"/>
      <c r="HJL1" s="27"/>
      <c r="HJM1" s="27"/>
      <c r="HJN1" s="27"/>
      <c r="HJO1" s="27"/>
      <c r="HJP1" s="27"/>
      <c r="HJQ1" s="27"/>
      <c r="HJR1" s="27"/>
      <c r="HJS1" s="27"/>
      <c r="HJT1" s="27"/>
      <c r="HJU1" s="27"/>
      <c r="HJV1" s="27"/>
      <c r="HJW1" s="27"/>
      <c r="HJX1" s="27"/>
      <c r="HJY1" s="27"/>
      <c r="HJZ1" s="27"/>
      <c r="HKA1" s="27"/>
      <c r="HKB1" s="27"/>
      <c r="HKC1" s="27"/>
      <c r="HKD1" s="27"/>
      <c r="HKE1" s="27"/>
      <c r="HKF1" s="27"/>
      <c r="HKG1" s="27"/>
      <c r="HKH1" s="27"/>
      <c r="HKI1" s="27"/>
      <c r="HKJ1" s="27"/>
      <c r="HKK1" s="27"/>
      <c r="HKL1" s="27"/>
      <c r="HKM1" s="27"/>
      <c r="HKN1" s="27"/>
      <c r="HKO1" s="27"/>
      <c r="HKP1" s="27"/>
      <c r="HKQ1" s="27"/>
      <c r="HKR1" s="27"/>
      <c r="HKS1" s="27"/>
      <c r="HKT1" s="27"/>
      <c r="HKU1" s="27"/>
      <c r="HKV1" s="27"/>
      <c r="HKW1" s="27"/>
      <c r="HKX1" s="27"/>
      <c r="HKY1" s="27"/>
      <c r="HKZ1" s="27"/>
      <c r="HLA1" s="27"/>
      <c r="HLB1" s="27"/>
      <c r="HLC1" s="27"/>
      <c r="HLD1" s="27"/>
      <c r="HLE1" s="27"/>
      <c r="HLF1" s="27"/>
      <c r="HLG1" s="27"/>
      <c r="HLH1" s="27"/>
      <c r="HLI1" s="27"/>
      <c r="HLJ1" s="27"/>
      <c r="HLK1" s="27"/>
      <c r="HLL1" s="27"/>
      <c r="HLM1" s="27"/>
      <c r="HLN1" s="27"/>
      <c r="HLO1" s="27"/>
      <c r="HLP1" s="27"/>
      <c r="HLQ1" s="27"/>
      <c r="HLR1" s="27"/>
      <c r="HLS1" s="27"/>
      <c r="HLT1" s="27"/>
      <c r="HLU1" s="27"/>
      <c r="HLV1" s="27"/>
      <c r="HLW1" s="27"/>
      <c r="HLX1" s="27"/>
      <c r="HLY1" s="27"/>
      <c r="HLZ1" s="27"/>
      <c r="HMA1" s="27"/>
      <c r="HMB1" s="27"/>
      <c r="HMC1" s="27"/>
      <c r="HMD1" s="27"/>
      <c r="HME1" s="27"/>
      <c r="HMF1" s="27"/>
      <c r="HMG1" s="27"/>
      <c r="HMH1" s="27"/>
      <c r="HMI1" s="27"/>
      <c r="HMJ1" s="27"/>
      <c r="HMK1" s="27"/>
      <c r="HML1" s="27"/>
      <c r="HMM1" s="27"/>
      <c r="HMN1" s="27"/>
      <c r="HMO1" s="27"/>
      <c r="HMP1" s="27"/>
      <c r="HMQ1" s="27"/>
      <c r="HMR1" s="27"/>
      <c r="HMS1" s="27"/>
      <c r="HMT1" s="27"/>
      <c r="HMU1" s="27"/>
      <c r="HMV1" s="27"/>
      <c r="HMW1" s="27"/>
      <c r="HMX1" s="27"/>
      <c r="HMY1" s="27"/>
      <c r="HMZ1" s="27"/>
      <c r="HNA1" s="27"/>
      <c r="HNB1" s="27"/>
      <c r="HNC1" s="27"/>
      <c r="HND1" s="27"/>
      <c r="HNE1" s="27"/>
      <c r="HNF1" s="27"/>
      <c r="HNG1" s="27"/>
      <c r="HNH1" s="27"/>
      <c r="HNI1" s="27"/>
      <c r="HNJ1" s="27"/>
      <c r="HNK1" s="27"/>
      <c r="HNL1" s="27"/>
      <c r="HNM1" s="27"/>
      <c r="HNN1" s="27"/>
      <c r="HNO1" s="27"/>
      <c r="HNP1" s="27"/>
      <c r="HNQ1" s="27"/>
      <c r="HNR1" s="27"/>
      <c r="HNS1" s="27"/>
      <c r="HNT1" s="27"/>
      <c r="HNU1" s="27"/>
      <c r="HNV1" s="27"/>
      <c r="HNW1" s="27"/>
      <c r="HNX1" s="27"/>
      <c r="HNY1" s="27"/>
      <c r="HNZ1" s="27"/>
      <c r="HOA1" s="27"/>
      <c r="HOB1" s="27"/>
      <c r="HOC1" s="27"/>
      <c r="HOD1" s="27"/>
      <c r="HOE1" s="27"/>
      <c r="HOF1" s="27"/>
      <c r="HOG1" s="27"/>
      <c r="HOH1" s="27"/>
      <c r="HOI1" s="27"/>
      <c r="HOJ1" s="27"/>
      <c r="HOK1" s="27"/>
      <c r="HOL1" s="27"/>
      <c r="HOM1" s="27"/>
      <c r="HON1" s="27"/>
      <c r="HOO1" s="27"/>
      <c r="HOP1" s="27"/>
      <c r="HOQ1" s="27"/>
      <c r="HOR1" s="27"/>
      <c r="HOS1" s="27"/>
      <c r="HOT1" s="27"/>
      <c r="HOU1" s="27"/>
      <c r="HOV1" s="27"/>
      <c r="HOW1" s="27"/>
      <c r="HOX1" s="27"/>
      <c r="HOY1" s="27"/>
      <c r="HOZ1" s="27"/>
      <c r="HPA1" s="27"/>
      <c r="HPB1" s="27"/>
      <c r="HPC1" s="27"/>
      <c r="HPD1" s="27"/>
      <c r="HPE1" s="27"/>
      <c r="HPF1" s="27"/>
      <c r="HPG1" s="27"/>
      <c r="HPH1" s="27"/>
      <c r="HPI1" s="27"/>
      <c r="HPJ1" s="27"/>
      <c r="HPK1" s="27"/>
      <c r="HPL1" s="27"/>
      <c r="HPM1" s="27"/>
      <c r="HPN1" s="27"/>
      <c r="HPO1" s="27"/>
      <c r="HPP1" s="27"/>
      <c r="HPQ1" s="27"/>
      <c r="HPR1" s="27"/>
      <c r="HPS1" s="27"/>
      <c r="HPT1" s="27"/>
      <c r="HPU1" s="27"/>
      <c r="HPV1" s="27"/>
      <c r="HPW1" s="27"/>
      <c r="HPX1" s="27"/>
      <c r="HPY1" s="27"/>
      <c r="HPZ1" s="27"/>
      <c r="HQA1" s="27"/>
      <c r="HQB1" s="27"/>
      <c r="HQC1" s="27"/>
      <c r="HQD1" s="27"/>
      <c r="HQE1" s="27"/>
      <c r="HQF1" s="27"/>
      <c r="HQG1" s="27"/>
      <c r="HQH1" s="27"/>
      <c r="HQI1" s="27"/>
      <c r="HQJ1" s="27"/>
      <c r="HQK1" s="27"/>
      <c r="HQL1" s="27"/>
      <c r="HQM1" s="27"/>
      <c r="HQN1" s="27"/>
      <c r="HQO1" s="27"/>
      <c r="HQP1" s="27"/>
      <c r="HQQ1" s="27"/>
      <c r="HQR1" s="27"/>
      <c r="HQS1" s="27"/>
      <c r="HQT1" s="27"/>
      <c r="HQU1" s="27"/>
      <c r="HQV1" s="27"/>
      <c r="HQW1" s="27"/>
      <c r="HQX1" s="27"/>
      <c r="HQY1" s="27"/>
      <c r="HQZ1" s="27"/>
      <c r="HRA1" s="27"/>
      <c r="HRB1" s="27"/>
      <c r="HRC1" s="27"/>
      <c r="HRD1" s="27"/>
      <c r="HRE1" s="27"/>
      <c r="HRF1" s="27"/>
      <c r="HRG1" s="27"/>
      <c r="HRH1" s="27"/>
      <c r="HRI1" s="27"/>
      <c r="HRJ1" s="27"/>
      <c r="HRK1" s="27"/>
      <c r="HRL1" s="27"/>
      <c r="HRM1" s="27"/>
      <c r="HRN1" s="27"/>
      <c r="HRO1" s="27"/>
      <c r="HRP1" s="27"/>
      <c r="HRQ1" s="27"/>
      <c r="HRR1" s="27"/>
      <c r="HRS1" s="27"/>
      <c r="HRT1" s="27"/>
      <c r="HRU1" s="27"/>
      <c r="HRV1" s="27"/>
      <c r="HRW1" s="27"/>
      <c r="HRX1" s="27"/>
      <c r="HRY1" s="27"/>
      <c r="HRZ1" s="27"/>
      <c r="HSA1" s="27"/>
      <c r="HSB1" s="27"/>
      <c r="HSC1" s="27"/>
      <c r="HSD1" s="27"/>
      <c r="HSE1" s="27"/>
      <c r="HSF1" s="27"/>
      <c r="HSG1" s="27"/>
      <c r="HSH1" s="27"/>
      <c r="HSI1" s="27"/>
      <c r="HSJ1" s="27"/>
      <c r="HSK1" s="27"/>
      <c r="HSL1" s="27"/>
      <c r="HSM1" s="27"/>
      <c r="HSN1" s="27"/>
      <c r="HSO1" s="27"/>
      <c r="HSP1" s="27"/>
      <c r="HSQ1" s="27"/>
      <c r="HSR1" s="27"/>
      <c r="HSS1" s="27"/>
      <c r="HST1" s="27"/>
      <c r="HSU1" s="27"/>
      <c r="HSV1" s="27"/>
      <c r="HSW1" s="27"/>
      <c r="HSX1" s="27"/>
      <c r="HSY1" s="27"/>
      <c r="HSZ1" s="27"/>
      <c r="HTA1" s="27"/>
      <c r="HTB1" s="27"/>
      <c r="HTC1" s="27"/>
      <c r="HTD1" s="27"/>
      <c r="HTE1" s="27"/>
      <c r="HTF1" s="27"/>
      <c r="HTG1" s="27"/>
      <c r="HTH1" s="27"/>
      <c r="HTI1" s="27"/>
      <c r="HTJ1" s="27"/>
      <c r="HTK1" s="27"/>
      <c r="HTL1" s="27"/>
      <c r="HTM1" s="27"/>
      <c r="HTN1" s="27"/>
      <c r="HTO1" s="27"/>
      <c r="HTP1" s="27"/>
      <c r="HTQ1" s="27"/>
      <c r="HTR1" s="27"/>
      <c r="HTS1" s="27"/>
      <c r="HTT1" s="27"/>
      <c r="HTU1" s="27"/>
      <c r="HTV1" s="27"/>
      <c r="HTW1" s="27"/>
      <c r="HTX1" s="27"/>
      <c r="HTY1" s="27"/>
      <c r="HTZ1" s="27"/>
      <c r="HUA1" s="27"/>
      <c r="HUB1" s="27"/>
      <c r="HUC1" s="27"/>
      <c r="HUD1" s="27"/>
      <c r="HUE1" s="27"/>
      <c r="HUF1" s="27"/>
      <c r="HUG1" s="27"/>
      <c r="HUH1" s="27"/>
      <c r="HUI1" s="27"/>
      <c r="HUJ1" s="27"/>
      <c r="HUK1" s="27"/>
      <c r="HUL1" s="27"/>
      <c r="HUM1" s="27"/>
      <c r="HUN1" s="27"/>
      <c r="HUO1" s="27"/>
      <c r="HUP1" s="27"/>
      <c r="HUQ1" s="27"/>
      <c r="HUR1" s="27"/>
      <c r="HUS1" s="27"/>
      <c r="HUT1" s="27"/>
      <c r="HUU1" s="27"/>
      <c r="HUV1" s="27"/>
      <c r="HUW1" s="27"/>
      <c r="HUX1" s="27"/>
      <c r="HUY1" s="27"/>
      <c r="HUZ1" s="27"/>
      <c r="HVA1" s="27"/>
      <c r="HVB1" s="27"/>
      <c r="HVC1" s="27"/>
      <c r="HVD1" s="27"/>
      <c r="HVE1" s="27"/>
      <c r="HVF1" s="27"/>
      <c r="HVG1" s="27"/>
      <c r="HVH1" s="27"/>
      <c r="HVI1" s="27"/>
      <c r="HVJ1" s="27"/>
      <c r="HVK1" s="27"/>
      <c r="HVL1" s="27"/>
      <c r="HVM1" s="27"/>
      <c r="HVN1" s="27"/>
      <c r="HVO1" s="27"/>
      <c r="HVP1" s="27"/>
      <c r="HVQ1" s="27"/>
      <c r="HVR1" s="27"/>
      <c r="HVS1" s="27"/>
      <c r="HVT1" s="27"/>
      <c r="HVU1" s="27"/>
      <c r="HVV1" s="27"/>
      <c r="HVW1" s="27"/>
      <c r="HVX1" s="27"/>
      <c r="HVY1" s="27"/>
      <c r="HVZ1" s="27"/>
      <c r="HWA1" s="27"/>
      <c r="HWB1" s="27"/>
      <c r="HWC1" s="27"/>
      <c r="HWD1" s="27"/>
      <c r="HWE1" s="27"/>
      <c r="HWF1" s="27"/>
      <c r="HWG1" s="27"/>
      <c r="HWH1" s="27"/>
      <c r="HWI1" s="27"/>
      <c r="HWJ1" s="27"/>
      <c r="HWK1" s="27"/>
      <c r="HWL1" s="27"/>
      <c r="HWM1" s="27"/>
      <c r="HWN1" s="27"/>
      <c r="HWO1" s="27"/>
      <c r="HWP1" s="27"/>
      <c r="HWQ1" s="27"/>
      <c r="HWR1" s="27"/>
      <c r="HWS1" s="27"/>
      <c r="HWT1" s="27"/>
      <c r="HWU1" s="27"/>
      <c r="HWV1" s="27"/>
      <c r="HWW1" s="27"/>
      <c r="HWX1" s="27"/>
      <c r="HWY1" s="27"/>
      <c r="HWZ1" s="27"/>
      <c r="HXA1" s="27"/>
      <c r="HXB1" s="27"/>
      <c r="HXC1" s="27"/>
      <c r="HXD1" s="27"/>
      <c r="HXE1" s="27"/>
      <c r="HXF1" s="27"/>
      <c r="HXG1" s="27"/>
      <c r="HXH1" s="27"/>
      <c r="HXI1" s="27"/>
      <c r="HXJ1" s="27"/>
      <c r="HXK1" s="27"/>
      <c r="HXL1" s="27"/>
      <c r="HXM1" s="27"/>
      <c r="HXN1" s="27"/>
      <c r="HXO1" s="27"/>
      <c r="HXP1" s="27"/>
      <c r="HXQ1" s="27"/>
      <c r="HXR1" s="27"/>
      <c r="HXS1" s="27"/>
      <c r="HXT1" s="27"/>
      <c r="HXU1" s="27"/>
      <c r="HXV1" s="27"/>
      <c r="HXW1" s="27"/>
      <c r="HXX1" s="27"/>
      <c r="HXY1" s="27"/>
      <c r="HXZ1" s="27"/>
      <c r="HYA1" s="27"/>
      <c r="HYB1" s="27"/>
      <c r="HYC1" s="27"/>
      <c r="HYD1" s="27"/>
      <c r="HYE1" s="27"/>
      <c r="HYF1" s="27"/>
      <c r="HYG1" s="27"/>
      <c r="HYH1" s="27"/>
      <c r="HYI1" s="27"/>
      <c r="HYJ1" s="27"/>
      <c r="HYK1" s="27"/>
      <c r="HYL1" s="27"/>
      <c r="HYM1" s="27"/>
      <c r="HYN1" s="27"/>
      <c r="HYO1" s="27"/>
      <c r="HYP1" s="27"/>
      <c r="HYQ1" s="27"/>
      <c r="HYR1" s="27"/>
      <c r="HYS1" s="27"/>
      <c r="HYT1" s="27"/>
      <c r="HYU1" s="27"/>
      <c r="HYV1" s="27"/>
      <c r="HYW1" s="27"/>
      <c r="HYX1" s="27"/>
      <c r="HYY1" s="27"/>
      <c r="HYZ1" s="27"/>
      <c r="HZA1" s="27"/>
      <c r="HZB1" s="27"/>
      <c r="HZC1" s="27"/>
      <c r="HZD1" s="27"/>
      <c r="HZE1" s="27"/>
      <c r="HZF1" s="27"/>
      <c r="HZG1" s="27"/>
      <c r="HZH1" s="27"/>
      <c r="HZI1" s="27"/>
      <c r="HZJ1" s="27"/>
      <c r="HZK1" s="27"/>
      <c r="HZL1" s="27"/>
      <c r="HZM1" s="27"/>
      <c r="HZN1" s="27"/>
      <c r="HZO1" s="27"/>
      <c r="HZP1" s="27"/>
      <c r="HZQ1" s="27"/>
      <c r="HZR1" s="27"/>
      <c r="HZS1" s="27"/>
      <c r="HZT1" s="27"/>
      <c r="HZU1" s="27"/>
      <c r="HZV1" s="27"/>
      <c r="HZW1" s="27"/>
      <c r="HZX1" s="27"/>
      <c r="HZY1" s="27"/>
      <c r="HZZ1" s="27"/>
      <c r="IAA1" s="27"/>
      <c r="IAB1" s="27"/>
      <c r="IAC1" s="27"/>
      <c r="IAD1" s="27"/>
      <c r="IAE1" s="27"/>
      <c r="IAF1" s="27"/>
      <c r="IAG1" s="27"/>
      <c r="IAH1" s="27"/>
      <c r="IAI1" s="27"/>
      <c r="IAJ1" s="27"/>
      <c r="IAK1" s="27"/>
      <c r="IAL1" s="27"/>
      <c r="IAM1" s="27"/>
      <c r="IAN1" s="27"/>
      <c r="IAO1" s="27"/>
      <c r="IAP1" s="27"/>
      <c r="IAQ1" s="27"/>
      <c r="IAR1" s="27"/>
      <c r="IAS1" s="27"/>
      <c r="IAT1" s="27"/>
      <c r="IAU1" s="27"/>
      <c r="IAV1" s="27"/>
      <c r="IAW1" s="27"/>
      <c r="IAX1" s="27"/>
      <c r="IAY1" s="27"/>
      <c r="IAZ1" s="27"/>
      <c r="IBA1" s="27"/>
      <c r="IBB1" s="27"/>
      <c r="IBC1" s="27"/>
      <c r="IBD1" s="27"/>
      <c r="IBE1" s="27"/>
      <c r="IBF1" s="27"/>
      <c r="IBG1" s="27"/>
      <c r="IBH1" s="27"/>
      <c r="IBI1" s="27"/>
      <c r="IBJ1" s="27"/>
      <c r="IBK1" s="27"/>
      <c r="IBL1" s="27"/>
      <c r="IBM1" s="27"/>
      <c r="IBN1" s="27"/>
      <c r="IBO1" s="27"/>
      <c r="IBP1" s="27"/>
      <c r="IBQ1" s="27"/>
      <c r="IBR1" s="27"/>
      <c r="IBS1" s="27"/>
      <c r="IBT1" s="27"/>
      <c r="IBU1" s="27"/>
      <c r="IBV1" s="27"/>
      <c r="IBW1" s="27"/>
      <c r="IBX1" s="27"/>
      <c r="IBY1" s="27"/>
      <c r="IBZ1" s="27"/>
      <c r="ICA1" s="27"/>
      <c r="ICB1" s="27"/>
      <c r="ICC1" s="27"/>
      <c r="ICD1" s="27"/>
      <c r="ICE1" s="27"/>
      <c r="ICF1" s="27"/>
      <c r="ICG1" s="27"/>
      <c r="ICH1" s="27"/>
      <c r="ICI1" s="27"/>
      <c r="ICJ1" s="27"/>
      <c r="ICK1" s="27"/>
      <c r="ICL1" s="27"/>
      <c r="ICM1" s="27"/>
      <c r="ICN1" s="27"/>
      <c r="ICO1" s="27"/>
      <c r="ICP1" s="27"/>
      <c r="ICQ1" s="27"/>
      <c r="ICR1" s="27"/>
      <c r="ICS1" s="27"/>
      <c r="ICT1" s="27"/>
      <c r="ICU1" s="27"/>
      <c r="ICV1" s="27"/>
      <c r="ICW1" s="27"/>
      <c r="ICX1" s="27"/>
      <c r="ICY1" s="27"/>
      <c r="ICZ1" s="27"/>
      <c r="IDA1" s="27"/>
      <c r="IDB1" s="27"/>
      <c r="IDC1" s="27"/>
      <c r="IDD1" s="27"/>
      <c r="IDE1" s="27"/>
      <c r="IDF1" s="27"/>
      <c r="IDG1" s="27"/>
      <c r="IDH1" s="27"/>
      <c r="IDI1" s="27"/>
      <c r="IDJ1" s="27"/>
      <c r="IDK1" s="27"/>
      <c r="IDL1" s="27"/>
      <c r="IDM1" s="27"/>
      <c r="IDN1" s="27"/>
      <c r="IDO1" s="27"/>
      <c r="IDP1" s="27"/>
      <c r="IDQ1" s="27"/>
      <c r="IDR1" s="27"/>
      <c r="IDS1" s="27"/>
      <c r="IDT1" s="27"/>
      <c r="IDU1" s="27"/>
      <c r="IDV1" s="27"/>
      <c r="IDW1" s="27"/>
      <c r="IDX1" s="27"/>
      <c r="IDY1" s="27"/>
      <c r="IDZ1" s="27"/>
      <c r="IEA1" s="27"/>
      <c r="IEB1" s="27"/>
      <c r="IEC1" s="27"/>
      <c r="IED1" s="27"/>
      <c r="IEE1" s="27"/>
      <c r="IEF1" s="27"/>
      <c r="IEG1" s="27"/>
      <c r="IEH1" s="27"/>
      <c r="IEI1" s="27"/>
      <c r="IEJ1" s="27"/>
      <c r="IEK1" s="27"/>
      <c r="IEL1" s="27"/>
      <c r="IEM1" s="27"/>
      <c r="IEN1" s="27"/>
      <c r="IEO1" s="27"/>
      <c r="IEP1" s="27"/>
      <c r="IEQ1" s="27"/>
      <c r="IER1" s="27"/>
      <c r="IES1" s="27"/>
      <c r="IET1" s="27"/>
      <c r="IEU1" s="27"/>
      <c r="IEV1" s="27"/>
      <c r="IEW1" s="27"/>
      <c r="IEX1" s="27"/>
      <c r="IEY1" s="27"/>
      <c r="IEZ1" s="27"/>
      <c r="IFA1" s="27"/>
      <c r="IFB1" s="27"/>
      <c r="IFC1" s="27"/>
      <c r="IFD1" s="27"/>
      <c r="IFE1" s="27"/>
      <c r="IFF1" s="27"/>
      <c r="IFG1" s="27"/>
      <c r="IFH1" s="27"/>
      <c r="IFI1" s="27"/>
      <c r="IFJ1" s="27"/>
      <c r="IFK1" s="27"/>
      <c r="IFL1" s="27"/>
      <c r="IFM1" s="27"/>
      <c r="IFN1" s="27"/>
      <c r="IFO1" s="27"/>
      <c r="IFP1" s="27"/>
      <c r="IFQ1" s="27"/>
      <c r="IFR1" s="27"/>
      <c r="IFS1" s="27"/>
      <c r="IFT1" s="27"/>
      <c r="IFU1" s="27"/>
      <c r="IFV1" s="27"/>
      <c r="IFW1" s="27"/>
      <c r="IFX1" s="27"/>
      <c r="IFY1" s="27"/>
      <c r="IFZ1" s="27"/>
      <c r="IGA1" s="27"/>
      <c r="IGB1" s="27"/>
      <c r="IGC1" s="27"/>
      <c r="IGD1" s="27"/>
      <c r="IGE1" s="27"/>
      <c r="IGF1" s="27"/>
      <c r="IGG1" s="27"/>
      <c r="IGH1" s="27"/>
      <c r="IGI1" s="27"/>
      <c r="IGJ1" s="27"/>
      <c r="IGK1" s="27"/>
      <c r="IGL1" s="27"/>
      <c r="IGM1" s="27"/>
      <c r="IGN1" s="27"/>
      <c r="IGO1" s="27"/>
      <c r="IGP1" s="27"/>
      <c r="IGQ1" s="27"/>
      <c r="IGR1" s="27"/>
      <c r="IGS1" s="27"/>
      <c r="IGT1" s="27"/>
      <c r="IGU1" s="27"/>
      <c r="IGV1" s="27"/>
      <c r="IGW1" s="27"/>
      <c r="IGX1" s="27"/>
      <c r="IGY1" s="27"/>
      <c r="IGZ1" s="27"/>
      <c r="IHA1" s="27"/>
      <c r="IHB1" s="27"/>
      <c r="IHC1" s="27"/>
      <c r="IHD1" s="27"/>
      <c r="IHE1" s="27"/>
      <c r="IHF1" s="27"/>
      <c r="IHG1" s="27"/>
      <c r="IHH1" s="27"/>
      <c r="IHI1" s="27"/>
      <c r="IHJ1" s="27"/>
      <c r="IHK1" s="27"/>
      <c r="IHL1" s="27"/>
      <c r="IHM1" s="27"/>
      <c r="IHN1" s="27"/>
      <c r="IHO1" s="27"/>
      <c r="IHP1" s="27"/>
      <c r="IHQ1" s="27"/>
      <c r="IHR1" s="27"/>
      <c r="IHS1" s="27"/>
      <c r="IHT1" s="27"/>
      <c r="IHU1" s="27"/>
      <c r="IHV1" s="27"/>
      <c r="IHW1" s="27"/>
      <c r="IHX1" s="27"/>
      <c r="IHY1" s="27"/>
      <c r="IHZ1" s="27"/>
      <c r="IIA1" s="27"/>
      <c r="IIB1" s="27"/>
      <c r="IIC1" s="27"/>
      <c r="IID1" s="27"/>
      <c r="IIE1" s="27"/>
      <c r="IIF1" s="27"/>
      <c r="IIG1" s="27"/>
      <c r="IIH1" s="27"/>
      <c r="III1" s="27"/>
      <c r="IIJ1" s="27"/>
      <c r="IIK1" s="27"/>
      <c r="IIL1" s="27"/>
      <c r="IIM1" s="27"/>
      <c r="IIN1" s="27"/>
      <c r="IIO1" s="27"/>
      <c r="IIP1" s="27"/>
      <c r="IIQ1" s="27"/>
      <c r="IIR1" s="27"/>
      <c r="IIS1" s="27"/>
      <c r="IIT1" s="27"/>
      <c r="IIU1" s="27"/>
      <c r="IIV1" s="27"/>
      <c r="IIW1" s="27"/>
      <c r="IIX1" s="27"/>
      <c r="IIY1" s="27"/>
      <c r="IIZ1" s="27"/>
      <c r="IJA1" s="27"/>
      <c r="IJB1" s="27"/>
      <c r="IJC1" s="27"/>
      <c r="IJD1" s="27"/>
      <c r="IJE1" s="27"/>
      <c r="IJF1" s="27"/>
      <c r="IJG1" s="27"/>
      <c r="IJH1" s="27"/>
      <c r="IJI1" s="27"/>
      <c r="IJJ1" s="27"/>
      <c r="IJK1" s="27"/>
      <c r="IJL1" s="27"/>
      <c r="IJM1" s="27"/>
      <c r="IJN1" s="27"/>
      <c r="IJO1" s="27"/>
      <c r="IJP1" s="27"/>
      <c r="IJQ1" s="27"/>
      <c r="IJR1" s="27"/>
      <c r="IJS1" s="27"/>
      <c r="IJT1" s="27"/>
      <c r="IJU1" s="27"/>
      <c r="IJV1" s="27"/>
      <c r="IJW1" s="27"/>
      <c r="IJX1" s="27"/>
      <c r="IJY1" s="27"/>
      <c r="IJZ1" s="27"/>
      <c r="IKA1" s="27"/>
      <c r="IKB1" s="27"/>
      <c r="IKC1" s="27"/>
      <c r="IKD1" s="27"/>
      <c r="IKE1" s="27"/>
      <c r="IKF1" s="27"/>
      <c r="IKG1" s="27"/>
      <c r="IKH1" s="27"/>
      <c r="IKI1" s="27"/>
      <c r="IKJ1" s="27"/>
      <c r="IKK1" s="27"/>
      <c r="IKL1" s="27"/>
      <c r="IKM1" s="27"/>
      <c r="IKN1" s="27"/>
      <c r="IKO1" s="27"/>
      <c r="IKP1" s="27"/>
      <c r="IKQ1" s="27"/>
      <c r="IKR1" s="27"/>
      <c r="IKS1" s="27"/>
      <c r="IKT1" s="27"/>
      <c r="IKU1" s="27"/>
      <c r="IKV1" s="27"/>
      <c r="IKW1" s="27"/>
      <c r="IKX1" s="27"/>
      <c r="IKY1" s="27"/>
      <c r="IKZ1" s="27"/>
      <c r="ILA1" s="27"/>
      <c r="ILB1" s="27"/>
      <c r="ILC1" s="27"/>
      <c r="ILD1" s="27"/>
      <c r="ILE1" s="27"/>
      <c r="ILF1" s="27"/>
      <c r="ILG1" s="27"/>
      <c r="ILH1" s="27"/>
      <c r="ILI1" s="27"/>
      <c r="ILJ1" s="27"/>
      <c r="ILK1" s="27"/>
      <c r="ILL1" s="27"/>
      <c r="ILM1" s="27"/>
      <c r="ILN1" s="27"/>
      <c r="ILO1" s="27"/>
      <c r="ILP1" s="27"/>
      <c r="ILQ1" s="27"/>
      <c r="ILR1" s="27"/>
      <c r="ILS1" s="27"/>
      <c r="ILT1" s="27"/>
      <c r="ILU1" s="27"/>
      <c r="ILV1" s="27"/>
      <c r="ILW1" s="27"/>
      <c r="ILX1" s="27"/>
      <c r="ILY1" s="27"/>
      <c r="ILZ1" s="27"/>
      <c r="IMA1" s="27"/>
      <c r="IMB1" s="27"/>
      <c r="IMC1" s="27"/>
      <c r="IMD1" s="27"/>
      <c r="IME1" s="27"/>
      <c r="IMF1" s="27"/>
      <c r="IMG1" s="27"/>
      <c r="IMH1" s="27"/>
      <c r="IMI1" s="27"/>
      <c r="IMJ1" s="27"/>
      <c r="IMK1" s="27"/>
      <c r="IML1" s="27"/>
      <c r="IMM1" s="27"/>
      <c r="IMN1" s="27"/>
      <c r="IMO1" s="27"/>
      <c r="IMP1" s="27"/>
      <c r="IMQ1" s="27"/>
      <c r="IMR1" s="27"/>
      <c r="IMS1" s="27"/>
      <c r="IMT1" s="27"/>
      <c r="IMU1" s="27"/>
      <c r="IMV1" s="27"/>
      <c r="IMW1" s="27"/>
      <c r="IMX1" s="27"/>
      <c r="IMY1" s="27"/>
      <c r="IMZ1" s="27"/>
      <c r="INA1" s="27"/>
      <c r="INB1" s="27"/>
      <c r="INC1" s="27"/>
      <c r="IND1" s="27"/>
      <c r="INE1" s="27"/>
      <c r="INF1" s="27"/>
      <c r="ING1" s="27"/>
      <c r="INH1" s="27"/>
      <c r="INI1" s="27"/>
      <c r="INJ1" s="27"/>
      <c r="INK1" s="27"/>
      <c r="INL1" s="27"/>
      <c r="INM1" s="27"/>
      <c r="INN1" s="27"/>
      <c r="INO1" s="27"/>
      <c r="INP1" s="27"/>
      <c r="INQ1" s="27"/>
      <c r="INR1" s="27"/>
      <c r="INS1" s="27"/>
      <c r="INT1" s="27"/>
      <c r="INU1" s="27"/>
      <c r="INV1" s="27"/>
      <c r="INW1" s="27"/>
      <c r="INX1" s="27"/>
      <c r="INY1" s="27"/>
      <c r="INZ1" s="27"/>
      <c r="IOA1" s="27"/>
      <c r="IOB1" s="27"/>
      <c r="IOC1" s="27"/>
      <c r="IOD1" s="27"/>
      <c r="IOE1" s="27"/>
      <c r="IOF1" s="27"/>
      <c r="IOG1" s="27"/>
      <c r="IOH1" s="27"/>
      <c r="IOI1" s="27"/>
      <c r="IOJ1" s="27"/>
      <c r="IOK1" s="27"/>
      <c r="IOL1" s="27"/>
      <c r="IOM1" s="27"/>
      <c r="ION1" s="27"/>
      <c r="IOO1" s="27"/>
      <c r="IOP1" s="27"/>
      <c r="IOQ1" s="27"/>
      <c r="IOR1" s="27"/>
      <c r="IOS1" s="27"/>
      <c r="IOT1" s="27"/>
      <c r="IOU1" s="27"/>
      <c r="IOV1" s="27"/>
      <c r="IOW1" s="27"/>
      <c r="IOX1" s="27"/>
      <c r="IOY1" s="27"/>
      <c r="IOZ1" s="27"/>
      <c r="IPA1" s="27"/>
      <c r="IPB1" s="27"/>
      <c r="IPC1" s="27"/>
      <c r="IPD1" s="27"/>
      <c r="IPE1" s="27"/>
      <c r="IPF1" s="27"/>
      <c r="IPG1" s="27"/>
      <c r="IPH1" s="27"/>
      <c r="IPI1" s="27"/>
      <c r="IPJ1" s="27"/>
      <c r="IPK1" s="27"/>
      <c r="IPL1" s="27"/>
      <c r="IPM1" s="27"/>
      <c r="IPN1" s="27"/>
      <c r="IPO1" s="27"/>
      <c r="IPP1" s="27"/>
      <c r="IPQ1" s="27"/>
      <c r="IPR1" s="27"/>
      <c r="IPS1" s="27"/>
      <c r="IPT1" s="27"/>
      <c r="IPU1" s="27"/>
      <c r="IPV1" s="27"/>
      <c r="IPW1" s="27"/>
      <c r="IPX1" s="27"/>
      <c r="IPY1" s="27"/>
      <c r="IPZ1" s="27"/>
      <c r="IQA1" s="27"/>
      <c r="IQB1" s="27"/>
      <c r="IQC1" s="27"/>
      <c r="IQD1" s="27"/>
      <c r="IQE1" s="27"/>
      <c r="IQF1" s="27"/>
      <c r="IQG1" s="27"/>
      <c r="IQH1" s="27"/>
      <c r="IQI1" s="27"/>
      <c r="IQJ1" s="27"/>
      <c r="IQK1" s="27"/>
      <c r="IQL1" s="27"/>
      <c r="IQM1" s="27"/>
      <c r="IQN1" s="27"/>
      <c r="IQO1" s="27"/>
      <c r="IQP1" s="27"/>
      <c r="IQQ1" s="27"/>
      <c r="IQR1" s="27"/>
      <c r="IQS1" s="27"/>
      <c r="IQT1" s="27"/>
      <c r="IQU1" s="27"/>
      <c r="IQV1" s="27"/>
      <c r="IQW1" s="27"/>
      <c r="IQX1" s="27"/>
      <c r="IQY1" s="27"/>
      <c r="IQZ1" s="27"/>
      <c r="IRA1" s="27"/>
      <c r="IRB1" s="27"/>
      <c r="IRC1" s="27"/>
      <c r="IRD1" s="27"/>
      <c r="IRE1" s="27"/>
      <c r="IRF1" s="27"/>
      <c r="IRG1" s="27"/>
      <c r="IRH1" s="27"/>
      <c r="IRI1" s="27"/>
      <c r="IRJ1" s="27"/>
      <c r="IRK1" s="27"/>
      <c r="IRL1" s="27"/>
      <c r="IRM1" s="27"/>
      <c r="IRN1" s="27"/>
      <c r="IRO1" s="27"/>
      <c r="IRP1" s="27"/>
      <c r="IRQ1" s="27"/>
      <c r="IRR1" s="27"/>
      <c r="IRS1" s="27"/>
      <c r="IRT1" s="27"/>
      <c r="IRU1" s="27"/>
      <c r="IRV1" s="27"/>
      <c r="IRW1" s="27"/>
      <c r="IRX1" s="27"/>
      <c r="IRY1" s="27"/>
      <c r="IRZ1" s="27"/>
      <c r="ISA1" s="27"/>
      <c r="ISB1" s="27"/>
      <c r="ISC1" s="27"/>
      <c r="ISD1" s="27"/>
      <c r="ISE1" s="27"/>
      <c r="ISF1" s="27"/>
      <c r="ISG1" s="27"/>
      <c r="ISH1" s="27"/>
      <c r="ISI1" s="27"/>
      <c r="ISJ1" s="27"/>
      <c r="ISK1" s="27"/>
      <c r="ISL1" s="27"/>
      <c r="ISM1" s="27"/>
      <c r="ISN1" s="27"/>
      <c r="ISO1" s="27"/>
      <c r="ISP1" s="27"/>
      <c r="ISQ1" s="27"/>
      <c r="ISR1" s="27"/>
      <c r="ISS1" s="27"/>
      <c r="IST1" s="27"/>
      <c r="ISU1" s="27"/>
      <c r="ISV1" s="27"/>
      <c r="ISW1" s="27"/>
      <c r="ISX1" s="27"/>
      <c r="ISY1" s="27"/>
      <c r="ISZ1" s="27"/>
      <c r="ITA1" s="27"/>
      <c r="ITB1" s="27"/>
      <c r="ITC1" s="27"/>
      <c r="ITD1" s="27"/>
      <c r="ITE1" s="27"/>
      <c r="ITF1" s="27"/>
      <c r="ITG1" s="27"/>
      <c r="ITH1" s="27"/>
      <c r="ITI1" s="27"/>
      <c r="ITJ1" s="27"/>
      <c r="ITK1" s="27"/>
      <c r="ITL1" s="27"/>
      <c r="ITM1" s="27"/>
      <c r="ITN1" s="27"/>
      <c r="ITO1" s="27"/>
      <c r="ITP1" s="27"/>
      <c r="ITQ1" s="27"/>
      <c r="ITR1" s="27"/>
      <c r="ITS1" s="27"/>
      <c r="ITT1" s="27"/>
      <c r="ITU1" s="27"/>
      <c r="ITV1" s="27"/>
      <c r="ITW1" s="27"/>
      <c r="ITX1" s="27"/>
      <c r="ITY1" s="27"/>
      <c r="ITZ1" s="27"/>
      <c r="IUA1" s="27"/>
      <c r="IUB1" s="27"/>
      <c r="IUC1" s="27"/>
      <c r="IUD1" s="27"/>
      <c r="IUE1" s="27"/>
      <c r="IUF1" s="27"/>
      <c r="IUG1" s="27"/>
      <c r="IUH1" s="27"/>
      <c r="IUI1" s="27"/>
      <c r="IUJ1" s="27"/>
      <c r="IUK1" s="27"/>
      <c r="IUL1" s="27"/>
      <c r="IUM1" s="27"/>
      <c r="IUN1" s="27"/>
      <c r="IUO1" s="27"/>
      <c r="IUP1" s="27"/>
      <c r="IUQ1" s="27"/>
      <c r="IUR1" s="27"/>
      <c r="IUS1" s="27"/>
      <c r="IUT1" s="27"/>
      <c r="IUU1" s="27"/>
      <c r="IUV1" s="27"/>
      <c r="IUW1" s="27"/>
      <c r="IUX1" s="27"/>
      <c r="IUY1" s="27"/>
      <c r="IUZ1" s="27"/>
      <c r="IVA1" s="27"/>
      <c r="IVB1" s="27"/>
      <c r="IVC1" s="27"/>
      <c r="IVD1" s="27"/>
      <c r="IVE1" s="27"/>
      <c r="IVF1" s="27"/>
      <c r="IVG1" s="27"/>
      <c r="IVH1" s="27"/>
      <c r="IVI1" s="27"/>
      <c r="IVJ1" s="27"/>
      <c r="IVK1" s="27"/>
      <c r="IVL1" s="27"/>
      <c r="IVM1" s="27"/>
      <c r="IVN1" s="27"/>
      <c r="IVO1" s="27"/>
      <c r="IVP1" s="27"/>
      <c r="IVQ1" s="27"/>
      <c r="IVR1" s="27"/>
      <c r="IVS1" s="27"/>
      <c r="IVT1" s="27"/>
      <c r="IVU1" s="27"/>
      <c r="IVV1" s="27"/>
      <c r="IVW1" s="27"/>
      <c r="IVX1" s="27"/>
      <c r="IVY1" s="27"/>
      <c r="IVZ1" s="27"/>
      <c r="IWA1" s="27"/>
      <c r="IWB1" s="27"/>
      <c r="IWC1" s="27"/>
      <c r="IWD1" s="27"/>
      <c r="IWE1" s="27"/>
      <c r="IWF1" s="27"/>
      <c r="IWG1" s="27"/>
      <c r="IWH1" s="27"/>
      <c r="IWI1" s="27"/>
      <c r="IWJ1" s="27"/>
      <c r="IWK1" s="27"/>
      <c r="IWL1" s="27"/>
      <c r="IWM1" s="27"/>
      <c r="IWN1" s="27"/>
      <c r="IWO1" s="27"/>
      <c r="IWP1" s="27"/>
      <c r="IWQ1" s="27"/>
      <c r="IWR1" s="27"/>
      <c r="IWS1" s="27"/>
      <c r="IWT1" s="27"/>
      <c r="IWU1" s="27"/>
      <c r="IWV1" s="27"/>
      <c r="IWW1" s="27"/>
      <c r="IWX1" s="27"/>
      <c r="IWY1" s="27"/>
      <c r="IWZ1" s="27"/>
      <c r="IXA1" s="27"/>
      <c r="IXB1" s="27"/>
      <c r="IXC1" s="27"/>
      <c r="IXD1" s="27"/>
      <c r="IXE1" s="27"/>
      <c r="IXF1" s="27"/>
      <c r="IXG1" s="27"/>
      <c r="IXH1" s="27"/>
      <c r="IXI1" s="27"/>
      <c r="IXJ1" s="27"/>
      <c r="IXK1" s="27"/>
      <c r="IXL1" s="27"/>
      <c r="IXM1" s="27"/>
      <c r="IXN1" s="27"/>
      <c r="IXO1" s="27"/>
      <c r="IXP1" s="27"/>
      <c r="IXQ1" s="27"/>
      <c r="IXR1" s="27"/>
      <c r="IXS1" s="27"/>
      <c r="IXT1" s="27"/>
      <c r="IXU1" s="27"/>
      <c r="IXV1" s="27"/>
      <c r="IXW1" s="27"/>
      <c r="IXX1" s="27"/>
      <c r="IXY1" s="27"/>
      <c r="IXZ1" s="27"/>
      <c r="IYA1" s="27"/>
      <c r="IYB1" s="27"/>
      <c r="IYC1" s="27"/>
      <c r="IYD1" s="27"/>
      <c r="IYE1" s="27"/>
      <c r="IYF1" s="27"/>
      <c r="IYG1" s="27"/>
      <c r="IYH1" s="27"/>
      <c r="IYI1" s="27"/>
      <c r="IYJ1" s="27"/>
      <c r="IYK1" s="27"/>
      <c r="IYL1" s="27"/>
      <c r="IYM1" s="27"/>
      <c r="IYN1" s="27"/>
      <c r="IYO1" s="27"/>
      <c r="IYP1" s="27"/>
      <c r="IYQ1" s="27"/>
      <c r="IYR1" s="27"/>
      <c r="IYS1" s="27"/>
      <c r="IYT1" s="27"/>
      <c r="IYU1" s="27"/>
      <c r="IYV1" s="27"/>
      <c r="IYW1" s="27"/>
      <c r="IYX1" s="27"/>
      <c r="IYY1" s="27"/>
      <c r="IYZ1" s="27"/>
      <c r="IZA1" s="27"/>
      <c r="IZB1" s="27"/>
      <c r="IZC1" s="27"/>
      <c r="IZD1" s="27"/>
      <c r="IZE1" s="27"/>
      <c r="IZF1" s="27"/>
      <c r="IZG1" s="27"/>
      <c r="IZH1" s="27"/>
      <c r="IZI1" s="27"/>
      <c r="IZJ1" s="27"/>
      <c r="IZK1" s="27"/>
      <c r="IZL1" s="27"/>
      <c r="IZM1" s="27"/>
      <c r="IZN1" s="27"/>
      <c r="IZO1" s="27"/>
      <c r="IZP1" s="27"/>
      <c r="IZQ1" s="27"/>
      <c r="IZR1" s="27"/>
      <c r="IZS1" s="27"/>
      <c r="IZT1" s="27"/>
      <c r="IZU1" s="27"/>
      <c r="IZV1" s="27"/>
      <c r="IZW1" s="27"/>
      <c r="IZX1" s="27"/>
      <c r="IZY1" s="27"/>
      <c r="IZZ1" s="27"/>
      <c r="JAA1" s="27"/>
      <c r="JAB1" s="27"/>
      <c r="JAC1" s="27"/>
      <c r="JAD1" s="27"/>
      <c r="JAE1" s="27"/>
      <c r="JAF1" s="27"/>
      <c r="JAG1" s="27"/>
      <c r="JAH1" s="27"/>
      <c r="JAI1" s="27"/>
      <c r="JAJ1" s="27"/>
      <c r="JAK1" s="27"/>
      <c r="JAL1" s="27"/>
      <c r="JAM1" s="27"/>
      <c r="JAN1" s="27"/>
      <c r="JAO1" s="27"/>
      <c r="JAP1" s="27"/>
      <c r="JAQ1" s="27"/>
      <c r="JAR1" s="27"/>
      <c r="JAS1" s="27"/>
      <c r="JAT1" s="27"/>
      <c r="JAU1" s="27"/>
      <c r="JAV1" s="27"/>
      <c r="JAW1" s="27"/>
      <c r="JAX1" s="27"/>
      <c r="JAY1" s="27"/>
      <c r="JAZ1" s="27"/>
      <c r="JBA1" s="27"/>
      <c r="JBB1" s="27"/>
      <c r="JBC1" s="27"/>
      <c r="JBD1" s="27"/>
      <c r="JBE1" s="27"/>
      <c r="JBF1" s="27"/>
      <c r="JBG1" s="27"/>
      <c r="JBH1" s="27"/>
      <c r="JBI1" s="27"/>
      <c r="JBJ1" s="27"/>
      <c r="JBK1" s="27"/>
      <c r="JBL1" s="27"/>
      <c r="JBM1" s="27"/>
      <c r="JBN1" s="27"/>
      <c r="JBO1" s="27"/>
      <c r="JBP1" s="27"/>
      <c r="JBQ1" s="27"/>
      <c r="JBR1" s="27"/>
      <c r="JBS1" s="27"/>
      <c r="JBT1" s="27"/>
      <c r="JBU1" s="27"/>
      <c r="JBV1" s="27"/>
      <c r="JBW1" s="27"/>
      <c r="JBX1" s="27"/>
      <c r="JBY1" s="27"/>
      <c r="JBZ1" s="27"/>
      <c r="JCA1" s="27"/>
      <c r="JCB1" s="27"/>
      <c r="JCC1" s="27"/>
      <c r="JCD1" s="27"/>
      <c r="JCE1" s="27"/>
      <c r="JCF1" s="27"/>
      <c r="JCG1" s="27"/>
      <c r="JCH1" s="27"/>
      <c r="JCI1" s="27"/>
      <c r="JCJ1" s="27"/>
      <c r="JCK1" s="27"/>
      <c r="JCL1" s="27"/>
      <c r="JCM1" s="27"/>
      <c r="JCN1" s="27"/>
      <c r="JCO1" s="27"/>
      <c r="JCP1" s="27"/>
      <c r="JCQ1" s="27"/>
      <c r="JCR1" s="27"/>
      <c r="JCS1" s="27"/>
      <c r="JCT1" s="27"/>
      <c r="JCU1" s="27"/>
      <c r="JCV1" s="27"/>
      <c r="JCW1" s="27"/>
      <c r="JCX1" s="27"/>
      <c r="JCY1" s="27"/>
      <c r="JCZ1" s="27"/>
      <c r="JDA1" s="27"/>
      <c r="JDB1" s="27"/>
      <c r="JDC1" s="27"/>
      <c r="JDD1" s="27"/>
      <c r="JDE1" s="27"/>
      <c r="JDF1" s="27"/>
      <c r="JDG1" s="27"/>
      <c r="JDH1" s="27"/>
      <c r="JDI1" s="27"/>
      <c r="JDJ1" s="27"/>
      <c r="JDK1" s="27"/>
      <c r="JDL1" s="27"/>
      <c r="JDM1" s="27"/>
      <c r="JDN1" s="27"/>
      <c r="JDO1" s="27"/>
      <c r="JDP1" s="27"/>
      <c r="JDQ1" s="27"/>
      <c r="JDR1" s="27"/>
      <c r="JDS1" s="27"/>
      <c r="JDT1" s="27"/>
      <c r="JDU1" s="27"/>
      <c r="JDV1" s="27"/>
      <c r="JDW1" s="27"/>
      <c r="JDX1" s="27"/>
      <c r="JDY1" s="27"/>
      <c r="JDZ1" s="27"/>
      <c r="JEA1" s="27"/>
      <c r="JEB1" s="27"/>
      <c r="JEC1" s="27"/>
      <c r="JED1" s="27"/>
      <c r="JEE1" s="27"/>
      <c r="JEF1" s="27"/>
      <c r="JEG1" s="27"/>
      <c r="JEH1" s="27"/>
      <c r="JEI1" s="27"/>
      <c r="JEJ1" s="27"/>
      <c r="JEK1" s="27"/>
      <c r="JEL1" s="27"/>
      <c r="JEM1" s="27"/>
      <c r="JEN1" s="27"/>
      <c r="JEO1" s="27"/>
      <c r="JEP1" s="27"/>
      <c r="JEQ1" s="27"/>
      <c r="JER1" s="27"/>
      <c r="JES1" s="27"/>
      <c r="JET1" s="27"/>
      <c r="JEU1" s="27"/>
      <c r="JEV1" s="27"/>
      <c r="JEW1" s="27"/>
      <c r="JEX1" s="27"/>
      <c r="JEY1" s="27"/>
      <c r="JEZ1" s="27"/>
      <c r="JFA1" s="27"/>
      <c r="JFB1" s="27"/>
      <c r="JFC1" s="27"/>
      <c r="JFD1" s="27"/>
      <c r="JFE1" s="27"/>
      <c r="JFF1" s="27"/>
      <c r="JFG1" s="27"/>
      <c r="JFH1" s="27"/>
      <c r="JFI1" s="27"/>
      <c r="JFJ1" s="27"/>
      <c r="JFK1" s="27"/>
      <c r="JFL1" s="27"/>
      <c r="JFM1" s="27"/>
      <c r="JFN1" s="27"/>
      <c r="JFO1" s="27"/>
      <c r="JFP1" s="27"/>
      <c r="JFQ1" s="27"/>
      <c r="JFR1" s="27"/>
      <c r="JFS1" s="27"/>
      <c r="JFT1" s="27"/>
      <c r="JFU1" s="27"/>
      <c r="JFV1" s="27"/>
      <c r="JFW1" s="27"/>
      <c r="JFX1" s="27"/>
      <c r="JFY1" s="27"/>
      <c r="JFZ1" s="27"/>
      <c r="JGA1" s="27"/>
      <c r="JGB1" s="27"/>
      <c r="JGC1" s="27"/>
      <c r="JGD1" s="27"/>
      <c r="JGE1" s="27"/>
      <c r="JGF1" s="27"/>
      <c r="JGG1" s="27"/>
      <c r="JGH1" s="27"/>
      <c r="JGI1" s="27"/>
      <c r="JGJ1" s="27"/>
      <c r="JGK1" s="27"/>
      <c r="JGL1" s="27"/>
      <c r="JGM1" s="27"/>
      <c r="JGN1" s="27"/>
      <c r="JGO1" s="27"/>
      <c r="JGP1" s="27"/>
      <c r="JGQ1" s="27"/>
      <c r="JGR1" s="27"/>
      <c r="JGS1" s="27"/>
      <c r="JGT1" s="27"/>
      <c r="JGU1" s="27"/>
      <c r="JGV1" s="27"/>
      <c r="JGW1" s="27"/>
      <c r="JGX1" s="27"/>
      <c r="JGY1" s="27"/>
      <c r="JGZ1" s="27"/>
      <c r="JHA1" s="27"/>
      <c r="JHB1" s="27"/>
      <c r="JHC1" s="27"/>
      <c r="JHD1" s="27"/>
      <c r="JHE1" s="27"/>
      <c r="JHF1" s="27"/>
      <c r="JHG1" s="27"/>
      <c r="JHH1" s="27"/>
      <c r="JHI1" s="27"/>
      <c r="JHJ1" s="27"/>
      <c r="JHK1" s="27"/>
      <c r="JHL1" s="27"/>
      <c r="JHM1" s="27"/>
      <c r="JHN1" s="27"/>
      <c r="JHO1" s="27"/>
      <c r="JHP1" s="27"/>
      <c r="JHQ1" s="27"/>
      <c r="JHR1" s="27"/>
      <c r="JHS1" s="27"/>
      <c r="JHT1" s="27"/>
      <c r="JHU1" s="27"/>
      <c r="JHV1" s="27"/>
      <c r="JHW1" s="27"/>
      <c r="JHX1" s="27"/>
      <c r="JHY1" s="27"/>
      <c r="JHZ1" s="27"/>
      <c r="JIA1" s="27"/>
      <c r="JIB1" s="27"/>
      <c r="JIC1" s="27"/>
      <c r="JID1" s="27"/>
      <c r="JIE1" s="27"/>
      <c r="JIF1" s="27"/>
      <c r="JIG1" s="27"/>
      <c r="JIH1" s="27"/>
      <c r="JII1" s="27"/>
      <c r="JIJ1" s="27"/>
      <c r="JIK1" s="27"/>
      <c r="JIL1" s="27"/>
      <c r="JIM1" s="27"/>
      <c r="JIN1" s="27"/>
      <c r="JIO1" s="27"/>
      <c r="JIP1" s="27"/>
      <c r="JIQ1" s="27"/>
      <c r="JIR1" s="27"/>
      <c r="JIS1" s="27"/>
      <c r="JIT1" s="27"/>
      <c r="JIU1" s="27"/>
      <c r="JIV1" s="27"/>
      <c r="JIW1" s="27"/>
      <c r="JIX1" s="27"/>
      <c r="JIY1" s="27"/>
      <c r="JIZ1" s="27"/>
      <c r="JJA1" s="27"/>
      <c r="JJB1" s="27"/>
      <c r="JJC1" s="27"/>
      <c r="JJD1" s="27"/>
      <c r="JJE1" s="27"/>
      <c r="JJF1" s="27"/>
      <c r="JJG1" s="27"/>
      <c r="JJH1" s="27"/>
      <c r="JJI1" s="27"/>
      <c r="JJJ1" s="27"/>
      <c r="JJK1" s="27"/>
      <c r="JJL1" s="27"/>
      <c r="JJM1" s="27"/>
      <c r="JJN1" s="27"/>
      <c r="JJO1" s="27"/>
      <c r="JJP1" s="27"/>
      <c r="JJQ1" s="27"/>
      <c r="JJR1" s="27"/>
      <c r="JJS1" s="27"/>
      <c r="JJT1" s="27"/>
      <c r="JJU1" s="27"/>
      <c r="JJV1" s="27"/>
      <c r="JJW1" s="27"/>
      <c r="JJX1" s="27"/>
      <c r="JJY1" s="27"/>
      <c r="JJZ1" s="27"/>
      <c r="JKA1" s="27"/>
      <c r="JKB1" s="27"/>
      <c r="JKC1" s="27"/>
      <c r="JKD1" s="27"/>
      <c r="JKE1" s="27"/>
      <c r="JKF1" s="27"/>
      <c r="JKG1" s="27"/>
      <c r="JKH1" s="27"/>
      <c r="JKI1" s="27"/>
      <c r="JKJ1" s="27"/>
      <c r="JKK1" s="27"/>
      <c r="JKL1" s="27"/>
      <c r="JKM1" s="27"/>
      <c r="JKN1" s="27"/>
      <c r="JKO1" s="27"/>
      <c r="JKP1" s="27"/>
      <c r="JKQ1" s="27"/>
      <c r="JKR1" s="27"/>
      <c r="JKS1" s="27"/>
      <c r="JKT1" s="27"/>
      <c r="JKU1" s="27"/>
      <c r="JKV1" s="27"/>
      <c r="JKW1" s="27"/>
      <c r="JKX1" s="27"/>
      <c r="JKY1" s="27"/>
      <c r="JKZ1" s="27"/>
      <c r="JLA1" s="27"/>
      <c r="JLB1" s="27"/>
      <c r="JLC1" s="27"/>
      <c r="JLD1" s="27"/>
      <c r="JLE1" s="27"/>
      <c r="JLF1" s="27"/>
      <c r="JLG1" s="27"/>
      <c r="JLH1" s="27"/>
      <c r="JLI1" s="27"/>
      <c r="JLJ1" s="27"/>
      <c r="JLK1" s="27"/>
      <c r="JLL1" s="27"/>
      <c r="JLM1" s="27"/>
      <c r="JLN1" s="27"/>
      <c r="JLO1" s="27"/>
      <c r="JLP1" s="27"/>
      <c r="JLQ1" s="27"/>
      <c r="JLR1" s="27"/>
      <c r="JLS1" s="27"/>
      <c r="JLT1" s="27"/>
      <c r="JLU1" s="27"/>
      <c r="JLV1" s="27"/>
      <c r="JLW1" s="27"/>
      <c r="JLX1" s="27"/>
      <c r="JLY1" s="27"/>
      <c r="JLZ1" s="27"/>
      <c r="JMA1" s="27"/>
      <c r="JMB1" s="27"/>
      <c r="JMC1" s="27"/>
      <c r="JMD1" s="27"/>
      <c r="JME1" s="27"/>
      <c r="JMF1" s="27"/>
      <c r="JMG1" s="27"/>
      <c r="JMH1" s="27"/>
      <c r="JMI1" s="27"/>
      <c r="JMJ1" s="27"/>
      <c r="JMK1" s="27"/>
      <c r="JML1" s="27"/>
      <c r="JMM1" s="27"/>
      <c r="JMN1" s="27"/>
      <c r="JMO1" s="27"/>
      <c r="JMP1" s="27"/>
      <c r="JMQ1" s="27"/>
      <c r="JMR1" s="27"/>
      <c r="JMS1" s="27"/>
      <c r="JMT1" s="27"/>
      <c r="JMU1" s="27"/>
      <c r="JMV1" s="27"/>
      <c r="JMW1" s="27"/>
      <c r="JMX1" s="27"/>
      <c r="JMY1" s="27"/>
      <c r="JMZ1" s="27"/>
      <c r="JNA1" s="27"/>
      <c r="JNB1" s="27"/>
      <c r="JNC1" s="27"/>
      <c r="JND1" s="27"/>
      <c r="JNE1" s="27"/>
      <c r="JNF1" s="27"/>
      <c r="JNG1" s="27"/>
      <c r="JNH1" s="27"/>
      <c r="JNI1" s="27"/>
      <c r="JNJ1" s="27"/>
      <c r="JNK1" s="27"/>
      <c r="JNL1" s="27"/>
      <c r="JNM1" s="27"/>
      <c r="JNN1" s="27"/>
      <c r="JNO1" s="27"/>
      <c r="JNP1" s="27"/>
      <c r="JNQ1" s="27"/>
      <c r="JNR1" s="27"/>
      <c r="JNS1" s="27"/>
      <c r="JNT1" s="27"/>
      <c r="JNU1" s="27"/>
      <c r="JNV1" s="27"/>
      <c r="JNW1" s="27"/>
      <c r="JNX1" s="27"/>
      <c r="JNY1" s="27"/>
      <c r="JNZ1" s="27"/>
      <c r="JOA1" s="27"/>
      <c r="JOB1" s="27"/>
      <c r="JOC1" s="27"/>
      <c r="JOD1" s="27"/>
      <c r="JOE1" s="27"/>
      <c r="JOF1" s="27"/>
      <c r="JOG1" s="27"/>
      <c r="JOH1" s="27"/>
      <c r="JOI1" s="27"/>
      <c r="JOJ1" s="27"/>
      <c r="JOK1" s="27"/>
      <c r="JOL1" s="27"/>
      <c r="JOM1" s="27"/>
      <c r="JON1" s="27"/>
      <c r="JOO1" s="27"/>
      <c r="JOP1" s="27"/>
      <c r="JOQ1" s="27"/>
      <c r="JOR1" s="27"/>
      <c r="JOS1" s="27"/>
      <c r="JOT1" s="27"/>
      <c r="JOU1" s="27"/>
      <c r="JOV1" s="27"/>
      <c r="JOW1" s="27"/>
      <c r="JOX1" s="27"/>
      <c r="JOY1" s="27"/>
      <c r="JOZ1" s="27"/>
      <c r="JPA1" s="27"/>
      <c r="JPB1" s="27"/>
      <c r="JPC1" s="27"/>
      <c r="JPD1" s="27"/>
      <c r="JPE1" s="27"/>
      <c r="JPF1" s="27"/>
      <c r="JPG1" s="27"/>
      <c r="JPH1" s="27"/>
      <c r="JPI1" s="27"/>
      <c r="JPJ1" s="27"/>
      <c r="JPK1" s="27"/>
      <c r="JPL1" s="27"/>
      <c r="JPM1" s="27"/>
      <c r="JPN1" s="27"/>
      <c r="JPO1" s="27"/>
      <c r="JPP1" s="27"/>
      <c r="JPQ1" s="27"/>
      <c r="JPR1" s="27"/>
      <c r="JPS1" s="27"/>
      <c r="JPT1" s="27"/>
      <c r="JPU1" s="27"/>
      <c r="JPV1" s="27"/>
      <c r="JPW1" s="27"/>
      <c r="JPX1" s="27"/>
      <c r="JPY1" s="27"/>
      <c r="JPZ1" s="27"/>
      <c r="JQA1" s="27"/>
      <c r="JQB1" s="27"/>
      <c r="JQC1" s="27"/>
      <c r="JQD1" s="27"/>
      <c r="JQE1" s="27"/>
      <c r="JQF1" s="27"/>
      <c r="JQG1" s="27"/>
      <c r="JQH1" s="27"/>
      <c r="JQI1" s="27"/>
      <c r="JQJ1" s="27"/>
      <c r="JQK1" s="27"/>
      <c r="JQL1" s="27"/>
      <c r="JQM1" s="27"/>
      <c r="JQN1" s="27"/>
      <c r="JQO1" s="27"/>
      <c r="JQP1" s="27"/>
      <c r="JQQ1" s="27"/>
      <c r="JQR1" s="27"/>
      <c r="JQS1" s="27"/>
      <c r="JQT1" s="27"/>
      <c r="JQU1" s="27"/>
      <c r="JQV1" s="27"/>
      <c r="JQW1" s="27"/>
      <c r="JQX1" s="27"/>
      <c r="JQY1" s="27"/>
      <c r="JQZ1" s="27"/>
      <c r="JRA1" s="27"/>
      <c r="JRB1" s="27"/>
      <c r="JRC1" s="27"/>
      <c r="JRD1" s="27"/>
      <c r="JRE1" s="27"/>
      <c r="JRF1" s="27"/>
      <c r="JRG1" s="27"/>
      <c r="JRH1" s="27"/>
      <c r="JRI1" s="27"/>
      <c r="JRJ1" s="27"/>
      <c r="JRK1" s="27"/>
      <c r="JRL1" s="27"/>
      <c r="JRM1" s="27"/>
      <c r="JRN1" s="27"/>
      <c r="JRO1" s="27"/>
      <c r="JRP1" s="27"/>
      <c r="JRQ1" s="27"/>
      <c r="JRR1" s="27"/>
      <c r="JRS1" s="27"/>
      <c r="JRT1" s="27"/>
      <c r="JRU1" s="27"/>
      <c r="JRV1" s="27"/>
      <c r="JRW1" s="27"/>
      <c r="JRX1" s="27"/>
      <c r="JRY1" s="27"/>
      <c r="JRZ1" s="27"/>
      <c r="JSA1" s="27"/>
      <c r="JSB1" s="27"/>
      <c r="JSC1" s="27"/>
      <c r="JSD1" s="27"/>
      <c r="JSE1" s="27"/>
      <c r="JSF1" s="27"/>
      <c r="JSG1" s="27"/>
      <c r="JSH1" s="27"/>
      <c r="JSI1" s="27"/>
      <c r="JSJ1" s="27"/>
      <c r="JSK1" s="27"/>
      <c r="JSL1" s="27"/>
      <c r="JSM1" s="27"/>
      <c r="JSN1" s="27"/>
      <c r="JSO1" s="27"/>
      <c r="JSP1" s="27"/>
      <c r="JSQ1" s="27"/>
      <c r="JSR1" s="27"/>
      <c r="JSS1" s="27"/>
      <c r="JST1" s="27"/>
      <c r="JSU1" s="27"/>
      <c r="JSV1" s="27"/>
      <c r="JSW1" s="27"/>
      <c r="JSX1" s="27"/>
      <c r="JSY1" s="27"/>
      <c r="JSZ1" s="27"/>
      <c r="JTA1" s="27"/>
      <c r="JTB1" s="27"/>
      <c r="JTC1" s="27"/>
      <c r="JTD1" s="27"/>
      <c r="JTE1" s="27"/>
      <c r="JTF1" s="27"/>
      <c r="JTG1" s="27"/>
      <c r="JTH1" s="27"/>
      <c r="JTI1" s="27"/>
      <c r="JTJ1" s="27"/>
      <c r="JTK1" s="27"/>
      <c r="JTL1" s="27"/>
      <c r="JTM1" s="27"/>
      <c r="JTN1" s="27"/>
      <c r="JTO1" s="27"/>
      <c r="JTP1" s="27"/>
      <c r="JTQ1" s="27"/>
      <c r="JTR1" s="27"/>
      <c r="JTS1" s="27"/>
      <c r="JTT1" s="27"/>
      <c r="JTU1" s="27"/>
      <c r="JTV1" s="27"/>
      <c r="JTW1" s="27"/>
      <c r="JTX1" s="27"/>
      <c r="JTY1" s="27"/>
      <c r="JTZ1" s="27"/>
      <c r="JUA1" s="27"/>
      <c r="JUB1" s="27"/>
      <c r="JUC1" s="27"/>
      <c r="JUD1" s="27"/>
      <c r="JUE1" s="27"/>
      <c r="JUF1" s="27"/>
      <c r="JUG1" s="27"/>
      <c r="JUH1" s="27"/>
      <c r="JUI1" s="27"/>
      <c r="JUJ1" s="27"/>
      <c r="JUK1" s="27"/>
      <c r="JUL1" s="27"/>
      <c r="JUM1" s="27"/>
      <c r="JUN1" s="27"/>
      <c r="JUO1" s="27"/>
      <c r="JUP1" s="27"/>
      <c r="JUQ1" s="27"/>
      <c r="JUR1" s="27"/>
      <c r="JUS1" s="27"/>
      <c r="JUT1" s="27"/>
      <c r="JUU1" s="27"/>
      <c r="JUV1" s="27"/>
      <c r="JUW1" s="27"/>
      <c r="JUX1" s="27"/>
      <c r="JUY1" s="27"/>
      <c r="JUZ1" s="27"/>
      <c r="JVA1" s="27"/>
      <c r="JVB1" s="27"/>
      <c r="JVC1" s="27"/>
      <c r="JVD1" s="27"/>
      <c r="JVE1" s="27"/>
      <c r="JVF1" s="27"/>
      <c r="JVG1" s="27"/>
      <c r="JVH1" s="27"/>
      <c r="JVI1" s="27"/>
      <c r="JVJ1" s="27"/>
      <c r="JVK1" s="27"/>
      <c r="JVL1" s="27"/>
      <c r="JVM1" s="27"/>
      <c r="JVN1" s="27"/>
      <c r="JVO1" s="27"/>
      <c r="JVP1" s="27"/>
      <c r="JVQ1" s="27"/>
      <c r="JVR1" s="27"/>
      <c r="JVS1" s="27"/>
      <c r="JVT1" s="27"/>
      <c r="JVU1" s="27"/>
      <c r="JVV1" s="27"/>
      <c r="JVW1" s="27"/>
      <c r="JVX1" s="27"/>
      <c r="JVY1" s="27"/>
      <c r="JVZ1" s="27"/>
      <c r="JWA1" s="27"/>
      <c r="JWB1" s="27"/>
      <c r="JWC1" s="27"/>
      <c r="JWD1" s="27"/>
      <c r="JWE1" s="27"/>
      <c r="JWF1" s="27"/>
      <c r="JWG1" s="27"/>
      <c r="JWH1" s="27"/>
      <c r="JWI1" s="27"/>
      <c r="JWJ1" s="27"/>
      <c r="JWK1" s="27"/>
      <c r="JWL1" s="27"/>
      <c r="JWM1" s="27"/>
      <c r="JWN1" s="27"/>
      <c r="JWO1" s="27"/>
      <c r="JWP1" s="27"/>
      <c r="JWQ1" s="27"/>
      <c r="JWR1" s="27"/>
      <c r="JWS1" s="27"/>
      <c r="JWT1" s="27"/>
      <c r="JWU1" s="27"/>
      <c r="JWV1" s="27"/>
      <c r="JWW1" s="27"/>
      <c r="JWX1" s="27"/>
      <c r="JWY1" s="27"/>
      <c r="JWZ1" s="27"/>
      <c r="JXA1" s="27"/>
      <c r="JXB1" s="27"/>
      <c r="JXC1" s="27"/>
      <c r="JXD1" s="27"/>
      <c r="JXE1" s="27"/>
      <c r="JXF1" s="27"/>
      <c r="JXG1" s="27"/>
      <c r="JXH1" s="27"/>
      <c r="JXI1" s="27"/>
      <c r="JXJ1" s="27"/>
      <c r="JXK1" s="27"/>
      <c r="JXL1" s="27"/>
      <c r="JXM1" s="27"/>
      <c r="JXN1" s="27"/>
      <c r="JXO1" s="27"/>
      <c r="JXP1" s="27"/>
      <c r="JXQ1" s="27"/>
      <c r="JXR1" s="27"/>
      <c r="JXS1" s="27"/>
      <c r="JXT1" s="27"/>
      <c r="JXU1" s="27"/>
      <c r="JXV1" s="27"/>
      <c r="JXW1" s="27"/>
      <c r="JXX1" s="27"/>
      <c r="JXY1" s="27"/>
      <c r="JXZ1" s="27"/>
      <c r="JYA1" s="27"/>
      <c r="JYB1" s="27"/>
      <c r="JYC1" s="27"/>
      <c r="JYD1" s="27"/>
      <c r="JYE1" s="27"/>
      <c r="JYF1" s="27"/>
      <c r="JYG1" s="27"/>
      <c r="JYH1" s="27"/>
      <c r="JYI1" s="27"/>
      <c r="JYJ1" s="27"/>
      <c r="JYK1" s="27"/>
      <c r="JYL1" s="27"/>
      <c r="JYM1" s="27"/>
      <c r="JYN1" s="27"/>
      <c r="JYO1" s="27"/>
      <c r="JYP1" s="27"/>
      <c r="JYQ1" s="27"/>
      <c r="JYR1" s="27"/>
      <c r="JYS1" s="27"/>
      <c r="JYT1" s="27"/>
      <c r="JYU1" s="27"/>
      <c r="JYV1" s="27"/>
      <c r="JYW1" s="27"/>
      <c r="JYX1" s="27"/>
      <c r="JYY1" s="27"/>
      <c r="JYZ1" s="27"/>
      <c r="JZA1" s="27"/>
      <c r="JZB1" s="27"/>
      <c r="JZC1" s="27"/>
      <c r="JZD1" s="27"/>
      <c r="JZE1" s="27"/>
      <c r="JZF1" s="27"/>
      <c r="JZG1" s="27"/>
      <c r="JZH1" s="27"/>
      <c r="JZI1" s="27"/>
      <c r="JZJ1" s="27"/>
      <c r="JZK1" s="27"/>
      <c r="JZL1" s="27"/>
      <c r="JZM1" s="27"/>
      <c r="JZN1" s="27"/>
      <c r="JZO1" s="27"/>
      <c r="JZP1" s="27"/>
      <c r="JZQ1" s="27"/>
      <c r="JZR1" s="27"/>
      <c r="JZS1" s="27"/>
      <c r="JZT1" s="27"/>
      <c r="JZU1" s="27"/>
      <c r="JZV1" s="27"/>
      <c r="JZW1" s="27"/>
      <c r="JZX1" s="27"/>
      <c r="JZY1" s="27"/>
      <c r="JZZ1" s="27"/>
      <c r="KAA1" s="27"/>
      <c r="KAB1" s="27"/>
      <c r="KAC1" s="27"/>
      <c r="KAD1" s="27"/>
      <c r="KAE1" s="27"/>
      <c r="KAF1" s="27"/>
      <c r="KAG1" s="27"/>
      <c r="KAH1" s="27"/>
      <c r="KAI1" s="27"/>
      <c r="KAJ1" s="27"/>
      <c r="KAK1" s="27"/>
      <c r="KAL1" s="27"/>
      <c r="KAM1" s="27"/>
      <c r="KAN1" s="27"/>
      <c r="KAO1" s="27"/>
      <c r="KAP1" s="27"/>
      <c r="KAQ1" s="27"/>
      <c r="KAR1" s="27"/>
      <c r="KAS1" s="27"/>
      <c r="KAT1" s="27"/>
      <c r="KAU1" s="27"/>
      <c r="KAV1" s="27"/>
      <c r="KAW1" s="27"/>
      <c r="KAX1" s="27"/>
      <c r="KAY1" s="27"/>
      <c r="KAZ1" s="27"/>
      <c r="KBA1" s="27"/>
      <c r="KBB1" s="27"/>
      <c r="KBC1" s="27"/>
      <c r="KBD1" s="27"/>
      <c r="KBE1" s="27"/>
      <c r="KBF1" s="27"/>
      <c r="KBG1" s="27"/>
      <c r="KBH1" s="27"/>
      <c r="KBI1" s="27"/>
      <c r="KBJ1" s="27"/>
      <c r="KBK1" s="27"/>
      <c r="KBL1" s="27"/>
      <c r="KBM1" s="27"/>
      <c r="KBN1" s="27"/>
      <c r="KBO1" s="27"/>
      <c r="KBP1" s="27"/>
      <c r="KBQ1" s="27"/>
      <c r="KBR1" s="27"/>
      <c r="KBS1" s="27"/>
      <c r="KBT1" s="27"/>
      <c r="KBU1" s="27"/>
      <c r="KBV1" s="27"/>
      <c r="KBW1" s="27"/>
      <c r="KBX1" s="27"/>
      <c r="KBY1" s="27"/>
      <c r="KBZ1" s="27"/>
      <c r="KCA1" s="27"/>
      <c r="KCB1" s="27"/>
      <c r="KCC1" s="27"/>
      <c r="KCD1" s="27"/>
      <c r="KCE1" s="27"/>
      <c r="KCF1" s="27"/>
      <c r="KCG1" s="27"/>
      <c r="KCH1" s="27"/>
      <c r="KCI1" s="27"/>
      <c r="KCJ1" s="27"/>
      <c r="KCK1" s="27"/>
      <c r="KCL1" s="27"/>
      <c r="KCM1" s="27"/>
      <c r="KCN1" s="27"/>
      <c r="KCO1" s="27"/>
      <c r="KCP1" s="27"/>
      <c r="KCQ1" s="27"/>
      <c r="KCR1" s="27"/>
      <c r="KCS1" s="27"/>
      <c r="KCT1" s="27"/>
      <c r="KCU1" s="27"/>
      <c r="KCV1" s="27"/>
      <c r="KCW1" s="27"/>
      <c r="KCX1" s="27"/>
      <c r="KCY1" s="27"/>
      <c r="KCZ1" s="27"/>
      <c r="KDA1" s="27"/>
      <c r="KDB1" s="27"/>
      <c r="KDC1" s="27"/>
      <c r="KDD1" s="27"/>
      <c r="KDE1" s="27"/>
      <c r="KDF1" s="27"/>
      <c r="KDG1" s="27"/>
      <c r="KDH1" s="27"/>
      <c r="KDI1" s="27"/>
      <c r="KDJ1" s="27"/>
      <c r="KDK1" s="27"/>
      <c r="KDL1" s="27"/>
      <c r="KDM1" s="27"/>
      <c r="KDN1" s="27"/>
      <c r="KDO1" s="27"/>
      <c r="KDP1" s="27"/>
      <c r="KDQ1" s="27"/>
      <c r="KDR1" s="27"/>
      <c r="KDS1" s="27"/>
      <c r="KDT1" s="27"/>
      <c r="KDU1" s="27"/>
      <c r="KDV1" s="27"/>
      <c r="KDW1" s="27"/>
      <c r="KDX1" s="27"/>
      <c r="KDY1" s="27"/>
      <c r="KDZ1" s="27"/>
      <c r="KEA1" s="27"/>
      <c r="KEB1" s="27"/>
      <c r="KEC1" s="27"/>
      <c r="KED1" s="27"/>
      <c r="KEE1" s="27"/>
      <c r="KEF1" s="27"/>
      <c r="KEG1" s="27"/>
      <c r="KEH1" s="27"/>
      <c r="KEI1" s="27"/>
      <c r="KEJ1" s="27"/>
      <c r="KEK1" s="27"/>
      <c r="KEL1" s="27"/>
      <c r="KEM1" s="27"/>
      <c r="KEN1" s="27"/>
      <c r="KEO1" s="27"/>
      <c r="KEP1" s="27"/>
      <c r="KEQ1" s="27"/>
      <c r="KER1" s="27"/>
      <c r="KES1" s="27"/>
      <c r="KET1" s="27"/>
      <c r="KEU1" s="27"/>
      <c r="KEV1" s="27"/>
      <c r="KEW1" s="27"/>
      <c r="KEX1" s="27"/>
      <c r="KEY1" s="27"/>
      <c r="KEZ1" s="27"/>
      <c r="KFA1" s="27"/>
      <c r="KFB1" s="27"/>
      <c r="KFC1" s="27"/>
      <c r="KFD1" s="27"/>
      <c r="KFE1" s="27"/>
      <c r="KFF1" s="27"/>
      <c r="KFG1" s="27"/>
      <c r="KFH1" s="27"/>
      <c r="KFI1" s="27"/>
      <c r="KFJ1" s="27"/>
      <c r="KFK1" s="27"/>
      <c r="KFL1" s="27"/>
      <c r="KFM1" s="27"/>
      <c r="KFN1" s="27"/>
      <c r="KFO1" s="27"/>
      <c r="KFP1" s="27"/>
      <c r="KFQ1" s="27"/>
      <c r="KFR1" s="27"/>
      <c r="KFS1" s="27"/>
      <c r="KFT1" s="27"/>
      <c r="KFU1" s="27"/>
      <c r="KFV1" s="27"/>
      <c r="KFW1" s="27"/>
      <c r="KFX1" s="27"/>
      <c r="KFY1" s="27"/>
      <c r="KFZ1" s="27"/>
      <c r="KGA1" s="27"/>
      <c r="KGB1" s="27"/>
      <c r="KGC1" s="27"/>
      <c r="KGD1" s="27"/>
      <c r="KGE1" s="27"/>
      <c r="KGF1" s="27"/>
      <c r="KGG1" s="27"/>
      <c r="KGH1" s="27"/>
      <c r="KGI1" s="27"/>
      <c r="KGJ1" s="27"/>
      <c r="KGK1" s="27"/>
      <c r="KGL1" s="27"/>
      <c r="KGM1" s="27"/>
      <c r="KGN1" s="27"/>
      <c r="KGO1" s="27"/>
      <c r="KGP1" s="27"/>
      <c r="KGQ1" s="27"/>
      <c r="KGR1" s="27"/>
      <c r="KGS1" s="27"/>
      <c r="KGT1" s="27"/>
      <c r="KGU1" s="27"/>
      <c r="KGV1" s="27"/>
      <c r="KGW1" s="27"/>
      <c r="KGX1" s="27"/>
      <c r="KGY1" s="27"/>
      <c r="KGZ1" s="27"/>
      <c r="KHA1" s="27"/>
      <c r="KHB1" s="27"/>
      <c r="KHC1" s="27"/>
      <c r="KHD1" s="27"/>
      <c r="KHE1" s="27"/>
      <c r="KHF1" s="27"/>
      <c r="KHG1" s="27"/>
      <c r="KHH1" s="27"/>
      <c r="KHI1" s="27"/>
      <c r="KHJ1" s="27"/>
      <c r="KHK1" s="27"/>
      <c r="KHL1" s="27"/>
      <c r="KHM1" s="27"/>
      <c r="KHN1" s="27"/>
      <c r="KHO1" s="27"/>
      <c r="KHP1" s="27"/>
      <c r="KHQ1" s="27"/>
      <c r="KHR1" s="27"/>
      <c r="KHS1" s="27"/>
      <c r="KHT1" s="27"/>
      <c r="KHU1" s="27"/>
      <c r="KHV1" s="27"/>
      <c r="KHW1" s="27"/>
      <c r="KHX1" s="27"/>
      <c r="KHY1" s="27"/>
      <c r="KHZ1" s="27"/>
      <c r="KIA1" s="27"/>
      <c r="KIB1" s="27"/>
      <c r="KIC1" s="27"/>
      <c r="KID1" s="27"/>
      <c r="KIE1" s="27"/>
      <c r="KIF1" s="27"/>
      <c r="KIG1" s="27"/>
      <c r="KIH1" s="27"/>
      <c r="KII1" s="27"/>
      <c r="KIJ1" s="27"/>
      <c r="KIK1" s="27"/>
      <c r="KIL1" s="27"/>
      <c r="KIM1" s="27"/>
      <c r="KIN1" s="27"/>
      <c r="KIO1" s="27"/>
      <c r="KIP1" s="27"/>
      <c r="KIQ1" s="27"/>
      <c r="KIR1" s="27"/>
      <c r="KIS1" s="27"/>
      <c r="KIT1" s="27"/>
      <c r="KIU1" s="27"/>
      <c r="KIV1" s="27"/>
      <c r="KIW1" s="27"/>
      <c r="KIX1" s="27"/>
      <c r="KIY1" s="27"/>
      <c r="KIZ1" s="27"/>
      <c r="KJA1" s="27"/>
      <c r="KJB1" s="27"/>
      <c r="KJC1" s="27"/>
      <c r="KJD1" s="27"/>
      <c r="KJE1" s="27"/>
      <c r="KJF1" s="27"/>
      <c r="KJG1" s="27"/>
      <c r="KJH1" s="27"/>
      <c r="KJI1" s="27"/>
      <c r="KJJ1" s="27"/>
      <c r="KJK1" s="27"/>
      <c r="KJL1" s="27"/>
      <c r="KJM1" s="27"/>
      <c r="KJN1" s="27"/>
      <c r="KJO1" s="27"/>
      <c r="KJP1" s="27"/>
      <c r="KJQ1" s="27"/>
      <c r="KJR1" s="27"/>
      <c r="KJS1" s="27"/>
      <c r="KJT1" s="27"/>
      <c r="KJU1" s="27"/>
      <c r="KJV1" s="27"/>
      <c r="KJW1" s="27"/>
      <c r="KJX1" s="27"/>
      <c r="KJY1" s="27"/>
      <c r="KJZ1" s="27"/>
      <c r="KKA1" s="27"/>
      <c r="KKB1" s="27"/>
      <c r="KKC1" s="27"/>
      <c r="KKD1" s="27"/>
      <c r="KKE1" s="27"/>
      <c r="KKF1" s="27"/>
      <c r="KKG1" s="27"/>
      <c r="KKH1" s="27"/>
      <c r="KKI1" s="27"/>
      <c r="KKJ1" s="27"/>
      <c r="KKK1" s="27"/>
      <c r="KKL1" s="27"/>
      <c r="KKM1" s="27"/>
      <c r="KKN1" s="27"/>
      <c r="KKO1" s="27"/>
      <c r="KKP1" s="27"/>
      <c r="KKQ1" s="27"/>
      <c r="KKR1" s="27"/>
      <c r="KKS1" s="27"/>
      <c r="KKT1" s="27"/>
      <c r="KKU1" s="27"/>
      <c r="KKV1" s="27"/>
      <c r="KKW1" s="27"/>
      <c r="KKX1" s="27"/>
      <c r="KKY1" s="27"/>
      <c r="KKZ1" s="27"/>
      <c r="KLA1" s="27"/>
      <c r="KLB1" s="27"/>
      <c r="KLC1" s="27"/>
      <c r="KLD1" s="27"/>
      <c r="KLE1" s="27"/>
      <c r="KLF1" s="27"/>
      <c r="KLG1" s="27"/>
      <c r="KLH1" s="27"/>
      <c r="KLI1" s="27"/>
      <c r="KLJ1" s="27"/>
      <c r="KLK1" s="27"/>
      <c r="KLL1" s="27"/>
      <c r="KLM1" s="27"/>
      <c r="KLN1" s="27"/>
      <c r="KLO1" s="27"/>
      <c r="KLP1" s="27"/>
      <c r="KLQ1" s="27"/>
      <c r="KLR1" s="27"/>
      <c r="KLS1" s="27"/>
      <c r="KLT1" s="27"/>
      <c r="KLU1" s="27"/>
      <c r="KLV1" s="27"/>
      <c r="KLW1" s="27"/>
      <c r="KLX1" s="27"/>
      <c r="KLY1" s="27"/>
      <c r="KLZ1" s="27"/>
      <c r="KMA1" s="27"/>
      <c r="KMB1" s="27"/>
      <c r="KMC1" s="27"/>
      <c r="KMD1" s="27"/>
      <c r="KME1" s="27"/>
      <c r="KMF1" s="27"/>
      <c r="KMG1" s="27"/>
      <c r="KMH1" s="27"/>
      <c r="KMI1" s="27"/>
      <c r="KMJ1" s="27"/>
      <c r="KMK1" s="27"/>
      <c r="KML1" s="27"/>
      <c r="KMM1" s="27"/>
      <c r="KMN1" s="27"/>
      <c r="KMO1" s="27"/>
      <c r="KMP1" s="27"/>
      <c r="KMQ1" s="27"/>
      <c r="KMR1" s="27"/>
      <c r="KMS1" s="27"/>
      <c r="KMT1" s="27"/>
      <c r="KMU1" s="27"/>
      <c r="KMV1" s="27"/>
      <c r="KMW1" s="27"/>
      <c r="KMX1" s="27"/>
      <c r="KMY1" s="27"/>
      <c r="KMZ1" s="27"/>
      <c r="KNA1" s="27"/>
      <c r="KNB1" s="27"/>
      <c r="KNC1" s="27"/>
      <c r="KND1" s="27"/>
      <c r="KNE1" s="27"/>
      <c r="KNF1" s="27"/>
      <c r="KNG1" s="27"/>
      <c r="KNH1" s="27"/>
      <c r="KNI1" s="27"/>
      <c r="KNJ1" s="27"/>
      <c r="KNK1" s="27"/>
      <c r="KNL1" s="27"/>
      <c r="KNM1" s="27"/>
      <c r="KNN1" s="27"/>
      <c r="KNO1" s="27"/>
      <c r="KNP1" s="27"/>
      <c r="KNQ1" s="27"/>
      <c r="KNR1" s="27"/>
      <c r="KNS1" s="27"/>
      <c r="KNT1" s="27"/>
      <c r="KNU1" s="27"/>
      <c r="KNV1" s="27"/>
      <c r="KNW1" s="27"/>
      <c r="KNX1" s="27"/>
      <c r="KNY1" s="27"/>
      <c r="KNZ1" s="27"/>
      <c r="KOA1" s="27"/>
      <c r="KOB1" s="27"/>
      <c r="KOC1" s="27"/>
      <c r="KOD1" s="27"/>
      <c r="KOE1" s="27"/>
      <c r="KOF1" s="27"/>
      <c r="KOG1" s="27"/>
      <c r="KOH1" s="27"/>
      <c r="KOI1" s="27"/>
      <c r="KOJ1" s="27"/>
      <c r="KOK1" s="27"/>
      <c r="KOL1" s="27"/>
      <c r="KOM1" s="27"/>
      <c r="KON1" s="27"/>
      <c r="KOO1" s="27"/>
      <c r="KOP1" s="27"/>
      <c r="KOQ1" s="27"/>
      <c r="KOR1" s="27"/>
      <c r="KOS1" s="27"/>
      <c r="KOT1" s="27"/>
      <c r="KOU1" s="27"/>
      <c r="KOV1" s="27"/>
      <c r="KOW1" s="27"/>
      <c r="KOX1" s="27"/>
      <c r="KOY1" s="27"/>
      <c r="KOZ1" s="27"/>
      <c r="KPA1" s="27"/>
      <c r="KPB1" s="27"/>
      <c r="KPC1" s="27"/>
      <c r="KPD1" s="27"/>
      <c r="KPE1" s="27"/>
      <c r="KPF1" s="27"/>
      <c r="KPG1" s="27"/>
      <c r="KPH1" s="27"/>
      <c r="KPI1" s="27"/>
      <c r="KPJ1" s="27"/>
      <c r="KPK1" s="27"/>
      <c r="KPL1" s="27"/>
      <c r="KPM1" s="27"/>
      <c r="KPN1" s="27"/>
      <c r="KPO1" s="27"/>
      <c r="KPP1" s="27"/>
      <c r="KPQ1" s="27"/>
      <c r="KPR1" s="27"/>
      <c r="KPS1" s="27"/>
      <c r="KPT1" s="27"/>
      <c r="KPU1" s="27"/>
      <c r="KPV1" s="27"/>
      <c r="KPW1" s="27"/>
      <c r="KPX1" s="27"/>
      <c r="KPY1" s="27"/>
      <c r="KPZ1" s="27"/>
      <c r="KQA1" s="27"/>
      <c r="KQB1" s="27"/>
      <c r="KQC1" s="27"/>
      <c r="KQD1" s="27"/>
      <c r="KQE1" s="27"/>
      <c r="KQF1" s="27"/>
      <c r="KQG1" s="27"/>
      <c r="KQH1" s="27"/>
      <c r="KQI1" s="27"/>
      <c r="KQJ1" s="27"/>
      <c r="KQK1" s="27"/>
      <c r="KQL1" s="27"/>
      <c r="KQM1" s="27"/>
      <c r="KQN1" s="27"/>
      <c r="KQO1" s="27"/>
      <c r="KQP1" s="27"/>
      <c r="KQQ1" s="27"/>
      <c r="KQR1" s="27"/>
      <c r="KQS1" s="27"/>
      <c r="KQT1" s="27"/>
      <c r="KQU1" s="27"/>
      <c r="KQV1" s="27"/>
      <c r="KQW1" s="27"/>
      <c r="KQX1" s="27"/>
      <c r="KQY1" s="27"/>
      <c r="KQZ1" s="27"/>
      <c r="KRA1" s="27"/>
      <c r="KRB1" s="27"/>
      <c r="KRC1" s="27"/>
      <c r="KRD1" s="27"/>
      <c r="KRE1" s="27"/>
      <c r="KRF1" s="27"/>
      <c r="KRG1" s="27"/>
      <c r="KRH1" s="27"/>
      <c r="KRI1" s="27"/>
      <c r="KRJ1" s="27"/>
      <c r="KRK1" s="27"/>
      <c r="KRL1" s="27"/>
      <c r="KRM1" s="27"/>
      <c r="KRN1" s="27"/>
      <c r="KRO1" s="27"/>
      <c r="KRP1" s="27"/>
      <c r="KRQ1" s="27"/>
      <c r="KRR1" s="27"/>
      <c r="KRS1" s="27"/>
      <c r="KRT1" s="27"/>
      <c r="KRU1" s="27"/>
      <c r="KRV1" s="27"/>
      <c r="KRW1" s="27"/>
      <c r="KRX1" s="27"/>
      <c r="KRY1" s="27"/>
      <c r="KRZ1" s="27"/>
      <c r="KSA1" s="27"/>
      <c r="KSB1" s="27"/>
      <c r="KSC1" s="27"/>
      <c r="KSD1" s="27"/>
      <c r="KSE1" s="27"/>
      <c r="KSF1" s="27"/>
      <c r="KSG1" s="27"/>
      <c r="KSH1" s="27"/>
      <c r="KSI1" s="27"/>
      <c r="KSJ1" s="27"/>
      <c r="KSK1" s="27"/>
      <c r="KSL1" s="27"/>
      <c r="KSM1" s="27"/>
      <c r="KSN1" s="27"/>
      <c r="KSO1" s="27"/>
      <c r="KSP1" s="27"/>
      <c r="KSQ1" s="27"/>
      <c r="KSR1" s="27"/>
      <c r="KSS1" s="27"/>
      <c r="KST1" s="27"/>
      <c r="KSU1" s="27"/>
      <c r="KSV1" s="27"/>
      <c r="KSW1" s="27"/>
      <c r="KSX1" s="27"/>
      <c r="KSY1" s="27"/>
      <c r="KSZ1" s="27"/>
      <c r="KTA1" s="27"/>
      <c r="KTB1" s="27"/>
      <c r="KTC1" s="27"/>
      <c r="KTD1" s="27"/>
      <c r="KTE1" s="27"/>
      <c r="KTF1" s="27"/>
      <c r="KTG1" s="27"/>
      <c r="KTH1" s="27"/>
      <c r="KTI1" s="27"/>
      <c r="KTJ1" s="27"/>
      <c r="KTK1" s="27"/>
      <c r="KTL1" s="27"/>
      <c r="KTM1" s="27"/>
      <c r="KTN1" s="27"/>
      <c r="KTO1" s="27"/>
      <c r="KTP1" s="27"/>
      <c r="KTQ1" s="27"/>
      <c r="KTR1" s="27"/>
      <c r="KTS1" s="27"/>
      <c r="KTT1" s="27"/>
      <c r="KTU1" s="27"/>
      <c r="KTV1" s="27"/>
      <c r="KTW1" s="27"/>
      <c r="KTX1" s="27"/>
      <c r="KTY1" s="27"/>
      <c r="KTZ1" s="27"/>
      <c r="KUA1" s="27"/>
      <c r="KUB1" s="27"/>
      <c r="KUC1" s="27"/>
      <c r="KUD1" s="27"/>
      <c r="KUE1" s="27"/>
      <c r="KUF1" s="27"/>
      <c r="KUG1" s="27"/>
      <c r="KUH1" s="27"/>
      <c r="KUI1" s="27"/>
      <c r="KUJ1" s="27"/>
      <c r="KUK1" s="27"/>
      <c r="KUL1" s="27"/>
      <c r="KUM1" s="27"/>
      <c r="KUN1" s="27"/>
      <c r="KUO1" s="27"/>
      <c r="KUP1" s="27"/>
      <c r="KUQ1" s="27"/>
      <c r="KUR1" s="27"/>
      <c r="KUS1" s="27"/>
      <c r="KUT1" s="27"/>
      <c r="KUU1" s="27"/>
      <c r="KUV1" s="27"/>
      <c r="KUW1" s="27"/>
      <c r="KUX1" s="27"/>
      <c r="KUY1" s="27"/>
      <c r="KUZ1" s="27"/>
      <c r="KVA1" s="27"/>
      <c r="KVB1" s="27"/>
      <c r="KVC1" s="27"/>
      <c r="KVD1" s="27"/>
      <c r="KVE1" s="27"/>
      <c r="KVF1" s="27"/>
      <c r="KVG1" s="27"/>
      <c r="KVH1" s="27"/>
      <c r="KVI1" s="27"/>
      <c r="KVJ1" s="27"/>
      <c r="KVK1" s="27"/>
      <c r="KVL1" s="27"/>
      <c r="KVM1" s="27"/>
      <c r="KVN1" s="27"/>
      <c r="KVO1" s="27"/>
      <c r="KVP1" s="27"/>
      <c r="KVQ1" s="27"/>
      <c r="KVR1" s="27"/>
      <c r="KVS1" s="27"/>
      <c r="KVT1" s="27"/>
      <c r="KVU1" s="27"/>
      <c r="KVV1" s="27"/>
      <c r="KVW1" s="27"/>
      <c r="KVX1" s="27"/>
      <c r="KVY1" s="27"/>
      <c r="KVZ1" s="27"/>
      <c r="KWA1" s="27"/>
      <c r="KWB1" s="27"/>
      <c r="KWC1" s="27"/>
      <c r="KWD1" s="27"/>
      <c r="KWE1" s="27"/>
      <c r="KWF1" s="27"/>
      <c r="KWG1" s="27"/>
      <c r="KWH1" s="27"/>
      <c r="KWI1" s="27"/>
      <c r="KWJ1" s="27"/>
      <c r="KWK1" s="27"/>
      <c r="KWL1" s="27"/>
      <c r="KWM1" s="27"/>
      <c r="KWN1" s="27"/>
      <c r="KWO1" s="27"/>
      <c r="KWP1" s="27"/>
      <c r="KWQ1" s="27"/>
      <c r="KWR1" s="27"/>
      <c r="KWS1" s="27"/>
      <c r="KWT1" s="27"/>
      <c r="KWU1" s="27"/>
      <c r="KWV1" s="27"/>
      <c r="KWW1" s="27"/>
      <c r="KWX1" s="27"/>
      <c r="KWY1" s="27"/>
      <c r="KWZ1" s="27"/>
      <c r="KXA1" s="27"/>
      <c r="KXB1" s="27"/>
      <c r="KXC1" s="27"/>
      <c r="KXD1" s="27"/>
      <c r="KXE1" s="27"/>
      <c r="KXF1" s="27"/>
      <c r="KXG1" s="27"/>
      <c r="KXH1" s="27"/>
      <c r="KXI1" s="27"/>
      <c r="KXJ1" s="27"/>
      <c r="KXK1" s="27"/>
      <c r="KXL1" s="27"/>
      <c r="KXM1" s="27"/>
      <c r="KXN1" s="27"/>
      <c r="KXO1" s="27"/>
      <c r="KXP1" s="27"/>
      <c r="KXQ1" s="27"/>
      <c r="KXR1" s="27"/>
      <c r="KXS1" s="27"/>
      <c r="KXT1" s="27"/>
      <c r="KXU1" s="27"/>
      <c r="KXV1" s="27"/>
      <c r="KXW1" s="27"/>
      <c r="KXX1" s="27"/>
      <c r="KXY1" s="27"/>
      <c r="KXZ1" s="27"/>
      <c r="KYA1" s="27"/>
      <c r="KYB1" s="27"/>
      <c r="KYC1" s="27"/>
      <c r="KYD1" s="27"/>
      <c r="KYE1" s="27"/>
      <c r="KYF1" s="27"/>
      <c r="KYG1" s="27"/>
      <c r="KYH1" s="27"/>
      <c r="KYI1" s="27"/>
      <c r="KYJ1" s="27"/>
      <c r="KYK1" s="27"/>
      <c r="KYL1" s="27"/>
      <c r="KYM1" s="27"/>
      <c r="KYN1" s="27"/>
      <c r="KYO1" s="27"/>
      <c r="KYP1" s="27"/>
      <c r="KYQ1" s="27"/>
      <c r="KYR1" s="27"/>
      <c r="KYS1" s="27"/>
      <c r="KYT1" s="27"/>
      <c r="KYU1" s="27"/>
      <c r="KYV1" s="27"/>
      <c r="KYW1" s="27"/>
      <c r="KYX1" s="27"/>
      <c r="KYY1" s="27"/>
      <c r="KYZ1" s="27"/>
      <c r="KZA1" s="27"/>
      <c r="KZB1" s="27"/>
      <c r="KZC1" s="27"/>
      <c r="KZD1" s="27"/>
      <c r="KZE1" s="27"/>
      <c r="KZF1" s="27"/>
      <c r="KZG1" s="27"/>
      <c r="KZH1" s="27"/>
      <c r="KZI1" s="27"/>
      <c r="KZJ1" s="27"/>
      <c r="KZK1" s="27"/>
      <c r="KZL1" s="27"/>
      <c r="KZM1" s="27"/>
      <c r="KZN1" s="27"/>
      <c r="KZO1" s="27"/>
      <c r="KZP1" s="27"/>
      <c r="KZQ1" s="27"/>
      <c r="KZR1" s="27"/>
      <c r="KZS1" s="27"/>
      <c r="KZT1" s="27"/>
      <c r="KZU1" s="27"/>
      <c r="KZV1" s="27"/>
      <c r="KZW1" s="27"/>
      <c r="KZX1" s="27"/>
      <c r="KZY1" s="27"/>
      <c r="KZZ1" s="27"/>
      <c r="LAA1" s="27"/>
      <c r="LAB1" s="27"/>
      <c r="LAC1" s="27"/>
      <c r="LAD1" s="27"/>
      <c r="LAE1" s="27"/>
      <c r="LAF1" s="27"/>
      <c r="LAG1" s="27"/>
      <c r="LAH1" s="27"/>
      <c r="LAI1" s="27"/>
      <c r="LAJ1" s="27"/>
      <c r="LAK1" s="27"/>
      <c r="LAL1" s="27"/>
      <c r="LAM1" s="27"/>
      <c r="LAN1" s="27"/>
      <c r="LAO1" s="27"/>
      <c r="LAP1" s="27"/>
      <c r="LAQ1" s="27"/>
      <c r="LAR1" s="27"/>
      <c r="LAS1" s="27"/>
      <c r="LAT1" s="27"/>
      <c r="LAU1" s="27"/>
      <c r="LAV1" s="27"/>
      <c r="LAW1" s="27"/>
      <c r="LAX1" s="27"/>
      <c r="LAY1" s="27"/>
      <c r="LAZ1" s="27"/>
      <c r="LBA1" s="27"/>
      <c r="LBB1" s="27"/>
      <c r="LBC1" s="27"/>
      <c r="LBD1" s="27"/>
      <c r="LBE1" s="27"/>
      <c r="LBF1" s="27"/>
      <c r="LBG1" s="27"/>
      <c r="LBH1" s="27"/>
      <c r="LBI1" s="27"/>
      <c r="LBJ1" s="27"/>
      <c r="LBK1" s="27"/>
      <c r="LBL1" s="27"/>
      <c r="LBM1" s="27"/>
      <c r="LBN1" s="27"/>
      <c r="LBO1" s="27"/>
      <c r="LBP1" s="27"/>
      <c r="LBQ1" s="27"/>
      <c r="LBR1" s="27"/>
      <c r="LBS1" s="27"/>
      <c r="LBT1" s="27"/>
      <c r="LBU1" s="27"/>
      <c r="LBV1" s="27"/>
      <c r="LBW1" s="27"/>
      <c r="LBX1" s="27"/>
      <c r="LBY1" s="27"/>
      <c r="LBZ1" s="27"/>
      <c r="LCA1" s="27"/>
      <c r="LCB1" s="27"/>
      <c r="LCC1" s="27"/>
      <c r="LCD1" s="27"/>
      <c r="LCE1" s="27"/>
      <c r="LCF1" s="27"/>
      <c r="LCG1" s="27"/>
      <c r="LCH1" s="27"/>
      <c r="LCI1" s="27"/>
      <c r="LCJ1" s="27"/>
      <c r="LCK1" s="27"/>
      <c r="LCL1" s="27"/>
      <c r="LCM1" s="27"/>
      <c r="LCN1" s="27"/>
      <c r="LCO1" s="27"/>
      <c r="LCP1" s="27"/>
      <c r="LCQ1" s="27"/>
      <c r="LCR1" s="27"/>
      <c r="LCS1" s="27"/>
      <c r="LCT1" s="27"/>
      <c r="LCU1" s="27"/>
      <c r="LCV1" s="27"/>
      <c r="LCW1" s="27"/>
      <c r="LCX1" s="27"/>
      <c r="LCY1" s="27"/>
      <c r="LCZ1" s="27"/>
      <c r="LDA1" s="27"/>
      <c r="LDB1" s="27"/>
      <c r="LDC1" s="27"/>
      <c r="LDD1" s="27"/>
      <c r="LDE1" s="27"/>
      <c r="LDF1" s="27"/>
      <c r="LDG1" s="27"/>
      <c r="LDH1" s="27"/>
      <c r="LDI1" s="27"/>
      <c r="LDJ1" s="27"/>
      <c r="LDK1" s="27"/>
      <c r="LDL1" s="27"/>
      <c r="LDM1" s="27"/>
      <c r="LDN1" s="27"/>
      <c r="LDO1" s="27"/>
      <c r="LDP1" s="27"/>
      <c r="LDQ1" s="27"/>
      <c r="LDR1" s="27"/>
      <c r="LDS1" s="27"/>
      <c r="LDT1" s="27"/>
      <c r="LDU1" s="27"/>
      <c r="LDV1" s="27"/>
      <c r="LDW1" s="27"/>
      <c r="LDX1" s="27"/>
      <c r="LDY1" s="27"/>
      <c r="LDZ1" s="27"/>
      <c r="LEA1" s="27"/>
      <c r="LEB1" s="27"/>
      <c r="LEC1" s="27"/>
      <c r="LED1" s="27"/>
      <c r="LEE1" s="27"/>
      <c r="LEF1" s="27"/>
      <c r="LEG1" s="27"/>
      <c r="LEH1" s="27"/>
      <c r="LEI1" s="27"/>
      <c r="LEJ1" s="27"/>
      <c r="LEK1" s="27"/>
      <c r="LEL1" s="27"/>
      <c r="LEM1" s="27"/>
      <c r="LEN1" s="27"/>
      <c r="LEO1" s="27"/>
      <c r="LEP1" s="27"/>
      <c r="LEQ1" s="27"/>
      <c r="LER1" s="27"/>
      <c r="LES1" s="27"/>
      <c r="LET1" s="27"/>
      <c r="LEU1" s="27"/>
      <c r="LEV1" s="27"/>
      <c r="LEW1" s="27"/>
      <c r="LEX1" s="27"/>
      <c r="LEY1" s="27"/>
      <c r="LEZ1" s="27"/>
      <c r="LFA1" s="27"/>
      <c r="LFB1" s="27"/>
      <c r="LFC1" s="27"/>
      <c r="LFD1" s="27"/>
      <c r="LFE1" s="27"/>
      <c r="LFF1" s="27"/>
      <c r="LFG1" s="27"/>
      <c r="LFH1" s="27"/>
      <c r="LFI1" s="27"/>
      <c r="LFJ1" s="27"/>
      <c r="LFK1" s="27"/>
      <c r="LFL1" s="27"/>
      <c r="LFM1" s="27"/>
      <c r="LFN1" s="27"/>
      <c r="LFO1" s="27"/>
      <c r="LFP1" s="27"/>
      <c r="LFQ1" s="27"/>
      <c r="LFR1" s="27"/>
      <c r="LFS1" s="27"/>
      <c r="LFT1" s="27"/>
      <c r="LFU1" s="27"/>
      <c r="LFV1" s="27"/>
      <c r="LFW1" s="27"/>
      <c r="LFX1" s="27"/>
      <c r="LFY1" s="27"/>
      <c r="LFZ1" s="27"/>
      <c r="LGA1" s="27"/>
      <c r="LGB1" s="27"/>
      <c r="LGC1" s="27"/>
      <c r="LGD1" s="27"/>
      <c r="LGE1" s="27"/>
      <c r="LGF1" s="27"/>
      <c r="LGG1" s="27"/>
      <c r="LGH1" s="27"/>
      <c r="LGI1" s="27"/>
      <c r="LGJ1" s="27"/>
      <c r="LGK1" s="27"/>
      <c r="LGL1" s="27"/>
      <c r="LGM1" s="27"/>
      <c r="LGN1" s="27"/>
      <c r="LGO1" s="27"/>
      <c r="LGP1" s="27"/>
      <c r="LGQ1" s="27"/>
      <c r="LGR1" s="27"/>
      <c r="LGS1" s="27"/>
      <c r="LGT1" s="27"/>
      <c r="LGU1" s="27"/>
      <c r="LGV1" s="27"/>
      <c r="LGW1" s="27"/>
      <c r="LGX1" s="27"/>
      <c r="LGY1" s="27"/>
      <c r="LGZ1" s="27"/>
      <c r="LHA1" s="27"/>
      <c r="LHB1" s="27"/>
      <c r="LHC1" s="27"/>
      <c r="LHD1" s="27"/>
      <c r="LHE1" s="27"/>
      <c r="LHF1" s="27"/>
      <c r="LHG1" s="27"/>
      <c r="LHH1" s="27"/>
      <c r="LHI1" s="27"/>
      <c r="LHJ1" s="27"/>
      <c r="LHK1" s="27"/>
      <c r="LHL1" s="27"/>
      <c r="LHM1" s="27"/>
      <c r="LHN1" s="27"/>
      <c r="LHO1" s="27"/>
      <c r="LHP1" s="27"/>
      <c r="LHQ1" s="27"/>
      <c r="LHR1" s="27"/>
      <c r="LHS1" s="27"/>
      <c r="LHT1" s="27"/>
      <c r="LHU1" s="27"/>
      <c r="LHV1" s="27"/>
      <c r="LHW1" s="27"/>
      <c r="LHX1" s="27"/>
      <c r="LHY1" s="27"/>
      <c r="LHZ1" s="27"/>
      <c r="LIA1" s="27"/>
      <c r="LIB1" s="27"/>
      <c r="LIC1" s="27"/>
      <c r="LID1" s="27"/>
      <c r="LIE1" s="27"/>
      <c r="LIF1" s="27"/>
      <c r="LIG1" s="27"/>
      <c r="LIH1" s="27"/>
      <c r="LII1" s="27"/>
      <c r="LIJ1" s="27"/>
      <c r="LIK1" s="27"/>
      <c r="LIL1" s="27"/>
      <c r="LIM1" s="27"/>
      <c r="LIN1" s="27"/>
      <c r="LIO1" s="27"/>
      <c r="LIP1" s="27"/>
      <c r="LIQ1" s="27"/>
      <c r="LIR1" s="27"/>
      <c r="LIS1" s="27"/>
      <c r="LIT1" s="27"/>
      <c r="LIU1" s="27"/>
      <c r="LIV1" s="27"/>
      <c r="LIW1" s="27"/>
      <c r="LIX1" s="27"/>
      <c r="LIY1" s="27"/>
      <c r="LIZ1" s="27"/>
      <c r="LJA1" s="27"/>
      <c r="LJB1" s="27"/>
      <c r="LJC1" s="27"/>
      <c r="LJD1" s="27"/>
      <c r="LJE1" s="27"/>
      <c r="LJF1" s="27"/>
      <c r="LJG1" s="27"/>
      <c r="LJH1" s="27"/>
      <c r="LJI1" s="27"/>
      <c r="LJJ1" s="27"/>
      <c r="LJK1" s="27"/>
      <c r="LJL1" s="27"/>
      <c r="LJM1" s="27"/>
      <c r="LJN1" s="27"/>
      <c r="LJO1" s="27"/>
      <c r="LJP1" s="27"/>
      <c r="LJQ1" s="27"/>
      <c r="LJR1" s="27"/>
      <c r="LJS1" s="27"/>
      <c r="LJT1" s="27"/>
      <c r="LJU1" s="27"/>
      <c r="LJV1" s="27"/>
      <c r="LJW1" s="27"/>
      <c r="LJX1" s="27"/>
      <c r="LJY1" s="27"/>
      <c r="LJZ1" s="27"/>
      <c r="LKA1" s="27"/>
      <c r="LKB1" s="27"/>
      <c r="LKC1" s="27"/>
      <c r="LKD1" s="27"/>
      <c r="LKE1" s="27"/>
      <c r="LKF1" s="27"/>
      <c r="LKG1" s="27"/>
      <c r="LKH1" s="27"/>
      <c r="LKI1" s="27"/>
      <c r="LKJ1" s="27"/>
      <c r="LKK1" s="27"/>
      <c r="LKL1" s="27"/>
      <c r="LKM1" s="27"/>
      <c r="LKN1" s="27"/>
      <c r="LKO1" s="27"/>
      <c r="LKP1" s="27"/>
      <c r="LKQ1" s="27"/>
      <c r="LKR1" s="27"/>
      <c r="LKS1" s="27"/>
      <c r="LKT1" s="27"/>
      <c r="LKU1" s="27"/>
      <c r="LKV1" s="27"/>
      <c r="LKW1" s="27"/>
      <c r="LKX1" s="27"/>
      <c r="LKY1" s="27"/>
      <c r="LKZ1" s="27"/>
      <c r="LLA1" s="27"/>
      <c r="LLB1" s="27"/>
      <c r="LLC1" s="27"/>
      <c r="LLD1" s="27"/>
      <c r="LLE1" s="27"/>
      <c r="LLF1" s="27"/>
      <c r="LLG1" s="27"/>
      <c r="LLH1" s="27"/>
      <c r="LLI1" s="27"/>
      <c r="LLJ1" s="27"/>
      <c r="LLK1" s="27"/>
      <c r="LLL1" s="27"/>
      <c r="LLM1" s="27"/>
      <c r="LLN1" s="27"/>
      <c r="LLO1" s="27"/>
      <c r="LLP1" s="27"/>
      <c r="LLQ1" s="27"/>
      <c r="LLR1" s="27"/>
      <c r="LLS1" s="27"/>
      <c r="LLT1" s="27"/>
      <c r="LLU1" s="27"/>
      <c r="LLV1" s="27"/>
      <c r="LLW1" s="27"/>
      <c r="LLX1" s="27"/>
      <c r="LLY1" s="27"/>
      <c r="LLZ1" s="27"/>
      <c r="LMA1" s="27"/>
      <c r="LMB1" s="27"/>
      <c r="LMC1" s="27"/>
      <c r="LMD1" s="27"/>
      <c r="LME1" s="27"/>
      <c r="LMF1" s="27"/>
      <c r="LMG1" s="27"/>
      <c r="LMH1" s="27"/>
      <c r="LMI1" s="27"/>
      <c r="LMJ1" s="27"/>
      <c r="LMK1" s="27"/>
      <c r="LML1" s="27"/>
      <c r="LMM1" s="27"/>
      <c r="LMN1" s="27"/>
      <c r="LMO1" s="27"/>
      <c r="LMP1" s="27"/>
      <c r="LMQ1" s="27"/>
      <c r="LMR1" s="27"/>
      <c r="LMS1" s="27"/>
      <c r="LMT1" s="27"/>
      <c r="LMU1" s="27"/>
      <c r="LMV1" s="27"/>
      <c r="LMW1" s="27"/>
      <c r="LMX1" s="27"/>
      <c r="LMY1" s="27"/>
      <c r="LMZ1" s="27"/>
      <c r="LNA1" s="27"/>
      <c r="LNB1" s="27"/>
      <c r="LNC1" s="27"/>
      <c r="LND1" s="27"/>
      <c r="LNE1" s="27"/>
      <c r="LNF1" s="27"/>
      <c r="LNG1" s="27"/>
      <c r="LNH1" s="27"/>
      <c r="LNI1" s="27"/>
      <c r="LNJ1" s="27"/>
      <c r="LNK1" s="27"/>
      <c r="LNL1" s="27"/>
      <c r="LNM1" s="27"/>
      <c r="LNN1" s="27"/>
      <c r="LNO1" s="27"/>
      <c r="LNP1" s="27"/>
      <c r="LNQ1" s="27"/>
      <c r="LNR1" s="27"/>
      <c r="LNS1" s="27"/>
      <c r="LNT1" s="27"/>
      <c r="LNU1" s="27"/>
      <c r="LNV1" s="27"/>
      <c r="LNW1" s="27"/>
      <c r="LNX1" s="27"/>
      <c r="LNY1" s="27"/>
      <c r="LNZ1" s="27"/>
      <c r="LOA1" s="27"/>
      <c r="LOB1" s="27"/>
      <c r="LOC1" s="27"/>
      <c r="LOD1" s="27"/>
      <c r="LOE1" s="27"/>
      <c r="LOF1" s="27"/>
      <c r="LOG1" s="27"/>
      <c r="LOH1" s="27"/>
      <c r="LOI1" s="27"/>
      <c r="LOJ1" s="27"/>
      <c r="LOK1" s="27"/>
      <c r="LOL1" s="27"/>
      <c r="LOM1" s="27"/>
      <c r="LON1" s="27"/>
      <c r="LOO1" s="27"/>
      <c r="LOP1" s="27"/>
      <c r="LOQ1" s="27"/>
      <c r="LOR1" s="27"/>
      <c r="LOS1" s="27"/>
      <c r="LOT1" s="27"/>
      <c r="LOU1" s="27"/>
      <c r="LOV1" s="27"/>
      <c r="LOW1" s="27"/>
      <c r="LOX1" s="27"/>
      <c r="LOY1" s="27"/>
      <c r="LOZ1" s="27"/>
      <c r="LPA1" s="27"/>
      <c r="LPB1" s="27"/>
      <c r="LPC1" s="27"/>
      <c r="LPD1" s="27"/>
      <c r="LPE1" s="27"/>
      <c r="LPF1" s="27"/>
      <c r="LPG1" s="27"/>
      <c r="LPH1" s="27"/>
      <c r="LPI1" s="27"/>
      <c r="LPJ1" s="27"/>
      <c r="LPK1" s="27"/>
      <c r="LPL1" s="27"/>
      <c r="LPM1" s="27"/>
      <c r="LPN1" s="27"/>
      <c r="LPO1" s="27"/>
      <c r="LPP1" s="27"/>
      <c r="LPQ1" s="27"/>
      <c r="LPR1" s="27"/>
      <c r="LPS1" s="27"/>
      <c r="LPT1" s="27"/>
      <c r="LPU1" s="27"/>
      <c r="LPV1" s="27"/>
      <c r="LPW1" s="27"/>
      <c r="LPX1" s="27"/>
      <c r="LPY1" s="27"/>
      <c r="LPZ1" s="27"/>
      <c r="LQA1" s="27"/>
      <c r="LQB1" s="27"/>
      <c r="LQC1" s="27"/>
      <c r="LQD1" s="27"/>
      <c r="LQE1" s="27"/>
      <c r="LQF1" s="27"/>
      <c r="LQG1" s="27"/>
      <c r="LQH1" s="27"/>
      <c r="LQI1" s="27"/>
      <c r="LQJ1" s="27"/>
      <c r="LQK1" s="27"/>
      <c r="LQL1" s="27"/>
      <c r="LQM1" s="27"/>
      <c r="LQN1" s="27"/>
      <c r="LQO1" s="27"/>
      <c r="LQP1" s="27"/>
      <c r="LQQ1" s="27"/>
      <c r="LQR1" s="27"/>
      <c r="LQS1" s="27"/>
      <c r="LQT1" s="27"/>
      <c r="LQU1" s="27"/>
      <c r="LQV1" s="27"/>
      <c r="LQW1" s="27"/>
      <c r="LQX1" s="27"/>
      <c r="LQY1" s="27"/>
      <c r="LQZ1" s="27"/>
      <c r="LRA1" s="27"/>
      <c r="LRB1" s="27"/>
      <c r="LRC1" s="27"/>
      <c r="LRD1" s="27"/>
      <c r="LRE1" s="27"/>
      <c r="LRF1" s="27"/>
      <c r="LRG1" s="27"/>
      <c r="LRH1" s="27"/>
      <c r="LRI1" s="27"/>
      <c r="LRJ1" s="27"/>
      <c r="LRK1" s="27"/>
      <c r="LRL1" s="27"/>
      <c r="LRM1" s="27"/>
      <c r="LRN1" s="27"/>
      <c r="LRO1" s="27"/>
      <c r="LRP1" s="27"/>
      <c r="LRQ1" s="27"/>
      <c r="LRR1" s="27"/>
      <c r="LRS1" s="27"/>
      <c r="LRT1" s="27"/>
      <c r="LRU1" s="27"/>
      <c r="LRV1" s="27"/>
      <c r="LRW1" s="27"/>
      <c r="LRX1" s="27"/>
      <c r="LRY1" s="27"/>
      <c r="LRZ1" s="27"/>
      <c r="LSA1" s="27"/>
      <c r="LSB1" s="27"/>
      <c r="LSC1" s="27"/>
      <c r="LSD1" s="27"/>
      <c r="LSE1" s="27"/>
      <c r="LSF1" s="27"/>
      <c r="LSG1" s="27"/>
      <c r="LSH1" s="27"/>
      <c r="LSI1" s="27"/>
      <c r="LSJ1" s="27"/>
      <c r="LSK1" s="27"/>
      <c r="LSL1" s="27"/>
      <c r="LSM1" s="27"/>
      <c r="LSN1" s="27"/>
      <c r="LSO1" s="27"/>
      <c r="LSP1" s="27"/>
      <c r="LSQ1" s="27"/>
      <c r="LSR1" s="27"/>
      <c r="LSS1" s="27"/>
      <c r="LST1" s="27"/>
      <c r="LSU1" s="27"/>
      <c r="LSV1" s="27"/>
      <c r="LSW1" s="27"/>
      <c r="LSX1" s="27"/>
      <c r="LSY1" s="27"/>
      <c r="LSZ1" s="27"/>
      <c r="LTA1" s="27"/>
      <c r="LTB1" s="27"/>
      <c r="LTC1" s="27"/>
      <c r="LTD1" s="27"/>
      <c r="LTE1" s="27"/>
      <c r="LTF1" s="27"/>
      <c r="LTG1" s="27"/>
      <c r="LTH1" s="27"/>
      <c r="LTI1" s="27"/>
      <c r="LTJ1" s="27"/>
      <c r="LTK1" s="27"/>
      <c r="LTL1" s="27"/>
      <c r="LTM1" s="27"/>
      <c r="LTN1" s="27"/>
      <c r="LTO1" s="27"/>
      <c r="LTP1" s="27"/>
      <c r="LTQ1" s="27"/>
      <c r="LTR1" s="27"/>
      <c r="LTS1" s="27"/>
      <c r="LTT1" s="27"/>
      <c r="LTU1" s="27"/>
      <c r="LTV1" s="27"/>
      <c r="LTW1" s="27"/>
      <c r="LTX1" s="27"/>
      <c r="LTY1" s="27"/>
      <c r="LTZ1" s="27"/>
      <c r="LUA1" s="27"/>
      <c r="LUB1" s="27"/>
      <c r="LUC1" s="27"/>
      <c r="LUD1" s="27"/>
      <c r="LUE1" s="27"/>
      <c r="LUF1" s="27"/>
      <c r="LUG1" s="27"/>
      <c r="LUH1" s="27"/>
      <c r="LUI1" s="27"/>
      <c r="LUJ1" s="27"/>
      <c r="LUK1" s="27"/>
      <c r="LUL1" s="27"/>
      <c r="LUM1" s="27"/>
      <c r="LUN1" s="27"/>
      <c r="LUO1" s="27"/>
      <c r="LUP1" s="27"/>
      <c r="LUQ1" s="27"/>
      <c r="LUR1" s="27"/>
      <c r="LUS1" s="27"/>
      <c r="LUT1" s="27"/>
      <c r="LUU1" s="27"/>
      <c r="LUV1" s="27"/>
      <c r="LUW1" s="27"/>
      <c r="LUX1" s="27"/>
      <c r="LUY1" s="27"/>
      <c r="LUZ1" s="27"/>
      <c r="LVA1" s="27"/>
      <c r="LVB1" s="27"/>
      <c r="LVC1" s="27"/>
      <c r="LVD1" s="27"/>
      <c r="LVE1" s="27"/>
      <c r="LVF1" s="27"/>
      <c r="LVG1" s="27"/>
      <c r="LVH1" s="27"/>
      <c r="LVI1" s="27"/>
      <c r="LVJ1" s="27"/>
      <c r="LVK1" s="27"/>
      <c r="LVL1" s="27"/>
      <c r="LVM1" s="27"/>
      <c r="LVN1" s="27"/>
      <c r="LVO1" s="27"/>
      <c r="LVP1" s="27"/>
      <c r="LVQ1" s="27"/>
      <c r="LVR1" s="27"/>
      <c r="LVS1" s="27"/>
      <c r="LVT1" s="27"/>
      <c r="LVU1" s="27"/>
      <c r="LVV1" s="27"/>
      <c r="LVW1" s="27"/>
      <c r="LVX1" s="27"/>
      <c r="LVY1" s="27"/>
      <c r="LVZ1" s="27"/>
      <c r="LWA1" s="27"/>
      <c r="LWB1" s="27"/>
      <c r="LWC1" s="27"/>
      <c r="LWD1" s="27"/>
      <c r="LWE1" s="27"/>
      <c r="LWF1" s="27"/>
      <c r="LWG1" s="27"/>
      <c r="LWH1" s="27"/>
      <c r="LWI1" s="27"/>
      <c r="LWJ1" s="27"/>
      <c r="LWK1" s="27"/>
      <c r="LWL1" s="27"/>
      <c r="LWM1" s="27"/>
      <c r="LWN1" s="27"/>
      <c r="LWO1" s="27"/>
      <c r="LWP1" s="27"/>
      <c r="LWQ1" s="27"/>
      <c r="LWR1" s="27"/>
      <c r="LWS1" s="27"/>
      <c r="LWT1" s="27"/>
      <c r="LWU1" s="27"/>
      <c r="LWV1" s="27"/>
      <c r="LWW1" s="27"/>
      <c r="LWX1" s="27"/>
      <c r="LWY1" s="27"/>
      <c r="LWZ1" s="27"/>
      <c r="LXA1" s="27"/>
      <c r="LXB1" s="27"/>
      <c r="LXC1" s="27"/>
      <c r="LXD1" s="27"/>
      <c r="LXE1" s="27"/>
      <c r="LXF1" s="27"/>
      <c r="LXG1" s="27"/>
      <c r="LXH1" s="27"/>
      <c r="LXI1" s="27"/>
      <c r="LXJ1" s="27"/>
      <c r="LXK1" s="27"/>
      <c r="LXL1" s="27"/>
      <c r="LXM1" s="27"/>
      <c r="LXN1" s="27"/>
      <c r="LXO1" s="27"/>
      <c r="LXP1" s="27"/>
      <c r="LXQ1" s="27"/>
      <c r="LXR1" s="27"/>
      <c r="LXS1" s="27"/>
      <c r="LXT1" s="27"/>
      <c r="LXU1" s="27"/>
      <c r="LXV1" s="27"/>
      <c r="LXW1" s="27"/>
      <c r="LXX1" s="27"/>
      <c r="LXY1" s="27"/>
      <c r="LXZ1" s="27"/>
      <c r="LYA1" s="27"/>
      <c r="LYB1" s="27"/>
      <c r="LYC1" s="27"/>
      <c r="LYD1" s="27"/>
      <c r="LYE1" s="27"/>
      <c r="LYF1" s="27"/>
      <c r="LYG1" s="27"/>
      <c r="LYH1" s="27"/>
      <c r="LYI1" s="27"/>
      <c r="LYJ1" s="27"/>
      <c r="LYK1" s="27"/>
      <c r="LYL1" s="27"/>
      <c r="LYM1" s="27"/>
      <c r="LYN1" s="27"/>
      <c r="LYO1" s="27"/>
      <c r="LYP1" s="27"/>
      <c r="LYQ1" s="27"/>
      <c r="LYR1" s="27"/>
      <c r="LYS1" s="27"/>
      <c r="LYT1" s="27"/>
      <c r="LYU1" s="27"/>
      <c r="LYV1" s="27"/>
      <c r="LYW1" s="27"/>
      <c r="LYX1" s="27"/>
      <c r="LYY1" s="27"/>
      <c r="LYZ1" s="27"/>
      <c r="LZA1" s="27"/>
      <c r="LZB1" s="27"/>
      <c r="LZC1" s="27"/>
      <c r="LZD1" s="27"/>
      <c r="LZE1" s="27"/>
      <c r="LZF1" s="27"/>
      <c r="LZG1" s="27"/>
      <c r="LZH1" s="27"/>
      <c r="LZI1" s="27"/>
      <c r="LZJ1" s="27"/>
      <c r="LZK1" s="27"/>
      <c r="LZL1" s="27"/>
      <c r="LZM1" s="27"/>
      <c r="LZN1" s="27"/>
      <c r="LZO1" s="27"/>
      <c r="LZP1" s="27"/>
      <c r="LZQ1" s="27"/>
      <c r="LZR1" s="27"/>
      <c r="LZS1" s="27"/>
      <c r="LZT1" s="27"/>
      <c r="LZU1" s="27"/>
      <c r="LZV1" s="27"/>
      <c r="LZW1" s="27"/>
      <c r="LZX1" s="27"/>
      <c r="LZY1" s="27"/>
      <c r="LZZ1" s="27"/>
      <c r="MAA1" s="27"/>
      <c r="MAB1" s="27"/>
      <c r="MAC1" s="27"/>
      <c r="MAD1" s="27"/>
      <c r="MAE1" s="27"/>
      <c r="MAF1" s="27"/>
      <c r="MAG1" s="27"/>
      <c r="MAH1" s="27"/>
      <c r="MAI1" s="27"/>
      <c r="MAJ1" s="27"/>
      <c r="MAK1" s="27"/>
      <c r="MAL1" s="27"/>
      <c r="MAM1" s="27"/>
      <c r="MAN1" s="27"/>
      <c r="MAO1" s="27"/>
      <c r="MAP1" s="27"/>
      <c r="MAQ1" s="27"/>
      <c r="MAR1" s="27"/>
      <c r="MAS1" s="27"/>
      <c r="MAT1" s="27"/>
      <c r="MAU1" s="27"/>
      <c r="MAV1" s="27"/>
      <c r="MAW1" s="27"/>
      <c r="MAX1" s="27"/>
      <c r="MAY1" s="27"/>
      <c r="MAZ1" s="27"/>
      <c r="MBA1" s="27"/>
      <c r="MBB1" s="27"/>
      <c r="MBC1" s="27"/>
      <c r="MBD1" s="27"/>
      <c r="MBE1" s="27"/>
      <c r="MBF1" s="27"/>
      <c r="MBG1" s="27"/>
      <c r="MBH1" s="27"/>
      <c r="MBI1" s="27"/>
      <c r="MBJ1" s="27"/>
      <c r="MBK1" s="27"/>
      <c r="MBL1" s="27"/>
      <c r="MBM1" s="27"/>
      <c r="MBN1" s="27"/>
      <c r="MBO1" s="27"/>
      <c r="MBP1" s="27"/>
      <c r="MBQ1" s="27"/>
      <c r="MBR1" s="27"/>
      <c r="MBS1" s="27"/>
      <c r="MBT1" s="27"/>
      <c r="MBU1" s="27"/>
      <c r="MBV1" s="27"/>
      <c r="MBW1" s="27"/>
      <c r="MBX1" s="27"/>
      <c r="MBY1" s="27"/>
      <c r="MBZ1" s="27"/>
      <c r="MCA1" s="27"/>
      <c r="MCB1" s="27"/>
      <c r="MCC1" s="27"/>
      <c r="MCD1" s="27"/>
      <c r="MCE1" s="27"/>
      <c r="MCF1" s="27"/>
      <c r="MCG1" s="27"/>
      <c r="MCH1" s="27"/>
      <c r="MCI1" s="27"/>
      <c r="MCJ1" s="27"/>
      <c r="MCK1" s="27"/>
      <c r="MCL1" s="27"/>
      <c r="MCM1" s="27"/>
      <c r="MCN1" s="27"/>
      <c r="MCO1" s="27"/>
      <c r="MCP1" s="27"/>
      <c r="MCQ1" s="27"/>
      <c r="MCR1" s="27"/>
      <c r="MCS1" s="27"/>
      <c r="MCT1" s="27"/>
      <c r="MCU1" s="27"/>
      <c r="MCV1" s="27"/>
      <c r="MCW1" s="27"/>
      <c r="MCX1" s="27"/>
      <c r="MCY1" s="27"/>
      <c r="MCZ1" s="27"/>
      <c r="MDA1" s="27"/>
      <c r="MDB1" s="27"/>
      <c r="MDC1" s="27"/>
      <c r="MDD1" s="27"/>
      <c r="MDE1" s="27"/>
      <c r="MDF1" s="27"/>
      <c r="MDG1" s="27"/>
      <c r="MDH1" s="27"/>
      <c r="MDI1" s="27"/>
      <c r="MDJ1" s="27"/>
      <c r="MDK1" s="27"/>
      <c r="MDL1" s="27"/>
      <c r="MDM1" s="27"/>
      <c r="MDN1" s="27"/>
      <c r="MDO1" s="27"/>
      <c r="MDP1" s="27"/>
      <c r="MDQ1" s="27"/>
      <c r="MDR1" s="27"/>
      <c r="MDS1" s="27"/>
      <c r="MDT1" s="27"/>
      <c r="MDU1" s="27"/>
      <c r="MDV1" s="27"/>
      <c r="MDW1" s="27"/>
      <c r="MDX1" s="27"/>
      <c r="MDY1" s="27"/>
      <c r="MDZ1" s="27"/>
      <c r="MEA1" s="27"/>
      <c r="MEB1" s="27"/>
      <c r="MEC1" s="27"/>
      <c r="MED1" s="27"/>
      <c r="MEE1" s="27"/>
      <c r="MEF1" s="27"/>
      <c r="MEG1" s="27"/>
      <c r="MEH1" s="27"/>
      <c r="MEI1" s="27"/>
      <c r="MEJ1" s="27"/>
      <c r="MEK1" s="27"/>
      <c r="MEL1" s="27"/>
      <c r="MEM1" s="27"/>
      <c r="MEN1" s="27"/>
      <c r="MEO1" s="27"/>
      <c r="MEP1" s="27"/>
      <c r="MEQ1" s="27"/>
      <c r="MER1" s="27"/>
      <c r="MES1" s="27"/>
      <c r="MET1" s="27"/>
      <c r="MEU1" s="27"/>
      <c r="MEV1" s="27"/>
      <c r="MEW1" s="27"/>
      <c r="MEX1" s="27"/>
      <c r="MEY1" s="27"/>
      <c r="MEZ1" s="27"/>
      <c r="MFA1" s="27"/>
      <c r="MFB1" s="27"/>
      <c r="MFC1" s="27"/>
      <c r="MFD1" s="27"/>
      <c r="MFE1" s="27"/>
      <c r="MFF1" s="27"/>
      <c r="MFG1" s="27"/>
      <c r="MFH1" s="27"/>
      <c r="MFI1" s="27"/>
      <c r="MFJ1" s="27"/>
      <c r="MFK1" s="27"/>
      <c r="MFL1" s="27"/>
      <c r="MFM1" s="27"/>
      <c r="MFN1" s="27"/>
      <c r="MFO1" s="27"/>
      <c r="MFP1" s="27"/>
      <c r="MFQ1" s="27"/>
      <c r="MFR1" s="27"/>
      <c r="MFS1" s="27"/>
      <c r="MFT1" s="27"/>
      <c r="MFU1" s="27"/>
      <c r="MFV1" s="27"/>
      <c r="MFW1" s="27"/>
      <c r="MFX1" s="27"/>
      <c r="MFY1" s="27"/>
      <c r="MFZ1" s="27"/>
      <c r="MGA1" s="27"/>
      <c r="MGB1" s="27"/>
      <c r="MGC1" s="27"/>
      <c r="MGD1" s="27"/>
      <c r="MGE1" s="27"/>
      <c r="MGF1" s="27"/>
      <c r="MGG1" s="27"/>
      <c r="MGH1" s="27"/>
      <c r="MGI1" s="27"/>
      <c r="MGJ1" s="27"/>
      <c r="MGK1" s="27"/>
      <c r="MGL1" s="27"/>
      <c r="MGM1" s="27"/>
      <c r="MGN1" s="27"/>
      <c r="MGO1" s="27"/>
      <c r="MGP1" s="27"/>
      <c r="MGQ1" s="27"/>
      <c r="MGR1" s="27"/>
      <c r="MGS1" s="27"/>
      <c r="MGT1" s="27"/>
      <c r="MGU1" s="27"/>
      <c r="MGV1" s="27"/>
      <c r="MGW1" s="27"/>
      <c r="MGX1" s="27"/>
      <c r="MGY1" s="27"/>
      <c r="MGZ1" s="27"/>
      <c r="MHA1" s="27"/>
      <c r="MHB1" s="27"/>
      <c r="MHC1" s="27"/>
      <c r="MHD1" s="27"/>
      <c r="MHE1" s="27"/>
      <c r="MHF1" s="27"/>
      <c r="MHG1" s="27"/>
      <c r="MHH1" s="27"/>
      <c r="MHI1" s="27"/>
      <c r="MHJ1" s="27"/>
      <c r="MHK1" s="27"/>
      <c r="MHL1" s="27"/>
      <c r="MHM1" s="27"/>
      <c r="MHN1" s="27"/>
      <c r="MHO1" s="27"/>
      <c r="MHP1" s="27"/>
      <c r="MHQ1" s="27"/>
      <c r="MHR1" s="27"/>
      <c r="MHS1" s="27"/>
      <c r="MHT1" s="27"/>
      <c r="MHU1" s="27"/>
      <c r="MHV1" s="27"/>
      <c r="MHW1" s="27"/>
      <c r="MHX1" s="27"/>
      <c r="MHY1" s="27"/>
      <c r="MHZ1" s="27"/>
      <c r="MIA1" s="27"/>
      <c r="MIB1" s="27"/>
      <c r="MIC1" s="27"/>
      <c r="MID1" s="27"/>
      <c r="MIE1" s="27"/>
      <c r="MIF1" s="27"/>
      <c r="MIG1" s="27"/>
      <c r="MIH1" s="27"/>
      <c r="MII1" s="27"/>
      <c r="MIJ1" s="27"/>
      <c r="MIK1" s="27"/>
      <c r="MIL1" s="27"/>
      <c r="MIM1" s="27"/>
      <c r="MIN1" s="27"/>
      <c r="MIO1" s="27"/>
      <c r="MIP1" s="27"/>
      <c r="MIQ1" s="27"/>
      <c r="MIR1" s="27"/>
      <c r="MIS1" s="27"/>
      <c r="MIT1" s="27"/>
      <c r="MIU1" s="27"/>
      <c r="MIV1" s="27"/>
      <c r="MIW1" s="27"/>
      <c r="MIX1" s="27"/>
      <c r="MIY1" s="27"/>
      <c r="MIZ1" s="27"/>
      <c r="MJA1" s="27"/>
      <c r="MJB1" s="27"/>
      <c r="MJC1" s="27"/>
      <c r="MJD1" s="27"/>
      <c r="MJE1" s="27"/>
      <c r="MJF1" s="27"/>
      <c r="MJG1" s="27"/>
      <c r="MJH1" s="27"/>
      <c r="MJI1" s="27"/>
      <c r="MJJ1" s="27"/>
      <c r="MJK1" s="27"/>
      <c r="MJL1" s="27"/>
      <c r="MJM1" s="27"/>
      <c r="MJN1" s="27"/>
      <c r="MJO1" s="27"/>
      <c r="MJP1" s="27"/>
      <c r="MJQ1" s="27"/>
      <c r="MJR1" s="27"/>
      <c r="MJS1" s="27"/>
      <c r="MJT1" s="27"/>
      <c r="MJU1" s="27"/>
      <c r="MJV1" s="27"/>
      <c r="MJW1" s="27"/>
      <c r="MJX1" s="27"/>
      <c r="MJY1" s="27"/>
      <c r="MJZ1" s="27"/>
      <c r="MKA1" s="27"/>
      <c r="MKB1" s="27"/>
      <c r="MKC1" s="27"/>
      <c r="MKD1" s="27"/>
      <c r="MKE1" s="27"/>
      <c r="MKF1" s="27"/>
      <c r="MKG1" s="27"/>
      <c r="MKH1" s="27"/>
      <c r="MKI1" s="27"/>
      <c r="MKJ1" s="27"/>
      <c r="MKK1" s="27"/>
      <c r="MKL1" s="27"/>
      <c r="MKM1" s="27"/>
      <c r="MKN1" s="27"/>
      <c r="MKO1" s="27"/>
      <c r="MKP1" s="27"/>
      <c r="MKQ1" s="27"/>
      <c r="MKR1" s="27"/>
      <c r="MKS1" s="27"/>
      <c r="MKT1" s="27"/>
      <c r="MKU1" s="27"/>
      <c r="MKV1" s="27"/>
      <c r="MKW1" s="27"/>
      <c r="MKX1" s="27"/>
      <c r="MKY1" s="27"/>
      <c r="MKZ1" s="27"/>
      <c r="MLA1" s="27"/>
      <c r="MLB1" s="27"/>
      <c r="MLC1" s="27"/>
      <c r="MLD1" s="27"/>
      <c r="MLE1" s="27"/>
      <c r="MLF1" s="27"/>
      <c r="MLG1" s="27"/>
      <c r="MLH1" s="27"/>
      <c r="MLI1" s="27"/>
      <c r="MLJ1" s="27"/>
      <c r="MLK1" s="27"/>
      <c r="MLL1" s="27"/>
      <c r="MLM1" s="27"/>
      <c r="MLN1" s="27"/>
      <c r="MLO1" s="27"/>
      <c r="MLP1" s="27"/>
      <c r="MLQ1" s="27"/>
      <c r="MLR1" s="27"/>
      <c r="MLS1" s="27"/>
      <c r="MLT1" s="27"/>
      <c r="MLU1" s="27"/>
      <c r="MLV1" s="27"/>
      <c r="MLW1" s="27"/>
      <c r="MLX1" s="27"/>
      <c r="MLY1" s="27"/>
      <c r="MLZ1" s="27"/>
      <c r="MMA1" s="27"/>
      <c r="MMB1" s="27"/>
      <c r="MMC1" s="27"/>
      <c r="MMD1" s="27"/>
      <c r="MME1" s="27"/>
      <c r="MMF1" s="27"/>
      <c r="MMG1" s="27"/>
      <c r="MMH1" s="27"/>
      <c r="MMI1" s="27"/>
      <c r="MMJ1" s="27"/>
      <c r="MMK1" s="27"/>
      <c r="MML1" s="27"/>
      <c r="MMM1" s="27"/>
      <c r="MMN1" s="27"/>
      <c r="MMO1" s="27"/>
      <c r="MMP1" s="27"/>
      <c r="MMQ1" s="27"/>
      <c r="MMR1" s="27"/>
      <c r="MMS1" s="27"/>
      <c r="MMT1" s="27"/>
      <c r="MMU1" s="27"/>
      <c r="MMV1" s="27"/>
      <c r="MMW1" s="27"/>
      <c r="MMX1" s="27"/>
      <c r="MMY1" s="27"/>
      <c r="MMZ1" s="27"/>
      <c r="MNA1" s="27"/>
      <c r="MNB1" s="27"/>
      <c r="MNC1" s="27"/>
      <c r="MND1" s="27"/>
      <c r="MNE1" s="27"/>
      <c r="MNF1" s="27"/>
      <c r="MNG1" s="27"/>
      <c r="MNH1" s="27"/>
      <c r="MNI1" s="27"/>
      <c r="MNJ1" s="27"/>
      <c r="MNK1" s="27"/>
      <c r="MNL1" s="27"/>
      <c r="MNM1" s="27"/>
      <c r="MNN1" s="27"/>
      <c r="MNO1" s="27"/>
      <c r="MNP1" s="27"/>
      <c r="MNQ1" s="27"/>
      <c r="MNR1" s="27"/>
      <c r="MNS1" s="27"/>
      <c r="MNT1" s="27"/>
      <c r="MNU1" s="27"/>
      <c r="MNV1" s="27"/>
      <c r="MNW1" s="27"/>
      <c r="MNX1" s="27"/>
      <c r="MNY1" s="27"/>
      <c r="MNZ1" s="27"/>
      <c r="MOA1" s="27"/>
      <c r="MOB1" s="27"/>
      <c r="MOC1" s="27"/>
      <c r="MOD1" s="27"/>
      <c r="MOE1" s="27"/>
      <c r="MOF1" s="27"/>
      <c r="MOG1" s="27"/>
      <c r="MOH1" s="27"/>
      <c r="MOI1" s="27"/>
      <c r="MOJ1" s="27"/>
      <c r="MOK1" s="27"/>
      <c r="MOL1" s="27"/>
      <c r="MOM1" s="27"/>
      <c r="MON1" s="27"/>
      <c r="MOO1" s="27"/>
      <c r="MOP1" s="27"/>
      <c r="MOQ1" s="27"/>
      <c r="MOR1" s="27"/>
      <c r="MOS1" s="27"/>
      <c r="MOT1" s="27"/>
      <c r="MOU1" s="27"/>
      <c r="MOV1" s="27"/>
      <c r="MOW1" s="27"/>
      <c r="MOX1" s="27"/>
      <c r="MOY1" s="27"/>
      <c r="MOZ1" s="27"/>
      <c r="MPA1" s="27"/>
      <c r="MPB1" s="27"/>
      <c r="MPC1" s="27"/>
      <c r="MPD1" s="27"/>
      <c r="MPE1" s="27"/>
      <c r="MPF1" s="27"/>
      <c r="MPG1" s="27"/>
      <c r="MPH1" s="27"/>
      <c r="MPI1" s="27"/>
      <c r="MPJ1" s="27"/>
      <c r="MPK1" s="27"/>
      <c r="MPL1" s="27"/>
      <c r="MPM1" s="27"/>
      <c r="MPN1" s="27"/>
      <c r="MPO1" s="27"/>
      <c r="MPP1" s="27"/>
      <c r="MPQ1" s="27"/>
      <c r="MPR1" s="27"/>
      <c r="MPS1" s="27"/>
      <c r="MPT1" s="27"/>
      <c r="MPU1" s="27"/>
      <c r="MPV1" s="27"/>
      <c r="MPW1" s="27"/>
      <c r="MPX1" s="27"/>
      <c r="MPY1" s="27"/>
      <c r="MPZ1" s="27"/>
      <c r="MQA1" s="27"/>
      <c r="MQB1" s="27"/>
      <c r="MQC1" s="27"/>
      <c r="MQD1" s="27"/>
      <c r="MQE1" s="27"/>
      <c r="MQF1" s="27"/>
      <c r="MQG1" s="27"/>
      <c r="MQH1" s="27"/>
      <c r="MQI1" s="27"/>
      <c r="MQJ1" s="27"/>
      <c r="MQK1" s="27"/>
      <c r="MQL1" s="27"/>
      <c r="MQM1" s="27"/>
      <c r="MQN1" s="27"/>
      <c r="MQO1" s="27"/>
      <c r="MQP1" s="27"/>
      <c r="MQQ1" s="27"/>
      <c r="MQR1" s="27"/>
      <c r="MQS1" s="27"/>
      <c r="MQT1" s="27"/>
      <c r="MQU1" s="27"/>
      <c r="MQV1" s="27"/>
      <c r="MQW1" s="27"/>
      <c r="MQX1" s="27"/>
      <c r="MQY1" s="27"/>
      <c r="MQZ1" s="27"/>
      <c r="MRA1" s="27"/>
      <c r="MRB1" s="27"/>
      <c r="MRC1" s="27"/>
      <c r="MRD1" s="27"/>
      <c r="MRE1" s="27"/>
      <c r="MRF1" s="27"/>
      <c r="MRG1" s="27"/>
      <c r="MRH1" s="27"/>
      <c r="MRI1" s="27"/>
      <c r="MRJ1" s="27"/>
      <c r="MRK1" s="27"/>
      <c r="MRL1" s="27"/>
      <c r="MRM1" s="27"/>
      <c r="MRN1" s="27"/>
      <c r="MRO1" s="27"/>
      <c r="MRP1" s="27"/>
      <c r="MRQ1" s="27"/>
      <c r="MRR1" s="27"/>
      <c r="MRS1" s="27"/>
      <c r="MRT1" s="27"/>
      <c r="MRU1" s="27"/>
      <c r="MRV1" s="27"/>
      <c r="MRW1" s="27"/>
      <c r="MRX1" s="27"/>
      <c r="MRY1" s="27"/>
      <c r="MRZ1" s="27"/>
      <c r="MSA1" s="27"/>
      <c r="MSB1" s="27"/>
      <c r="MSC1" s="27"/>
      <c r="MSD1" s="27"/>
      <c r="MSE1" s="27"/>
      <c r="MSF1" s="27"/>
      <c r="MSG1" s="27"/>
      <c r="MSH1" s="27"/>
      <c r="MSI1" s="27"/>
      <c r="MSJ1" s="27"/>
      <c r="MSK1" s="27"/>
      <c r="MSL1" s="27"/>
      <c r="MSM1" s="27"/>
      <c r="MSN1" s="27"/>
      <c r="MSO1" s="27"/>
      <c r="MSP1" s="27"/>
      <c r="MSQ1" s="27"/>
      <c r="MSR1" s="27"/>
      <c r="MSS1" s="27"/>
      <c r="MST1" s="27"/>
      <c r="MSU1" s="27"/>
      <c r="MSV1" s="27"/>
      <c r="MSW1" s="27"/>
      <c r="MSX1" s="27"/>
      <c r="MSY1" s="27"/>
      <c r="MSZ1" s="27"/>
      <c r="MTA1" s="27"/>
      <c r="MTB1" s="27"/>
      <c r="MTC1" s="27"/>
      <c r="MTD1" s="27"/>
      <c r="MTE1" s="27"/>
      <c r="MTF1" s="27"/>
      <c r="MTG1" s="27"/>
      <c r="MTH1" s="27"/>
      <c r="MTI1" s="27"/>
      <c r="MTJ1" s="27"/>
      <c r="MTK1" s="27"/>
      <c r="MTL1" s="27"/>
      <c r="MTM1" s="27"/>
      <c r="MTN1" s="27"/>
      <c r="MTO1" s="27"/>
      <c r="MTP1" s="27"/>
      <c r="MTQ1" s="27"/>
      <c r="MTR1" s="27"/>
      <c r="MTS1" s="27"/>
      <c r="MTT1" s="27"/>
      <c r="MTU1" s="27"/>
      <c r="MTV1" s="27"/>
      <c r="MTW1" s="27"/>
      <c r="MTX1" s="27"/>
      <c r="MTY1" s="27"/>
      <c r="MTZ1" s="27"/>
      <c r="MUA1" s="27"/>
      <c r="MUB1" s="27"/>
      <c r="MUC1" s="27"/>
      <c r="MUD1" s="27"/>
      <c r="MUE1" s="27"/>
      <c r="MUF1" s="27"/>
      <c r="MUG1" s="27"/>
      <c r="MUH1" s="27"/>
      <c r="MUI1" s="27"/>
      <c r="MUJ1" s="27"/>
      <c r="MUK1" s="27"/>
      <c r="MUL1" s="27"/>
      <c r="MUM1" s="27"/>
      <c r="MUN1" s="27"/>
      <c r="MUO1" s="27"/>
      <c r="MUP1" s="27"/>
      <c r="MUQ1" s="27"/>
      <c r="MUR1" s="27"/>
      <c r="MUS1" s="27"/>
      <c r="MUT1" s="27"/>
      <c r="MUU1" s="27"/>
      <c r="MUV1" s="27"/>
      <c r="MUW1" s="27"/>
      <c r="MUX1" s="27"/>
      <c r="MUY1" s="27"/>
      <c r="MUZ1" s="27"/>
      <c r="MVA1" s="27"/>
      <c r="MVB1" s="27"/>
      <c r="MVC1" s="27"/>
      <c r="MVD1" s="27"/>
      <c r="MVE1" s="27"/>
      <c r="MVF1" s="27"/>
      <c r="MVG1" s="27"/>
      <c r="MVH1" s="27"/>
      <c r="MVI1" s="27"/>
      <c r="MVJ1" s="27"/>
      <c r="MVK1" s="27"/>
      <c r="MVL1" s="27"/>
      <c r="MVM1" s="27"/>
      <c r="MVN1" s="27"/>
      <c r="MVO1" s="27"/>
      <c r="MVP1" s="27"/>
      <c r="MVQ1" s="27"/>
      <c r="MVR1" s="27"/>
      <c r="MVS1" s="27"/>
      <c r="MVT1" s="27"/>
      <c r="MVU1" s="27"/>
      <c r="MVV1" s="27"/>
      <c r="MVW1" s="27"/>
      <c r="MVX1" s="27"/>
      <c r="MVY1" s="27"/>
      <c r="MVZ1" s="27"/>
      <c r="MWA1" s="27"/>
      <c r="MWB1" s="27"/>
      <c r="MWC1" s="27"/>
      <c r="MWD1" s="27"/>
      <c r="MWE1" s="27"/>
      <c r="MWF1" s="27"/>
      <c r="MWG1" s="27"/>
      <c r="MWH1" s="27"/>
      <c r="MWI1" s="27"/>
      <c r="MWJ1" s="27"/>
      <c r="MWK1" s="27"/>
      <c r="MWL1" s="27"/>
      <c r="MWM1" s="27"/>
      <c r="MWN1" s="27"/>
      <c r="MWO1" s="27"/>
      <c r="MWP1" s="27"/>
      <c r="MWQ1" s="27"/>
      <c r="MWR1" s="27"/>
      <c r="MWS1" s="27"/>
      <c r="MWT1" s="27"/>
      <c r="MWU1" s="27"/>
      <c r="MWV1" s="27"/>
      <c r="MWW1" s="27"/>
      <c r="MWX1" s="27"/>
      <c r="MWY1" s="27"/>
      <c r="MWZ1" s="27"/>
      <c r="MXA1" s="27"/>
      <c r="MXB1" s="27"/>
      <c r="MXC1" s="27"/>
      <c r="MXD1" s="27"/>
      <c r="MXE1" s="27"/>
      <c r="MXF1" s="27"/>
      <c r="MXG1" s="27"/>
      <c r="MXH1" s="27"/>
      <c r="MXI1" s="27"/>
      <c r="MXJ1" s="27"/>
      <c r="MXK1" s="27"/>
      <c r="MXL1" s="27"/>
      <c r="MXM1" s="27"/>
      <c r="MXN1" s="27"/>
      <c r="MXO1" s="27"/>
      <c r="MXP1" s="27"/>
      <c r="MXQ1" s="27"/>
      <c r="MXR1" s="27"/>
      <c r="MXS1" s="27"/>
      <c r="MXT1" s="27"/>
      <c r="MXU1" s="27"/>
      <c r="MXV1" s="27"/>
      <c r="MXW1" s="27"/>
      <c r="MXX1" s="27"/>
      <c r="MXY1" s="27"/>
      <c r="MXZ1" s="27"/>
      <c r="MYA1" s="27"/>
      <c r="MYB1" s="27"/>
      <c r="MYC1" s="27"/>
      <c r="MYD1" s="27"/>
      <c r="MYE1" s="27"/>
      <c r="MYF1" s="27"/>
      <c r="MYG1" s="27"/>
      <c r="MYH1" s="27"/>
      <c r="MYI1" s="27"/>
      <c r="MYJ1" s="27"/>
      <c r="MYK1" s="27"/>
      <c r="MYL1" s="27"/>
      <c r="MYM1" s="27"/>
      <c r="MYN1" s="27"/>
      <c r="MYO1" s="27"/>
      <c r="MYP1" s="27"/>
      <c r="MYQ1" s="27"/>
      <c r="MYR1" s="27"/>
      <c r="MYS1" s="27"/>
      <c r="MYT1" s="27"/>
      <c r="MYU1" s="27"/>
      <c r="MYV1" s="27"/>
      <c r="MYW1" s="27"/>
      <c r="MYX1" s="27"/>
      <c r="MYY1" s="27"/>
      <c r="MYZ1" s="27"/>
      <c r="MZA1" s="27"/>
      <c r="MZB1" s="27"/>
      <c r="MZC1" s="27"/>
      <c r="MZD1" s="27"/>
      <c r="MZE1" s="27"/>
      <c r="MZF1" s="27"/>
      <c r="MZG1" s="27"/>
      <c r="MZH1" s="27"/>
      <c r="MZI1" s="27"/>
      <c r="MZJ1" s="27"/>
      <c r="MZK1" s="27"/>
      <c r="MZL1" s="27"/>
      <c r="MZM1" s="27"/>
      <c r="MZN1" s="27"/>
      <c r="MZO1" s="27"/>
      <c r="MZP1" s="27"/>
      <c r="MZQ1" s="27"/>
      <c r="MZR1" s="27"/>
      <c r="MZS1" s="27"/>
      <c r="MZT1" s="27"/>
      <c r="MZU1" s="27"/>
      <c r="MZV1" s="27"/>
      <c r="MZW1" s="27"/>
      <c r="MZX1" s="27"/>
      <c r="MZY1" s="27"/>
      <c r="MZZ1" s="27"/>
      <c r="NAA1" s="27"/>
      <c r="NAB1" s="27"/>
      <c r="NAC1" s="27"/>
      <c r="NAD1" s="27"/>
      <c r="NAE1" s="27"/>
      <c r="NAF1" s="27"/>
      <c r="NAG1" s="27"/>
      <c r="NAH1" s="27"/>
      <c r="NAI1" s="27"/>
      <c r="NAJ1" s="27"/>
      <c r="NAK1" s="27"/>
      <c r="NAL1" s="27"/>
      <c r="NAM1" s="27"/>
      <c r="NAN1" s="27"/>
      <c r="NAO1" s="27"/>
      <c r="NAP1" s="27"/>
      <c r="NAQ1" s="27"/>
      <c r="NAR1" s="27"/>
      <c r="NAS1" s="27"/>
      <c r="NAT1" s="27"/>
      <c r="NAU1" s="27"/>
      <c r="NAV1" s="27"/>
      <c r="NAW1" s="27"/>
      <c r="NAX1" s="27"/>
      <c r="NAY1" s="27"/>
      <c r="NAZ1" s="27"/>
      <c r="NBA1" s="27"/>
      <c r="NBB1" s="27"/>
      <c r="NBC1" s="27"/>
      <c r="NBD1" s="27"/>
      <c r="NBE1" s="27"/>
      <c r="NBF1" s="27"/>
      <c r="NBG1" s="27"/>
      <c r="NBH1" s="27"/>
      <c r="NBI1" s="27"/>
      <c r="NBJ1" s="27"/>
      <c r="NBK1" s="27"/>
      <c r="NBL1" s="27"/>
      <c r="NBM1" s="27"/>
      <c r="NBN1" s="27"/>
      <c r="NBO1" s="27"/>
      <c r="NBP1" s="27"/>
      <c r="NBQ1" s="27"/>
      <c r="NBR1" s="27"/>
      <c r="NBS1" s="27"/>
      <c r="NBT1" s="27"/>
      <c r="NBU1" s="27"/>
      <c r="NBV1" s="27"/>
      <c r="NBW1" s="27"/>
      <c r="NBX1" s="27"/>
      <c r="NBY1" s="27"/>
      <c r="NBZ1" s="27"/>
      <c r="NCA1" s="27"/>
      <c r="NCB1" s="27"/>
      <c r="NCC1" s="27"/>
      <c r="NCD1" s="27"/>
      <c r="NCE1" s="27"/>
      <c r="NCF1" s="27"/>
      <c r="NCG1" s="27"/>
      <c r="NCH1" s="27"/>
      <c r="NCI1" s="27"/>
      <c r="NCJ1" s="27"/>
      <c r="NCK1" s="27"/>
      <c r="NCL1" s="27"/>
      <c r="NCM1" s="27"/>
      <c r="NCN1" s="27"/>
      <c r="NCO1" s="27"/>
      <c r="NCP1" s="27"/>
      <c r="NCQ1" s="27"/>
      <c r="NCR1" s="27"/>
      <c r="NCS1" s="27"/>
      <c r="NCT1" s="27"/>
      <c r="NCU1" s="27"/>
      <c r="NCV1" s="27"/>
      <c r="NCW1" s="27"/>
      <c r="NCX1" s="27"/>
      <c r="NCY1" s="27"/>
      <c r="NCZ1" s="27"/>
      <c r="NDA1" s="27"/>
      <c r="NDB1" s="27"/>
      <c r="NDC1" s="27"/>
      <c r="NDD1" s="27"/>
      <c r="NDE1" s="27"/>
      <c r="NDF1" s="27"/>
      <c r="NDG1" s="27"/>
      <c r="NDH1" s="27"/>
      <c r="NDI1" s="27"/>
      <c r="NDJ1" s="27"/>
      <c r="NDK1" s="27"/>
      <c r="NDL1" s="27"/>
      <c r="NDM1" s="27"/>
      <c r="NDN1" s="27"/>
      <c r="NDO1" s="27"/>
      <c r="NDP1" s="27"/>
      <c r="NDQ1" s="27"/>
      <c r="NDR1" s="27"/>
      <c r="NDS1" s="27"/>
      <c r="NDT1" s="27"/>
      <c r="NDU1" s="27"/>
      <c r="NDV1" s="27"/>
      <c r="NDW1" s="27"/>
      <c r="NDX1" s="27"/>
      <c r="NDY1" s="27"/>
      <c r="NDZ1" s="27"/>
      <c r="NEA1" s="27"/>
      <c r="NEB1" s="27"/>
      <c r="NEC1" s="27"/>
      <c r="NED1" s="27"/>
      <c r="NEE1" s="27"/>
      <c r="NEF1" s="27"/>
      <c r="NEG1" s="27"/>
      <c r="NEH1" s="27"/>
      <c r="NEI1" s="27"/>
      <c r="NEJ1" s="27"/>
      <c r="NEK1" s="27"/>
      <c r="NEL1" s="27"/>
      <c r="NEM1" s="27"/>
      <c r="NEN1" s="27"/>
      <c r="NEO1" s="27"/>
      <c r="NEP1" s="27"/>
      <c r="NEQ1" s="27"/>
      <c r="NER1" s="27"/>
      <c r="NES1" s="27"/>
      <c r="NET1" s="27"/>
      <c r="NEU1" s="27"/>
      <c r="NEV1" s="27"/>
      <c r="NEW1" s="27"/>
      <c r="NEX1" s="27"/>
      <c r="NEY1" s="27"/>
      <c r="NEZ1" s="27"/>
      <c r="NFA1" s="27"/>
      <c r="NFB1" s="27"/>
      <c r="NFC1" s="27"/>
      <c r="NFD1" s="27"/>
      <c r="NFE1" s="27"/>
      <c r="NFF1" s="27"/>
      <c r="NFG1" s="27"/>
      <c r="NFH1" s="27"/>
      <c r="NFI1" s="27"/>
      <c r="NFJ1" s="27"/>
      <c r="NFK1" s="27"/>
      <c r="NFL1" s="27"/>
      <c r="NFM1" s="27"/>
      <c r="NFN1" s="27"/>
      <c r="NFO1" s="27"/>
      <c r="NFP1" s="27"/>
      <c r="NFQ1" s="27"/>
      <c r="NFR1" s="27"/>
      <c r="NFS1" s="27"/>
      <c r="NFT1" s="27"/>
      <c r="NFU1" s="27"/>
      <c r="NFV1" s="27"/>
      <c r="NFW1" s="27"/>
      <c r="NFX1" s="27"/>
      <c r="NFY1" s="27"/>
      <c r="NFZ1" s="27"/>
      <c r="NGA1" s="27"/>
      <c r="NGB1" s="27"/>
      <c r="NGC1" s="27"/>
      <c r="NGD1" s="27"/>
      <c r="NGE1" s="27"/>
      <c r="NGF1" s="27"/>
      <c r="NGG1" s="27"/>
      <c r="NGH1" s="27"/>
      <c r="NGI1" s="27"/>
      <c r="NGJ1" s="27"/>
      <c r="NGK1" s="27"/>
      <c r="NGL1" s="27"/>
      <c r="NGM1" s="27"/>
      <c r="NGN1" s="27"/>
      <c r="NGO1" s="27"/>
      <c r="NGP1" s="27"/>
      <c r="NGQ1" s="27"/>
      <c r="NGR1" s="27"/>
      <c r="NGS1" s="27"/>
      <c r="NGT1" s="27"/>
      <c r="NGU1" s="27"/>
      <c r="NGV1" s="27"/>
      <c r="NGW1" s="27"/>
      <c r="NGX1" s="27"/>
      <c r="NGY1" s="27"/>
      <c r="NGZ1" s="27"/>
      <c r="NHA1" s="27"/>
      <c r="NHB1" s="27"/>
      <c r="NHC1" s="27"/>
      <c r="NHD1" s="27"/>
      <c r="NHE1" s="27"/>
      <c r="NHF1" s="27"/>
      <c r="NHG1" s="27"/>
      <c r="NHH1" s="27"/>
      <c r="NHI1" s="27"/>
      <c r="NHJ1" s="27"/>
      <c r="NHK1" s="27"/>
      <c r="NHL1" s="27"/>
      <c r="NHM1" s="27"/>
      <c r="NHN1" s="27"/>
      <c r="NHO1" s="27"/>
      <c r="NHP1" s="27"/>
      <c r="NHQ1" s="27"/>
      <c r="NHR1" s="27"/>
      <c r="NHS1" s="27"/>
      <c r="NHT1" s="27"/>
      <c r="NHU1" s="27"/>
      <c r="NHV1" s="27"/>
      <c r="NHW1" s="27"/>
      <c r="NHX1" s="27"/>
      <c r="NHY1" s="27"/>
      <c r="NHZ1" s="27"/>
      <c r="NIA1" s="27"/>
      <c r="NIB1" s="27"/>
      <c r="NIC1" s="27"/>
      <c r="NID1" s="27"/>
      <c r="NIE1" s="27"/>
      <c r="NIF1" s="27"/>
      <c r="NIG1" s="27"/>
      <c r="NIH1" s="27"/>
      <c r="NII1" s="27"/>
      <c r="NIJ1" s="27"/>
      <c r="NIK1" s="27"/>
      <c r="NIL1" s="27"/>
      <c r="NIM1" s="27"/>
      <c r="NIN1" s="27"/>
      <c r="NIO1" s="27"/>
      <c r="NIP1" s="27"/>
      <c r="NIQ1" s="27"/>
      <c r="NIR1" s="27"/>
      <c r="NIS1" s="27"/>
      <c r="NIT1" s="27"/>
      <c r="NIU1" s="27"/>
      <c r="NIV1" s="27"/>
      <c r="NIW1" s="27"/>
      <c r="NIX1" s="27"/>
      <c r="NIY1" s="27"/>
      <c r="NIZ1" s="27"/>
      <c r="NJA1" s="27"/>
      <c r="NJB1" s="27"/>
      <c r="NJC1" s="27"/>
      <c r="NJD1" s="27"/>
      <c r="NJE1" s="27"/>
      <c r="NJF1" s="27"/>
      <c r="NJG1" s="27"/>
      <c r="NJH1" s="27"/>
      <c r="NJI1" s="27"/>
      <c r="NJJ1" s="27"/>
      <c r="NJK1" s="27"/>
      <c r="NJL1" s="27"/>
      <c r="NJM1" s="27"/>
      <c r="NJN1" s="27"/>
      <c r="NJO1" s="27"/>
      <c r="NJP1" s="27"/>
      <c r="NJQ1" s="27"/>
      <c r="NJR1" s="27"/>
      <c r="NJS1" s="27"/>
      <c r="NJT1" s="27"/>
      <c r="NJU1" s="27"/>
      <c r="NJV1" s="27"/>
      <c r="NJW1" s="27"/>
      <c r="NJX1" s="27"/>
      <c r="NJY1" s="27"/>
      <c r="NJZ1" s="27"/>
      <c r="NKA1" s="27"/>
      <c r="NKB1" s="27"/>
      <c r="NKC1" s="27"/>
      <c r="NKD1" s="27"/>
      <c r="NKE1" s="27"/>
      <c r="NKF1" s="27"/>
      <c r="NKG1" s="27"/>
      <c r="NKH1" s="27"/>
      <c r="NKI1" s="27"/>
      <c r="NKJ1" s="27"/>
      <c r="NKK1" s="27"/>
      <c r="NKL1" s="27"/>
      <c r="NKM1" s="27"/>
      <c r="NKN1" s="27"/>
      <c r="NKO1" s="27"/>
      <c r="NKP1" s="27"/>
      <c r="NKQ1" s="27"/>
      <c r="NKR1" s="27"/>
      <c r="NKS1" s="27"/>
      <c r="NKT1" s="27"/>
      <c r="NKU1" s="27"/>
      <c r="NKV1" s="27"/>
      <c r="NKW1" s="27"/>
      <c r="NKX1" s="27"/>
      <c r="NKY1" s="27"/>
      <c r="NKZ1" s="27"/>
      <c r="NLA1" s="27"/>
      <c r="NLB1" s="27"/>
      <c r="NLC1" s="27"/>
      <c r="NLD1" s="27"/>
      <c r="NLE1" s="27"/>
      <c r="NLF1" s="27"/>
      <c r="NLG1" s="27"/>
      <c r="NLH1" s="27"/>
      <c r="NLI1" s="27"/>
      <c r="NLJ1" s="27"/>
      <c r="NLK1" s="27"/>
      <c r="NLL1" s="27"/>
      <c r="NLM1" s="27"/>
      <c r="NLN1" s="27"/>
      <c r="NLO1" s="27"/>
      <c r="NLP1" s="27"/>
      <c r="NLQ1" s="27"/>
      <c r="NLR1" s="27"/>
      <c r="NLS1" s="27"/>
      <c r="NLT1" s="27"/>
      <c r="NLU1" s="27"/>
      <c r="NLV1" s="27"/>
      <c r="NLW1" s="27"/>
      <c r="NLX1" s="27"/>
      <c r="NLY1" s="27"/>
      <c r="NLZ1" s="27"/>
      <c r="NMA1" s="27"/>
      <c r="NMB1" s="27"/>
      <c r="NMC1" s="27"/>
      <c r="NMD1" s="27"/>
      <c r="NME1" s="27"/>
      <c r="NMF1" s="27"/>
      <c r="NMG1" s="27"/>
      <c r="NMH1" s="27"/>
      <c r="NMI1" s="27"/>
      <c r="NMJ1" s="27"/>
      <c r="NMK1" s="27"/>
      <c r="NML1" s="27"/>
      <c r="NMM1" s="27"/>
      <c r="NMN1" s="27"/>
      <c r="NMO1" s="27"/>
      <c r="NMP1" s="27"/>
      <c r="NMQ1" s="27"/>
      <c r="NMR1" s="27"/>
      <c r="NMS1" s="27"/>
      <c r="NMT1" s="27"/>
      <c r="NMU1" s="27"/>
      <c r="NMV1" s="27"/>
      <c r="NMW1" s="27"/>
      <c r="NMX1" s="27"/>
      <c r="NMY1" s="27"/>
      <c r="NMZ1" s="27"/>
      <c r="NNA1" s="27"/>
      <c r="NNB1" s="27"/>
      <c r="NNC1" s="27"/>
      <c r="NND1" s="27"/>
      <c r="NNE1" s="27"/>
      <c r="NNF1" s="27"/>
      <c r="NNG1" s="27"/>
      <c r="NNH1" s="27"/>
      <c r="NNI1" s="27"/>
      <c r="NNJ1" s="27"/>
      <c r="NNK1" s="27"/>
      <c r="NNL1" s="27"/>
      <c r="NNM1" s="27"/>
      <c r="NNN1" s="27"/>
      <c r="NNO1" s="27"/>
      <c r="NNP1" s="27"/>
      <c r="NNQ1" s="27"/>
      <c r="NNR1" s="27"/>
      <c r="NNS1" s="27"/>
      <c r="NNT1" s="27"/>
      <c r="NNU1" s="27"/>
      <c r="NNV1" s="27"/>
      <c r="NNW1" s="27"/>
      <c r="NNX1" s="27"/>
      <c r="NNY1" s="27"/>
      <c r="NNZ1" s="27"/>
      <c r="NOA1" s="27"/>
      <c r="NOB1" s="27"/>
      <c r="NOC1" s="27"/>
      <c r="NOD1" s="27"/>
      <c r="NOE1" s="27"/>
      <c r="NOF1" s="27"/>
      <c r="NOG1" s="27"/>
      <c r="NOH1" s="27"/>
      <c r="NOI1" s="27"/>
      <c r="NOJ1" s="27"/>
      <c r="NOK1" s="27"/>
      <c r="NOL1" s="27"/>
      <c r="NOM1" s="27"/>
      <c r="NON1" s="27"/>
      <c r="NOO1" s="27"/>
      <c r="NOP1" s="27"/>
      <c r="NOQ1" s="27"/>
      <c r="NOR1" s="27"/>
      <c r="NOS1" s="27"/>
      <c r="NOT1" s="27"/>
      <c r="NOU1" s="27"/>
      <c r="NOV1" s="27"/>
      <c r="NOW1" s="27"/>
      <c r="NOX1" s="27"/>
      <c r="NOY1" s="27"/>
      <c r="NOZ1" s="27"/>
      <c r="NPA1" s="27"/>
      <c r="NPB1" s="27"/>
      <c r="NPC1" s="27"/>
      <c r="NPD1" s="27"/>
      <c r="NPE1" s="27"/>
      <c r="NPF1" s="27"/>
      <c r="NPG1" s="27"/>
      <c r="NPH1" s="27"/>
      <c r="NPI1" s="27"/>
      <c r="NPJ1" s="27"/>
      <c r="NPK1" s="27"/>
      <c r="NPL1" s="27"/>
      <c r="NPM1" s="27"/>
      <c r="NPN1" s="27"/>
      <c r="NPO1" s="27"/>
      <c r="NPP1" s="27"/>
      <c r="NPQ1" s="27"/>
      <c r="NPR1" s="27"/>
      <c r="NPS1" s="27"/>
      <c r="NPT1" s="27"/>
      <c r="NPU1" s="27"/>
      <c r="NPV1" s="27"/>
      <c r="NPW1" s="27"/>
      <c r="NPX1" s="27"/>
      <c r="NPY1" s="27"/>
      <c r="NPZ1" s="27"/>
      <c r="NQA1" s="27"/>
      <c r="NQB1" s="27"/>
      <c r="NQC1" s="27"/>
      <c r="NQD1" s="27"/>
      <c r="NQE1" s="27"/>
      <c r="NQF1" s="27"/>
      <c r="NQG1" s="27"/>
      <c r="NQH1" s="27"/>
      <c r="NQI1" s="27"/>
      <c r="NQJ1" s="27"/>
      <c r="NQK1" s="27"/>
      <c r="NQL1" s="27"/>
      <c r="NQM1" s="27"/>
      <c r="NQN1" s="27"/>
      <c r="NQO1" s="27"/>
      <c r="NQP1" s="27"/>
      <c r="NQQ1" s="27"/>
      <c r="NQR1" s="27"/>
      <c r="NQS1" s="27"/>
      <c r="NQT1" s="27"/>
      <c r="NQU1" s="27"/>
      <c r="NQV1" s="27"/>
      <c r="NQW1" s="27"/>
      <c r="NQX1" s="27"/>
      <c r="NQY1" s="27"/>
      <c r="NQZ1" s="27"/>
      <c r="NRA1" s="27"/>
      <c r="NRB1" s="27"/>
      <c r="NRC1" s="27"/>
      <c r="NRD1" s="27"/>
      <c r="NRE1" s="27"/>
      <c r="NRF1" s="27"/>
      <c r="NRG1" s="27"/>
      <c r="NRH1" s="27"/>
      <c r="NRI1" s="27"/>
      <c r="NRJ1" s="27"/>
      <c r="NRK1" s="27"/>
      <c r="NRL1" s="27"/>
      <c r="NRM1" s="27"/>
      <c r="NRN1" s="27"/>
      <c r="NRO1" s="27"/>
      <c r="NRP1" s="27"/>
      <c r="NRQ1" s="27"/>
      <c r="NRR1" s="27"/>
      <c r="NRS1" s="27"/>
      <c r="NRT1" s="27"/>
      <c r="NRU1" s="27"/>
      <c r="NRV1" s="27"/>
      <c r="NRW1" s="27"/>
      <c r="NRX1" s="27"/>
      <c r="NRY1" s="27"/>
      <c r="NRZ1" s="27"/>
      <c r="NSA1" s="27"/>
      <c r="NSB1" s="27"/>
      <c r="NSC1" s="27"/>
      <c r="NSD1" s="27"/>
      <c r="NSE1" s="27"/>
      <c r="NSF1" s="27"/>
      <c r="NSG1" s="27"/>
      <c r="NSH1" s="27"/>
      <c r="NSI1" s="27"/>
      <c r="NSJ1" s="27"/>
      <c r="NSK1" s="27"/>
      <c r="NSL1" s="27"/>
      <c r="NSM1" s="27"/>
      <c r="NSN1" s="27"/>
      <c r="NSO1" s="27"/>
      <c r="NSP1" s="27"/>
      <c r="NSQ1" s="27"/>
      <c r="NSR1" s="27"/>
      <c r="NSS1" s="27"/>
      <c r="NST1" s="27"/>
      <c r="NSU1" s="27"/>
      <c r="NSV1" s="27"/>
      <c r="NSW1" s="27"/>
      <c r="NSX1" s="27"/>
      <c r="NSY1" s="27"/>
      <c r="NSZ1" s="27"/>
      <c r="NTA1" s="27"/>
      <c r="NTB1" s="27"/>
      <c r="NTC1" s="27"/>
      <c r="NTD1" s="27"/>
      <c r="NTE1" s="27"/>
      <c r="NTF1" s="27"/>
      <c r="NTG1" s="27"/>
      <c r="NTH1" s="27"/>
      <c r="NTI1" s="27"/>
      <c r="NTJ1" s="27"/>
      <c r="NTK1" s="27"/>
      <c r="NTL1" s="27"/>
      <c r="NTM1" s="27"/>
      <c r="NTN1" s="27"/>
      <c r="NTO1" s="27"/>
      <c r="NTP1" s="27"/>
      <c r="NTQ1" s="27"/>
      <c r="NTR1" s="27"/>
      <c r="NTS1" s="27"/>
      <c r="NTT1" s="27"/>
      <c r="NTU1" s="27"/>
      <c r="NTV1" s="27"/>
      <c r="NTW1" s="27"/>
      <c r="NTX1" s="27"/>
      <c r="NTY1" s="27"/>
      <c r="NTZ1" s="27"/>
      <c r="NUA1" s="27"/>
      <c r="NUB1" s="27"/>
      <c r="NUC1" s="27"/>
      <c r="NUD1" s="27"/>
      <c r="NUE1" s="27"/>
      <c r="NUF1" s="27"/>
      <c r="NUG1" s="27"/>
      <c r="NUH1" s="27"/>
      <c r="NUI1" s="27"/>
      <c r="NUJ1" s="27"/>
      <c r="NUK1" s="27"/>
      <c r="NUL1" s="27"/>
      <c r="NUM1" s="27"/>
      <c r="NUN1" s="27"/>
      <c r="NUO1" s="27"/>
      <c r="NUP1" s="27"/>
      <c r="NUQ1" s="27"/>
      <c r="NUR1" s="27"/>
      <c r="NUS1" s="27"/>
      <c r="NUT1" s="27"/>
      <c r="NUU1" s="27"/>
      <c r="NUV1" s="27"/>
      <c r="NUW1" s="27"/>
      <c r="NUX1" s="27"/>
      <c r="NUY1" s="27"/>
      <c r="NUZ1" s="27"/>
      <c r="NVA1" s="27"/>
      <c r="NVB1" s="27"/>
      <c r="NVC1" s="27"/>
      <c r="NVD1" s="27"/>
      <c r="NVE1" s="27"/>
      <c r="NVF1" s="27"/>
      <c r="NVG1" s="27"/>
      <c r="NVH1" s="27"/>
      <c r="NVI1" s="27"/>
      <c r="NVJ1" s="27"/>
      <c r="NVK1" s="27"/>
      <c r="NVL1" s="27"/>
      <c r="NVM1" s="27"/>
      <c r="NVN1" s="27"/>
      <c r="NVO1" s="27"/>
      <c r="NVP1" s="27"/>
      <c r="NVQ1" s="27"/>
      <c r="NVR1" s="27"/>
      <c r="NVS1" s="27"/>
      <c r="NVT1" s="27"/>
      <c r="NVU1" s="27"/>
      <c r="NVV1" s="27"/>
      <c r="NVW1" s="27"/>
      <c r="NVX1" s="27"/>
      <c r="NVY1" s="27"/>
      <c r="NVZ1" s="27"/>
      <c r="NWA1" s="27"/>
      <c r="NWB1" s="27"/>
      <c r="NWC1" s="27"/>
      <c r="NWD1" s="27"/>
      <c r="NWE1" s="27"/>
      <c r="NWF1" s="27"/>
      <c r="NWG1" s="27"/>
      <c r="NWH1" s="27"/>
      <c r="NWI1" s="27"/>
      <c r="NWJ1" s="27"/>
      <c r="NWK1" s="27"/>
      <c r="NWL1" s="27"/>
      <c r="NWM1" s="27"/>
      <c r="NWN1" s="27"/>
      <c r="NWO1" s="27"/>
      <c r="NWP1" s="27"/>
      <c r="NWQ1" s="27"/>
      <c r="NWR1" s="27"/>
      <c r="NWS1" s="27"/>
      <c r="NWT1" s="27"/>
      <c r="NWU1" s="27"/>
      <c r="NWV1" s="27"/>
      <c r="NWW1" s="27"/>
      <c r="NWX1" s="27"/>
      <c r="NWY1" s="27"/>
      <c r="NWZ1" s="27"/>
      <c r="NXA1" s="27"/>
      <c r="NXB1" s="27"/>
      <c r="NXC1" s="27"/>
      <c r="NXD1" s="27"/>
      <c r="NXE1" s="27"/>
      <c r="NXF1" s="27"/>
      <c r="NXG1" s="27"/>
      <c r="NXH1" s="27"/>
      <c r="NXI1" s="27"/>
      <c r="NXJ1" s="27"/>
      <c r="NXK1" s="27"/>
      <c r="NXL1" s="27"/>
      <c r="NXM1" s="27"/>
      <c r="NXN1" s="27"/>
      <c r="NXO1" s="27"/>
      <c r="NXP1" s="27"/>
      <c r="NXQ1" s="27"/>
      <c r="NXR1" s="27"/>
      <c r="NXS1" s="27"/>
      <c r="NXT1" s="27"/>
      <c r="NXU1" s="27"/>
      <c r="NXV1" s="27"/>
      <c r="NXW1" s="27"/>
      <c r="NXX1" s="27"/>
      <c r="NXY1" s="27"/>
      <c r="NXZ1" s="27"/>
      <c r="NYA1" s="27"/>
      <c r="NYB1" s="27"/>
      <c r="NYC1" s="27"/>
      <c r="NYD1" s="27"/>
      <c r="NYE1" s="27"/>
      <c r="NYF1" s="27"/>
      <c r="NYG1" s="27"/>
      <c r="NYH1" s="27"/>
      <c r="NYI1" s="27"/>
      <c r="NYJ1" s="27"/>
      <c r="NYK1" s="27"/>
      <c r="NYL1" s="27"/>
      <c r="NYM1" s="27"/>
      <c r="NYN1" s="27"/>
      <c r="NYO1" s="27"/>
      <c r="NYP1" s="27"/>
      <c r="NYQ1" s="27"/>
      <c r="NYR1" s="27"/>
      <c r="NYS1" s="27"/>
      <c r="NYT1" s="27"/>
      <c r="NYU1" s="27"/>
      <c r="NYV1" s="27"/>
      <c r="NYW1" s="27"/>
      <c r="NYX1" s="27"/>
      <c r="NYY1" s="27"/>
      <c r="NYZ1" s="27"/>
      <c r="NZA1" s="27"/>
      <c r="NZB1" s="27"/>
      <c r="NZC1" s="27"/>
      <c r="NZD1" s="27"/>
      <c r="NZE1" s="27"/>
      <c r="NZF1" s="27"/>
      <c r="NZG1" s="27"/>
      <c r="NZH1" s="27"/>
      <c r="NZI1" s="27"/>
      <c r="NZJ1" s="27"/>
      <c r="NZK1" s="27"/>
      <c r="NZL1" s="27"/>
      <c r="NZM1" s="27"/>
      <c r="NZN1" s="27"/>
      <c r="NZO1" s="27"/>
      <c r="NZP1" s="27"/>
      <c r="NZQ1" s="27"/>
      <c r="NZR1" s="27"/>
      <c r="NZS1" s="27"/>
      <c r="NZT1" s="27"/>
      <c r="NZU1" s="27"/>
      <c r="NZV1" s="27"/>
      <c r="NZW1" s="27"/>
      <c r="NZX1" s="27"/>
      <c r="NZY1" s="27"/>
      <c r="NZZ1" s="27"/>
      <c r="OAA1" s="27"/>
      <c r="OAB1" s="27"/>
      <c r="OAC1" s="27"/>
      <c r="OAD1" s="27"/>
      <c r="OAE1" s="27"/>
      <c r="OAF1" s="27"/>
      <c r="OAG1" s="27"/>
      <c r="OAH1" s="27"/>
      <c r="OAI1" s="27"/>
      <c r="OAJ1" s="27"/>
      <c r="OAK1" s="27"/>
      <c r="OAL1" s="27"/>
      <c r="OAM1" s="27"/>
      <c r="OAN1" s="27"/>
      <c r="OAO1" s="27"/>
      <c r="OAP1" s="27"/>
      <c r="OAQ1" s="27"/>
      <c r="OAR1" s="27"/>
      <c r="OAS1" s="27"/>
      <c r="OAT1" s="27"/>
      <c r="OAU1" s="27"/>
      <c r="OAV1" s="27"/>
      <c r="OAW1" s="27"/>
      <c r="OAX1" s="27"/>
      <c r="OAY1" s="27"/>
      <c r="OAZ1" s="27"/>
      <c r="OBA1" s="27"/>
      <c r="OBB1" s="27"/>
      <c r="OBC1" s="27"/>
      <c r="OBD1" s="27"/>
      <c r="OBE1" s="27"/>
      <c r="OBF1" s="27"/>
      <c r="OBG1" s="27"/>
      <c r="OBH1" s="27"/>
      <c r="OBI1" s="27"/>
      <c r="OBJ1" s="27"/>
      <c r="OBK1" s="27"/>
      <c r="OBL1" s="27"/>
      <c r="OBM1" s="27"/>
      <c r="OBN1" s="27"/>
      <c r="OBO1" s="27"/>
      <c r="OBP1" s="27"/>
      <c r="OBQ1" s="27"/>
      <c r="OBR1" s="27"/>
      <c r="OBS1" s="27"/>
      <c r="OBT1" s="27"/>
      <c r="OBU1" s="27"/>
      <c r="OBV1" s="27"/>
      <c r="OBW1" s="27"/>
      <c r="OBX1" s="27"/>
      <c r="OBY1" s="27"/>
      <c r="OBZ1" s="27"/>
      <c r="OCA1" s="27"/>
      <c r="OCB1" s="27"/>
      <c r="OCC1" s="27"/>
      <c r="OCD1" s="27"/>
      <c r="OCE1" s="27"/>
      <c r="OCF1" s="27"/>
      <c r="OCG1" s="27"/>
      <c r="OCH1" s="27"/>
      <c r="OCI1" s="27"/>
      <c r="OCJ1" s="27"/>
      <c r="OCK1" s="27"/>
      <c r="OCL1" s="27"/>
      <c r="OCM1" s="27"/>
      <c r="OCN1" s="27"/>
      <c r="OCO1" s="27"/>
      <c r="OCP1" s="27"/>
      <c r="OCQ1" s="27"/>
      <c r="OCR1" s="27"/>
      <c r="OCS1" s="27"/>
      <c r="OCT1" s="27"/>
      <c r="OCU1" s="27"/>
      <c r="OCV1" s="27"/>
      <c r="OCW1" s="27"/>
      <c r="OCX1" s="27"/>
      <c r="OCY1" s="27"/>
      <c r="OCZ1" s="27"/>
      <c r="ODA1" s="27"/>
      <c r="ODB1" s="27"/>
      <c r="ODC1" s="27"/>
      <c r="ODD1" s="27"/>
      <c r="ODE1" s="27"/>
      <c r="ODF1" s="27"/>
      <c r="ODG1" s="27"/>
      <c r="ODH1" s="27"/>
      <c r="ODI1" s="27"/>
      <c r="ODJ1" s="27"/>
      <c r="ODK1" s="27"/>
      <c r="ODL1" s="27"/>
      <c r="ODM1" s="27"/>
      <c r="ODN1" s="27"/>
      <c r="ODO1" s="27"/>
      <c r="ODP1" s="27"/>
      <c r="ODQ1" s="27"/>
      <c r="ODR1" s="27"/>
      <c r="ODS1" s="27"/>
      <c r="ODT1" s="27"/>
      <c r="ODU1" s="27"/>
      <c r="ODV1" s="27"/>
      <c r="ODW1" s="27"/>
      <c r="ODX1" s="27"/>
      <c r="ODY1" s="27"/>
      <c r="ODZ1" s="27"/>
      <c r="OEA1" s="27"/>
      <c r="OEB1" s="27"/>
      <c r="OEC1" s="27"/>
      <c r="OED1" s="27"/>
      <c r="OEE1" s="27"/>
      <c r="OEF1" s="27"/>
      <c r="OEG1" s="27"/>
      <c r="OEH1" s="27"/>
      <c r="OEI1" s="27"/>
      <c r="OEJ1" s="27"/>
      <c r="OEK1" s="27"/>
      <c r="OEL1" s="27"/>
      <c r="OEM1" s="27"/>
      <c r="OEN1" s="27"/>
      <c r="OEO1" s="27"/>
      <c r="OEP1" s="27"/>
      <c r="OEQ1" s="27"/>
      <c r="OER1" s="27"/>
      <c r="OES1" s="27"/>
      <c r="OET1" s="27"/>
      <c r="OEU1" s="27"/>
      <c r="OEV1" s="27"/>
      <c r="OEW1" s="27"/>
      <c r="OEX1" s="27"/>
      <c r="OEY1" s="27"/>
      <c r="OEZ1" s="27"/>
      <c r="OFA1" s="27"/>
      <c r="OFB1" s="27"/>
      <c r="OFC1" s="27"/>
      <c r="OFD1" s="27"/>
      <c r="OFE1" s="27"/>
      <c r="OFF1" s="27"/>
      <c r="OFG1" s="27"/>
      <c r="OFH1" s="27"/>
      <c r="OFI1" s="27"/>
      <c r="OFJ1" s="27"/>
      <c r="OFK1" s="27"/>
      <c r="OFL1" s="27"/>
      <c r="OFM1" s="27"/>
      <c r="OFN1" s="27"/>
      <c r="OFO1" s="27"/>
      <c r="OFP1" s="27"/>
      <c r="OFQ1" s="27"/>
      <c r="OFR1" s="27"/>
      <c r="OFS1" s="27"/>
      <c r="OFT1" s="27"/>
      <c r="OFU1" s="27"/>
      <c r="OFV1" s="27"/>
      <c r="OFW1" s="27"/>
      <c r="OFX1" s="27"/>
      <c r="OFY1" s="27"/>
      <c r="OFZ1" s="27"/>
      <c r="OGA1" s="27"/>
      <c r="OGB1" s="27"/>
      <c r="OGC1" s="27"/>
      <c r="OGD1" s="27"/>
      <c r="OGE1" s="27"/>
      <c r="OGF1" s="27"/>
      <c r="OGG1" s="27"/>
      <c r="OGH1" s="27"/>
      <c r="OGI1" s="27"/>
      <c r="OGJ1" s="27"/>
      <c r="OGK1" s="27"/>
      <c r="OGL1" s="27"/>
      <c r="OGM1" s="27"/>
      <c r="OGN1" s="27"/>
      <c r="OGO1" s="27"/>
      <c r="OGP1" s="27"/>
      <c r="OGQ1" s="27"/>
      <c r="OGR1" s="27"/>
      <c r="OGS1" s="27"/>
      <c r="OGT1" s="27"/>
      <c r="OGU1" s="27"/>
      <c r="OGV1" s="27"/>
      <c r="OGW1" s="27"/>
      <c r="OGX1" s="27"/>
      <c r="OGY1" s="27"/>
      <c r="OGZ1" s="27"/>
      <c r="OHA1" s="27"/>
      <c r="OHB1" s="27"/>
      <c r="OHC1" s="27"/>
      <c r="OHD1" s="27"/>
      <c r="OHE1" s="27"/>
      <c r="OHF1" s="27"/>
      <c r="OHG1" s="27"/>
      <c r="OHH1" s="27"/>
      <c r="OHI1" s="27"/>
      <c r="OHJ1" s="27"/>
      <c r="OHK1" s="27"/>
      <c r="OHL1" s="27"/>
      <c r="OHM1" s="27"/>
      <c r="OHN1" s="27"/>
      <c r="OHO1" s="27"/>
      <c r="OHP1" s="27"/>
      <c r="OHQ1" s="27"/>
      <c r="OHR1" s="27"/>
      <c r="OHS1" s="27"/>
      <c r="OHT1" s="27"/>
      <c r="OHU1" s="27"/>
      <c r="OHV1" s="27"/>
      <c r="OHW1" s="27"/>
      <c r="OHX1" s="27"/>
      <c r="OHY1" s="27"/>
      <c r="OHZ1" s="27"/>
      <c r="OIA1" s="27"/>
      <c r="OIB1" s="27"/>
      <c r="OIC1" s="27"/>
      <c r="OID1" s="27"/>
      <c r="OIE1" s="27"/>
      <c r="OIF1" s="27"/>
      <c r="OIG1" s="27"/>
      <c r="OIH1" s="27"/>
      <c r="OII1" s="27"/>
      <c r="OIJ1" s="27"/>
      <c r="OIK1" s="27"/>
      <c r="OIL1" s="27"/>
      <c r="OIM1" s="27"/>
      <c r="OIN1" s="27"/>
      <c r="OIO1" s="27"/>
      <c r="OIP1" s="27"/>
      <c r="OIQ1" s="27"/>
      <c r="OIR1" s="27"/>
      <c r="OIS1" s="27"/>
      <c r="OIT1" s="27"/>
      <c r="OIU1" s="27"/>
      <c r="OIV1" s="27"/>
      <c r="OIW1" s="27"/>
      <c r="OIX1" s="27"/>
      <c r="OIY1" s="27"/>
      <c r="OIZ1" s="27"/>
      <c r="OJA1" s="27"/>
      <c r="OJB1" s="27"/>
      <c r="OJC1" s="27"/>
      <c r="OJD1" s="27"/>
      <c r="OJE1" s="27"/>
      <c r="OJF1" s="27"/>
      <c r="OJG1" s="27"/>
      <c r="OJH1" s="27"/>
      <c r="OJI1" s="27"/>
      <c r="OJJ1" s="27"/>
      <c r="OJK1" s="27"/>
      <c r="OJL1" s="27"/>
      <c r="OJM1" s="27"/>
      <c r="OJN1" s="27"/>
      <c r="OJO1" s="27"/>
      <c r="OJP1" s="27"/>
      <c r="OJQ1" s="27"/>
      <c r="OJR1" s="27"/>
      <c r="OJS1" s="27"/>
      <c r="OJT1" s="27"/>
      <c r="OJU1" s="27"/>
      <c r="OJV1" s="27"/>
      <c r="OJW1" s="27"/>
      <c r="OJX1" s="27"/>
      <c r="OJY1" s="27"/>
      <c r="OJZ1" s="27"/>
      <c r="OKA1" s="27"/>
      <c r="OKB1" s="27"/>
      <c r="OKC1" s="27"/>
      <c r="OKD1" s="27"/>
      <c r="OKE1" s="27"/>
      <c r="OKF1" s="27"/>
      <c r="OKG1" s="27"/>
      <c r="OKH1" s="27"/>
      <c r="OKI1" s="27"/>
      <c r="OKJ1" s="27"/>
      <c r="OKK1" s="27"/>
      <c r="OKL1" s="27"/>
      <c r="OKM1" s="27"/>
      <c r="OKN1" s="27"/>
      <c r="OKO1" s="27"/>
      <c r="OKP1" s="27"/>
      <c r="OKQ1" s="27"/>
      <c r="OKR1" s="27"/>
      <c r="OKS1" s="27"/>
      <c r="OKT1" s="27"/>
      <c r="OKU1" s="27"/>
      <c r="OKV1" s="27"/>
      <c r="OKW1" s="27"/>
      <c r="OKX1" s="27"/>
      <c r="OKY1" s="27"/>
      <c r="OKZ1" s="27"/>
      <c r="OLA1" s="27"/>
      <c r="OLB1" s="27"/>
      <c r="OLC1" s="27"/>
      <c r="OLD1" s="27"/>
      <c r="OLE1" s="27"/>
      <c r="OLF1" s="27"/>
      <c r="OLG1" s="27"/>
      <c r="OLH1" s="27"/>
      <c r="OLI1" s="27"/>
      <c r="OLJ1" s="27"/>
      <c r="OLK1" s="27"/>
      <c r="OLL1" s="27"/>
      <c r="OLM1" s="27"/>
      <c r="OLN1" s="27"/>
      <c r="OLO1" s="27"/>
      <c r="OLP1" s="27"/>
      <c r="OLQ1" s="27"/>
      <c r="OLR1" s="27"/>
      <c r="OLS1" s="27"/>
      <c r="OLT1" s="27"/>
      <c r="OLU1" s="27"/>
      <c r="OLV1" s="27"/>
      <c r="OLW1" s="27"/>
      <c r="OLX1" s="27"/>
      <c r="OLY1" s="27"/>
      <c r="OLZ1" s="27"/>
      <c r="OMA1" s="27"/>
      <c r="OMB1" s="27"/>
      <c r="OMC1" s="27"/>
      <c r="OMD1" s="27"/>
      <c r="OME1" s="27"/>
      <c r="OMF1" s="27"/>
      <c r="OMG1" s="27"/>
      <c r="OMH1" s="27"/>
      <c r="OMI1" s="27"/>
      <c r="OMJ1" s="27"/>
      <c r="OMK1" s="27"/>
      <c r="OML1" s="27"/>
      <c r="OMM1" s="27"/>
      <c r="OMN1" s="27"/>
      <c r="OMO1" s="27"/>
      <c r="OMP1" s="27"/>
      <c r="OMQ1" s="27"/>
      <c r="OMR1" s="27"/>
      <c r="OMS1" s="27"/>
      <c r="OMT1" s="27"/>
      <c r="OMU1" s="27"/>
      <c r="OMV1" s="27"/>
      <c r="OMW1" s="27"/>
      <c r="OMX1" s="27"/>
      <c r="OMY1" s="27"/>
      <c r="OMZ1" s="27"/>
      <c r="ONA1" s="27"/>
      <c r="ONB1" s="27"/>
      <c r="ONC1" s="27"/>
      <c r="OND1" s="27"/>
      <c r="ONE1" s="27"/>
      <c r="ONF1" s="27"/>
      <c r="ONG1" s="27"/>
      <c r="ONH1" s="27"/>
      <c r="ONI1" s="27"/>
      <c r="ONJ1" s="27"/>
      <c r="ONK1" s="27"/>
      <c r="ONL1" s="27"/>
      <c r="ONM1" s="27"/>
      <c r="ONN1" s="27"/>
      <c r="ONO1" s="27"/>
      <c r="ONP1" s="27"/>
      <c r="ONQ1" s="27"/>
      <c r="ONR1" s="27"/>
      <c r="ONS1" s="27"/>
      <c r="ONT1" s="27"/>
      <c r="ONU1" s="27"/>
      <c r="ONV1" s="27"/>
      <c r="ONW1" s="27"/>
      <c r="ONX1" s="27"/>
      <c r="ONY1" s="27"/>
      <c r="ONZ1" s="27"/>
      <c r="OOA1" s="27"/>
      <c r="OOB1" s="27"/>
      <c r="OOC1" s="27"/>
      <c r="OOD1" s="27"/>
      <c r="OOE1" s="27"/>
      <c r="OOF1" s="27"/>
      <c r="OOG1" s="27"/>
      <c r="OOH1" s="27"/>
      <c r="OOI1" s="27"/>
      <c r="OOJ1" s="27"/>
      <c r="OOK1" s="27"/>
      <c r="OOL1" s="27"/>
      <c r="OOM1" s="27"/>
      <c r="OON1" s="27"/>
      <c r="OOO1" s="27"/>
      <c r="OOP1" s="27"/>
      <c r="OOQ1" s="27"/>
      <c r="OOR1" s="27"/>
      <c r="OOS1" s="27"/>
      <c r="OOT1" s="27"/>
      <c r="OOU1" s="27"/>
      <c r="OOV1" s="27"/>
      <c r="OOW1" s="27"/>
      <c r="OOX1" s="27"/>
      <c r="OOY1" s="27"/>
      <c r="OOZ1" s="27"/>
      <c r="OPA1" s="27"/>
      <c r="OPB1" s="27"/>
      <c r="OPC1" s="27"/>
      <c r="OPD1" s="27"/>
      <c r="OPE1" s="27"/>
      <c r="OPF1" s="27"/>
      <c r="OPG1" s="27"/>
      <c r="OPH1" s="27"/>
      <c r="OPI1" s="27"/>
      <c r="OPJ1" s="27"/>
      <c r="OPK1" s="27"/>
      <c r="OPL1" s="27"/>
      <c r="OPM1" s="27"/>
      <c r="OPN1" s="27"/>
      <c r="OPO1" s="27"/>
      <c r="OPP1" s="27"/>
      <c r="OPQ1" s="27"/>
      <c r="OPR1" s="27"/>
      <c r="OPS1" s="27"/>
      <c r="OPT1" s="27"/>
      <c r="OPU1" s="27"/>
      <c r="OPV1" s="27"/>
      <c r="OPW1" s="27"/>
      <c r="OPX1" s="27"/>
      <c r="OPY1" s="27"/>
      <c r="OPZ1" s="27"/>
      <c r="OQA1" s="27"/>
      <c r="OQB1" s="27"/>
      <c r="OQC1" s="27"/>
      <c r="OQD1" s="27"/>
      <c r="OQE1" s="27"/>
      <c r="OQF1" s="27"/>
      <c r="OQG1" s="27"/>
      <c r="OQH1" s="27"/>
      <c r="OQI1" s="27"/>
      <c r="OQJ1" s="27"/>
      <c r="OQK1" s="27"/>
      <c r="OQL1" s="27"/>
      <c r="OQM1" s="27"/>
      <c r="OQN1" s="27"/>
      <c r="OQO1" s="27"/>
      <c r="OQP1" s="27"/>
      <c r="OQQ1" s="27"/>
      <c r="OQR1" s="27"/>
      <c r="OQS1" s="27"/>
      <c r="OQT1" s="27"/>
      <c r="OQU1" s="27"/>
      <c r="OQV1" s="27"/>
      <c r="OQW1" s="27"/>
      <c r="OQX1" s="27"/>
      <c r="OQY1" s="27"/>
      <c r="OQZ1" s="27"/>
      <c r="ORA1" s="27"/>
      <c r="ORB1" s="27"/>
      <c r="ORC1" s="27"/>
      <c r="ORD1" s="27"/>
      <c r="ORE1" s="27"/>
      <c r="ORF1" s="27"/>
      <c r="ORG1" s="27"/>
      <c r="ORH1" s="27"/>
      <c r="ORI1" s="27"/>
      <c r="ORJ1" s="27"/>
      <c r="ORK1" s="27"/>
      <c r="ORL1" s="27"/>
      <c r="ORM1" s="27"/>
      <c r="ORN1" s="27"/>
      <c r="ORO1" s="27"/>
      <c r="ORP1" s="27"/>
      <c r="ORQ1" s="27"/>
      <c r="ORR1" s="27"/>
      <c r="ORS1" s="27"/>
      <c r="ORT1" s="27"/>
      <c r="ORU1" s="27"/>
      <c r="ORV1" s="27"/>
      <c r="ORW1" s="27"/>
      <c r="ORX1" s="27"/>
      <c r="ORY1" s="27"/>
      <c r="ORZ1" s="27"/>
      <c r="OSA1" s="27"/>
      <c r="OSB1" s="27"/>
      <c r="OSC1" s="27"/>
      <c r="OSD1" s="27"/>
      <c r="OSE1" s="27"/>
      <c r="OSF1" s="27"/>
      <c r="OSG1" s="27"/>
      <c r="OSH1" s="27"/>
      <c r="OSI1" s="27"/>
      <c r="OSJ1" s="27"/>
      <c r="OSK1" s="27"/>
      <c r="OSL1" s="27"/>
      <c r="OSM1" s="27"/>
      <c r="OSN1" s="27"/>
      <c r="OSO1" s="27"/>
      <c r="OSP1" s="27"/>
      <c r="OSQ1" s="27"/>
      <c r="OSR1" s="27"/>
      <c r="OSS1" s="27"/>
      <c r="OST1" s="27"/>
      <c r="OSU1" s="27"/>
      <c r="OSV1" s="27"/>
      <c r="OSW1" s="27"/>
      <c r="OSX1" s="27"/>
      <c r="OSY1" s="27"/>
      <c r="OSZ1" s="27"/>
      <c r="OTA1" s="27"/>
      <c r="OTB1" s="27"/>
      <c r="OTC1" s="27"/>
      <c r="OTD1" s="27"/>
      <c r="OTE1" s="27"/>
      <c r="OTF1" s="27"/>
      <c r="OTG1" s="27"/>
      <c r="OTH1" s="27"/>
      <c r="OTI1" s="27"/>
      <c r="OTJ1" s="27"/>
      <c r="OTK1" s="27"/>
      <c r="OTL1" s="27"/>
      <c r="OTM1" s="27"/>
      <c r="OTN1" s="27"/>
      <c r="OTO1" s="27"/>
      <c r="OTP1" s="27"/>
      <c r="OTQ1" s="27"/>
      <c r="OTR1" s="27"/>
      <c r="OTS1" s="27"/>
      <c r="OTT1" s="27"/>
      <c r="OTU1" s="27"/>
      <c r="OTV1" s="27"/>
      <c r="OTW1" s="27"/>
      <c r="OTX1" s="27"/>
      <c r="OTY1" s="27"/>
      <c r="OTZ1" s="27"/>
      <c r="OUA1" s="27"/>
      <c r="OUB1" s="27"/>
      <c r="OUC1" s="27"/>
      <c r="OUD1" s="27"/>
      <c r="OUE1" s="27"/>
      <c r="OUF1" s="27"/>
      <c r="OUG1" s="27"/>
      <c r="OUH1" s="27"/>
      <c r="OUI1" s="27"/>
      <c r="OUJ1" s="27"/>
      <c r="OUK1" s="27"/>
      <c r="OUL1" s="27"/>
      <c r="OUM1" s="27"/>
      <c r="OUN1" s="27"/>
      <c r="OUO1" s="27"/>
      <c r="OUP1" s="27"/>
      <c r="OUQ1" s="27"/>
      <c r="OUR1" s="27"/>
      <c r="OUS1" s="27"/>
      <c r="OUT1" s="27"/>
      <c r="OUU1" s="27"/>
      <c r="OUV1" s="27"/>
      <c r="OUW1" s="27"/>
      <c r="OUX1" s="27"/>
      <c r="OUY1" s="27"/>
      <c r="OUZ1" s="27"/>
      <c r="OVA1" s="27"/>
      <c r="OVB1" s="27"/>
      <c r="OVC1" s="27"/>
      <c r="OVD1" s="27"/>
      <c r="OVE1" s="27"/>
      <c r="OVF1" s="27"/>
      <c r="OVG1" s="27"/>
      <c r="OVH1" s="27"/>
      <c r="OVI1" s="27"/>
      <c r="OVJ1" s="27"/>
      <c r="OVK1" s="27"/>
      <c r="OVL1" s="27"/>
      <c r="OVM1" s="27"/>
      <c r="OVN1" s="27"/>
      <c r="OVO1" s="27"/>
      <c r="OVP1" s="27"/>
      <c r="OVQ1" s="27"/>
      <c r="OVR1" s="27"/>
      <c r="OVS1" s="27"/>
      <c r="OVT1" s="27"/>
      <c r="OVU1" s="27"/>
      <c r="OVV1" s="27"/>
      <c r="OVW1" s="27"/>
      <c r="OVX1" s="27"/>
      <c r="OVY1" s="27"/>
      <c r="OVZ1" s="27"/>
      <c r="OWA1" s="27"/>
      <c r="OWB1" s="27"/>
      <c r="OWC1" s="27"/>
      <c r="OWD1" s="27"/>
      <c r="OWE1" s="27"/>
      <c r="OWF1" s="27"/>
      <c r="OWG1" s="27"/>
      <c r="OWH1" s="27"/>
      <c r="OWI1" s="27"/>
      <c r="OWJ1" s="27"/>
      <c r="OWK1" s="27"/>
      <c r="OWL1" s="27"/>
      <c r="OWM1" s="27"/>
      <c r="OWN1" s="27"/>
      <c r="OWO1" s="27"/>
      <c r="OWP1" s="27"/>
      <c r="OWQ1" s="27"/>
      <c r="OWR1" s="27"/>
      <c r="OWS1" s="27"/>
      <c r="OWT1" s="27"/>
      <c r="OWU1" s="27"/>
      <c r="OWV1" s="27"/>
      <c r="OWW1" s="27"/>
      <c r="OWX1" s="27"/>
      <c r="OWY1" s="27"/>
      <c r="OWZ1" s="27"/>
      <c r="OXA1" s="27"/>
      <c r="OXB1" s="27"/>
      <c r="OXC1" s="27"/>
      <c r="OXD1" s="27"/>
      <c r="OXE1" s="27"/>
      <c r="OXF1" s="27"/>
      <c r="OXG1" s="27"/>
      <c r="OXH1" s="27"/>
      <c r="OXI1" s="27"/>
      <c r="OXJ1" s="27"/>
      <c r="OXK1" s="27"/>
      <c r="OXL1" s="27"/>
      <c r="OXM1" s="27"/>
      <c r="OXN1" s="27"/>
      <c r="OXO1" s="27"/>
      <c r="OXP1" s="27"/>
      <c r="OXQ1" s="27"/>
      <c r="OXR1" s="27"/>
      <c r="OXS1" s="27"/>
      <c r="OXT1" s="27"/>
      <c r="OXU1" s="27"/>
      <c r="OXV1" s="27"/>
      <c r="OXW1" s="27"/>
      <c r="OXX1" s="27"/>
      <c r="OXY1" s="27"/>
      <c r="OXZ1" s="27"/>
      <c r="OYA1" s="27"/>
      <c r="OYB1" s="27"/>
      <c r="OYC1" s="27"/>
      <c r="OYD1" s="27"/>
      <c r="OYE1" s="27"/>
      <c r="OYF1" s="27"/>
      <c r="OYG1" s="27"/>
      <c r="OYH1" s="27"/>
      <c r="OYI1" s="27"/>
      <c r="OYJ1" s="27"/>
      <c r="OYK1" s="27"/>
      <c r="OYL1" s="27"/>
      <c r="OYM1" s="27"/>
      <c r="OYN1" s="27"/>
      <c r="OYO1" s="27"/>
      <c r="OYP1" s="27"/>
      <c r="OYQ1" s="27"/>
      <c r="OYR1" s="27"/>
      <c r="OYS1" s="27"/>
      <c r="OYT1" s="27"/>
      <c r="OYU1" s="27"/>
      <c r="OYV1" s="27"/>
      <c r="OYW1" s="27"/>
      <c r="OYX1" s="27"/>
      <c r="OYY1" s="27"/>
      <c r="OYZ1" s="27"/>
      <c r="OZA1" s="27"/>
      <c r="OZB1" s="27"/>
      <c r="OZC1" s="27"/>
      <c r="OZD1" s="27"/>
      <c r="OZE1" s="27"/>
      <c r="OZF1" s="27"/>
      <c r="OZG1" s="27"/>
      <c r="OZH1" s="27"/>
      <c r="OZI1" s="27"/>
      <c r="OZJ1" s="27"/>
      <c r="OZK1" s="27"/>
      <c r="OZL1" s="27"/>
      <c r="OZM1" s="27"/>
      <c r="OZN1" s="27"/>
      <c r="OZO1" s="27"/>
      <c r="OZP1" s="27"/>
      <c r="OZQ1" s="27"/>
      <c r="OZR1" s="27"/>
      <c r="OZS1" s="27"/>
      <c r="OZT1" s="27"/>
      <c r="OZU1" s="27"/>
      <c r="OZV1" s="27"/>
      <c r="OZW1" s="27"/>
      <c r="OZX1" s="27"/>
      <c r="OZY1" s="27"/>
      <c r="OZZ1" s="27"/>
      <c r="PAA1" s="27"/>
      <c r="PAB1" s="27"/>
      <c r="PAC1" s="27"/>
      <c r="PAD1" s="27"/>
      <c r="PAE1" s="27"/>
      <c r="PAF1" s="27"/>
      <c r="PAG1" s="27"/>
      <c r="PAH1" s="27"/>
      <c r="PAI1" s="27"/>
      <c r="PAJ1" s="27"/>
      <c r="PAK1" s="27"/>
      <c r="PAL1" s="27"/>
      <c r="PAM1" s="27"/>
      <c r="PAN1" s="27"/>
      <c r="PAO1" s="27"/>
      <c r="PAP1" s="27"/>
      <c r="PAQ1" s="27"/>
      <c r="PAR1" s="27"/>
      <c r="PAS1" s="27"/>
      <c r="PAT1" s="27"/>
      <c r="PAU1" s="27"/>
      <c r="PAV1" s="27"/>
      <c r="PAW1" s="27"/>
      <c r="PAX1" s="27"/>
      <c r="PAY1" s="27"/>
      <c r="PAZ1" s="27"/>
      <c r="PBA1" s="27"/>
      <c r="PBB1" s="27"/>
      <c r="PBC1" s="27"/>
      <c r="PBD1" s="27"/>
      <c r="PBE1" s="27"/>
      <c r="PBF1" s="27"/>
      <c r="PBG1" s="27"/>
      <c r="PBH1" s="27"/>
      <c r="PBI1" s="27"/>
      <c r="PBJ1" s="27"/>
      <c r="PBK1" s="27"/>
      <c r="PBL1" s="27"/>
      <c r="PBM1" s="27"/>
      <c r="PBN1" s="27"/>
      <c r="PBO1" s="27"/>
      <c r="PBP1" s="27"/>
      <c r="PBQ1" s="27"/>
      <c r="PBR1" s="27"/>
      <c r="PBS1" s="27"/>
      <c r="PBT1" s="27"/>
      <c r="PBU1" s="27"/>
      <c r="PBV1" s="27"/>
      <c r="PBW1" s="27"/>
      <c r="PBX1" s="27"/>
      <c r="PBY1" s="27"/>
      <c r="PBZ1" s="27"/>
      <c r="PCA1" s="27"/>
      <c r="PCB1" s="27"/>
      <c r="PCC1" s="27"/>
      <c r="PCD1" s="27"/>
      <c r="PCE1" s="27"/>
      <c r="PCF1" s="27"/>
      <c r="PCG1" s="27"/>
      <c r="PCH1" s="27"/>
      <c r="PCI1" s="27"/>
      <c r="PCJ1" s="27"/>
      <c r="PCK1" s="27"/>
      <c r="PCL1" s="27"/>
      <c r="PCM1" s="27"/>
      <c r="PCN1" s="27"/>
      <c r="PCO1" s="27"/>
      <c r="PCP1" s="27"/>
      <c r="PCQ1" s="27"/>
      <c r="PCR1" s="27"/>
      <c r="PCS1" s="27"/>
      <c r="PCT1" s="27"/>
      <c r="PCU1" s="27"/>
      <c r="PCV1" s="27"/>
      <c r="PCW1" s="27"/>
      <c r="PCX1" s="27"/>
      <c r="PCY1" s="27"/>
      <c r="PCZ1" s="27"/>
      <c r="PDA1" s="27"/>
      <c r="PDB1" s="27"/>
      <c r="PDC1" s="27"/>
      <c r="PDD1" s="27"/>
      <c r="PDE1" s="27"/>
      <c r="PDF1" s="27"/>
      <c r="PDG1" s="27"/>
      <c r="PDH1" s="27"/>
      <c r="PDI1" s="27"/>
      <c r="PDJ1" s="27"/>
      <c r="PDK1" s="27"/>
      <c r="PDL1" s="27"/>
      <c r="PDM1" s="27"/>
      <c r="PDN1" s="27"/>
      <c r="PDO1" s="27"/>
      <c r="PDP1" s="27"/>
      <c r="PDQ1" s="27"/>
      <c r="PDR1" s="27"/>
      <c r="PDS1" s="27"/>
      <c r="PDT1" s="27"/>
      <c r="PDU1" s="27"/>
      <c r="PDV1" s="27"/>
      <c r="PDW1" s="27"/>
      <c r="PDX1" s="27"/>
      <c r="PDY1" s="27"/>
      <c r="PDZ1" s="27"/>
      <c r="PEA1" s="27"/>
      <c r="PEB1" s="27"/>
      <c r="PEC1" s="27"/>
      <c r="PED1" s="27"/>
      <c r="PEE1" s="27"/>
      <c r="PEF1" s="27"/>
      <c r="PEG1" s="27"/>
      <c r="PEH1" s="27"/>
      <c r="PEI1" s="27"/>
      <c r="PEJ1" s="27"/>
      <c r="PEK1" s="27"/>
      <c r="PEL1" s="27"/>
      <c r="PEM1" s="27"/>
      <c r="PEN1" s="27"/>
      <c r="PEO1" s="27"/>
      <c r="PEP1" s="27"/>
      <c r="PEQ1" s="27"/>
      <c r="PER1" s="27"/>
      <c r="PES1" s="27"/>
      <c r="PET1" s="27"/>
      <c r="PEU1" s="27"/>
      <c r="PEV1" s="27"/>
      <c r="PEW1" s="27"/>
      <c r="PEX1" s="27"/>
      <c r="PEY1" s="27"/>
      <c r="PEZ1" s="27"/>
      <c r="PFA1" s="27"/>
      <c r="PFB1" s="27"/>
      <c r="PFC1" s="27"/>
      <c r="PFD1" s="27"/>
      <c r="PFE1" s="27"/>
      <c r="PFF1" s="27"/>
      <c r="PFG1" s="27"/>
      <c r="PFH1" s="27"/>
      <c r="PFI1" s="27"/>
      <c r="PFJ1" s="27"/>
      <c r="PFK1" s="27"/>
      <c r="PFL1" s="27"/>
      <c r="PFM1" s="27"/>
      <c r="PFN1" s="27"/>
      <c r="PFO1" s="27"/>
      <c r="PFP1" s="27"/>
      <c r="PFQ1" s="27"/>
      <c r="PFR1" s="27"/>
      <c r="PFS1" s="27"/>
      <c r="PFT1" s="27"/>
      <c r="PFU1" s="27"/>
      <c r="PFV1" s="27"/>
      <c r="PFW1" s="27"/>
      <c r="PFX1" s="27"/>
      <c r="PFY1" s="27"/>
      <c r="PFZ1" s="27"/>
      <c r="PGA1" s="27"/>
      <c r="PGB1" s="27"/>
      <c r="PGC1" s="27"/>
      <c r="PGD1" s="27"/>
      <c r="PGE1" s="27"/>
      <c r="PGF1" s="27"/>
      <c r="PGG1" s="27"/>
      <c r="PGH1" s="27"/>
      <c r="PGI1" s="27"/>
      <c r="PGJ1" s="27"/>
      <c r="PGK1" s="27"/>
      <c r="PGL1" s="27"/>
      <c r="PGM1" s="27"/>
      <c r="PGN1" s="27"/>
      <c r="PGO1" s="27"/>
      <c r="PGP1" s="27"/>
      <c r="PGQ1" s="27"/>
      <c r="PGR1" s="27"/>
      <c r="PGS1" s="27"/>
      <c r="PGT1" s="27"/>
      <c r="PGU1" s="27"/>
      <c r="PGV1" s="27"/>
      <c r="PGW1" s="27"/>
      <c r="PGX1" s="27"/>
      <c r="PGY1" s="27"/>
      <c r="PGZ1" s="27"/>
      <c r="PHA1" s="27"/>
      <c r="PHB1" s="27"/>
      <c r="PHC1" s="27"/>
      <c r="PHD1" s="27"/>
      <c r="PHE1" s="27"/>
      <c r="PHF1" s="27"/>
      <c r="PHG1" s="27"/>
      <c r="PHH1" s="27"/>
      <c r="PHI1" s="27"/>
      <c r="PHJ1" s="27"/>
      <c r="PHK1" s="27"/>
      <c r="PHL1" s="27"/>
      <c r="PHM1" s="27"/>
      <c r="PHN1" s="27"/>
      <c r="PHO1" s="27"/>
      <c r="PHP1" s="27"/>
      <c r="PHQ1" s="27"/>
      <c r="PHR1" s="27"/>
      <c r="PHS1" s="27"/>
      <c r="PHT1" s="27"/>
      <c r="PHU1" s="27"/>
      <c r="PHV1" s="27"/>
      <c r="PHW1" s="27"/>
      <c r="PHX1" s="27"/>
      <c r="PHY1" s="27"/>
      <c r="PHZ1" s="27"/>
      <c r="PIA1" s="27"/>
      <c r="PIB1" s="27"/>
      <c r="PIC1" s="27"/>
      <c r="PID1" s="27"/>
      <c r="PIE1" s="27"/>
      <c r="PIF1" s="27"/>
      <c r="PIG1" s="27"/>
      <c r="PIH1" s="27"/>
      <c r="PII1" s="27"/>
      <c r="PIJ1" s="27"/>
      <c r="PIK1" s="27"/>
      <c r="PIL1" s="27"/>
      <c r="PIM1" s="27"/>
      <c r="PIN1" s="27"/>
      <c r="PIO1" s="27"/>
      <c r="PIP1" s="27"/>
      <c r="PIQ1" s="27"/>
      <c r="PIR1" s="27"/>
      <c r="PIS1" s="27"/>
      <c r="PIT1" s="27"/>
      <c r="PIU1" s="27"/>
      <c r="PIV1" s="27"/>
      <c r="PIW1" s="27"/>
      <c r="PIX1" s="27"/>
      <c r="PIY1" s="27"/>
      <c r="PIZ1" s="27"/>
      <c r="PJA1" s="27"/>
      <c r="PJB1" s="27"/>
      <c r="PJC1" s="27"/>
      <c r="PJD1" s="27"/>
      <c r="PJE1" s="27"/>
      <c r="PJF1" s="27"/>
      <c r="PJG1" s="27"/>
      <c r="PJH1" s="27"/>
      <c r="PJI1" s="27"/>
      <c r="PJJ1" s="27"/>
      <c r="PJK1" s="27"/>
      <c r="PJL1" s="27"/>
      <c r="PJM1" s="27"/>
      <c r="PJN1" s="27"/>
      <c r="PJO1" s="27"/>
      <c r="PJP1" s="27"/>
      <c r="PJQ1" s="27"/>
      <c r="PJR1" s="27"/>
      <c r="PJS1" s="27"/>
      <c r="PJT1" s="27"/>
      <c r="PJU1" s="27"/>
      <c r="PJV1" s="27"/>
      <c r="PJW1" s="27"/>
      <c r="PJX1" s="27"/>
      <c r="PJY1" s="27"/>
      <c r="PJZ1" s="27"/>
      <c r="PKA1" s="27"/>
      <c r="PKB1" s="27"/>
      <c r="PKC1" s="27"/>
      <c r="PKD1" s="27"/>
      <c r="PKE1" s="27"/>
      <c r="PKF1" s="27"/>
      <c r="PKG1" s="27"/>
      <c r="PKH1" s="27"/>
      <c r="PKI1" s="27"/>
      <c r="PKJ1" s="27"/>
      <c r="PKK1" s="27"/>
      <c r="PKL1" s="27"/>
      <c r="PKM1" s="27"/>
      <c r="PKN1" s="27"/>
      <c r="PKO1" s="27"/>
      <c r="PKP1" s="27"/>
      <c r="PKQ1" s="27"/>
      <c r="PKR1" s="27"/>
      <c r="PKS1" s="27"/>
      <c r="PKT1" s="27"/>
      <c r="PKU1" s="27"/>
      <c r="PKV1" s="27"/>
      <c r="PKW1" s="27"/>
      <c r="PKX1" s="27"/>
      <c r="PKY1" s="27"/>
      <c r="PKZ1" s="27"/>
      <c r="PLA1" s="27"/>
      <c r="PLB1" s="27"/>
      <c r="PLC1" s="27"/>
      <c r="PLD1" s="27"/>
      <c r="PLE1" s="27"/>
      <c r="PLF1" s="27"/>
      <c r="PLG1" s="27"/>
      <c r="PLH1" s="27"/>
      <c r="PLI1" s="27"/>
      <c r="PLJ1" s="27"/>
      <c r="PLK1" s="27"/>
      <c r="PLL1" s="27"/>
      <c r="PLM1" s="27"/>
      <c r="PLN1" s="27"/>
      <c r="PLO1" s="27"/>
      <c r="PLP1" s="27"/>
      <c r="PLQ1" s="27"/>
      <c r="PLR1" s="27"/>
      <c r="PLS1" s="27"/>
      <c r="PLT1" s="27"/>
      <c r="PLU1" s="27"/>
      <c r="PLV1" s="27"/>
      <c r="PLW1" s="27"/>
      <c r="PLX1" s="27"/>
      <c r="PLY1" s="27"/>
      <c r="PLZ1" s="27"/>
      <c r="PMA1" s="27"/>
      <c r="PMB1" s="27"/>
      <c r="PMC1" s="27"/>
      <c r="PMD1" s="27"/>
      <c r="PME1" s="27"/>
      <c r="PMF1" s="27"/>
      <c r="PMG1" s="27"/>
      <c r="PMH1" s="27"/>
      <c r="PMI1" s="27"/>
      <c r="PMJ1" s="27"/>
      <c r="PMK1" s="27"/>
      <c r="PML1" s="27"/>
      <c r="PMM1" s="27"/>
      <c r="PMN1" s="27"/>
      <c r="PMO1" s="27"/>
      <c r="PMP1" s="27"/>
      <c r="PMQ1" s="27"/>
      <c r="PMR1" s="27"/>
      <c r="PMS1" s="27"/>
      <c r="PMT1" s="27"/>
      <c r="PMU1" s="27"/>
      <c r="PMV1" s="27"/>
      <c r="PMW1" s="27"/>
      <c r="PMX1" s="27"/>
      <c r="PMY1" s="27"/>
      <c r="PMZ1" s="27"/>
      <c r="PNA1" s="27"/>
      <c r="PNB1" s="27"/>
      <c r="PNC1" s="27"/>
      <c r="PND1" s="27"/>
      <c r="PNE1" s="27"/>
      <c r="PNF1" s="27"/>
      <c r="PNG1" s="27"/>
      <c r="PNH1" s="27"/>
      <c r="PNI1" s="27"/>
      <c r="PNJ1" s="27"/>
      <c r="PNK1" s="27"/>
      <c r="PNL1" s="27"/>
      <c r="PNM1" s="27"/>
      <c r="PNN1" s="27"/>
      <c r="PNO1" s="27"/>
      <c r="PNP1" s="27"/>
      <c r="PNQ1" s="27"/>
      <c r="PNR1" s="27"/>
      <c r="PNS1" s="27"/>
      <c r="PNT1" s="27"/>
      <c r="PNU1" s="27"/>
      <c r="PNV1" s="27"/>
      <c r="PNW1" s="27"/>
      <c r="PNX1" s="27"/>
      <c r="PNY1" s="27"/>
      <c r="PNZ1" s="27"/>
      <c r="POA1" s="27"/>
      <c r="POB1" s="27"/>
      <c r="POC1" s="27"/>
      <c r="POD1" s="27"/>
      <c r="POE1" s="27"/>
      <c r="POF1" s="27"/>
      <c r="POG1" s="27"/>
      <c r="POH1" s="27"/>
      <c r="POI1" s="27"/>
      <c r="POJ1" s="27"/>
      <c r="POK1" s="27"/>
      <c r="POL1" s="27"/>
      <c r="POM1" s="27"/>
      <c r="PON1" s="27"/>
      <c r="POO1" s="27"/>
      <c r="POP1" s="27"/>
      <c r="POQ1" s="27"/>
      <c r="POR1" s="27"/>
      <c r="POS1" s="27"/>
      <c r="POT1" s="27"/>
      <c r="POU1" s="27"/>
      <c r="POV1" s="27"/>
      <c r="POW1" s="27"/>
      <c r="POX1" s="27"/>
      <c r="POY1" s="27"/>
      <c r="POZ1" s="27"/>
      <c r="PPA1" s="27"/>
      <c r="PPB1" s="27"/>
      <c r="PPC1" s="27"/>
      <c r="PPD1" s="27"/>
      <c r="PPE1" s="27"/>
      <c r="PPF1" s="27"/>
      <c r="PPG1" s="27"/>
      <c r="PPH1" s="27"/>
      <c r="PPI1" s="27"/>
      <c r="PPJ1" s="27"/>
      <c r="PPK1" s="27"/>
      <c r="PPL1" s="27"/>
      <c r="PPM1" s="27"/>
      <c r="PPN1" s="27"/>
      <c r="PPO1" s="27"/>
      <c r="PPP1" s="27"/>
      <c r="PPQ1" s="27"/>
      <c r="PPR1" s="27"/>
      <c r="PPS1" s="27"/>
      <c r="PPT1" s="27"/>
      <c r="PPU1" s="27"/>
      <c r="PPV1" s="27"/>
      <c r="PPW1" s="27"/>
      <c r="PPX1" s="27"/>
      <c r="PPY1" s="27"/>
      <c r="PPZ1" s="27"/>
      <c r="PQA1" s="27"/>
      <c r="PQB1" s="27"/>
      <c r="PQC1" s="27"/>
      <c r="PQD1" s="27"/>
      <c r="PQE1" s="27"/>
      <c r="PQF1" s="27"/>
      <c r="PQG1" s="27"/>
      <c r="PQH1" s="27"/>
      <c r="PQI1" s="27"/>
      <c r="PQJ1" s="27"/>
      <c r="PQK1" s="27"/>
      <c r="PQL1" s="27"/>
      <c r="PQM1" s="27"/>
      <c r="PQN1" s="27"/>
      <c r="PQO1" s="27"/>
      <c r="PQP1" s="27"/>
      <c r="PQQ1" s="27"/>
      <c r="PQR1" s="27"/>
      <c r="PQS1" s="27"/>
      <c r="PQT1" s="27"/>
      <c r="PQU1" s="27"/>
      <c r="PQV1" s="27"/>
      <c r="PQW1" s="27"/>
      <c r="PQX1" s="27"/>
      <c r="PQY1" s="27"/>
      <c r="PQZ1" s="27"/>
      <c r="PRA1" s="27"/>
      <c r="PRB1" s="27"/>
      <c r="PRC1" s="27"/>
      <c r="PRD1" s="27"/>
      <c r="PRE1" s="27"/>
      <c r="PRF1" s="27"/>
      <c r="PRG1" s="27"/>
      <c r="PRH1" s="27"/>
      <c r="PRI1" s="27"/>
      <c r="PRJ1" s="27"/>
      <c r="PRK1" s="27"/>
      <c r="PRL1" s="27"/>
      <c r="PRM1" s="27"/>
      <c r="PRN1" s="27"/>
      <c r="PRO1" s="27"/>
      <c r="PRP1" s="27"/>
      <c r="PRQ1" s="27"/>
      <c r="PRR1" s="27"/>
      <c r="PRS1" s="27"/>
      <c r="PRT1" s="27"/>
      <c r="PRU1" s="27"/>
      <c r="PRV1" s="27"/>
      <c r="PRW1" s="27"/>
      <c r="PRX1" s="27"/>
      <c r="PRY1" s="27"/>
      <c r="PRZ1" s="27"/>
      <c r="PSA1" s="27"/>
      <c r="PSB1" s="27"/>
      <c r="PSC1" s="27"/>
      <c r="PSD1" s="27"/>
      <c r="PSE1" s="27"/>
      <c r="PSF1" s="27"/>
      <c r="PSG1" s="27"/>
      <c r="PSH1" s="27"/>
      <c r="PSI1" s="27"/>
      <c r="PSJ1" s="27"/>
      <c r="PSK1" s="27"/>
      <c r="PSL1" s="27"/>
      <c r="PSM1" s="27"/>
      <c r="PSN1" s="27"/>
      <c r="PSO1" s="27"/>
      <c r="PSP1" s="27"/>
      <c r="PSQ1" s="27"/>
      <c r="PSR1" s="27"/>
      <c r="PSS1" s="27"/>
      <c r="PST1" s="27"/>
      <c r="PSU1" s="27"/>
      <c r="PSV1" s="27"/>
      <c r="PSW1" s="27"/>
      <c r="PSX1" s="27"/>
      <c r="PSY1" s="27"/>
      <c r="PSZ1" s="27"/>
      <c r="PTA1" s="27"/>
      <c r="PTB1" s="27"/>
      <c r="PTC1" s="27"/>
      <c r="PTD1" s="27"/>
      <c r="PTE1" s="27"/>
      <c r="PTF1" s="27"/>
      <c r="PTG1" s="27"/>
      <c r="PTH1" s="27"/>
      <c r="PTI1" s="27"/>
      <c r="PTJ1" s="27"/>
      <c r="PTK1" s="27"/>
      <c r="PTL1" s="27"/>
      <c r="PTM1" s="27"/>
      <c r="PTN1" s="27"/>
      <c r="PTO1" s="27"/>
      <c r="PTP1" s="27"/>
      <c r="PTQ1" s="27"/>
      <c r="PTR1" s="27"/>
      <c r="PTS1" s="27"/>
      <c r="PTT1" s="27"/>
      <c r="PTU1" s="27"/>
      <c r="PTV1" s="27"/>
      <c r="PTW1" s="27"/>
      <c r="PTX1" s="27"/>
      <c r="PTY1" s="27"/>
      <c r="PTZ1" s="27"/>
      <c r="PUA1" s="27"/>
      <c r="PUB1" s="27"/>
      <c r="PUC1" s="27"/>
      <c r="PUD1" s="27"/>
      <c r="PUE1" s="27"/>
      <c r="PUF1" s="27"/>
      <c r="PUG1" s="27"/>
      <c r="PUH1" s="27"/>
      <c r="PUI1" s="27"/>
      <c r="PUJ1" s="27"/>
      <c r="PUK1" s="27"/>
      <c r="PUL1" s="27"/>
      <c r="PUM1" s="27"/>
      <c r="PUN1" s="27"/>
      <c r="PUO1" s="27"/>
      <c r="PUP1" s="27"/>
      <c r="PUQ1" s="27"/>
      <c r="PUR1" s="27"/>
      <c r="PUS1" s="27"/>
      <c r="PUT1" s="27"/>
      <c r="PUU1" s="27"/>
      <c r="PUV1" s="27"/>
      <c r="PUW1" s="27"/>
      <c r="PUX1" s="27"/>
      <c r="PUY1" s="27"/>
      <c r="PUZ1" s="27"/>
      <c r="PVA1" s="27"/>
      <c r="PVB1" s="27"/>
      <c r="PVC1" s="27"/>
      <c r="PVD1" s="27"/>
      <c r="PVE1" s="27"/>
      <c r="PVF1" s="27"/>
      <c r="PVG1" s="27"/>
      <c r="PVH1" s="27"/>
      <c r="PVI1" s="27"/>
      <c r="PVJ1" s="27"/>
      <c r="PVK1" s="27"/>
      <c r="PVL1" s="27"/>
      <c r="PVM1" s="27"/>
      <c r="PVN1" s="27"/>
      <c r="PVO1" s="27"/>
      <c r="PVP1" s="27"/>
      <c r="PVQ1" s="27"/>
      <c r="PVR1" s="27"/>
      <c r="PVS1" s="27"/>
      <c r="PVT1" s="27"/>
      <c r="PVU1" s="27"/>
      <c r="PVV1" s="27"/>
      <c r="PVW1" s="27"/>
      <c r="PVX1" s="27"/>
      <c r="PVY1" s="27"/>
      <c r="PVZ1" s="27"/>
      <c r="PWA1" s="27"/>
      <c r="PWB1" s="27"/>
      <c r="PWC1" s="27"/>
      <c r="PWD1" s="27"/>
      <c r="PWE1" s="27"/>
      <c r="PWF1" s="27"/>
      <c r="PWG1" s="27"/>
      <c r="PWH1" s="27"/>
      <c r="PWI1" s="27"/>
      <c r="PWJ1" s="27"/>
      <c r="PWK1" s="27"/>
      <c r="PWL1" s="27"/>
      <c r="PWM1" s="27"/>
      <c r="PWN1" s="27"/>
      <c r="PWO1" s="27"/>
      <c r="PWP1" s="27"/>
      <c r="PWQ1" s="27"/>
      <c r="PWR1" s="27"/>
      <c r="PWS1" s="27"/>
      <c r="PWT1" s="27"/>
      <c r="PWU1" s="27"/>
      <c r="PWV1" s="27"/>
      <c r="PWW1" s="27"/>
      <c r="PWX1" s="27"/>
      <c r="PWY1" s="27"/>
      <c r="PWZ1" s="27"/>
      <c r="PXA1" s="27"/>
      <c r="PXB1" s="27"/>
      <c r="PXC1" s="27"/>
      <c r="PXD1" s="27"/>
      <c r="PXE1" s="27"/>
      <c r="PXF1" s="27"/>
      <c r="PXG1" s="27"/>
      <c r="PXH1" s="27"/>
      <c r="PXI1" s="27"/>
      <c r="PXJ1" s="27"/>
      <c r="PXK1" s="27"/>
      <c r="PXL1" s="27"/>
      <c r="PXM1" s="27"/>
      <c r="PXN1" s="27"/>
      <c r="PXO1" s="27"/>
      <c r="PXP1" s="27"/>
      <c r="PXQ1" s="27"/>
      <c r="PXR1" s="27"/>
      <c r="PXS1" s="27"/>
      <c r="PXT1" s="27"/>
      <c r="PXU1" s="27"/>
      <c r="PXV1" s="27"/>
      <c r="PXW1" s="27"/>
      <c r="PXX1" s="27"/>
      <c r="PXY1" s="27"/>
      <c r="PXZ1" s="27"/>
      <c r="PYA1" s="27"/>
      <c r="PYB1" s="27"/>
      <c r="PYC1" s="27"/>
      <c r="PYD1" s="27"/>
      <c r="PYE1" s="27"/>
      <c r="PYF1" s="27"/>
      <c r="PYG1" s="27"/>
      <c r="PYH1" s="27"/>
      <c r="PYI1" s="27"/>
      <c r="PYJ1" s="27"/>
      <c r="PYK1" s="27"/>
      <c r="PYL1" s="27"/>
      <c r="PYM1" s="27"/>
      <c r="PYN1" s="27"/>
      <c r="PYO1" s="27"/>
      <c r="PYP1" s="27"/>
      <c r="PYQ1" s="27"/>
      <c r="PYR1" s="27"/>
      <c r="PYS1" s="27"/>
      <c r="PYT1" s="27"/>
      <c r="PYU1" s="27"/>
      <c r="PYV1" s="27"/>
      <c r="PYW1" s="27"/>
      <c r="PYX1" s="27"/>
      <c r="PYY1" s="27"/>
      <c r="PYZ1" s="27"/>
      <c r="PZA1" s="27"/>
      <c r="PZB1" s="27"/>
      <c r="PZC1" s="27"/>
      <c r="PZD1" s="27"/>
      <c r="PZE1" s="27"/>
      <c r="PZF1" s="27"/>
      <c r="PZG1" s="27"/>
      <c r="PZH1" s="27"/>
      <c r="PZI1" s="27"/>
      <c r="PZJ1" s="27"/>
      <c r="PZK1" s="27"/>
      <c r="PZL1" s="27"/>
      <c r="PZM1" s="27"/>
      <c r="PZN1" s="27"/>
      <c r="PZO1" s="27"/>
      <c r="PZP1" s="27"/>
      <c r="PZQ1" s="27"/>
      <c r="PZR1" s="27"/>
      <c r="PZS1" s="27"/>
      <c r="PZT1" s="27"/>
      <c r="PZU1" s="27"/>
      <c r="PZV1" s="27"/>
      <c r="PZW1" s="27"/>
      <c r="PZX1" s="27"/>
      <c r="PZY1" s="27"/>
      <c r="PZZ1" s="27"/>
      <c r="QAA1" s="27"/>
      <c r="QAB1" s="27"/>
      <c r="QAC1" s="27"/>
      <c r="QAD1" s="27"/>
      <c r="QAE1" s="27"/>
      <c r="QAF1" s="27"/>
      <c r="QAG1" s="27"/>
      <c r="QAH1" s="27"/>
      <c r="QAI1" s="27"/>
      <c r="QAJ1" s="27"/>
      <c r="QAK1" s="27"/>
      <c r="QAL1" s="27"/>
      <c r="QAM1" s="27"/>
      <c r="QAN1" s="27"/>
      <c r="QAO1" s="27"/>
      <c r="QAP1" s="27"/>
      <c r="QAQ1" s="27"/>
      <c r="QAR1" s="27"/>
      <c r="QAS1" s="27"/>
      <c r="QAT1" s="27"/>
      <c r="QAU1" s="27"/>
      <c r="QAV1" s="27"/>
      <c r="QAW1" s="27"/>
      <c r="QAX1" s="27"/>
      <c r="QAY1" s="27"/>
      <c r="QAZ1" s="27"/>
      <c r="QBA1" s="27"/>
      <c r="QBB1" s="27"/>
      <c r="QBC1" s="27"/>
      <c r="QBD1" s="27"/>
      <c r="QBE1" s="27"/>
      <c r="QBF1" s="27"/>
      <c r="QBG1" s="27"/>
      <c r="QBH1" s="27"/>
      <c r="QBI1" s="27"/>
      <c r="QBJ1" s="27"/>
      <c r="QBK1" s="27"/>
      <c r="QBL1" s="27"/>
      <c r="QBM1" s="27"/>
      <c r="QBN1" s="27"/>
      <c r="QBO1" s="27"/>
      <c r="QBP1" s="27"/>
      <c r="QBQ1" s="27"/>
      <c r="QBR1" s="27"/>
      <c r="QBS1" s="27"/>
      <c r="QBT1" s="27"/>
      <c r="QBU1" s="27"/>
      <c r="QBV1" s="27"/>
      <c r="QBW1" s="27"/>
      <c r="QBX1" s="27"/>
      <c r="QBY1" s="27"/>
      <c r="QBZ1" s="27"/>
      <c r="QCA1" s="27"/>
      <c r="QCB1" s="27"/>
      <c r="QCC1" s="27"/>
      <c r="QCD1" s="27"/>
      <c r="QCE1" s="27"/>
      <c r="QCF1" s="27"/>
      <c r="QCG1" s="27"/>
      <c r="QCH1" s="27"/>
      <c r="QCI1" s="27"/>
      <c r="QCJ1" s="27"/>
      <c r="QCK1" s="27"/>
      <c r="QCL1" s="27"/>
      <c r="QCM1" s="27"/>
      <c r="QCN1" s="27"/>
      <c r="QCO1" s="27"/>
      <c r="QCP1" s="27"/>
      <c r="QCQ1" s="27"/>
      <c r="QCR1" s="27"/>
      <c r="QCS1" s="27"/>
      <c r="QCT1" s="27"/>
      <c r="QCU1" s="27"/>
      <c r="QCV1" s="27"/>
      <c r="QCW1" s="27"/>
      <c r="QCX1" s="27"/>
      <c r="QCY1" s="27"/>
      <c r="QCZ1" s="27"/>
      <c r="QDA1" s="27"/>
      <c r="QDB1" s="27"/>
      <c r="QDC1" s="27"/>
      <c r="QDD1" s="27"/>
      <c r="QDE1" s="27"/>
      <c r="QDF1" s="27"/>
      <c r="QDG1" s="27"/>
      <c r="QDH1" s="27"/>
      <c r="QDI1" s="27"/>
      <c r="QDJ1" s="27"/>
      <c r="QDK1" s="27"/>
      <c r="QDL1" s="27"/>
      <c r="QDM1" s="27"/>
      <c r="QDN1" s="27"/>
      <c r="QDO1" s="27"/>
      <c r="QDP1" s="27"/>
      <c r="QDQ1" s="27"/>
      <c r="QDR1" s="27"/>
      <c r="QDS1" s="27"/>
      <c r="QDT1" s="27"/>
      <c r="QDU1" s="27"/>
      <c r="QDV1" s="27"/>
      <c r="QDW1" s="27"/>
      <c r="QDX1" s="27"/>
      <c r="QDY1" s="27"/>
      <c r="QDZ1" s="27"/>
      <c r="QEA1" s="27"/>
      <c r="QEB1" s="27"/>
      <c r="QEC1" s="27"/>
      <c r="QED1" s="27"/>
      <c r="QEE1" s="27"/>
      <c r="QEF1" s="27"/>
      <c r="QEG1" s="27"/>
      <c r="QEH1" s="27"/>
      <c r="QEI1" s="27"/>
      <c r="QEJ1" s="27"/>
      <c r="QEK1" s="27"/>
      <c r="QEL1" s="27"/>
      <c r="QEM1" s="27"/>
      <c r="QEN1" s="27"/>
      <c r="QEO1" s="27"/>
      <c r="QEP1" s="27"/>
      <c r="QEQ1" s="27"/>
      <c r="QER1" s="27"/>
      <c r="QES1" s="27"/>
      <c r="QET1" s="27"/>
      <c r="QEU1" s="27"/>
      <c r="QEV1" s="27"/>
      <c r="QEW1" s="27"/>
      <c r="QEX1" s="27"/>
      <c r="QEY1" s="27"/>
      <c r="QEZ1" s="27"/>
      <c r="QFA1" s="27"/>
      <c r="QFB1" s="27"/>
      <c r="QFC1" s="27"/>
      <c r="QFD1" s="27"/>
      <c r="QFE1" s="27"/>
      <c r="QFF1" s="27"/>
      <c r="QFG1" s="27"/>
      <c r="QFH1" s="27"/>
      <c r="QFI1" s="27"/>
      <c r="QFJ1" s="27"/>
      <c r="QFK1" s="27"/>
      <c r="QFL1" s="27"/>
      <c r="QFM1" s="27"/>
      <c r="QFN1" s="27"/>
      <c r="QFO1" s="27"/>
      <c r="QFP1" s="27"/>
      <c r="QFQ1" s="27"/>
      <c r="QFR1" s="27"/>
      <c r="QFS1" s="27"/>
      <c r="QFT1" s="27"/>
      <c r="QFU1" s="27"/>
      <c r="QFV1" s="27"/>
      <c r="QFW1" s="27"/>
      <c r="QFX1" s="27"/>
      <c r="QFY1" s="27"/>
      <c r="QFZ1" s="27"/>
      <c r="QGA1" s="27"/>
      <c r="QGB1" s="27"/>
      <c r="QGC1" s="27"/>
      <c r="QGD1" s="27"/>
      <c r="QGE1" s="27"/>
      <c r="QGF1" s="27"/>
      <c r="QGG1" s="27"/>
      <c r="QGH1" s="27"/>
      <c r="QGI1" s="27"/>
      <c r="QGJ1" s="27"/>
      <c r="QGK1" s="27"/>
      <c r="QGL1" s="27"/>
      <c r="QGM1" s="27"/>
      <c r="QGN1" s="27"/>
      <c r="QGO1" s="27"/>
      <c r="QGP1" s="27"/>
      <c r="QGQ1" s="27"/>
      <c r="QGR1" s="27"/>
      <c r="QGS1" s="27"/>
      <c r="QGT1" s="27"/>
      <c r="QGU1" s="27"/>
      <c r="QGV1" s="27"/>
      <c r="QGW1" s="27"/>
      <c r="QGX1" s="27"/>
      <c r="QGY1" s="27"/>
      <c r="QGZ1" s="27"/>
      <c r="QHA1" s="27"/>
      <c r="QHB1" s="27"/>
      <c r="QHC1" s="27"/>
      <c r="QHD1" s="27"/>
      <c r="QHE1" s="27"/>
      <c r="QHF1" s="27"/>
      <c r="QHG1" s="27"/>
      <c r="QHH1" s="27"/>
      <c r="QHI1" s="27"/>
      <c r="QHJ1" s="27"/>
      <c r="QHK1" s="27"/>
      <c r="QHL1" s="27"/>
      <c r="QHM1" s="27"/>
      <c r="QHN1" s="27"/>
      <c r="QHO1" s="27"/>
      <c r="QHP1" s="27"/>
      <c r="QHQ1" s="27"/>
      <c r="QHR1" s="27"/>
      <c r="QHS1" s="27"/>
      <c r="QHT1" s="27"/>
      <c r="QHU1" s="27"/>
      <c r="QHV1" s="27"/>
      <c r="QHW1" s="27"/>
      <c r="QHX1" s="27"/>
      <c r="QHY1" s="27"/>
      <c r="QHZ1" s="27"/>
      <c r="QIA1" s="27"/>
      <c r="QIB1" s="27"/>
      <c r="QIC1" s="27"/>
      <c r="QID1" s="27"/>
      <c r="QIE1" s="27"/>
      <c r="QIF1" s="27"/>
      <c r="QIG1" s="27"/>
      <c r="QIH1" s="27"/>
      <c r="QII1" s="27"/>
      <c r="QIJ1" s="27"/>
      <c r="QIK1" s="27"/>
      <c r="QIL1" s="27"/>
      <c r="QIM1" s="27"/>
      <c r="QIN1" s="27"/>
      <c r="QIO1" s="27"/>
      <c r="QIP1" s="27"/>
      <c r="QIQ1" s="27"/>
      <c r="QIR1" s="27"/>
      <c r="QIS1" s="27"/>
      <c r="QIT1" s="27"/>
      <c r="QIU1" s="27"/>
      <c r="QIV1" s="27"/>
      <c r="QIW1" s="27"/>
      <c r="QIX1" s="27"/>
      <c r="QIY1" s="27"/>
      <c r="QIZ1" s="27"/>
      <c r="QJA1" s="27"/>
      <c r="QJB1" s="27"/>
      <c r="QJC1" s="27"/>
      <c r="QJD1" s="27"/>
      <c r="QJE1" s="27"/>
      <c r="QJF1" s="27"/>
      <c r="QJG1" s="27"/>
      <c r="QJH1" s="27"/>
      <c r="QJI1" s="27"/>
      <c r="QJJ1" s="27"/>
      <c r="QJK1" s="27"/>
      <c r="QJL1" s="27"/>
      <c r="QJM1" s="27"/>
      <c r="QJN1" s="27"/>
      <c r="QJO1" s="27"/>
      <c r="QJP1" s="27"/>
      <c r="QJQ1" s="27"/>
      <c r="QJR1" s="27"/>
      <c r="QJS1" s="27"/>
      <c r="QJT1" s="27"/>
      <c r="QJU1" s="27"/>
      <c r="QJV1" s="27"/>
      <c r="QJW1" s="27"/>
      <c r="QJX1" s="27"/>
      <c r="QJY1" s="27"/>
      <c r="QJZ1" s="27"/>
      <c r="QKA1" s="27"/>
      <c r="QKB1" s="27"/>
      <c r="QKC1" s="27"/>
      <c r="QKD1" s="27"/>
      <c r="QKE1" s="27"/>
      <c r="QKF1" s="27"/>
      <c r="QKG1" s="27"/>
      <c r="QKH1" s="27"/>
      <c r="QKI1" s="27"/>
      <c r="QKJ1" s="27"/>
      <c r="QKK1" s="27"/>
      <c r="QKL1" s="27"/>
      <c r="QKM1" s="27"/>
      <c r="QKN1" s="27"/>
      <c r="QKO1" s="27"/>
      <c r="QKP1" s="27"/>
      <c r="QKQ1" s="27"/>
      <c r="QKR1" s="27"/>
      <c r="QKS1" s="27"/>
      <c r="QKT1" s="27"/>
      <c r="QKU1" s="27"/>
      <c r="QKV1" s="27"/>
      <c r="QKW1" s="27"/>
      <c r="QKX1" s="27"/>
      <c r="QKY1" s="27"/>
      <c r="QKZ1" s="27"/>
      <c r="QLA1" s="27"/>
      <c r="QLB1" s="27"/>
      <c r="QLC1" s="27"/>
      <c r="QLD1" s="27"/>
      <c r="QLE1" s="27"/>
      <c r="QLF1" s="27"/>
      <c r="QLG1" s="27"/>
      <c r="QLH1" s="27"/>
      <c r="QLI1" s="27"/>
      <c r="QLJ1" s="27"/>
      <c r="QLK1" s="27"/>
      <c r="QLL1" s="27"/>
      <c r="QLM1" s="27"/>
      <c r="QLN1" s="27"/>
      <c r="QLO1" s="27"/>
      <c r="QLP1" s="27"/>
      <c r="QLQ1" s="27"/>
      <c r="QLR1" s="27"/>
      <c r="QLS1" s="27"/>
      <c r="QLT1" s="27"/>
      <c r="QLU1" s="27"/>
      <c r="QLV1" s="27"/>
      <c r="QLW1" s="27"/>
      <c r="QLX1" s="27"/>
      <c r="QLY1" s="27"/>
      <c r="QLZ1" s="27"/>
      <c r="QMA1" s="27"/>
      <c r="QMB1" s="27"/>
      <c r="QMC1" s="27"/>
      <c r="QMD1" s="27"/>
      <c r="QME1" s="27"/>
      <c r="QMF1" s="27"/>
      <c r="QMG1" s="27"/>
      <c r="QMH1" s="27"/>
      <c r="QMI1" s="27"/>
      <c r="QMJ1" s="27"/>
      <c r="QMK1" s="27"/>
      <c r="QML1" s="27"/>
      <c r="QMM1" s="27"/>
      <c r="QMN1" s="27"/>
      <c r="QMO1" s="27"/>
      <c r="QMP1" s="27"/>
      <c r="QMQ1" s="27"/>
      <c r="QMR1" s="27"/>
      <c r="QMS1" s="27"/>
      <c r="QMT1" s="27"/>
      <c r="QMU1" s="27"/>
      <c r="QMV1" s="27"/>
      <c r="QMW1" s="27"/>
      <c r="QMX1" s="27"/>
      <c r="QMY1" s="27"/>
      <c r="QMZ1" s="27"/>
      <c r="QNA1" s="27"/>
      <c r="QNB1" s="27"/>
      <c r="QNC1" s="27"/>
      <c r="QND1" s="27"/>
      <c r="QNE1" s="27"/>
      <c r="QNF1" s="27"/>
      <c r="QNG1" s="27"/>
      <c r="QNH1" s="27"/>
      <c r="QNI1" s="27"/>
      <c r="QNJ1" s="27"/>
      <c r="QNK1" s="27"/>
      <c r="QNL1" s="27"/>
      <c r="QNM1" s="27"/>
      <c r="QNN1" s="27"/>
      <c r="QNO1" s="27"/>
      <c r="QNP1" s="27"/>
      <c r="QNQ1" s="27"/>
      <c r="QNR1" s="27"/>
      <c r="QNS1" s="27"/>
      <c r="QNT1" s="27"/>
      <c r="QNU1" s="27"/>
      <c r="QNV1" s="27"/>
      <c r="QNW1" s="27"/>
      <c r="QNX1" s="27"/>
      <c r="QNY1" s="27"/>
      <c r="QNZ1" s="27"/>
      <c r="QOA1" s="27"/>
      <c r="QOB1" s="27"/>
      <c r="QOC1" s="27"/>
      <c r="QOD1" s="27"/>
      <c r="QOE1" s="27"/>
      <c r="QOF1" s="27"/>
      <c r="QOG1" s="27"/>
      <c r="QOH1" s="27"/>
      <c r="QOI1" s="27"/>
      <c r="QOJ1" s="27"/>
      <c r="QOK1" s="27"/>
      <c r="QOL1" s="27"/>
      <c r="QOM1" s="27"/>
      <c r="QON1" s="27"/>
      <c r="QOO1" s="27"/>
      <c r="QOP1" s="27"/>
      <c r="QOQ1" s="27"/>
      <c r="QOR1" s="27"/>
      <c r="QOS1" s="27"/>
      <c r="QOT1" s="27"/>
      <c r="QOU1" s="27"/>
      <c r="QOV1" s="27"/>
      <c r="QOW1" s="27"/>
      <c r="QOX1" s="27"/>
      <c r="QOY1" s="27"/>
      <c r="QOZ1" s="27"/>
      <c r="QPA1" s="27"/>
      <c r="QPB1" s="27"/>
      <c r="QPC1" s="27"/>
      <c r="QPD1" s="27"/>
      <c r="QPE1" s="27"/>
      <c r="QPF1" s="27"/>
      <c r="QPG1" s="27"/>
      <c r="QPH1" s="27"/>
      <c r="QPI1" s="27"/>
      <c r="QPJ1" s="27"/>
      <c r="QPK1" s="27"/>
      <c r="QPL1" s="27"/>
      <c r="QPM1" s="27"/>
      <c r="QPN1" s="27"/>
      <c r="QPO1" s="27"/>
      <c r="QPP1" s="27"/>
      <c r="QPQ1" s="27"/>
      <c r="QPR1" s="27"/>
      <c r="QPS1" s="27"/>
      <c r="QPT1" s="27"/>
      <c r="QPU1" s="27"/>
      <c r="QPV1" s="27"/>
      <c r="QPW1" s="27"/>
      <c r="QPX1" s="27"/>
      <c r="QPY1" s="27"/>
      <c r="QPZ1" s="27"/>
      <c r="QQA1" s="27"/>
      <c r="QQB1" s="27"/>
      <c r="QQC1" s="27"/>
      <c r="QQD1" s="27"/>
      <c r="QQE1" s="27"/>
      <c r="QQF1" s="27"/>
      <c r="QQG1" s="27"/>
      <c r="QQH1" s="27"/>
      <c r="QQI1" s="27"/>
      <c r="QQJ1" s="27"/>
      <c r="QQK1" s="27"/>
      <c r="QQL1" s="27"/>
      <c r="QQM1" s="27"/>
      <c r="QQN1" s="27"/>
      <c r="QQO1" s="27"/>
      <c r="QQP1" s="27"/>
      <c r="QQQ1" s="27"/>
      <c r="QQR1" s="27"/>
      <c r="QQS1" s="27"/>
      <c r="QQT1" s="27"/>
      <c r="QQU1" s="27"/>
      <c r="QQV1" s="27"/>
      <c r="QQW1" s="27"/>
      <c r="QQX1" s="27"/>
      <c r="QQY1" s="27"/>
      <c r="QQZ1" s="27"/>
      <c r="QRA1" s="27"/>
      <c r="QRB1" s="27"/>
      <c r="QRC1" s="27"/>
      <c r="QRD1" s="27"/>
      <c r="QRE1" s="27"/>
      <c r="QRF1" s="27"/>
      <c r="QRG1" s="27"/>
      <c r="QRH1" s="27"/>
      <c r="QRI1" s="27"/>
      <c r="QRJ1" s="27"/>
      <c r="QRK1" s="27"/>
      <c r="QRL1" s="27"/>
      <c r="QRM1" s="27"/>
      <c r="QRN1" s="27"/>
      <c r="QRO1" s="27"/>
      <c r="QRP1" s="27"/>
      <c r="QRQ1" s="27"/>
      <c r="QRR1" s="27"/>
      <c r="QRS1" s="27"/>
      <c r="QRT1" s="27"/>
      <c r="QRU1" s="27"/>
      <c r="QRV1" s="27"/>
      <c r="QRW1" s="27"/>
      <c r="QRX1" s="27"/>
      <c r="QRY1" s="27"/>
      <c r="QRZ1" s="27"/>
      <c r="QSA1" s="27"/>
      <c r="QSB1" s="27"/>
      <c r="QSC1" s="27"/>
      <c r="QSD1" s="27"/>
      <c r="QSE1" s="27"/>
      <c r="QSF1" s="27"/>
      <c r="QSG1" s="27"/>
      <c r="QSH1" s="27"/>
      <c r="QSI1" s="27"/>
      <c r="QSJ1" s="27"/>
      <c r="QSK1" s="27"/>
      <c r="QSL1" s="27"/>
      <c r="QSM1" s="27"/>
      <c r="QSN1" s="27"/>
      <c r="QSO1" s="27"/>
      <c r="QSP1" s="27"/>
      <c r="QSQ1" s="27"/>
      <c r="QSR1" s="27"/>
      <c r="QSS1" s="27"/>
      <c r="QST1" s="27"/>
      <c r="QSU1" s="27"/>
      <c r="QSV1" s="27"/>
      <c r="QSW1" s="27"/>
      <c r="QSX1" s="27"/>
      <c r="QSY1" s="27"/>
      <c r="QSZ1" s="27"/>
      <c r="QTA1" s="27"/>
      <c r="QTB1" s="27"/>
      <c r="QTC1" s="27"/>
      <c r="QTD1" s="27"/>
      <c r="QTE1" s="27"/>
      <c r="QTF1" s="27"/>
      <c r="QTG1" s="27"/>
      <c r="QTH1" s="27"/>
      <c r="QTI1" s="27"/>
      <c r="QTJ1" s="27"/>
      <c r="QTK1" s="27"/>
      <c r="QTL1" s="27"/>
      <c r="QTM1" s="27"/>
      <c r="QTN1" s="27"/>
      <c r="QTO1" s="27"/>
      <c r="QTP1" s="27"/>
      <c r="QTQ1" s="27"/>
      <c r="QTR1" s="27"/>
      <c r="QTS1" s="27"/>
      <c r="QTT1" s="27"/>
      <c r="QTU1" s="27"/>
      <c r="QTV1" s="27"/>
      <c r="QTW1" s="27"/>
      <c r="QTX1" s="27"/>
      <c r="QTY1" s="27"/>
      <c r="QTZ1" s="27"/>
      <c r="QUA1" s="27"/>
      <c r="QUB1" s="27"/>
      <c r="QUC1" s="27"/>
      <c r="QUD1" s="27"/>
      <c r="QUE1" s="27"/>
      <c r="QUF1" s="27"/>
      <c r="QUG1" s="27"/>
      <c r="QUH1" s="27"/>
      <c r="QUI1" s="27"/>
      <c r="QUJ1" s="27"/>
      <c r="QUK1" s="27"/>
      <c r="QUL1" s="27"/>
      <c r="QUM1" s="27"/>
      <c r="QUN1" s="27"/>
      <c r="QUO1" s="27"/>
      <c r="QUP1" s="27"/>
      <c r="QUQ1" s="27"/>
      <c r="QUR1" s="27"/>
      <c r="QUS1" s="27"/>
      <c r="QUT1" s="27"/>
      <c r="QUU1" s="27"/>
      <c r="QUV1" s="27"/>
      <c r="QUW1" s="27"/>
      <c r="QUX1" s="27"/>
      <c r="QUY1" s="27"/>
      <c r="QUZ1" s="27"/>
      <c r="QVA1" s="27"/>
      <c r="QVB1" s="27"/>
      <c r="QVC1" s="27"/>
      <c r="QVD1" s="27"/>
      <c r="QVE1" s="27"/>
      <c r="QVF1" s="27"/>
      <c r="QVG1" s="27"/>
      <c r="QVH1" s="27"/>
      <c r="QVI1" s="27"/>
      <c r="QVJ1" s="27"/>
      <c r="QVK1" s="27"/>
      <c r="QVL1" s="27"/>
      <c r="QVM1" s="27"/>
      <c r="QVN1" s="27"/>
      <c r="QVO1" s="27"/>
      <c r="QVP1" s="27"/>
      <c r="QVQ1" s="27"/>
      <c r="QVR1" s="27"/>
      <c r="QVS1" s="27"/>
      <c r="QVT1" s="27"/>
      <c r="QVU1" s="27"/>
      <c r="QVV1" s="27"/>
      <c r="QVW1" s="27"/>
      <c r="QVX1" s="27"/>
      <c r="QVY1" s="27"/>
      <c r="QVZ1" s="27"/>
      <c r="QWA1" s="27"/>
      <c r="QWB1" s="27"/>
      <c r="QWC1" s="27"/>
      <c r="QWD1" s="27"/>
      <c r="QWE1" s="27"/>
      <c r="QWF1" s="27"/>
      <c r="QWG1" s="27"/>
      <c r="QWH1" s="27"/>
      <c r="QWI1" s="27"/>
      <c r="QWJ1" s="27"/>
      <c r="QWK1" s="27"/>
      <c r="QWL1" s="27"/>
      <c r="QWM1" s="27"/>
      <c r="QWN1" s="27"/>
      <c r="QWO1" s="27"/>
      <c r="QWP1" s="27"/>
      <c r="QWQ1" s="27"/>
      <c r="QWR1" s="27"/>
      <c r="QWS1" s="27"/>
      <c r="QWT1" s="27"/>
      <c r="QWU1" s="27"/>
      <c r="QWV1" s="27"/>
      <c r="QWW1" s="27"/>
      <c r="QWX1" s="27"/>
      <c r="QWY1" s="27"/>
      <c r="QWZ1" s="27"/>
      <c r="QXA1" s="27"/>
      <c r="QXB1" s="27"/>
      <c r="QXC1" s="27"/>
      <c r="QXD1" s="27"/>
      <c r="QXE1" s="27"/>
      <c r="QXF1" s="27"/>
      <c r="QXG1" s="27"/>
      <c r="QXH1" s="27"/>
      <c r="QXI1" s="27"/>
      <c r="QXJ1" s="27"/>
      <c r="QXK1" s="27"/>
      <c r="QXL1" s="27"/>
      <c r="QXM1" s="27"/>
      <c r="QXN1" s="27"/>
      <c r="QXO1" s="27"/>
      <c r="QXP1" s="27"/>
      <c r="QXQ1" s="27"/>
      <c r="QXR1" s="27"/>
      <c r="QXS1" s="27"/>
      <c r="QXT1" s="27"/>
      <c r="QXU1" s="27"/>
      <c r="QXV1" s="27"/>
      <c r="QXW1" s="27"/>
      <c r="QXX1" s="27"/>
      <c r="QXY1" s="27"/>
      <c r="QXZ1" s="27"/>
      <c r="QYA1" s="27"/>
      <c r="QYB1" s="27"/>
      <c r="QYC1" s="27"/>
      <c r="QYD1" s="27"/>
      <c r="QYE1" s="27"/>
      <c r="QYF1" s="27"/>
      <c r="QYG1" s="27"/>
      <c r="QYH1" s="27"/>
      <c r="QYI1" s="27"/>
      <c r="QYJ1" s="27"/>
      <c r="QYK1" s="27"/>
      <c r="QYL1" s="27"/>
      <c r="QYM1" s="27"/>
      <c r="QYN1" s="27"/>
      <c r="QYO1" s="27"/>
      <c r="QYP1" s="27"/>
      <c r="QYQ1" s="27"/>
      <c r="QYR1" s="27"/>
      <c r="QYS1" s="27"/>
      <c r="QYT1" s="27"/>
      <c r="QYU1" s="27"/>
      <c r="QYV1" s="27"/>
      <c r="QYW1" s="27"/>
      <c r="QYX1" s="27"/>
      <c r="QYY1" s="27"/>
      <c r="QYZ1" s="27"/>
      <c r="QZA1" s="27"/>
      <c r="QZB1" s="27"/>
      <c r="QZC1" s="27"/>
      <c r="QZD1" s="27"/>
      <c r="QZE1" s="27"/>
      <c r="QZF1" s="27"/>
      <c r="QZG1" s="27"/>
      <c r="QZH1" s="27"/>
      <c r="QZI1" s="27"/>
      <c r="QZJ1" s="27"/>
      <c r="QZK1" s="27"/>
      <c r="QZL1" s="27"/>
      <c r="QZM1" s="27"/>
      <c r="QZN1" s="27"/>
      <c r="QZO1" s="27"/>
      <c r="QZP1" s="27"/>
      <c r="QZQ1" s="27"/>
      <c r="QZR1" s="27"/>
      <c r="QZS1" s="27"/>
      <c r="QZT1" s="27"/>
      <c r="QZU1" s="27"/>
      <c r="QZV1" s="27"/>
      <c r="QZW1" s="27"/>
      <c r="QZX1" s="27"/>
      <c r="QZY1" s="27"/>
      <c r="QZZ1" s="27"/>
      <c r="RAA1" s="27"/>
      <c r="RAB1" s="27"/>
      <c r="RAC1" s="27"/>
      <c r="RAD1" s="27"/>
      <c r="RAE1" s="27"/>
      <c r="RAF1" s="27"/>
      <c r="RAG1" s="27"/>
      <c r="RAH1" s="27"/>
      <c r="RAI1" s="27"/>
      <c r="RAJ1" s="27"/>
      <c r="RAK1" s="27"/>
      <c r="RAL1" s="27"/>
      <c r="RAM1" s="27"/>
      <c r="RAN1" s="27"/>
      <c r="RAO1" s="27"/>
      <c r="RAP1" s="27"/>
      <c r="RAQ1" s="27"/>
      <c r="RAR1" s="27"/>
      <c r="RAS1" s="27"/>
      <c r="RAT1" s="27"/>
      <c r="RAU1" s="27"/>
      <c r="RAV1" s="27"/>
      <c r="RAW1" s="27"/>
      <c r="RAX1" s="27"/>
      <c r="RAY1" s="27"/>
      <c r="RAZ1" s="27"/>
      <c r="RBA1" s="27"/>
      <c r="RBB1" s="27"/>
      <c r="RBC1" s="27"/>
      <c r="RBD1" s="27"/>
      <c r="RBE1" s="27"/>
      <c r="RBF1" s="27"/>
      <c r="RBG1" s="27"/>
      <c r="RBH1" s="27"/>
      <c r="RBI1" s="27"/>
      <c r="RBJ1" s="27"/>
      <c r="RBK1" s="27"/>
      <c r="RBL1" s="27"/>
      <c r="RBM1" s="27"/>
      <c r="RBN1" s="27"/>
      <c r="RBO1" s="27"/>
      <c r="RBP1" s="27"/>
      <c r="RBQ1" s="27"/>
      <c r="RBR1" s="27"/>
      <c r="RBS1" s="27"/>
      <c r="RBT1" s="27"/>
      <c r="RBU1" s="27"/>
      <c r="RBV1" s="27"/>
      <c r="RBW1" s="27"/>
      <c r="RBX1" s="27"/>
      <c r="RBY1" s="27"/>
      <c r="RBZ1" s="27"/>
      <c r="RCA1" s="27"/>
      <c r="RCB1" s="27"/>
      <c r="RCC1" s="27"/>
      <c r="RCD1" s="27"/>
      <c r="RCE1" s="27"/>
      <c r="RCF1" s="27"/>
      <c r="RCG1" s="27"/>
      <c r="RCH1" s="27"/>
      <c r="RCI1" s="27"/>
      <c r="RCJ1" s="27"/>
      <c r="RCK1" s="27"/>
      <c r="RCL1" s="27"/>
      <c r="RCM1" s="27"/>
      <c r="RCN1" s="27"/>
      <c r="RCO1" s="27"/>
      <c r="RCP1" s="27"/>
      <c r="RCQ1" s="27"/>
      <c r="RCR1" s="27"/>
      <c r="RCS1" s="27"/>
      <c r="RCT1" s="27"/>
      <c r="RCU1" s="27"/>
      <c r="RCV1" s="27"/>
      <c r="RCW1" s="27"/>
      <c r="RCX1" s="27"/>
      <c r="RCY1" s="27"/>
      <c r="RCZ1" s="27"/>
      <c r="RDA1" s="27"/>
      <c r="RDB1" s="27"/>
      <c r="RDC1" s="27"/>
      <c r="RDD1" s="27"/>
      <c r="RDE1" s="27"/>
      <c r="RDF1" s="27"/>
      <c r="RDG1" s="27"/>
      <c r="RDH1" s="27"/>
      <c r="RDI1" s="27"/>
      <c r="RDJ1" s="27"/>
      <c r="RDK1" s="27"/>
      <c r="RDL1" s="27"/>
      <c r="RDM1" s="27"/>
      <c r="RDN1" s="27"/>
      <c r="RDO1" s="27"/>
      <c r="RDP1" s="27"/>
      <c r="RDQ1" s="27"/>
      <c r="RDR1" s="27"/>
      <c r="RDS1" s="27"/>
      <c r="RDT1" s="27"/>
      <c r="RDU1" s="27"/>
      <c r="RDV1" s="27"/>
      <c r="RDW1" s="27"/>
      <c r="RDX1" s="27"/>
      <c r="RDY1" s="27"/>
      <c r="RDZ1" s="27"/>
      <c r="REA1" s="27"/>
      <c r="REB1" s="27"/>
      <c r="REC1" s="27"/>
      <c r="RED1" s="27"/>
      <c r="REE1" s="27"/>
      <c r="REF1" s="27"/>
      <c r="REG1" s="27"/>
      <c r="REH1" s="27"/>
      <c r="REI1" s="27"/>
      <c r="REJ1" s="27"/>
      <c r="REK1" s="27"/>
      <c r="REL1" s="27"/>
      <c r="REM1" s="27"/>
      <c r="REN1" s="27"/>
      <c r="REO1" s="27"/>
      <c r="REP1" s="27"/>
      <c r="REQ1" s="27"/>
      <c r="RER1" s="27"/>
      <c r="RES1" s="27"/>
      <c r="RET1" s="27"/>
      <c r="REU1" s="27"/>
      <c r="REV1" s="27"/>
      <c r="REW1" s="27"/>
      <c r="REX1" s="27"/>
      <c r="REY1" s="27"/>
      <c r="REZ1" s="27"/>
      <c r="RFA1" s="27"/>
      <c r="RFB1" s="27"/>
      <c r="RFC1" s="27"/>
      <c r="RFD1" s="27"/>
      <c r="RFE1" s="27"/>
      <c r="RFF1" s="27"/>
      <c r="RFG1" s="27"/>
      <c r="RFH1" s="27"/>
      <c r="RFI1" s="27"/>
      <c r="RFJ1" s="27"/>
      <c r="RFK1" s="27"/>
      <c r="RFL1" s="27"/>
      <c r="RFM1" s="27"/>
      <c r="RFN1" s="27"/>
      <c r="RFO1" s="27"/>
      <c r="RFP1" s="27"/>
      <c r="RFQ1" s="27"/>
      <c r="RFR1" s="27"/>
      <c r="RFS1" s="27"/>
      <c r="RFT1" s="27"/>
      <c r="RFU1" s="27"/>
      <c r="RFV1" s="27"/>
      <c r="RFW1" s="27"/>
      <c r="RFX1" s="27"/>
      <c r="RFY1" s="27"/>
      <c r="RFZ1" s="27"/>
      <c r="RGA1" s="27"/>
      <c r="RGB1" s="27"/>
      <c r="RGC1" s="27"/>
      <c r="RGD1" s="27"/>
      <c r="RGE1" s="27"/>
      <c r="RGF1" s="27"/>
      <c r="RGG1" s="27"/>
      <c r="RGH1" s="27"/>
      <c r="RGI1" s="27"/>
      <c r="RGJ1" s="27"/>
      <c r="RGK1" s="27"/>
      <c r="RGL1" s="27"/>
      <c r="RGM1" s="27"/>
      <c r="RGN1" s="27"/>
      <c r="RGO1" s="27"/>
      <c r="RGP1" s="27"/>
      <c r="RGQ1" s="27"/>
      <c r="RGR1" s="27"/>
      <c r="RGS1" s="27"/>
      <c r="RGT1" s="27"/>
      <c r="RGU1" s="27"/>
      <c r="RGV1" s="27"/>
      <c r="RGW1" s="27"/>
      <c r="RGX1" s="27"/>
      <c r="RGY1" s="27"/>
      <c r="RGZ1" s="27"/>
      <c r="RHA1" s="27"/>
      <c r="RHB1" s="27"/>
      <c r="RHC1" s="27"/>
      <c r="RHD1" s="27"/>
      <c r="RHE1" s="27"/>
      <c r="RHF1" s="27"/>
      <c r="RHG1" s="27"/>
      <c r="RHH1" s="27"/>
      <c r="RHI1" s="27"/>
      <c r="RHJ1" s="27"/>
      <c r="RHK1" s="27"/>
      <c r="RHL1" s="27"/>
      <c r="RHM1" s="27"/>
      <c r="RHN1" s="27"/>
      <c r="RHO1" s="27"/>
      <c r="RHP1" s="27"/>
      <c r="RHQ1" s="27"/>
      <c r="RHR1" s="27"/>
      <c r="RHS1" s="27"/>
      <c r="RHT1" s="27"/>
      <c r="RHU1" s="27"/>
      <c r="RHV1" s="27"/>
      <c r="RHW1" s="27"/>
      <c r="RHX1" s="27"/>
      <c r="RHY1" s="27"/>
      <c r="RHZ1" s="27"/>
      <c r="RIA1" s="27"/>
      <c r="RIB1" s="27"/>
      <c r="RIC1" s="27"/>
      <c r="RID1" s="27"/>
      <c r="RIE1" s="27"/>
      <c r="RIF1" s="27"/>
      <c r="RIG1" s="27"/>
      <c r="RIH1" s="27"/>
      <c r="RII1" s="27"/>
      <c r="RIJ1" s="27"/>
      <c r="RIK1" s="27"/>
      <c r="RIL1" s="27"/>
      <c r="RIM1" s="27"/>
      <c r="RIN1" s="27"/>
      <c r="RIO1" s="27"/>
      <c r="RIP1" s="27"/>
      <c r="RIQ1" s="27"/>
      <c r="RIR1" s="27"/>
      <c r="RIS1" s="27"/>
      <c r="RIT1" s="27"/>
      <c r="RIU1" s="27"/>
      <c r="RIV1" s="27"/>
      <c r="RIW1" s="27"/>
      <c r="RIX1" s="27"/>
      <c r="RIY1" s="27"/>
      <c r="RIZ1" s="27"/>
      <c r="RJA1" s="27"/>
      <c r="RJB1" s="27"/>
      <c r="RJC1" s="27"/>
      <c r="RJD1" s="27"/>
      <c r="RJE1" s="27"/>
      <c r="RJF1" s="27"/>
      <c r="RJG1" s="27"/>
      <c r="RJH1" s="27"/>
      <c r="RJI1" s="27"/>
      <c r="RJJ1" s="27"/>
      <c r="RJK1" s="27"/>
      <c r="RJL1" s="27"/>
      <c r="RJM1" s="27"/>
      <c r="RJN1" s="27"/>
      <c r="RJO1" s="27"/>
      <c r="RJP1" s="27"/>
      <c r="RJQ1" s="27"/>
      <c r="RJR1" s="27"/>
      <c r="RJS1" s="27"/>
      <c r="RJT1" s="27"/>
      <c r="RJU1" s="27"/>
      <c r="RJV1" s="27"/>
      <c r="RJW1" s="27"/>
      <c r="RJX1" s="27"/>
      <c r="RJY1" s="27"/>
      <c r="RJZ1" s="27"/>
      <c r="RKA1" s="27"/>
      <c r="RKB1" s="27"/>
      <c r="RKC1" s="27"/>
      <c r="RKD1" s="27"/>
      <c r="RKE1" s="27"/>
      <c r="RKF1" s="27"/>
      <c r="RKG1" s="27"/>
      <c r="RKH1" s="27"/>
      <c r="RKI1" s="27"/>
      <c r="RKJ1" s="27"/>
      <c r="RKK1" s="27"/>
      <c r="RKL1" s="27"/>
      <c r="RKM1" s="27"/>
      <c r="RKN1" s="27"/>
      <c r="RKO1" s="27"/>
      <c r="RKP1" s="27"/>
      <c r="RKQ1" s="27"/>
      <c r="RKR1" s="27"/>
      <c r="RKS1" s="27"/>
      <c r="RKT1" s="27"/>
      <c r="RKU1" s="27"/>
      <c r="RKV1" s="27"/>
      <c r="RKW1" s="27"/>
      <c r="RKX1" s="27"/>
      <c r="RKY1" s="27"/>
      <c r="RKZ1" s="27"/>
      <c r="RLA1" s="27"/>
      <c r="RLB1" s="27"/>
      <c r="RLC1" s="27"/>
      <c r="RLD1" s="27"/>
      <c r="RLE1" s="27"/>
      <c r="RLF1" s="27"/>
      <c r="RLG1" s="27"/>
      <c r="RLH1" s="27"/>
      <c r="RLI1" s="27"/>
      <c r="RLJ1" s="27"/>
      <c r="RLK1" s="27"/>
      <c r="RLL1" s="27"/>
      <c r="RLM1" s="27"/>
      <c r="RLN1" s="27"/>
      <c r="RLO1" s="27"/>
      <c r="RLP1" s="27"/>
      <c r="RLQ1" s="27"/>
      <c r="RLR1" s="27"/>
      <c r="RLS1" s="27"/>
      <c r="RLT1" s="27"/>
      <c r="RLU1" s="27"/>
      <c r="RLV1" s="27"/>
      <c r="RLW1" s="27"/>
      <c r="RLX1" s="27"/>
      <c r="RLY1" s="27"/>
      <c r="RLZ1" s="27"/>
      <c r="RMA1" s="27"/>
      <c r="RMB1" s="27"/>
      <c r="RMC1" s="27"/>
      <c r="RMD1" s="27"/>
      <c r="RME1" s="27"/>
      <c r="RMF1" s="27"/>
      <c r="RMG1" s="27"/>
      <c r="RMH1" s="27"/>
      <c r="RMI1" s="27"/>
      <c r="RMJ1" s="27"/>
      <c r="RMK1" s="27"/>
      <c r="RML1" s="27"/>
      <c r="RMM1" s="27"/>
      <c r="RMN1" s="27"/>
      <c r="RMO1" s="27"/>
      <c r="RMP1" s="27"/>
      <c r="RMQ1" s="27"/>
      <c r="RMR1" s="27"/>
      <c r="RMS1" s="27"/>
      <c r="RMT1" s="27"/>
      <c r="RMU1" s="27"/>
      <c r="RMV1" s="27"/>
      <c r="RMW1" s="27"/>
      <c r="RMX1" s="27"/>
      <c r="RMY1" s="27"/>
      <c r="RMZ1" s="27"/>
      <c r="RNA1" s="27"/>
      <c r="RNB1" s="27"/>
      <c r="RNC1" s="27"/>
      <c r="RND1" s="27"/>
      <c r="RNE1" s="27"/>
      <c r="RNF1" s="27"/>
      <c r="RNG1" s="27"/>
      <c r="RNH1" s="27"/>
      <c r="RNI1" s="27"/>
      <c r="RNJ1" s="27"/>
      <c r="RNK1" s="27"/>
      <c r="RNL1" s="27"/>
      <c r="RNM1" s="27"/>
      <c r="RNN1" s="27"/>
      <c r="RNO1" s="27"/>
      <c r="RNP1" s="27"/>
      <c r="RNQ1" s="27"/>
      <c r="RNR1" s="27"/>
      <c r="RNS1" s="27"/>
      <c r="RNT1" s="27"/>
      <c r="RNU1" s="27"/>
      <c r="RNV1" s="27"/>
      <c r="RNW1" s="27"/>
      <c r="RNX1" s="27"/>
      <c r="RNY1" s="27"/>
      <c r="RNZ1" s="27"/>
      <c r="ROA1" s="27"/>
      <c r="ROB1" s="27"/>
      <c r="ROC1" s="27"/>
      <c r="ROD1" s="27"/>
      <c r="ROE1" s="27"/>
      <c r="ROF1" s="27"/>
      <c r="ROG1" s="27"/>
      <c r="ROH1" s="27"/>
      <c r="ROI1" s="27"/>
      <c r="ROJ1" s="27"/>
      <c r="ROK1" s="27"/>
      <c r="ROL1" s="27"/>
      <c r="ROM1" s="27"/>
      <c r="RON1" s="27"/>
      <c r="ROO1" s="27"/>
      <c r="ROP1" s="27"/>
      <c r="ROQ1" s="27"/>
      <c r="ROR1" s="27"/>
      <c r="ROS1" s="27"/>
      <c r="ROT1" s="27"/>
      <c r="ROU1" s="27"/>
      <c r="ROV1" s="27"/>
      <c r="ROW1" s="27"/>
      <c r="ROX1" s="27"/>
      <c r="ROY1" s="27"/>
      <c r="ROZ1" s="27"/>
      <c r="RPA1" s="27"/>
      <c r="RPB1" s="27"/>
      <c r="RPC1" s="27"/>
      <c r="RPD1" s="27"/>
      <c r="RPE1" s="27"/>
      <c r="RPF1" s="27"/>
      <c r="RPG1" s="27"/>
      <c r="RPH1" s="27"/>
      <c r="RPI1" s="27"/>
      <c r="RPJ1" s="27"/>
      <c r="RPK1" s="27"/>
      <c r="RPL1" s="27"/>
      <c r="RPM1" s="27"/>
      <c r="RPN1" s="27"/>
      <c r="RPO1" s="27"/>
      <c r="RPP1" s="27"/>
      <c r="RPQ1" s="27"/>
      <c r="RPR1" s="27"/>
      <c r="RPS1" s="27"/>
      <c r="RPT1" s="27"/>
      <c r="RPU1" s="27"/>
      <c r="RPV1" s="27"/>
      <c r="RPW1" s="27"/>
      <c r="RPX1" s="27"/>
      <c r="RPY1" s="27"/>
      <c r="RPZ1" s="27"/>
      <c r="RQA1" s="27"/>
      <c r="RQB1" s="27"/>
      <c r="RQC1" s="27"/>
      <c r="RQD1" s="27"/>
      <c r="RQE1" s="27"/>
      <c r="RQF1" s="27"/>
      <c r="RQG1" s="27"/>
      <c r="RQH1" s="27"/>
      <c r="RQI1" s="27"/>
      <c r="RQJ1" s="27"/>
      <c r="RQK1" s="27"/>
      <c r="RQL1" s="27"/>
      <c r="RQM1" s="27"/>
      <c r="RQN1" s="27"/>
      <c r="RQO1" s="27"/>
      <c r="RQP1" s="27"/>
      <c r="RQQ1" s="27"/>
      <c r="RQR1" s="27"/>
      <c r="RQS1" s="27"/>
      <c r="RQT1" s="27"/>
      <c r="RQU1" s="27"/>
      <c r="RQV1" s="27"/>
      <c r="RQW1" s="27"/>
      <c r="RQX1" s="27"/>
      <c r="RQY1" s="27"/>
      <c r="RQZ1" s="27"/>
      <c r="RRA1" s="27"/>
      <c r="RRB1" s="27"/>
      <c r="RRC1" s="27"/>
      <c r="RRD1" s="27"/>
      <c r="RRE1" s="27"/>
      <c r="RRF1" s="27"/>
      <c r="RRG1" s="27"/>
      <c r="RRH1" s="27"/>
      <c r="RRI1" s="27"/>
      <c r="RRJ1" s="27"/>
      <c r="RRK1" s="27"/>
      <c r="RRL1" s="27"/>
      <c r="RRM1" s="27"/>
      <c r="RRN1" s="27"/>
      <c r="RRO1" s="27"/>
      <c r="RRP1" s="27"/>
      <c r="RRQ1" s="27"/>
      <c r="RRR1" s="27"/>
      <c r="RRS1" s="27"/>
      <c r="RRT1" s="27"/>
      <c r="RRU1" s="27"/>
      <c r="RRV1" s="27"/>
      <c r="RRW1" s="27"/>
      <c r="RRX1" s="27"/>
      <c r="RRY1" s="27"/>
      <c r="RRZ1" s="27"/>
      <c r="RSA1" s="27"/>
      <c r="RSB1" s="27"/>
      <c r="RSC1" s="27"/>
      <c r="RSD1" s="27"/>
      <c r="RSE1" s="27"/>
      <c r="RSF1" s="27"/>
      <c r="RSG1" s="27"/>
      <c r="RSH1" s="27"/>
      <c r="RSI1" s="27"/>
      <c r="RSJ1" s="27"/>
      <c r="RSK1" s="27"/>
      <c r="RSL1" s="27"/>
      <c r="RSM1" s="27"/>
      <c r="RSN1" s="27"/>
      <c r="RSO1" s="27"/>
      <c r="RSP1" s="27"/>
      <c r="RSQ1" s="27"/>
      <c r="RSR1" s="27"/>
      <c r="RSS1" s="27"/>
      <c r="RST1" s="27"/>
      <c r="RSU1" s="27"/>
      <c r="RSV1" s="27"/>
      <c r="RSW1" s="27"/>
      <c r="RSX1" s="27"/>
      <c r="RSY1" s="27"/>
      <c r="RSZ1" s="27"/>
      <c r="RTA1" s="27"/>
      <c r="RTB1" s="27"/>
      <c r="RTC1" s="27"/>
      <c r="RTD1" s="27"/>
      <c r="RTE1" s="27"/>
      <c r="RTF1" s="27"/>
      <c r="RTG1" s="27"/>
      <c r="RTH1" s="27"/>
      <c r="RTI1" s="27"/>
      <c r="RTJ1" s="27"/>
      <c r="RTK1" s="27"/>
      <c r="RTL1" s="27"/>
      <c r="RTM1" s="27"/>
      <c r="RTN1" s="27"/>
      <c r="RTO1" s="27"/>
      <c r="RTP1" s="27"/>
      <c r="RTQ1" s="27"/>
      <c r="RTR1" s="27"/>
      <c r="RTS1" s="27"/>
      <c r="RTT1" s="27"/>
      <c r="RTU1" s="27"/>
      <c r="RTV1" s="27"/>
      <c r="RTW1" s="27"/>
      <c r="RTX1" s="27"/>
      <c r="RTY1" s="27"/>
      <c r="RTZ1" s="27"/>
      <c r="RUA1" s="27"/>
      <c r="RUB1" s="27"/>
      <c r="RUC1" s="27"/>
      <c r="RUD1" s="27"/>
      <c r="RUE1" s="27"/>
      <c r="RUF1" s="27"/>
      <c r="RUG1" s="27"/>
      <c r="RUH1" s="27"/>
      <c r="RUI1" s="27"/>
      <c r="RUJ1" s="27"/>
      <c r="RUK1" s="27"/>
      <c r="RUL1" s="27"/>
      <c r="RUM1" s="27"/>
      <c r="RUN1" s="27"/>
      <c r="RUO1" s="27"/>
      <c r="RUP1" s="27"/>
      <c r="RUQ1" s="27"/>
      <c r="RUR1" s="27"/>
      <c r="RUS1" s="27"/>
      <c r="RUT1" s="27"/>
      <c r="RUU1" s="27"/>
      <c r="RUV1" s="27"/>
      <c r="RUW1" s="27"/>
      <c r="RUX1" s="27"/>
      <c r="RUY1" s="27"/>
      <c r="RUZ1" s="27"/>
      <c r="RVA1" s="27"/>
      <c r="RVB1" s="27"/>
      <c r="RVC1" s="27"/>
      <c r="RVD1" s="27"/>
      <c r="RVE1" s="27"/>
      <c r="RVF1" s="27"/>
      <c r="RVG1" s="27"/>
      <c r="RVH1" s="27"/>
      <c r="RVI1" s="27"/>
      <c r="RVJ1" s="27"/>
      <c r="RVK1" s="27"/>
      <c r="RVL1" s="27"/>
      <c r="RVM1" s="27"/>
      <c r="RVN1" s="27"/>
      <c r="RVO1" s="27"/>
      <c r="RVP1" s="27"/>
      <c r="RVQ1" s="27"/>
      <c r="RVR1" s="27"/>
      <c r="RVS1" s="27"/>
      <c r="RVT1" s="27"/>
      <c r="RVU1" s="27"/>
      <c r="RVV1" s="27"/>
      <c r="RVW1" s="27"/>
      <c r="RVX1" s="27"/>
      <c r="RVY1" s="27"/>
      <c r="RVZ1" s="27"/>
      <c r="RWA1" s="27"/>
      <c r="RWB1" s="27"/>
      <c r="RWC1" s="27"/>
      <c r="RWD1" s="27"/>
      <c r="RWE1" s="27"/>
      <c r="RWF1" s="27"/>
      <c r="RWG1" s="27"/>
      <c r="RWH1" s="27"/>
      <c r="RWI1" s="27"/>
      <c r="RWJ1" s="27"/>
      <c r="RWK1" s="27"/>
      <c r="RWL1" s="27"/>
      <c r="RWM1" s="27"/>
      <c r="RWN1" s="27"/>
      <c r="RWO1" s="27"/>
      <c r="RWP1" s="27"/>
      <c r="RWQ1" s="27"/>
      <c r="RWR1" s="27"/>
      <c r="RWS1" s="27"/>
      <c r="RWT1" s="27"/>
      <c r="RWU1" s="27"/>
      <c r="RWV1" s="27"/>
      <c r="RWW1" s="27"/>
      <c r="RWX1" s="27"/>
      <c r="RWY1" s="27"/>
      <c r="RWZ1" s="27"/>
      <c r="RXA1" s="27"/>
      <c r="RXB1" s="27"/>
      <c r="RXC1" s="27"/>
      <c r="RXD1" s="27"/>
      <c r="RXE1" s="27"/>
      <c r="RXF1" s="27"/>
      <c r="RXG1" s="27"/>
      <c r="RXH1" s="27"/>
      <c r="RXI1" s="27"/>
      <c r="RXJ1" s="27"/>
      <c r="RXK1" s="27"/>
      <c r="RXL1" s="27"/>
      <c r="RXM1" s="27"/>
      <c r="RXN1" s="27"/>
      <c r="RXO1" s="27"/>
      <c r="RXP1" s="27"/>
      <c r="RXQ1" s="27"/>
      <c r="RXR1" s="27"/>
      <c r="RXS1" s="27"/>
      <c r="RXT1" s="27"/>
      <c r="RXU1" s="27"/>
      <c r="RXV1" s="27"/>
      <c r="RXW1" s="27"/>
      <c r="RXX1" s="27"/>
      <c r="RXY1" s="27"/>
      <c r="RXZ1" s="27"/>
      <c r="RYA1" s="27"/>
      <c r="RYB1" s="27"/>
      <c r="RYC1" s="27"/>
      <c r="RYD1" s="27"/>
      <c r="RYE1" s="27"/>
      <c r="RYF1" s="27"/>
      <c r="RYG1" s="27"/>
      <c r="RYH1" s="27"/>
      <c r="RYI1" s="27"/>
      <c r="RYJ1" s="27"/>
      <c r="RYK1" s="27"/>
      <c r="RYL1" s="27"/>
      <c r="RYM1" s="27"/>
      <c r="RYN1" s="27"/>
      <c r="RYO1" s="27"/>
      <c r="RYP1" s="27"/>
      <c r="RYQ1" s="27"/>
      <c r="RYR1" s="27"/>
      <c r="RYS1" s="27"/>
      <c r="RYT1" s="27"/>
      <c r="RYU1" s="27"/>
      <c r="RYV1" s="27"/>
      <c r="RYW1" s="27"/>
      <c r="RYX1" s="27"/>
      <c r="RYY1" s="27"/>
      <c r="RYZ1" s="27"/>
      <c r="RZA1" s="27"/>
      <c r="RZB1" s="27"/>
      <c r="RZC1" s="27"/>
      <c r="RZD1" s="27"/>
      <c r="RZE1" s="27"/>
      <c r="RZF1" s="27"/>
      <c r="RZG1" s="27"/>
      <c r="RZH1" s="27"/>
      <c r="RZI1" s="27"/>
      <c r="RZJ1" s="27"/>
      <c r="RZK1" s="27"/>
      <c r="RZL1" s="27"/>
      <c r="RZM1" s="27"/>
      <c r="RZN1" s="27"/>
      <c r="RZO1" s="27"/>
      <c r="RZP1" s="27"/>
      <c r="RZQ1" s="27"/>
      <c r="RZR1" s="27"/>
      <c r="RZS1" s="27"/>
      <c r="RZT1" s="27"/>
      <c r="RZU1" s="27"/>
      <c r="RZV1" s="27"/>
      <c r="RZW1" s="27"/>
      <c r="RZX1" s="27"/>
      <c r="RZY1" s="27"/>
      <c r="RZZ1" s="27"/>
      <c r="SAA1" s="27"/>
      <c r="SAB1" s="27"/>
      <c r="SAC1" s="27"/>
      <c r="SAD1" s="27"/>
      <c r="SAE1" s="27"/>
      <c r="SAF1" s="27"/>
      <c r="SAG1" s="27"/>
      <c r="SAH1" s="27"/>
      <c r="SAI1" s="27"/>
      <c r="SAJ1" s="27"/>
      <c r="SAK1" s="27"/>
      <c r="SAL1" s="27"/>
      <c r="SAM1" s="27"/>
      <c r="SAN1" s="27"/>
      <c r="SAO1" s="27"/>
      <c r="SAP1" s="27"/>
      <c r="SAQ1" s="27"/>
      <c r="SAR1" s="27"/>
      <c r="SAS1" s="27"/>
      <c r="SAT1" s="27"/>
      <c r="SAU1" s="27"/>
      <c r="SAV1" s="27"/>
      <c r="SAW1" s="27"/>
      <c r="SAX1" s="27"/>
      <c r="SAY1" s="27"/>
      <c r="SAZ1" s="27"/>
      <c r="SBA1" s="27"/>
      <c r="SBB1" s="27"/>
      <c r="SBC1" s="27"/>
      <c r="SBD1" s="27"/>
      <c r="SBE1" s="27"/>
      <c r="SBF1" s="27"/>
      <c r="SBG1" s="27"/>
      <c r="SBH1" s="27"/>
      <c r="SBI1" s="27"/>
      <c r="SBJ1" s="27"/>
      <c r="SBK1" s="27"/>
      <c r="SBL1" s="27"/>
      <c r="SBM1" s="27"/>
      <c r="SBN1" s="27"/>
      <c r="SBO1" s="27"/>
      <c r="SBP1" s="27"/>
      <c r="SBQ1" s="27"/>
      <c r="SBR1" s="27"/>
      <c r="SBS1" s="27"/>
      <c r="SBT1" s="27"/>
      <c r="SBU1" s="27"/>
      <c r="SBV1" s="27"/>
      <c r="SBW1" s="27"/>
      <c r="SBX1" s="27"/>
      <c r="SBY1" s="27"/>
      <c r="SBZ1" s="27"/>
      <c r="SCA1" s="27"/>
      <c r="SCB1" s="27"/>
      <c r="SCC1" s="27"/>
      <c r="SCD1" s="27"/>
      <c r="SCE1" s="27"/>
      <c r="SCF1" s="27"/>
      <c r="SCG1" s="27"/>
      <c r="SCH1" s="27"/>
      <c r="SCI1" s="27"/>
      <c r="SCJ1" s="27"/>
      <c r="SCK1" s="27"/>
      <c r="SCL1" s="27"/>
      <c r="SCM1" s="27"/>
      <c r="SCN1" s="27"/>
      <c r="SCO1" s="27"/>
      <c r="SCP1" s="27"/>
      <c r="SCQ1" s="27"/>
      <c r="SCR1" s="27"/>
      <c r="SCS1" s="27"/>
      <c r="SCT1" s="27"/>
      <c r="SCU1" s="27"/>
      <c r="SCV1" s="27"/>
      <c r="SCW1" s="27"/>
      <c r="SCX1" s="27"/>
      <c r="SCY1" s="27"/>
      <c r="SCZ1" s="27"/>
      <c r="SDA1" s="27"/>
      <c r="SDB1" s="27"/>
      <c r="SDC1" s="27"/>
      <c r="SDD1" s="27"/>
      <c r="SDE1" s="27"/>
      <c r="SDF1" s="27"/>
      <c r="SDG1" s="27"/>
      <c r="SDH1" s="27"/>
      <c r="SDI1" s="27"/>
      <c r="SDJ1" s="27"/>
      <c r="SDK1" s="27"/>
      <c r="SDL1" s="27"/>
      <c r="SDM1" s="27"/>
      <c r="SDN1" s="27"/>
      <c r="SDO1" s="27"/>
      <c r="SDP1" s="27"/>
      <c r="SDQ1" s="27"/>
      <c r="SDR1" s="27"/>
      <c r="SDS1" s="27"/>
      <c r="SDT1" s="27"/>
      <c r="SDU1" s="27"/>
      <c r="SDV1" s="27"/>
      <c r="SDW1" s="27"/>
      <c r="SDX1" s="27"/>
      <c r="SDY1" s="27"/>
      <c r="SDZ1" s="27"/>
      <c r="SEA1" s="27"/>
      <c r="SEB1" s="27"/>
      <c r="SEC1" s="27"/>
      <c r="SED1" s="27"/>
      <c r="SEE1" s="27"/>
      <c r="SEF1" s="27"/>
      <c r="SEG1" s="27"/>
      <c r="SEH1" s="27"/>
      <c r="SEI1" s="27"/>
      <c r="SEJ1" s="27"/>
      <c r="SEK1" s="27"/>
      <c r="SEL1" s="27"/>
      <c r="SEM1" s="27"/>
      <c r="SEN1" s="27"/>
      <c r="SEO1" s="27"/>
      <c r="SEP1" s="27"/>
      <c r="SEQ1" s="27"/>
      <c r="SER1" s="27"/>
      <c r="SES1" s="27"/>
      <c r="SET1" s="27"/>
      <c r="SEU1" s="27"/>
      <c r="SEV1" s="27"/>
      <c r="SEW1" s="27"/>
      <c r="SEX1" s="27"/>
      <c r="SEY1" s="27"/>
      <c r="SEZ1" s="27"/>
      <c r="SFA1" s="27"/>
      <c r="SFB1" s="27"/>
      <c r="SFC1" s="27"/>
      <c r="SFD1" s="27"/>
      <c r="SFE1" s="27"/>
      <c r="SFF1" s="27"/>
      <c r="SFG1" s="27"/>
      <c r="SFH1" s="27"/>
      <c r="SFI1" s="27"/>
      <c r="SFJ1" s="27"/>
      <c r="SFK1" s="27"/>
      <c r="SFL1" s="27"/>
      <c r="SFM1" s="27"/>
      <c r="SFN1" s="27"/>
      <c r="SFO1" s="27"/>
      <c r="SFP1" s="27"/>
      <c r="SFQ1" s="27"/>
      <c r="SFR1" s="27"/>
      <c r="SFS1" s="27"/>
      <c r="SFT1" s="27"/>
      <c r="SFU1" s="27"/>
      <c r="SFV1" s="27"/>
      <c r="SFW1" s="27"/>
      <c r="SFX1" s="27"/>
      <c r="SFY1" s="27"/>
      <c r="SFZ1" s="27"/>
      <c r="SGA1" s="27"/>
      <c r="SGB1" s="27"/>
      <c r="SGC1" s="27"/>
      <c r="SGD1" s="27"/>
      <c r="SGE1" s="27"/>
      <c r="SGF1" s="27"/>
      <c r="SGG1" s="27"/>
      <c r="SGH1" s="27"/>
      <c r="SGI1" s="27"/>
      <c r="SGJ1" s="27"/>
      <c r="SGK1" s="27"/>
      <c r="SGL1" s="27"/>
      <c r="SGM1" s="27"/>
      <c r="SGN1" s="27"/>
      <c r="SGO1" s="27"/>
      <c r="SGP1" s="27"/>
      <c r="SGQ1" s="27"/>
      <c r="SGR1" s="27"/>
      <c r="SGS1" s="27"/>
      <c r="SGT1" s="27"/>
      <c r="SGU1" s="27"/>
      <c r="SGV1" s="27"/>
      <c r="SGW1" s="27"/>
      <c r="SGX1" s="27"/>
      <c r="SGY1" s="27"/>
      <c r="SGZ1" s="27"/>
      <c r="SHA1" s="27"/>
      <c r="SHB1" s="27"/>
      <c r="SHC1" s="27"/>
      <c r="SHD1" s="27"/>
      <c r="SHE1" s="27"/>
      <c r="SHF1" s="27"/>
      <c r="SHG1" s="27"/>
      <c r="SHH1" s="27"/>
      <c r="SHI1" s="27"/>
      <c r="SHJ1" s="27"/>
      <c r="SHK1" s="27"/>
      <c r="SHL1" s="27"/>
      <c r="SHM1" s="27"/>
      <c r="SHN1" s="27"/>
      <c r="SHO1" s="27"/>
      <c r="SHP1" s="27"/>
      <c r="SHQ1" s="27"/>
      <c r="SHR1" s="27"/>
      <c r="SHS1" s="27"/>
      <c r="SHT1" s="27"/>
      <c r="SHU1" s="27"/>
      <c r="SHV1" s="27"/>
      <c r="SHW1" s="27"/>
      <c r="SHX1" s="27"/>
      <c r="SHY1" s="27"/>
      <c r="SHZ1" s="27"/>
      <c r="SIA1" s="27"/>
      <c r="SIB1" s="27"/>
      <c r="SIC1" s="27"/>
      <c r="SID1" s="27"/>
      <c r="SIE1" s="27"/>
      <c r="SIF1" s="27"/>
      <c r="SIG1" s="27"/>
      <c r="SIH1" s="27"/>
      <c r="SII1" s="27"/>
      <c r="SIJ1" s="27"/>
      <c r="SIK1" s="27"/>
      <c r="SIL1" s="27"/>
      <c r="SIM1" s="27"/>
      <c r="SIN1" s="27"/>
      <c r="SIO1" s="27"/>
      <c r="SIP1" s="27"/>
      <c r="SIQ1" s="27"/>
      <c r="SIR1" s="27"/>
      <c r="SIS1" s="27"/>
      <c r="SIT1" s="27"/>
      <c r="SIU1" s="27"/>
      <c r="SIV1" s="27"/>
      <c r="SIW1" s="27"/>
      <c r="SIX1" s="27"/>
      <c r="SIY1" s="27"/>
      <c r="SIZ1" s="27"/>
      <c r="SJA1" s="27"/>
      <c r="SJB1" s="27"/>
      <c r="SJC1" s="27"/>
      <c r="SJD1" s="27"/>
      <c r="SJE1" s="27"/>
      <c r="SJF1" s="27"/>
      <c r="SJG1" s="27"/>
      <c r="SJH1" s="27"/>
      <c r="SJI1" s="27"/>
      <c r="SJJ1" s="27"/>
      <c r="SJK1" s="27"/>
      <c r="SJL1" s="27"/>
      <c r="SJM1" s="27"/>
      <c r="SJN1" s="27"/>
      <c r="SJO1" s="27"/>
      <c r="SJP1" s="27"/>
      <c r="SJQ1" s="27"/>
      <c r="SJR1" s="27"/>
      <c r="SJS1" s="27"/>
      <c r="SJT1" s="27"/>
      <c r="SJU1" s="27"/>
      <c r="SJV1" s="27"/>
      <c r="SJW1" s="27"/>
      <c r="SJX1" s="27"/>
      <c r="SJY1" s="27"/>
      <c r="SJZ1" s="27"/>
      <c r="SKA1" s="27"/>
      <c r="SKB1" s="27"/>
      <c r="SKC1" s="27"/>
      <c r="SKD1" s="27"/>
      <c r="SKE1" s="27"/>
      <c r="SKF1" s="27"/>
      <c r="SKG1" s="27"/>
      <c r="SKH1" s="27"/>
      <c r="SKI1" s="27"/>
      <c r="SKJ1" s="27"/>
      <c r="SKK1" s="27"/>
      <c r="SKL1" s="27"/>
      <c r="SKM1" s="27"/>
      <c r="SKN1" s="27"/>
      <c r="SKO1" s="27"/>
      <c r="SKP1" s="27"/>
      <c r="SKQ1" s="27"/>
      <c r="SKR1" s="27"/>
      <c r="SKS1" s="27"/>
      <c r="SKT1" s="27"/>
      <c r="SKU1" s="27"/>
      <c r="SKV1" s="27"/>
      <c r="SKW1" s="27"/>
      <c r="SKX1" s="27"/>
      <c r="SKY1" s="27"/>
      <c r="SKZ1" s="27"/>
      <c r="SLA1" s="27"/>
      <c r="SLB1" s="27"/>
      <c r="SLC1" s="27"/>
      <c r="SLD1" s="27"/>
      <c r="SLE1" s="27"/>
      <c r="SLF1" s="27"/>
      <c r="SLG1" s="27"/>
      <c r="SLH1" s="27"/>
      <c r="SLI1" s="27"/>
      <c r="SLJ1" s="27"/>
      <c r="SLK1" s="27"/>
      <c r="SLL1" s="27"/>
      <c r="SLM1" s="27"/>
      <c r="SLN1" s="27"/>
      <c r="SLO1" s="27"/>
      <c r="SLP1" s="27"/>
      <c r="SLQ1" s="27"/>
      <c r="SLR1" s="27"/>
      <c r="SLS1" s="27"/>
      <c r="SLT1" s="27"/>
      <c r="SLU1" s="27"/>
      <c r="SLV1" s="27"/>
      <c r="SLW1" s="27"/>
      <c r="SLX1" s="27"/>
      <c r="SLY1" s="27"/>
      <c r="SLZ1" s="27"/>
      <c r="SMA1" s="27"/>
      <c r="SMB1" s="27"/>
      <c r="SMC1" s="27"/>
      <c r="SMD1" s="27"/>
      <c r="SME1" s="27"/>
      <c r="SMF1" s="27"/>
      <c r="SMG1" s="27"/>
      <c r="SMH1" s="27"/>
      <c r="SMI1" s="27"/>
      <c r="SMJ1" s="27"/>
      <c r="SMK1" s="27"/>
      <c r="SML1" s="27"/>
      <c r="SMM1" s="27"/>
      <c r="SMN1" s="27"/>
      <c r="SMO1" s="27"/>
      <c r="SMP1" s="27"/>
      <c r="SMQ1" s="27"/>
      <c r="SMR1" s="27"/>
      <c r="SMS1" s="27"/>
      <c r="SMT1" s="27"/>
      <c r="SMU1" s="27"/>
      <c r="SMV1" s="27"/>
      <c r="SMW1" s="27"/>
      <c r="SMX1" s="27"/>
      <c r="SMY1" s="27"/>
      <c r="SMZ1" s="27"/>
      <c r="SNA1" s="27"/>
      <c r="SNB1" s="27"/>
      <c r="SNC1" s="27"/>
      <c r="SND1" s="27"/>
      <c r="SNE1" s="27"/>
      <c r="SNF1" s="27"/>
      <c r="SNG1" s="27"/>
      <c r="SNH1" s="27"/>
      <c r="SNI1" s="27"/>
      <c r="SNJ1" s="27"/>
      <c r="SNK1" s="27"/>
      <c r="SNL1" s="27"/>
      <c r="SNM1" s="27"/>
      <c r="SNN1" s="27"/>
      <c r="SNO1" s="27"/>
      <c r="SNP1" s="27"/>
      <c r="SNQ1" s="27"/>
      <c r="SNR1" s="27"/>
      <c r="SNS1" s="27"/>
      <c r="SNT1" s="27"/>
      <c r="SNU1" s="27"/>
      <c r="SNV1" s="27"/>
      <c r="SNW1" s="27"/>
      <c r="SNX1" s="27"/>
      <c r="SNY1" s="27"/>
      <c r="SNZ1" s="27"/>
      <c r="SOA1" s="27"/>
      <c r="SOB1" s="27"/>
      <c r="SOC1" s="27"/>
      <c r="SOD1" s="27"/>
      <c r="SOE1" s="27"/>
      <c r="SOF1" s="27"/>
      <c r="SOG1" s="27"/>
      <c r="SOH1" s="27"/>
      <c r="SOI1" s="27"/>
      <c r="SOJ1" s="27"/>
      <c r="SOK1" s="27"/>
      <c r="SOL1" s="27"/>
      <c r="SOM1" s="27"/>
      <c r="SON1" s="27"/>
      <c r="SOO1" s="27"/>
      <c r="SOP1" s="27"/>
      <c r="SOQ1" s="27"/>
      <c r="SOR1" s="27"/>
      <c r="SOS1" s="27"/>
      <c r="SOT1" s="27"/>
      <c r="SOU1" s="27"/>
      <c r="SOV1" s="27"/>
      <c r="SOW1" s="27"/>
      <c r="SOX1" s="27"/>
      <c r="SOY1" s="27"/>
      <c r="SOZ1" s="27"/>
      <c r="SPA1" s="27"/>
      <c r="SPB1" s="27"/>
      <c r="SPC1" s="27"/>
      <c r="SPD1" s="27"/>
      <c r="SPE1" s="27"/>
      <c r="SPF1" s="27"/>
      <c r="SPG1" s="27"/>
      <c r="SPH1" s="27"/>
      <c r="SPI1" s="27"/>
      <c r="SPJ1" s="27"/>
      <c r="SPK1" s="27"/>
      <c r="SPL1" s="27"/>
      <c r="SPM1" s="27"/>
      <c r="SPN1" s="27"/>
      <c r="SPO1" s="27"/>
      <c r="SPP1" s="27"/>
      <c r="SPQ1" s="27"/>
      <c r="SPR1" s="27"/>
      <c r="SPS1" s="27"/>
      <c r="SPT1" s="27"/>
      <c r="SPU1" s="27"/>
      <c r="SPV1" s="27"/>
      <c r="SPW1" s="27"/>
      <c r="SPX1" s="27"/>
      <c r="SPY1" s="27"/>
      <c r="SPZ1" s="27"/>
      <c r="SQA1" s="27"/>
      <c r="SQB1" s="27"/>
      <c r="SQC1" s="27"/>
      <c r="SQD1" s="27"/>
      <c r="SQE1" s="27"/>
      <c r="SQF1" s="27"/>
      <c r="SQG1" s="27"/>
      <c r="SQH1" s="27"/>
      <c r="SQI1" s="27"/>
      <c r="SQJ1" s="27"/>
      <c r="SQK1" s="27"/>
      <c r="SQL1" s="27"/>
      <c r="SQM1" s="27"/>
      <c r="SQN1" s="27"/>
      <c r="SQO1" s="27"/>
      <c r="SQP1" s="27"/>
      <c r="SQQ1" s="27"/>
      <c r="SQR1" s="27"/>
      <c r="SQS1" s="27"/>
      <c r="SQT1" s="27"/>
      <c r="SQU1" s="27"/>
      <c r="SQV1" s="27"/>
      <c r="SQW1" s="27"/>
      <c r="SQX1" s="27"/>
      <c r="SQY1" s="27"/>
      <c r="SQZ1" s="27"/>
      <c r="SRA1" s="27"/>
      <c r="SRB1" s="27"/>
      <c r="SRC1" s="27"/>
      <c r="SRD1" s="27"/>
      <c r="SRE1" s="27"/>
      <c r="SRF1" s="27"/>
      <c r="SRG1" s="27"/>
      <c r="SRH1" s="27"/>
      <c r="SRI1" s="27"/>
      <c r="SRJ1" s="27"/>
      <c r="SRK1" s="27"/>
      <c r="SRL1" s="27"/>
      <c r="SRM1" s="27"/>
      <c r="SRN1" s="27"/>
      <c r="SRO1" s="27"/>
      <c r="SRP1" s="27"/>
      <c r="SRQ1" s="27"/>
      <c r="SRR1" s="27"/>
      <c r="SRS1" s="27"/>
      <c r="SRT1" s="27"/>
      <c r="SRU1" s="27"/>
      <c r="SRV1" s="27"/>
      <c r="SRW1" s="27"/>
      <c r="SRX1" s="27"/>
      <c r="SRY1" s="27"/>
      <c r="SRZ1" s="27"/>
      <c r="SSA1" s="27"/>
      <c r="SSB1" s="27"/>
      <c r="SSC1" s="27"/>
      <c r="SSD1" s="27"/>
      <c r="SSE1" s="27"/>
      <c r="SSF1" s="27"/>
      <c r="SSG1" s="27"/>
      <c r="SSH1" s="27"/>
      <c r="SSI1" s="27"/>
      <c r="SSJ1" s="27"/>
      <c r="SSK1" s="27"/>
      <c r="SSL1" s="27"/>
      <c r="SSM1" s="27"/>
      <c r="SSN1" s="27"/>
      <c r="SSO1" s="27"/>
      <c r="SSP1" s="27"/>
      <c r="SSQ1" s="27"/>
      <c r="SSR1" s="27"/>
      <c r="SSS1" s="27"/>
      <c r="SST1" s="27"/>
      <c r="SSU1" s="27"/>
      <c r="SSV1" s="27"/>
      <c r="SSW1" s="27"/>
      <c r="SSX1" s="27"/>
      <c r="SSY1" s="27"/>
      <c r="SSZ1" s="27"/>
      <c r="STA1" s="27"/>
      <c r="STB1" s="27"/>
      <c r="STC1" s="27"/>
      <c r="STD1" s="27"/>
      <c r="STE1" s="27"/>
      <c r="STF1" s="27"/>
      <c r="STG1" s="27"/>
      <c r="STH1" s="27"/>
      <c r="STI1" s="27"/>
      <c r="STJ1" s="27"/>
      <c r="STK1" s="27"/>
      <c r="STL1" s="27"/>
      <c r="STM1" s="27"/>
      <c r="STN1" s="27"/>
      <c r="STO1" s="27"/>
      <c r="STP1" s="27"/>
      <c r="STQ1" s="27"/>
      <c r="STR1" s="27"/>
      <c r="STS1" s="27"/>
      <c r="STT1" s="27"/>
      <c r="STU1" s="27"/>
      <c r="STV1" s="27"/>
      <c r="STW1" s="27"/>
      <c r="STX1" s="27"/>
      <c r="STY1" s="27"/>
      <c r="STZ1" s="27"/>
      <c r="SUA1" s="27"/>
      <c r="SUB1" s="27"/>
      <c r="SUC1" s="27"/>
      <c r="SUD1" s="27"/>
      <c r="SUE1" s="27"/>
      <c r="SUF1" s="27"/>
      <c r="SUG1" s="27"/>
      <c r="SUH1" s="27"/>
      <c r="SUI1" s="27"/>
      <c r="SUJ1" s="27"/>
      <c r="SUK1" s="27"/>
      <c r="SUL1" s="27"/>
      <c r="SUM1" s="27"/>
      <c r="SUN1" s="27"/>
      <c r="SUO1" s="27"/>
      <c r="SUP1" s="27"/>
      <c r="SUQ1" s="27"/>
      <c r="SUR1" s="27"/>
      <c r="SUS1" s="27"/>
      <c r="SUT1" s="27"/>
      <c r="SUU1" s="27"/>
      <c r="SUV1" s="27"/>
      <c r="SUW1" s="27"/>
      <c r="SUX1" s="27"/>
      <c r="SUY1" s="27"/>
      <c r="SUZ1" s="27"/>
      <c r="SVA1" s="27"/>
      <c r="SVB1" s="27"/>
      <c r="SVC1" s="27"/>
      <c r="SVD1" s="27"/>
      <c r="SVE1" s="27"/>
      <c r="SVF1" s="27"/>
      <c r="SVG1" s="27"/>
      <c r="SVH1" s="27"/>
      <c r="SVI1" s="27"/>
      <c r="SVJ1" s="27"/>
      <c r="SVK1" s="27"/>
      <c r="SVL1" s="27"/>
      <c r="SVM1" s="27"/>
      <c r="SVN1" s="27"/>
      <c r="SVO1" s="27"/>
      <c r="SVP1" s="27"/>
      <c r="SVQ1" s="27"/>
      <c r="SVR1" s="27"/>
      <c r="SVS1" s="27"/>
      <c r="SVT1" s="27"/>
      <c r="SVU1" s="27"/>
      <c r="SVV1" s="27"/>
      <c r="SVW1" s="27"/>
      <c r="SVX1" s="27"/>
      <c r="SVY1" s="27"/>
      <c r="SVZ1" s="27"/>
      <c r="SWA1" s="27"/>
      <c r="SWB1" s="27"/>
      <c r="SWC1" s="27"/>
      <c r="SWD1" s="27"/>
      <c r="SWE1" s="27"/>
      <c r="SWF1" s="27"/>
      <c r="SWG1" s="27"/>
      <c r="SWH1" s="27"/>
      <c r="SWI1" s="27"/>
      <c r="SWJ1" s="27"/>
      <c r="SWK1" s="27"/>
      <c r="SWL1" s="27"/>
      <c r="SWM1" s="27"/>
      <c r="SWN1" s="27"/>
      <c r="SWO1" s="27"/>
      <c r="SWP1" s="27"/>
      <c r="SWQ1" s="27"/>
      <c r="SWR1" s="27"/>
      <c r="SWS1" s="27"/>
      <c r="SWT1" s="27"/>
      <c r="SWU1" s="27"/>
      <c r="SWV1" s="27"/>
      <c r="SWW1" s="27"/>
      <c r="SWX1" s="27"/>
      <c r="SWY1" s="27"/>
      <c r="SWZ1" s="27"/>
      <c r="SXA1" s="27"/>
      <c r="SXB1" s="27"/>
      <c r="SXC1" s="27"/>
      <c r="SXD1" s="27"/>
      <c r="SXE1" s="27"/>
      <c r="SXF1" s="27"/>
      <c r="SXG1" s="27"/>
      <c r="SXH1" s="27"/>
      <c r="SXI1" s="27"/>
      <c r="SXJ1" s="27"/>
      <c r="SXK1" s="27"/>
      <c r="SXL1" s="27"/>
      <c r="SXM1" s="27"/>
      <c r="SXN1" s="27"/>
      <c r="SXO1" s="27"/>
      <c r="SXP1" s="27"/>
      <c r="SXQ1" s="27"/>
      <c r="SXR1" s="27"/>
      <c r="SXS1" s="27"/>
      <c r="SXT1" s="27"/>
      <c r="SXU1" s="27"/>
      <c r="SXV1" s="27"/>
      <c r="SXW1" s="27"/>
      <c r="SXX1" s="27"/>
      <c r="SXY1" s="27"/>
      <c r="SXZ1" s="27"/>
      <c r="SYA1" s="27"/>
      <c r="SYB1" s="27"/>
      <c r="SYC1" s="27"/>
      <c r="SYD1" s="27"/>
      <c r="SYE1" s="27"/>
      <c r="SYF1" s="27"/>
      <c r="SYG1" s="27"/>
      <c r="SYH1" s="27"/>
      <c r="SYI1" s="27"/>
      <c r="SYJ1" s="27"/>
      <c r="SYK1" s="27"/>
      <c r="SYL1" s="27"/>
      <c r="SYM1" s="27"/>
      <c r="SYN1" s="27"/>
      <c r="SYO1" s="27"/>
      <c r="SYP1" s="27"/>
      <c r="SYQ1" s="27"/>
      <c r="SYR1" s="27"/>
      <c r="SYS1" s="27"/>
      <c r="SYT1" s="27"/>
      <c r="SYU1" s="27"/>
      <c r="SYV1" s="27"/>
      <c r="SYW1" s="27"/>
      <c r="SYX1" s="27"/>
      <c r="SYY1" s="27"/>
      <c r="SYZ1" s="27"/>
      <c r="SZA1" s="27"/>
      <c r="SZB1" s="27"/>
      <c r="SZC1" s="27"/>
      <c r="SZD1" s="27"/>
      <c r="SZE1" s="27"/>
      <c r="SZF1" s="27"/>
      <c r="SZG1" s="27"/>
      <c r="SZH1" s="27"/>
      <c r="SZI1" s="27"/>
      <c r="SZJ1" s="27"/>
      <c r="SZK1" s="27"/>
      <c r="SZL1" s="27"/>
      <c r="SZM1" s="27"/>
      <c r="SZN1" s="27"/>
      <c r="SZO1" s="27"/>
      <c r="SZP1" s="27"/>
      <c r="SZQ1" s="27"/>
      <c r="SZR1" s="27"/>
      <c r="SZS1" s="27"/>
      <c r="SZT1" s="27"/>
      <c r="SZU1" s="27"/>
      <c r="SZV1" s="27"/>
      <c r="SZW1" s="27"/>
      <c r="SZX1" s="27"/>
      <c r="SZY1" s="27"/>
      <c r="SZZ1" s="27"/>
      <c r="TAA1" s="27"/>
      <c r="TAB1" s="27"/>
      <c r="TAC1" s="27"/>
      <c r="TAD1" s="27"/>
      <c r="TAE1" s="27"/>
      <c r="TAF1" s="27"/>
      <c r="TAG1" s="27"/>
      <c r="TAH1" s="27"/>
      <c r="TAI1" s="27"/>
      <c r="TAJ1" s="27"/>
      <c r="TAK1" s="27"/>
      <c r="TAL1" s="27"/>
      <c r="TAM1" s="27"/>
      <c r="TAN1" s="27"/>
      <c r="TAO1" s="27"/>
      <c r="TAP1" s="27"/>
      <c r="TAQ1" s="27"/>
      <c r="TAR1" s="27"/>
      <c r="TAS1" s="27"/>
      <c r="TAT1" s="27"/>
      <c r="TAU1" s="27"/>
      <c r="TAV1" s="27"/>
      <c r="TAW1" s="27"/>
      <c r="TAX1" s="27"/>
      <c r="TAY1" s="27"/>
      <c r="TAZ1" s="27"/>
      <c r="TBA1" s="27"/>
      <c r="TBB1" s="27"/>
      <c r="TBC1" s="27"/>
      <c r="TBD1" s="27"/>
      <c r="TBE1" s="27"/>
      <c r="TBF1" s="27"/>
      <c r="TBG1" s="27"/>
      <c r="TBH1" s="27"/>
      <c r="TBI1" s="27"/>
      <c r="TBJ1" s="27"/>
      <c r="TBK1" s="27"/>
      <c r="TBL1" s="27"/>
      <c r="TBM1" s="27"/>
      <c r="TBN1" s="27"/>
      <c r="TBO1" s="27"/>
      <c r="TBP1" s="27"/>
      <c r="TBQ1" s="27"/>
      <c r="TBR1" s="27"/>
      <c r="TBS1" s="27"/>
      <c r="TBT1" s="27"/>
      <c r="TBU1" s="27"/>
      <c r="TBV1" s="27"/>
      <c r="TBW1" s="27"/>
      <c r="TBX1" s="27"/>
      <c r="TBY1" s="27"/>
      <c r="TBZ1" s="27"/>
      <c r="TCA1" s="27"/>
      <c r="TCB1" s="27"/>
      <c r="TCC1" s="27"/>
      <c r="TCD1" s="27"/>
      <c r="TCE1" s="27"/>
      <c r="TCF1" s="27"/>
      <c r="TCG1" s="27"/>
      <c r="TCH1" s="27"/>
      <c r="TCI1" s="27"/>
      <c r="TCJ1" s="27"/>
      <c r="TCK1" s="27"/>
      <c r="TCL1" s="27"/>
      <c r="TCM1" s="27"/>
      <c r="TCN1" s="27"/>
      <c r="TCO1" s="27"/>
      <c r="TCP1" s="27"/>
      <c r="TCQ1" s="27"/>
      <c r="TCR1" s="27"/>
      <c r="TCS1" s="27"/>
      <c r="TCT1" s="27"/>
      <c r="TCU1" s="27"/>
      <c r="TCV1" s="27"/>
      <c r="TCW1" s="27"/>
      <c r="TCX1" s="27"/>
      <c r="TCY1" s="27"/>
      <c r="TCZ1" s="27"/>
      <c r="TDA1" s="27"/>
      <c r="TDB1" s="27"/>
      <c r="TDC1" s="27"/>
      <c r="TDD1" s="27"/>
      <c r="TDE1" s="27"/>
      <c r="TDF1" s="27"/>
      <c r="TDG1" s="27"/>
      <c r="TDH1" s="27"/>
      <c r="TDI1" s="27"/>
      <c r="TDJ1" s="27"/>
      <c r="TDK1" s="27"/>
      <c r="TDL1" s="27"/>
      <c r="TDM1" s="27"/>
      <c r="TDN1" s="27"/>
      <c r="TDO1" s="27"/>
      <c r="TDP1" s="27"/>
      <c r="TDQ1" s="27"/>
      <c r="TDR1" s="27"/>
      <c r="TDS1" s="27"/>
      <c r="TDT1" s="27"/>
      <c r="TDU1" s="27"/>
      <c r="TDV1" s="27"/>
      <c r="TDW1" s="27"/>
      <c r="TDX1" s="27"/>
      <c r="TDY1" s="27"/>
      <c r="TDZ1" s="27"/>
      <c r="TEA1" s="27"/>
      <c r="TEB1" s="27"/>
      <c r="TEC1" s="27"/>
      <c r="TED1" s="27"/>
      <c r="TEE1" s="27"/>
      <c r="TEF1" s="27"/>
      <c r="TEG1" s="27"/>
      <c r="TEH1" s="27"/>
      <c r="TEI1" s="27"/>
      <c r="TEJ1" s="27"/>
      <c r="TEK1" s="27"/>
      <c r="TEL1" s="27"/>
      <c r="TEM1" s="27"/>
      <c r="TEN1" s="27"/>
      <c r="TEO1" s="27"/>
      <c r="TEP1" s="27"/>
      <c r="TEQ1" s="27"/>
      <c r="TER1" s="27"/>
      <c r="TES1" s="27"/>
      <c r="TET1" s="27"/>
      <c r="TEU1" s="27"/>
      <c r="TEV1" s="27"/>
      <c r="TEW1" s="27"/>
      <c r="TEX1" s="27"/>
      <c r="TEY1" s="27"/>
      <c r="TEZ1" s="27"/>
      <c r="TFA1" s="27"/>
      <c r="TFB1" s="27"/>
      <c r="TFC1" s="27"/>
      <c r="TFD1" s="27"/>
      <c r="TFE1" s="27"/>
      <c r="TFF1" s="27"/>
      <c r="TFG1" s="27"/>
      <c r="TFH1" s="27"/>
      <c r="TFI1" s="27"/>
      <c r="TFJ1" s="27"/>
      <c r="TFK1" s="27"/>
      <c r="TFL1" s="27"/>
      <c r="TFM1" s="27"/>
      <c r="TFN1" s="27"/>
      <c r="TFO1" s="27"/>
      <c r="TFP1" s="27"/>
      <c r="TFQ1" s="27"/>
      <c r="TFR1" s="27"/>
      <c r="TFS1" s="27"/>
      <c r="TFT1" s="27"/>
      <c r="TFU1" s="27"/>
      <c r="TFV1" s="27"/>
      <c r="TFW1" s="27"/>
      <c r="TFX1" s="27"/>
      <c r="TFY1" s="27"/>
      <c r="TFZ1" s="27"/>
      <c r="TGA1" s="27"/>
      <c r="TGB1" s="27"/>
      <c r="TGC1" s="27"/>
      <c r="TGD1" s="27"/>
      <c r="TGE1" s="27"/>
      <c r="TGF1" s="27"/>
      <c r="TGG1" s="27"/>
      <c r="TGH1" s="27"/>
      <c r="TGI1" s="27"/>
      <c r="TGJ1" s="27"/>
      <c r="TGK1" s="27"/>
      <c r="TGL1" s="27"/>
      <c r="TGM1" s="27"/>
      <c r="TGN1" s="27"/>
      <c r="TGO1" s="27"/>
      <c r="TGP1" s="27"/>
      <c r="TGQ1" s="27"/>
      <c r="TGR1" s="27"/>
      <c r="TGS1" s="27"/>
      <c r="TGT1" s="27"/>
      <c r="TGU1" s="27"/>
      <c r="TGV1" s="27"/>
      <c r="TGW1" s="27"/>
      <c r="TGX1" s="27"/>
      <c r="TGY1" s="27"/>
      <c r="TGZ1" s="27"/>
      <c r="THA1" s="27"/>
      <c r="THB1" s="27"/>
      <c r="THC1" s="27"/>
      <c r="THD1" s="27"/>
      <c r="THE1" s="27"/>
      <c r="THF1" s="27"/>
      <c r="THG1" s="27"/>
      <c r="THH1" s="27"/>
      <c r="THI1" s="27"/>
      <c r="THJ1" s="27"/>
      <c r="THK1" s="27"/>
      <c r="THL1" s="27"/>
      <c r="THM1" s="27"/>
      <c r="THN1" s="27"/>
      <c r="THO1" s="27"/>
      <c r="THP1" s="27"/>
      <c r="THQ1" s="27"/>
      <c r="THR1" s="27"/>
      <c r="THS1" s="27"/>
      <c r="THT1" s="27"/>
      <c r="THU1" s="27"/>
      <c r="THV1" s="27"/>
      <c r="THW1" s="27"/>
      <c r="THX1" s="27"/>
      <c r="THY1" s="27"/>
      <c r="THZ1" s="27"/>
      <c r="TIA1" s="27"/>
      <c r="TIB1" s="27"/>
      <c r="TIC1" s="27"/>
      <c r="TID1" s="27"/>
      <c r="TIE1" s="27"/>
      <c r="TIF1" s="27"/>
      <c r="TIG1" s="27"/>
      <c r="TIH1" s="27"/>
      <c r="TII1" s="27"/>
      <c r="TIJ1" s="27"/>
      <c r="TIK1" s="27"/>
      <c r="TIL1" s="27"/>
      <c r="TIM1" s="27"/>
      <c r="TIN1" s="27"/>
      <c r="TIO1" s="27"/>
      <c r="TIP1" s="27"/>
      <c r="TIQ1" s="27"/>
      <c r="TIR1" s="27"/>
      <c r="TIS1" s="27"/>
      <c r="TIT1" s="27"/>
      <c r="TIU1" s="27"/>
      <c r="TIV1" s="27"/>
      <c r="TIW1" s="27"/>
      <c r="TIX1" s="27"/>
      <c r="TIY1" s="27"/>
      <c r="TIZ1" s="27"/>
      <c r="TJA1" s="27"/>
      <c r="TJB1" s="27"/>
      <c r="TJC1" s="27"/>
      <c r="TJD1" s="27"/>
      <c r="TJE1" s="27"/>
      <c r="TJF1" s="27"/>
      <c r="TJG1" s="27"/>
      <c r="TJH1" s="27"/>
      <c r="TJI1" s="27"/>
      <c r="TJJ1" s="27"/>
      <c r="TJK1" s="27"/>
      <c r="TJL1" s="27"/>
      <c r="TJM1" s="27"/>
      <c r="TJN1" s="27"/>
      <c r="TJO1" s="27"/>
      <c r="TJP1" s="27"/>
      <c r="TJQ1" s="27"/>
      <c r="TJR1" s="27"/>
      <c r="TJS1" s="27"/>
      <c r="TJT1" s="27"/>
      <c r="TJU1" s="27"/>
      <c r="TJV1" s="27"/>
      <c r="TJW1" s="27"/>
      <c r="TJX1" s="27"/>
      <c r="TJY1" s="27"/>
      <c r="TJZ1" s="27"/>
      <c r="TKA1" s="27"/>
      <c r="TKB1" s="27"/>
      <c r="TKC1" s="27"/>
      <c r="TKD1" s="27"/>
      <c r="TKE1" s="27"/>
      <c r="TKF1" s="27"/>
      <c r="TKG1" s="27"/>
      <c r="TKH1" s="27"/>
      <c r="TKI1" s="27"/>
      <c r="TKJ1" s="27"/>
      <c r="TKK1" s="27"/>
      <c r="TKL1" s="27"/>
      <c r="TKM1" s="27"/>
      <c r="TKN1" s="27"/>
      <c r="TKO1" s="27"/>
      <c r="TKP1" s="27"/>
      <c r="TKQ1" s="27"/>
      <c r="TKR1" s="27"/>
      <c r="TKS1" s="27"/>
      <c r="TKT1" s="27"/>
      <c r="TKU1" s="27"/>
      <c r="TKV1" s="27"/>
      <c r="TKW1" s="27"/>
      <c r="TKX1" s="27"/>
      <c r="TKY1" s="27"/>
      <c r="TKZ1" s="27"/>
      <c r="TLA1" s="27"/>
      <c r="TLB1" s="27"/>
      <c r="TLC1" s="27"/>
      <c r="TLD1" s="27"/>
      <c r="TLE1" s="27"/>
      <c r="TLF1" s="27"/>
      <c r="TLG1" s="27"/>
      <c r="TLH1" s="27"/>
      <c r="TLI1" s="27"/>
      <c r="TLJ1" s="27"/>
      <c r="TLK1" s="27"/>
      <c r="TLL1" s="27"/>
      <c r="TLM1" s="27"/>
      <c r="TLN1" s="27"/>
      <c r="TLO1" s="27"/>
      <c r="TLP1" s="27"/>
      <c r="TLQ1" s="27"/>
      <c r="TLR1" s="27"/>
      <c r="TLS1" s="27"/>
      <c r="TLT1" s="27"/>
      <c r="TLU1" s="27"/>
      <c r="TLV1" s="27"/>
      <c r="TLW1" s="27"/>
      <c r="TLX1" s="27"/>
      <c r="TLY1" s="27"/>
      <c r="TLZ1" s="27"/>
      <c r="TMA1" s="27"/>
      <c r="TMB1" s="27"/>
      <c r="TMC1" s="27"/>
      <c r="TMD1" s="27"/>
      <c r="TME1" s="27"/>
      <c r="TMF1" s="27"/>
      <c r="TMG1" s="27"/>
      <c r="TMH1" s="27"/>
      <c r="TMI1" s="27"/>
      <c r="TMJ1" s="27"/>
      <c r="TMK1" s="27"/>
      <c r="TML1" s="27"/>
      <c r="TMM1" s="27"/>
      <c r="TMN1" s="27"/>
      <c r="TMO1" s="27"/>
      <c r="TMP1" s="27"/>
      <c r="TMQ1" s="27"/>
      <c r="TMR1" s="27"/>
      <c r="TMS1" s="27"/>
      <c r="TMT1" s="27"/>
      <c r="TMU1" s="27"/>
      <c r="TMV1" s="27"/>
      <c r="TMW1" s="27"/>
      <c r="TMX1" s="27"/>
      <c r="TMY1" s="27"/>
      <c r="TMZ1" s="27"/>
      <c r="TNA1" s="27"/>
      <c r="TNB1" s="27"/>
      <c r="TNC1" s="27"/>
      <c r="TND1" s="27"/>
      <c r="TNE1" s="27"/>
      <c r="TNF1" s="27"/>
      <c r="TNG1" s="27"/>
      <c r="TNH1" s="27"/>
      <c r="TNI1" s="27"/>
      <c r="TNJ1" s="27"/>
      <c r="TNK1" s="27"/>
      <c r="TNL1" s="27"/>
      <c r="TNM1" s="27"/>
      <c r="TNN1" s="27"/>
      <c r="TNO1" s="27"/>
      <c r="TNP1" s="27"/>
      <c r="TNQ1" s="27"/>
      <c r="TNR1" s="27"/>
      <c r="TNS1" s="27"/>
      <c r="TNT1" s="27"/>
      <c r="TNU1" s="27"/>
      <c r="TNV1" s="27"/>
      <c r="TNW1" s="27"/>
      <c r="TNX1" s="27"/>
      <c r="TNY1" s="27"/>
      <c r="TNZ1" s="27"/>
      <c r="TOA1" s="27"/>
      <c r="TOB1" s="27"/>
      <c r="TOC1" s="27"/>
      <c r="TOD1" s="27"/>
      <c r="TOE1" s="27"/>
      <c r="TOF1" s="27"/>
      <c r="TOG1" s="27"/>
      <c r="TOH1" s="27"/>
      <c r="TOI1" s="27"/>
      <c r="TOJ1" s="27"/>
      <c r="TOK1" s="27"/>
      <c r="TOL1" s="27"/>
      <c r="TOM1" s="27"/>
      <c r="TON1" s="27"/>
      <c r="TOO1" s="27"/>
      <c r="TOP1" s="27"/>
      <c r="TOQ1" s="27"/>
      <c r="TOR1" s="27"/>
      <c r="TOS1" s="27"/>
      <c r="TOT1" s="27"/>
      <c r="TOU1" s="27"/>
      <c r="TOV1" s="27"/>
      <c r="TOW1" s="27"/>
      <c r="TOX1" s="27"/>
      <c r="TOY1" s="27"/>
      <c r="TOZ1" s="27"/>
      <c r="TPA1" s="27"/>
      <c r="TPB1" s="27"/>
      <c r="TPC1" s="27"/>
      <c r="TPD1" s="27"/>
      <c r="TPE1" s="27"/>
      <c r="TPF1" s="27"/>
      <c r="TPG1" s="27"/>
      <c r="TPH1" s="27"/>
      <c r="TPI1" s="27"/>
      <c r="TPJ1" s="27"/>
      <c r="TPK1" s="27"/>
      <c r="TPL1" s="27"/>
      <c r="TPM1" s="27"/>
      <c r="TPN1" s="27"/>
      <c r="TPO1" s="27"/>
      <c r="TPP1" s="27"/>
      <c r="TPQ1" s="27"/>
      <c r="TPR1" s="27"/>
      <c r="TPS1" s="27"/>
      <c r="TPT1" s="27"/>
      <c r="TPU1" s="27"/>
      <c r="TPV1" s="27"/>
      <c r="TPW1" s="27"/>
      <c r="TPX1" s="27"/>
      <c r="TPY1" s="27"/>
      <c r="TPZ1" s="27"/>
      <c r="TQA1" s="27"/>
      <c r="TQB1" s="27"/>
      <c r="TQC1" s="27"/>
      <c r="TQD1" s="27"/>
      <c r="TQE1" s="27"/>
      <c r="TQF1" s="27"/>
      <c r="TQG1" s="27"/>
      <c r="TQH1" s="27"/>
      <c r="TQI1" s="27"/>
      <c r="TQJ1" s="27"/>
      <c r="TQK1" s="27"/>
      <c r="TQL1" s="27"/>
      <c r="TQM1" s="27"/>
      <c r="TQN1" s="27"/>
      <c r="TQO1" s="27"/>
      <c r="TQP1" s="27"/>
      <c r="TQQ1" s="27"/>
      <c r="TQR1" s="27"/>
      <c r="TQS1" s="27"/>
      <c r="TQT1" s="27"/>
      <c r="TQU1" s="27"/>
      <c r="TQV1" s="27"/>
      <c r="TQW1" s="27"/>
      <c r="TQX1" s="27"/>
      <c r="TQY1" s="27"/>
      <c r="TQZ1" s="27"/>
      <c r="TRA1" s="27"/>
      <c r="TRB1" s="27"/>
      <c r="TRC1" s="27"/>
      <c r="TRD1" s="27"/>
      <c r="TRE1" s="27"/>
      <c r="TRF1" s="27"/>
      <c r="TRG1" s="27"/>
      <c r="TRH1" s="27"/>
      <c r="TRI1" s="27"/>
      <c r="TRJ1" s="27"/>
      <c r="TRK1" s="27"/>
      <c r="TRL1" s="27"/>
      <c r="TRM1" s="27"/>
      <c r="TRN1" s="27"/>
      <c r="TRO1" s="27"/>
      <c r="TRP1" s="27"/>
      <c r="TRQ1" s="27"/>
      <c r="TRR1" s="27"/>
      <c r="TRS1" s="27"/>
      <c r="TRT1" s="27"/>
      <c r="TRU1" s="27"/>
      <c r="TRV1" s="27"/>
      <c r="TRW1" s="27"/>
      <c r="TRX1" s="27"/>
      <c r="TRY1" s="27"/>
      <c r="TRZ1" s="27"/>
      <c r="TSA1" s="27"/>
      <c r="TSB1" s="27"/>
      <c r="TSC1" s="27"/>
      <c r="TSD1" s="27"/>
      <c r="TSE1" s="27"/>
      <c r="TSF1" s="27"/>
      <c r="TSG1" s="27"/>
      <c r="TSH1" s="27"/>
      <c r="TSI1" s="27"/>
      <c r="TSJ1" s="27"/>
      <c r="TSK1" s="27"/>
      <c r="TSL1" s="27"/>
      <c r="TSM1" s="27"/>
      <c r="TSN1" s="27"/>
      <c r="TSO1" s="27"/>
      <c r="TSP1" s="27"/>
      <c r="TSQ1" s="27"/>
      <c r="TSR1" s="27"/>
      <c r="TSS1" s="27"/>
      <c r="TST1" s="27"/>
      <c r="TSU1" s="27"/>
      <c r="TSV1" s="27"/>
      <c r="TSW1" s="27"/>
      <c r="TSX1" s="27"/>
      <c r="TSY1" s="27"/>
      <c r="TSZ1" s="27"/>
      <c r="TTA1" s="27"/>
      <c r="TTB1" s="27"/>
      <c r="TTC1" s="27"/>
      <c r="TTD1" s="27"/>
      <c r="TTE1" s="27"/>
      <c r="TTF1" s="27"/>
      <c r="TTG1" s="27"/>
      <c r="TTH1" s="27"/>
      <c r="TTI1" s="27"/>
      <c r="TTJ1" s="27"/>
      <c r="TTK1" s="27"/>
      <c r="TTL1" s="27"/>
      <c r="TTM1" s="27"/>
      <c r="TTN1" s="27"/>
      <c r="TTO1" s="27"/>
      <c r="TTP1" s="27"/>
      <c r="TTQ1" s="27"/>
      <c r="TTR1" s="27"/>
      <c r="TTS1" s="27"/>
      <c r="TTT1" s="27"/>
      <c r="TTU1" s="27"/>
      <c r="TTV1" s="27"/>
      <c r="TTW1" s="27"/>
      <c r="TTX1" s="27"/>
      <c r="TTY1" s="27"/>
      <c r="TTZ1" s="27"/>
      <c r="TUA1" s="27"/>
      <c r="TUB1" s="27"/>
      <c r="TUC1" s="27"/>
      <c r="TUD1" s="27"/>
      <c r="TUE1" s="27"/>
      <c r="TUF1" s="27"/>
      <c r="TUG1" s="27"/>
      <c r="TUH1" s="27"/>
      <c r="TUI1" s="27"/>
      <c r="TUJ1" s="27"/>
      <c r="TUK1" s="27"/>
      <c r="TUL1" s="27"/>
      <c r="TUM1" s="27"/>
      <c r="TUN1" s="27"/>
      <c r="TUO1" s="27"/>
      <c r="TUP1" s="27"/>
      <c r="TUQ1" s="27"/>
      <c r="TUR1" s="27"/>
      <c r="TUS1" s="27"/>
      <c r="TUT1" s="27"/>
      <c r="TUU1" s="27"/>
      <c r="TUV1" s="27"/>
      <c r="TUW1" s="27"/>
      <c r="TUX1" s="27"/>
      <c r="TUY1" s="27"/>
      <c r="TUZ1" s="27"/>
      <c r="TVA1" s="27"/>
      <c r="TVB1" s="27"/>
      <c r="TVC1" s="27"/>
      <c r="TVD1" s="27"/>
      <c r="TVE1" s="27"/>
      <c r="TVF1" s="27"/>
      <c r="TVG1" s="27"/>
      <c r="TVH1" s="27"/>
      <c r="TVI1" s="27"/>
      <c r="TVJ1" s="27"/>
      <c r="TVK1" s="27"/>
      <c r="TVL1" s="27"/>
      <c r="TVM1" s="27"/>
      <c r="TVN1" s="27"/>
      <c r="TVO1" s="27"/>
      <c r="TVP1" s="27"/>
      <c r="TVQ1" s="27"/>
      <c r="TVR1" s="27"/>
      <c r="TVS1" s="27"/>
      <c r="TVT1" s="27"/>
      <c r="TVU1" s="27"/>
      <c r="TVV1" s="27"/>
      <c r="TVW1" s="27"/>
      <c r="TVX1" s="27"/>
      <c r="TVY1" s="27"/>
      <c r="TVZ1" s="27"/>
      <c r="TWA1" s="27"/>
      <c r="TWB1" s="27"/>
      <c r="TWC1" s="27"/>
      <c r="TWD1" s="27"/>
      <c r="TWE1" s="27"/>
      <c r="TWF1" s="27"/>
      <c r="TWG1" s="27"/>
      <c r="TWH1" s="27"/>
      <c r="TWI1" s="27"/>
      <c r="TWJ1" s="27"/>
      <c r="TWK1" s="27"/>
      <c r="TWL1" s="27"/>
      <c r="TWM1" s="27"/>
      <c r="TWN1" s="27"/>
      <c r="TWO1" s="27"/>
      <c r="TWP1" s="27"/>
      <c r="TWQ1" s="27"/>
      <c r="TWR1" s="27"/>
      <c r="TWS1" s="27"/>
      <c r="TWT1" s="27"/>
      <c r="TWU1" s="27"/>
      <c r="TWV1" s="27"/>
      <c r="TWW1" s="27"/>
      <c r="TWX1" s="27"/>
      <c r="TWY1" s="27"/>
      <c r="TWZ1" s="27"/>
      <c r="TXA1" s="27"/>
      <c r="TXB1" s="27"/>
      <c r="TXC1" s="27"/>
      <c r="TXD1" s="27"/>
      <c r="TXE1" s="27"/>
      <c r="TXF1" s="27"/>
      <c r="TXG1" s="27"/>
      <c r="TXH1" s="27"/>
      <c r="TXI1" s="27"/>
      <c r="TXJ1" s="27"/>
      <c r="TXK1" s="27"/>
      <c r="TXL1" s="27"/>
      <c r="TXM1" s="27"/>
      <c r="TXN1" s="27"/>
      <c r="TXO1" s="27"/>
      <c r="TXP1" s="27"/>
      <c r="TXQ1" s="27"/>
      <c r="TXR1" s="27"/>
      <c r="TXS1" s="27"/>
      <c r="TXT1" s="27"/>
      <c r="TXU1" s="27"/>
      <c r="TXV1" s="27"/>
      <c r="TXW1" s="27"/>
      <c r="TXX1" s="27"/>
      <c r="TXY1" s="27"/>
      <c r="TXZ1" s="27"/>
      <c r="TYA1" s="27"/>
      <c r="TYB1" s="27"/>
      <c r="TYC1" s="27"/>
      <c r="TYD1" s="27"/>
      <c r="TYE1" s="27"/>
      <c r="TYF1" s="27"/>
      <c r="TYG1" s="27"/>
      <c r="TYH1" s="27"/>
      <c r="TYI1" s="27"/>
      <c r="TYJ1" s="27"/>
      <c r="TYK1" s="27"/>
      <c r="TYL1" s="27"/>
      <c r="TYM1" s="27"/>
      <c r="TYN1" s="27"/>
      <c r="TYO1" s="27"/>
      <c r="TYP1" s="27"/>
      <c r="TYQ1" s="27"/>
      <c r="TYR1" s="27"/>
      <c r="TYS1" s="27"/>
      <c r="TYT1" s="27"/>
      <c r="TYU1" s="27"/>
      <c r="TYV1" s="27"/>
      <c r="TYW1" s="27"/>
      <c r="TYX1" s="27"/>
      <c r="TYY1" s="27"/>
      <c r="TYZ1" s="27"/>
      <c r="TZA1" s="27"/>
      <c r="TZB1" s="27"/>
      <c r="TZC1" s="27"/>
      <c r="TZD1" s="27"/>
      <c r="TZE1" s="27"/>
      <c r="TZF1" s="27"/>
      <c r="TZG1" s="27"/>
      <c r="TZH1" s="27"/>
      <c r="TZI1" s="27"/>
      <c r="TZJ1" s="27"/>
      <c r="TZK1" s="27"/>
      <c r="TZL1" s="27"/>
      <c r="TZM1" s="27"/>
      <c r="TZN1" s="27"/>
      <c r="TZO1" s="27"/>
      <c r="TZP1" s="27"/>
      <c r="TZQ1" s="27"/>
      <c r="TZR1" s="27"/>
      <c r="TZS1" s="27"/>
      <c r="TZT1" s="27"/>
      <c r="TZU1" s="27"/>
      <c r="TZV1" s="27"/>
      <c r="TZW1" s="27"/>
      <c r="TZX1" s="27"/>
      <c r="TZY1" s="27"/>
      <c r="TZZ1" s="27"/>
      <c r="UAA1" s="27"/>
      <c r="UAB1" s="27"/>
      <c r="UAC1" s="27"/>
      <c r="UAD1" s="27"/>
      <c r="UAE1" s="27"/>
      <c r="UAF1" s="27"/>
      <c r="UAG1" s="27"/>
      <c r="UAH1" s="27"/>
      <c r="UAI1" s="27"/>
      <c r="UAJ1" s="27"/>
      <c r="UAK1" s="27"/>
      <c r="UAL1" s="27"/>
      <c r="UAM1" s="27"/>
      <c r="UAN1" s="27"/>
      <c r="UAO1" s="27"/>
      <c r="UAP1" s="27"/>
      <c r="UAQ1" s="27"/>
      <c r="UAR1" s="27"/>
      <c r="UAS1" s="27"/>
      <c r="UAT1" s="27"/>
      <c r="UAU1" s="27"/>
      <c r="UAV1" s="27"/>
      <c r="UAW1" s="27"/>
      <c r="UAX1" s="27"/>
      <c r="UAY1" s="27"/>
      <c r="UAZ1" s="27"/>
      <c r="UBA1" s="27"/>
      <c r="UBB1" s="27"/>
      <c r="UBC1" s="27"/>
      <c r="UBD1" s="27"/>
      <c r="UBE1" s="27"/>
      <c r="UBF1" s="27"/>
      <c r="UBG1" s="27"/>
      <c r="UBH1" s="27"/>
      <c r="UBI1" s="27"/>
      <c r="UBJ1" s="27"/>
      <c r="UBK1" s="27"/>
      <c r="UBL1" s="27"/>
      <c r="UBM1" s="27"/>
      <c r="UBN1" s="27"/>
      <c r="UBO1" s="27"/>
      <c r="UBP1" s="27"/>
      <c r="UBQ1" s="27"/>
      <c r="UBR1" s="27"/>
      <c r="UBS1" s="27"/>
      <c r="UBT1" s="27"/>
      <c r="UBU1" s="27"/>
      <c r="UBV1" s="27"/>
      <c r="UBW1" s="27"/>
      <c r="UBX1" s="27"/>
      <c r="UBY1" s="27"/>
      <c r="UBZ1" s="27"/>
      <c r="UCA1" s="27"/>
      <c r="UCB1" s="27"/>
      <c r="UCC1" s="27"/>
      <c r="UCD1" s="27"/>
      <c r="UCE1" s="27"/>
      <c r="UCF1" s="27"/>
      <c r="UCG1" s="27"/>
      <c r="UCH1" s="27"/>
      <c r="UCI1" s="27"/>
      <c r="UCJ1" s="27"/>
      <c r="UCK1" s="27"/>
      <c r="UCL1" s="27"/>
      <c r="UCM1" s="27"/>
      <c r="UCN1" s="27"/>
      <c r="UCO1" s="27"/>
      <c r="UCP1" s="27"/>
      <c r="UCQ1" s="27"/>
      <c r="UCR1" s="27"/>
      <c r="UCS1" s="27"/>
      <c r="UCT1" s="27"/>
      <c r="UCU1" s="27"/>
      <c r="UCV1" s="27"/>
      <c r="UCW1" s="27"/>
      <c r="UCX1" s="27"/>
      <c r="UCY1" s="27"/>
      <c r="UCZ1" s="27"/>
      <c r="UDA1" s="27"/>
      <c r="UDB1" s="27"/>
      <c r="UDC1" s="27"/>
      <c r="UDD1" s="27"/>
      <c r="UDE1" s="27"/>
      <c r="UDF1" s="27"/>
      <c r="UDG1" s="27"/>
      <c r="UDH1" s="27"/>
      <c r="UDI1" s="27"/>
      <c r="UDJ1" s="27"/>
      <c r="UDK1" s="27"/>
      <c r="UDL1" s="27"/>
      <c r="UDM1" s="27"/>
      <c r="UDN1" s="27"/>
      <c r="UDO1" s="27"/>
      <c r="UDP1" s="27"/>
      <c r="UDQ1" s="27"/>
      <c r="UDR1" s="27"/>
      <c r="UDS1" s="27"/>
      <c r="UDT1" s="27"/>
      <c r="UDU1" s="27"/>
      <c r="UDV1" s="27"/>
      <c r="UDW1" s="27"/>
      <c r="UDX1" s="27"/>
      <c r="UDY1" s="27"/>
      <c r="UDZ1" s="27"/>
      <c r="UEA1" s="27"/>
      <c r="UEB1" s="27"/>
      <c r="UEC1" s="27"/>
      <c r="UED1" s="27"/>
      <c r="UEE1" s="27"/>
      <c r="UEF1" s="27"/>
      <c r="UEG1" s="27"/>
      <c r="UEH1" s="27"/>
      <c r="UEI1" s="27"/>
      <c r="UEJ1" s="27"/>
      <c r="UEK1" s="27"/>
      <c r="UEL1" s="27"/>
      <c r="UEM1" s="27"/>
      <c r="UEN1" s="27"/>
      <c r="UEO1" s="27"/>
      <c r="UEP1" s="27"/>
      <c r="UEQ1" s="27"/>
      <c r="UER1" s="27"/>
      <c r="UES1" s="27"/>
      <c r="UET1" s="27"/>
      <c r="UEU1" s="27"/>
      <c r="UEV1" s="27"/>
      <c r="UEW1" s="27"/>
      <c r="UEX1" s="27"/>
      <c r="UEY1" s="27"/>
      <c r="UEZ1" s="27"/>
      <c r="UFA1" s="27"/>
      <c r="UFB1" s="27"/>
      <c r="UFC1" s="27"/>
      <c r="UFD1" s="27"/>
      <c r="UFE1" s="27"/>
      <c r="UFF1" s="27"/>
      <c r="UFG1" s="27"/>
      <c r="UFH1" s="27"/>
      <c r="UFI1" s="27"/>
      <c r="UFJ1" s="27"/>
      <c r="UFK1" s="27"/>
      <c r="UFL1" s="27"/>
      <c r="UFM1" s="27"/>
      <c r="UFN1" s="27"/>
      <c r="UFO1" s="27"/>
      <c r="UFP1" s="27"/>
      <c r="UFQ1" s="27"/>
      <c r="UFR1" s="27"/>
      <c r="UFS1" s="27"/>
      <c r="UFT1" s="27"/>
      <c r="UFU1" s="27"/>
      <c r="UFV1" s="27"/>
      <c r="UFW1" s="27"/>
      <c r="UFX1" s="27"/>
      <c r="UFY1" s="27"/>
      <c r="UFZ1" s="27"/>
      <c r="UGA1" s="27"/>
      <c r="UGB1" s="27"/>
      <c r="UGC1" s="27"/>
      <c r="UGD1" s="27"/>
      <c r="UGE1" s="27"/>
      <c r="UGF1" s="27"/>
      <c r="UGG1" s="27"/>
      <c r="UGH1" s="27"/>
      <c r="UGI1" s="27"/>
      <c r="UGJ1" s="27"/>
      <c r="UGK1" s="27"/>
      <c r="UGL1" s="27"/>
      <c r="UGM1" s="27"/>
      <c r="UGN1" s="27"/>
      <c r="UGO1" s="27"/>
      <c r="UGP1" s="27"/>
      <c r="UGQ1" s="27"/>
      <c r="UGR1" s="27"/>
      <c r="UGS1" s="27"/>
      <c r="UGT1" s="27"/>
      <c r="UGU1" s="27"/>
      <c r="UGV1" s="27"/>
      <c r="UGW1" s="27"/>
      <c r="UGX1" s="27"/>
      <c r="UGY1" s="27"/>
      <c r="UGZ1" s="27"/>
      <c r="UHA1" s="27"/>
      <c r="UHB1" s="27"/>
      <c r="UHC1" s="27"/>
      <c r="UHD1" s="27"/>
      <c r="UHE1" s="27"/>
      <c r="UHF1" s="27"/>
      <c r="UHG1" s="27"/>
      <c r="UHH1" s="27"/>
      <c r="UHI1" s="27"/>
      <c r="UHJ1" s="27"/>
      <c r="UHK1" s="27"/>
      <c r="UHL1" s="27"/>
      <c r="UHM1" s="27"/>
      <c r="UHN1" s="27"/>
      <c r="UHO1" s="27"/>
      <c r="UHP1" s="27"/>
      <c r="UHQ1" s="27"/>
      <c r="UHR1" s="27"/>
      <c r="UHS1" s="27"/>
      <c r="UHT1" s="27"/>
      <c r="UHU1" s="27"/>
      <c r="UHV1" s="27"/>
      <c r="UHW1" s="27"/>
      <c r="UHX1" s="27"/>
      <c r="UHY1" s="27"/>
      <c r="UHZ1" s="27"/>
      <c r="UIA1" s="27"/>
      <c r="UIB1" s="27"/>
      <c r="UIC1" s="27"/>
      <c r="UID1" s="27"/>
      <c r="UIE1" s="27"/>
      <c r="UIF1" s="27"/>
      <c r="UIG1" s="27"/>
      <c r="UIH1" s="27"/>
      <c r="UII1" s="27"/>
      <c r="UIJ1" s="27"/>
      <c r="UIK1" s="27"/>
      <c r="UIL1" s="27"/>
      <c r="UIM1" s="27"/>
      <c r="UIN1" s="27"/>
      <c r="UIO1" s="27"/>
      <c r="UIP1" s="27"/>
      <c r="UIQ1" s="27"/>
      <c r="UIR1" s="27"/>
      <c r="UIS1" s="27"/>
      <c r="UIT1" s="27"/>
      <c r="UIU1" s="27"/>
      <c r="UIV1" s="27"/>
      <c r="UIW1" s="27"/>
      <c r="UIX1" s="27"/>
      <c r="UIY1" s="27"/>
      <c r="UIZ1" s="27"/>
      <c r="UJA1" s="27"/>
      <c r="UJB1" s="27"/>
      <c r="UJC1" s="27"/>
      <c r="UJD1" s="27"/>
      <c r="UJE1" s="27"/>
      <c r="UJF1" s="27"/>
      <c r="UJG1" s="27"/>
      <c r="UJH1" s="27"/>
      <c r="UJI1" s="27"/>
      <c r="UJJ1" s="27"/>
      <c r="UJK1" s="27"/>
      <c r="UJL1" s="27"/>
      <c r="UJM1" s="27"/>
      <c r="UJN1" s="27"/>
      <c r="UJO1" s="27"/>
      <c r="UJP1" s="27"/>
      <c r="UJQ1" s="27"/>
      <c r="UJR1" s="27"/>
      <c r="UJS1" s="27"/>
      <c r="UJT1" s="27"/>
      <c r="UJU1" s="27"/>
      <c r="UJV1" s="27"/>
      <c r="UJW1" s="27"/>
      <c r="UJX1" s="27"/>
      <c r="UJY1" s="27"/>
      <c r="UJZ1" s="27"/>
      <c r="UKA1" s="27"/>
      <c r="UKB1" s="27"/>
      <c r="UKC1" s="27"/>
      <c r="UKD1" s="27"/>
      <c r="UKE1" s="27"/>
      <c r="UKF1" s="27"/>
      <c r="UKG1" s="27"/>
      <c r="UKH1" s="27"/>
      <c r="UKI1" s="27"/>
      <c r="UKJ1" s="27"/>
      <c r="UKK1" s="27"/>
      <c r="UKL1" s="27"/>
      <c r="UKM1" s="27"/>
      <c r="UKN1" s="27"/>
      <c r="UKO1" s="27"/>
      <c r="UKP1" s="27"/>
      <c r="UKQ1" s="27"/>
      <c r="UKR1" s="27"/>
      <c r="UKS1" s="27"/>
      <c r="UKT1" s="27"/>
      <c r="UKU1" s="27"/>
      <c r="UKV1" s="27"/>
      <c r="UKW1" s="27"/>
      <c r="UKX1" s="27"/>
      <c r="UKY1" s="27"/>
      <c r="UKZ1" s="27"/>
      <c r="ULA1" s="27"/>
      <c r="ULB1" s="27"/>
      <c r="ULC1" s="27"/>
      <c r="ULD1" s="27"/>
      <c r="ULE1" s="27"/>
      <c r="ULF1" s="27"/>
      <c r="ULG1" s="27"/>
      <c r="ULH1" s="27"/>
      <c r="ULI1" s="27"/>
      <c r="ULJ1" s="27"/>
      <c r="ULK1" s="27"/>
      <c r="ULL1" s="27"/>
      <c r="ULM1" s="27"/>
      <c r="ULN1" s="27"/>
      <c r="ULO1" s="27"/>
      <c r="ULP1" s="27"/>
      <c r="ULQ1" s="27"/>
      <c r="ULR1" s="27"/>
      <c r="ULS1" s="27"/>
      <c r="ULT1" s="27"/>
      <c r="ULU1" s="27"/>
      <c r="ULV1" s="27"/>
      <c r="ULW1" s="27"/>
      <c r="ULX1" s="27"/>
      <c r="ULY1" s="27"/>
      <c r="ULZ1" s="27"/>
      <c r="UMA1" s="27"/>
      <c r="UMB1" s="27"/>
      <c r="UMC1" s="27"/>
      <c r="UMD1" s="27"/>
      <c r="UME1" s="27"/>
      <c r="UMF1" s="27"/>
      <c r="UMG1" s="27"/>
      <c r="UMH1" s="27"/>
      <c r="UMI1" s="27"/>
      <c r="UMJ1" s="27"/>
      <c r="UMK1" s="27"/>
      <c r="UML1" s="27"/>
      <c r="UMM1" s="27"/>
      <c r="UMN1" s="27"/>
      <c r="UMO1" s="27"/>
      <c r="UMP1" s="27"/>
      <c r="UMQ1" s="27"/>
      <c r="UMR1" s="27"/>
      <c r="UMS1" s="27"/>
      <c r="UMT1" s="27"/>
      <c r="UMU1" s="27"/>
      <c r="UMV1" s="27"/>
      <c r="UMW1" s="27"/>
      <c r="UMX1" s="27"/>
      <c r="UMY1" s="27"/>
      <c r="UMZ1" s="27"/>
      <c r="UNA1" s="27"/>
      <c r="UNB1" s="27"/>
      <c r="UNC1" s="27"/>
      <c r="UND1" s="27"/>
      <c r="UNE1" s="27"/>
      <c r="UNF1" s="27"/>
      <c r="UNG1" s="27"/>
      <c r="UNH1" s="27"/>
      <c r="UNI1" s="27"/>
      <c r="UNJ1" s="27"/>
      <c r="UNK1" s="27"/>
      <c r="UNL1" s="27"/>
      <c r="UNM1" s="27"/>
      <c r="UNN1" s="27"/>
      <c r="UNO1" s="27"/>
      <c r="UNP1" s="27"/>
      <c r="UNQ1" s="27"/>
      <c r="UNR1" s="27"/>
      <c r="UNS1" s="27"/>
      <c r="UNT1" s="27"/>
      <c r="UNU1" s="27"/>
      <c r="UNV1" s="27"/>
      <c r="UNW1" s="27"/>
      <c r="UNX1" s="27"/>
      <c r="UNY1" s="27"/>
      <c r="UNZ1" s="27"/>
      <c r="UOA1" s="27"/>
      <c r="UOB1" s="27"/>
      <c r="UOC1" s="27"/>
      <c r="UOD1" s="27"/>
      <c r="UOE1" s="27"/>
      <c r="UOF1" s="27"/>
      <c r="UOG1" s="27"/>
      <c r="UOH1" s="27"/>
      <c r="UOI1" s="27"/>
      <c r="UOJ1" s="27"/>
      <c r="UOK1" s="27"/>
      <c r="UOL1" s="27"/>
      <c r="UOM1" s="27"/>
      <c r="UON1" s="27"/>
      <c r="UOO1" s="27"/>
      <c r="UOP1" s="27"/>
      <c r="UOQ1" s="27"/>
      <c r="UOR1" s="27"/>
      <c r="UOS1" s="27"/>
      <c r="UOT1" s="27"/>
      <c r="UOU1" s="27"/>
      <c r="UOV1" s="27"/>
      <c r="UOW1" s="27"/>
      <c r="UOX1" s="27"/>
      <c r="UOY1" s="27"/>
      <c r="UOZ1" s="27"/>
      <c r="UPA1" s="27"/>
      <c r="UPB1" s="27"/>
      <c r="UPC1" s="27"/>
      <c r="UPD1" s="27"/>
      <c r="UPE1" s="27"/>
      <c r="UPF1" s="27"/>
      <c r="UPG1" s="27"/>
      <c r="UPH1" s="27"/>
      <c r="UPI1" s="27"/>
      <c r="UPJ1" s="27"/>
      <c r="UPK1" s="27"/>
      <c r="UPL1" s="27"/>
      <c r="UPM1" s="27"/>
      <c r="UPN1" s="27"/>
      <c r="UPO1" s="27"/>
      <c r="UPP1" s="27"/>
      <c r="UPQ1" s="27"/>
      <c r="UPR1" s="27"/>
      <c r="UPS1" s="27"/>
      <c r="UPT1" s="27"/>
      <c r="UPU1" s="27"/>
      <c r="UPV1" s="27"/>
      <c r="UPW1" s="27"/>
      <c r="UPX1" s="27"/>
      <c r="UPY1" s="27"/>
      <c r="UPZ1" s="27"/>
      <c r="UQA1" s="27"/>
      <c r="UQB1" s="27"/>
      <c r="UQC1" s="27"/>
      <c r="UQD1" s="27"/>
      <c r="UQE1" s="27"/>
      <c r="UQF1" s="27"/>
      <c r="UQG1" s="27"/>
      <c r="UQH1" s="27"/>
      <c r="UQI1" s="27"/>
      <c r="UQJ1" s="27"/>
      <c r="UQK1" s="27"/>
      <c r="UQL1" s="27"/>
      <c r="UQM1" s="27"/>
      <c r="UQN1" s="27"/>
      <c r="UQO1" s="27"/>
      <c r="UQP1" s="27"/>
      <c r="UQQ1" s="27"/>
      <c r="UQR1" s="27"/>
      <c r="UQS1" s="27"/>
      <c r="UQT1" s="27"/>
      <c r="UQU1" s="27"/>
      <c r="UQV1" s="27"/>
      <c r="UQW1" s="27"/>
      <c r="UQX1" s="27"/>
      <c r="UQY1" s="27"/>
      <c r="UQZ1" s="27"/>
      <c r="URA1" s="27"/>
      <c r="URB1" s="27"/>
      <c r="URC1" s="27"/>
      <c r="URD1" s="27"/>
      <c r="URE1" s="27"/>
      <c r="URF1" s="27"/>
      <c r="URG1" s="27"/>
      <c r="URH1" s="27"/>
      <c r="URI1" s="27"/>
      <c r="URJ1" s="27"/>
      <c r="URK1" s="27"/>
      <c r="URL1" s="27"/>
      <c r="URM1" s="27"/>
      <c r="URN1" s="27"/>
      <c r="URO1" s="27"/>
      <c r="URP1" s="27"/>
      <c r="URQ1" s="27"/>
      <c r="URR1" s="27"/>
      <c r="URS1" s="27"/>
      <c r="URT1" s="27"/>
      <c r="URU1" s="27"/>
      <c r="URV1" s="27"/>
      <c r="URW1" s="27"/>
      <c r="URX1" s="27"/>
      <c r="URY1" s="27"/>
      <c r="URZ1" s="27"/>
      <c r="USA1" s="27"/>
      <c r="USB1" s="27"/>
      <c r="USC1" s="27"/>
      <c r="USD1" s="27"/>
      <c r="USE1" s="27"/>
      <c r="USF1" s="27"/>
      <c r="USG1" s="27"/>
      <c r="USH1" s="27"/>
      <c r="USI1" s="27"/>
      <c r="USJ1" s="27"/>
      <c r="USK1" s="27"/>
      <c r="USL1" s="27"/>
      <c r="USM1" s="27"/>
      <c r="USN1" s="27"/>
      <c r="USO1" s="27"/>
      <c r="USP1" s="27"/>
      <c r="USQ1" s="27"/>
      <c r="USR1" s="27"/>
      <c r="USS1" s="27"/>
      <c r="UST1" s="27"/>
      <c r="USU1" s="27"/>
      <c r="USV1" s="27"/>
      <c r="USW1" s="27"/>
      <c r="USX1" s="27"/>
      <c r="USY1" s="27"/>
      <c r="USZ1" s="27"/>
      <c r="UTA1" s="27"/>
      <c r="UTB1" s="27"/>
      <c r="UTC1" s="27"/>
      <c r="UTD1" s="27"/>
      <c r="UTE1" s="27"/>
      <c r="UTF1" s="27"/>
      <c r="UTG1" s="27"/>
      <c r="UTH1" s="27"/>
      <c r="UTI1" s="27"/>
      <c r="UTJ1" s="27"/>
      <c r="UTK1" s="27"/>
      <c r="UTL1" s="27"/>
      <c r="UTM1" s="27"/>
      <c r="UTN1" s="27"/>
      <c r="UTO1" s="27"/>
      <c r="UTP1" s="27"/>
      <c r="UTQ1" s="27"/>
      <c r="UTR1" s="27"/>
      <c r="UTS1" s="27"/>
      <c r="UTT1" s="27"/>
      <c r="UTU1" s="27"/>
      <c r="UTV1" s="27"/>
      <c r="UTW1" s="27"/>
      <c r="UTX1" s="27"/>
      <c r="UTY1" s="27"/>
      <c r="UTZ1" s="27"/>
      <c r="UUA1" s="27"/>
      <c r="UUB1" s="27"/>
      <c r="UUC1" s="27"/>
      <c r="UUD1" s="27"/>
      <c r="UUE1" s="27"/>
      <c r="UUF1" s="27"/>
      <c r="UUG1" s="27"/>
      <c r="UUH1" s="27"/>
      <c r="UUI1" s="27"/>
      <c r="UUJ1" s="27"/>
      <c r="UUK1" s="27"/>
      <c r="UUL1" s="27"/>
      <c r="UUM1" s="27"/>
      <c r="UUN1" s="27"/>
      <c r="UUO1" s="27"/>
      <c r="UUP1" s="27"/>
      <c r="UUQ1" s="27"/>
      <c r="UUR1" s="27"/>
      <c r="UUS1" s="27"/>
      <c r="UUT1" s="27"/>
      <c r="UUU1" s="27"/>
      <c r="UUV1" s="27"/>
      <c r="UUW1" s="27"/>
      <c r="UUX1" s="27"/>
      <c r="UUY1" s="27"/>
      <c r="UUZ1" s="27"/>
      <c r="UVA1" s="27"/>
      <c r="UVB1" s="27"/>
      <c r="UVC1" s="27"/>
      <c r="UVD1" s="27"/>
      <c r="UVE1" s="27"/>
      <c r="UVF1" s="27"/>
      <c r="UVG1" s="27"/>
      <c r="UVH1" s="27"/>
      <c r="UVI1" s="27"/>
      <c r="UVJ1" s="27"/>
      <c r="UVK1" s="27"/>
      <c r="UVL1" s="27"/>
      <c r="UVM1" s="27"/>
      <c r="UVN1" s="27"/>
      <c r="UVO1" s="27"/>
      <c r="UVP1" s="27"/>
      <c r="UVQ1" s="27"/>
      <c r="UVR1" s="27"/>
      <c r="UVS1" s="27"/>
      <c r="UVT1" s="27"/>
      <c r="UVU1" s="27"/>
      <c r="UVV1" s="27"/>
      <c r="UVW1" s="27"/>
      <c r="UVX1" s="27"/>
      <c r="UVY1" s="27"/>
      <c r="UVZ1" s="27"/>
      <c r="UWA1" s="27"/>
      <c r="UWB1" s="27"/>
      <c r="UWC1" s="27"/>
      <c r="UWD1" s="27"/>
      <c r="UWE1" s="27"/>
      <c r="UWF1" s="27"/>
      <c r="UWG1" s="27"/>
      <c r="UWH1" s="27"/>
      <c r="UWI1" s="27"/>
      <c r="UWJ1" s="27"/>
      <c r="UWK1" s="27"/>
      <c r="UWL1" s="27"/>
      <c r="UWM1" s="27"/>
      <c r="UWN1" s="27"/>
      <c r="UWO1" s="27"/>
      <c r="UWP1" s="27"/>
      <c r="UWQ1" s="27"/>
      <c r="UWR1" s="27"/>
      <c r="UWS1" s="27"/>
      <c r="UWT1" s="27"/>
      <c r="UWU1" s="27"/>
      <c r="UWV1" s="27"/>
      <c r="UWW1" s="27"/>
      <c r="UWX1" s="27"/>
      <c r="UWY1" s="27"/>
      <c r="UWZ1" s="27"/>
      <c r="UXA1" s="27"/>
      <c r="UXB1" s="27"/>
      <c r="UXC1" s="27"/>
      <c r="UXD1" s="27"/>
      <c r="UXE1" s="27"/>
      <c r="UXF1" s="27"/>
      <c r="UXG1" s="27"/>
      <c r="UXH1" s="27"/>
      <c r="UXI1" s="27"/>
      <c r="UXJ1" s="27"/>
      <c r="UXK1" s="27"/>
      <c r="UXL1" s="27"/>
      <c r="UXM1" s="27"/>
      <c r="UXN1" s="27"/>
      <c r="UXO1" s="27"/>
      <c r="UXP1" s="27"/>
      <c r="UXQ1" s="27"/>
      <c r="UXR1" s="27"/>
      <c r="UXS1" s="27"/>
      <c r="UXT1" s="27"/>
      <c r="UXU1" s="27"/>
      <c r="UXV1" s="27"/>
      <c r="UXW1" s="27"/>
      <c r="UXX1" s="27"/>
      <c r="UXY1" s="27"/>
      <c r="UXZ1" s="27"/>
      <c r="UYA1" s="27"/>
      <c r="UYB1" s="27"/>
      <c r="UYC1" s="27"/>
      <c r="UYD1" s="27"/>
      <c r="UYE1" s="27"/>
      <c r="UYF1" s="27"/>
      <c r="UYG1" s="27"/>
      <c r="UYH1" s="27"/>
      <c r="UYI1" s="27"/>
      <c r="UYJ1" s="27"/>
      <c r="UYK1" s="27"/>
      <c r="UYL1" s="27"/>
      <c r="UYM1" s="27"/>
      <c r="UYN1" s="27"/>
      <c r="UYO1" s="27"/>
      <c r="UYP1" s="27"/>
      <c r="UYQ1" s="27"/>
      <c r="UYR1" s="27"/>
      <c r="UYS1" s="27"/>
      <c r="UYT1" s="27"/>
      <c r="UYU1" s="27"/>
      <c r="UYV1" s="27"/>
      <c r="UYW1" s="27"/>
      <c r="UYX1" s="27"/>
      <c r="UYY1" s="27"/>
      <c r="UYZ1" s="27"/>
      <c r="UZA1" s="27"/>
      <c r="UZB1" s="27"/>
      <c r="UZC1" s="27"/>
      <c r="UZD1" s="27"/>
      <c r="UZE1" s="27"/>
      <c r="UZF1" s="27"/>
      <c r="UZG1" s="27"/>
      <c r="UZH1" s="27"/>
      <c r="UZI1" s="27"/>
      <c r="UZJ1" s="27"/>
      <c r="UZK1" s="27"/>
      <c r="UZL1" s="27"/>
      <c r="UZM1" s="27"/>
      <c r="UZN1" s="27"/>
      <c r="UZO1" s="27"/>
      <c r="UZP1" s="27"/>
      <c r="UZQ1" s="27"/>
      <c r="UZR1" s="27"/>
      <c r="UZS1" s="27"/>
      <c r="UZT1" s="27"/>
      <c r="UZU1" s="27"/>
      <c r="UZV1" s="27"/>
      <c r="UZW1" s="27"/>
      <c r="UZX1" s="27"/>
      <c r="UZY1" s="27"/>
      <c r="UZZ1" s="27"/>
      <c r="VAA1" s="27"/>
      <c r="VAB1" s="27"/>
      <c r="VAC1" s="27"/>
      <c r="VAD1" s="27"/>
      <c r="VAE1" s="27"/>
      <c r="VAF1" s="27"/>
      <c r="VAG1" s="27"/>
      <c r="VAH1" s="27"/>
      <c r="VAI1" s="27"/>
      <c r="VAJ1" s="27"/>
      <c r="VAK1" s="27"/>
      <c r="VAL1" s="27"/>
      <c r="VAM1" s="27"/>
      <c r="VAN1" s="27"/>
      <c r="VAO1" s="27"/>
      <c r="VAP1" s="27"/>
      <c r="VAQ1" s="27"/>
      <c r="VAR1" s="27"/>
      <c r="VAS1" s="27"/>
      <c r="VAT1" s="27"/>
      <c r="VAU1" s="27"/>
      <c r="VAV1" s="27"/>
      <c r="VAW1" s="27"/>
      <c r="VAX1" s="27"/>
      <c r="VAY1" s="27"/>
      <c r="VAZ1" s="27"/>
      <c r="VBA1" s="27"/>
      <c r="VBB1" s="27"/>
      <c r="VBC1" s="27"/>
      <c r="VBD1" s="27"/>
      <c r="VBE1" s="27"/>
      <c r="VBF1" s="27"/>
      <c r="VBG1" s="27"/>
      <c r="VBH1" s="27"/>
      <c r="VBI1" s="27"/>
      <c r="VBJ1" s="27"/>
      <c r="VBK1" s="27"/>
      <c r="VBL1" s="27"/>
      <c r="VBM1" s="27"/>
      <c r="VBN1" s="27"/>
      <c r="VBO1" s="27"/>
      <c r="VBP1" s="27"/>
      <c r="VBQ1" s="27"/>
      <c r="VBR1" s="27"/>
      <c r="VBS1" s="27"/>
      <c r="VBT1" s="27"/>
      <c r="VBU1" s="27"/>
      <c r="VBV1" s="27"/>
      <c r="VBW1" s="27"/>
      <c r="VBX1" s="27"/>
      <c r="VBY1" s="27"/>
      <c r="VBZ1" s="27"/>
      <c r="VCA1" s="27"/>
      <c r="VCB1" s="27"/>
      <c r="VCC1" s="27"/>
      <c r="VCD1" s="27"/>
      <c r="VCE1" s="27"/>
      <c r="VCF1" s="27"/>
      <c r="VCG1" s="27"/>
      <c r="VCH1" s="27"/>
      <c r="VCI1" s="27"/>
      <c r="VCJ1" s="27"/>
      <c r="VCK1" s="27"/>
      <c r="VCL1" s="27"/>
      <c r="VCM1" s="27"/>
      <c r="VCN1" s="27"/>
      <c r="VCO1" s="27"/>
      <c r="VCP1" s="27"/>
      <c r="VCQ1" s="27"/>
      <c r="VCR1" s="27"/>
      <c r="VCS1" s="27"/>
      <c r="VCT1" s="27"/>
      <c r="VCU1" s="27"/>
      <c r="VCV1" s="27"/>
      <c r="VCW1" s="27"/>
      <c r="VCX1" s="27"/>
      <c r="VCY1" s="27"/>
      <c r="VCZ1" s="27"/>
      <c r="VDA1" s="27"/>
      <c r="VDB1" s="27"/>
      <c r="VDC1" s="27"/>
      <c r="VDD1" s="27"/>
      <c r="VDE1" s="27"/>
      <c r="VDF1" s="27"/>
      <c r="VDG1" s="27"/>
      <c r="VDH1" s="27"/>
      <c r="VDI1" s="27"/>
      <c r="VDJ1" s="27"/>
      <c r="VDK1" s="27"/>
      <c r="VDL1" s="27"/>
      <c r="VDM1" s="27"/>
      <c r="VDN1" s="27"/>
      <c r="VDO1" s="27"/>
      <c r="VDP1" s="27"/>
      <c r="VDQ1" s="27"/>
      <c r="VDR1" s="27"/>
      <c r="VDS1" s="27"/>
      <c r="VDT1" s="27"/>
      <c r="VDU1" s="27"/>
      <c r="VDV1" s="27"/>
      <c r="VDW1" s="27"/>
      <c r="VDX1" s="27"/>
      <c r="VDY1" s="27"/>
      <c r="VDZ1" s="27"/>
      <c r="VEA1" s="27"/>
      <c r="VEB1" s="27"/>
      <c r="VEC1" s="27"/>
      <c r="VED1" s="27"/>
      <c r="VEE1" s="27"/>
      <c r="VEF1" s="27"/>
      <c r="VEG1" s="27"/>
      <c r="VEH1" s="27"/>
      <c r="VEI1" s="27"/>
      <c r="VEJ1" s="27"/>
      <c r="VEK1" s="27"/>
      <c r="VEL1" s="27"/>
      <c r="VEM1" s="27"/>
      <c r="VEN1" s="27"/>
      <c r="VEO1" s="27"/>
      <c r="VEP1" s="27"/>
      <c r="VEQ1" s="27"/>
      <c r="VER1" s="27"/>
      <c r="VES1" s="27"/>
      <c r="VET1" s="27"/>
      <c r="VEU1" s="27"/>
      <c r="VEV1" s="27"/>
      <c r="VEW1" s="27"/>
      <c r="VEX1" s="27"/>
      <c r="VEY1" s="27"/>
      <c r="VEZ1" s="27"/>
      <c r="VFA1" s="27"/>
      <c r="VFB1" s="27"/>
      <c r="VFC1" s="27"/>
      <c r="VFD1" s="27"/>
      <c r="VFE1" s="27"/>
      <c r="VFF1" s="27"/>
      <c r="VFG1" s="27"/>
      <c r="VFH1" s="27"/>
      <c r="VFI1" s="27"/>
      <c r="VFJ1" s="27"/>
      <c r="VFK1" s="27"/>
      <c r="VFL1" s="27"/>
      <c r="VFM1" s="27"/>
      <c r="VFN1" s="27"/>
      <c r="VFO1" s="27"/>
      <c r="VFP1" s="27"/>
      <c r="VFQ1" s="27"/>
      <c r="VFR1" s="27"/>
      <c r="VFS1" s="27"/>
      <c r="VFT1" s="27"/>
      <c r="VFU1" s="27"/>
      <c r="VFV1" s="27"/>
      <c r="VFW1" s="27"/>
      <c r="VFX1" s="27"/>
      <c r="VFY1" s="27"/>
      <c r="VFZ1" s="27"/>
      <c r="VGA1" s="27"/>
      <c r="VGB1" s="27"/>
      <c r="VGC1" s="27"/>
      <c r="VGD1" s="27"/>
      <c r="VGE1" s="27"/>
      <c r="VGF1" s="27"/>
      <c r="VGG1" s="27"/>
      <c r="VGH1" s="27"/>
      <c r="VGI1" s="27"/>
      <c r="VGJ1" s="27"/>
      <c r="VGK1" s="27"/>
      <c r="VGL1" s="27"/>
      <c r="VGM1" s="27"/>
      <c r="VGN1" s="27"/>
      <c r="VGO1" s="27"/>
      <c r="VGP1" s="27"/>
      <c r="VGQ1" s="27"/>
      <c r="VGR1" s="27"/>
      <c r="VGS1" s="27"/>
      <c r="VGT1" s="27"/>
      <c r="VGU1" s="27"/>
      <c r="VGV1" s="27"/>
      <c r="VGW1" s="27"/>
      <c r="VGX1" s="27"/>
      <c r="VGY1" s="27"/>
      <c r="VGZ1" s="27"/>
      <c r="VHA1" s="27"/>
      <c r="VHB1" s="27"/>
      <c r="VHC1" s="27"/>
      <c r="VHD1" s="27"/>
      <c r="VHE1" s="27"/>
      <c r="VHF1" s="27"/>
      <c r="VHG1" s="27"/>
      <c r="VHH1" s="27"/>
      <c r="VHI1" s="27"/>
      <c r="VHJ1" s="27"/>
      <c r="VHK1" s="27"/>
      <c r="VHL1" s="27"/>
      <c r="VHM1" s="27"/>
      <c r="VHN1" s="27"/>
      <c r="VHO1" s="27"/>
      <c r="VHP1" s="27"/>
      <c r="VHQ1" s="27"/>
      <c r="VHR1" s="27"/>
      <c r="VHS1" s="27"/>
      <c r="VHT1" s="27"/>
      <c r="VHU1" s="27"/>
      <c r="VHV1" s="27"/>
      <c r="VHW1" s="27"/>
      <c r="VHX1" s="27"/>
      <c r="VHY1" s="27"/>
      <c r="VHZ1" s="27"/>
      <c r="VIA1" s="27"/>
      <c r="VIB1" s="27"/>
      <c r="VIC1" s="27"/>
      <c r="VID1" s="27"/>
      <c r="VIE1" s="27"/>
      <c r="VIF1" s="27"/>
      <c r="VIG1" s="27"/>
      <c r="VIH1" s="27"/>
      <c r="VII1" s="27"/>
      <c r="VIJ1" s="27"/>
      <c r="VIK1" s="27"/>
      <c r="VIL1" s="27"/>
      <c r="VIM1" s="27"/>
      <c r="VIN1" s="27"/>
      <c r="VIO1" s="27"/>
      <c r="VIP1" s="27"/>
      <c r="VIQ1" s="27"/>
      <c r="VIR1" s="27"/>
      <c r="VIS1" s="27"/>
      <c r="VIT1" s="27"/>
      <c r="VIU1" s="27"/>
      <c r="VIV1" s="27"/>
      <c r="VIW1" s="27"/>
      <c r="VIX1" s="27"/>
      <c r="VIY1" s="27"/>
      <c r="VIZ1" s="27"/>
      <c r="VJA1" s="27"/>
      <c r="VJB1" s="27"/>
      <c r="VJC1" s="27"/>
      <c r="VJD1" s="27"/>
      <c r="VJE1" s="27"/>
      <c r="VJF1" s="27"/>
      <c r="VJG1" s="27"/>
      <c r="VJH1" s="27"/>
      <c r="VJI1" s="27"/>
      <c r="VJJ1" s="27"/>
      <c r="VJK1" s="27"/>
      <c r="VJL1" s="27"/>
      <c r="VJM1" s="27"/>
      <c r="VJN1" s="27"/>
      <c r="VJO1" s="27"/>
      <c r="VJP1" s="27"/>
      <c r="VJQ1" s="27"/>
      <c r="VJR1" s="27"/>
      <c r="VJS1" s="27"/>
      <c r="VJT1" s="27"/>
      <c r="VJU1" s="27"/>
      <c r="VJV1" s="27"/>
      <c r="VJW1" s="27"/>
      <c r="VJX1" s="27"/>
      <c r="VJY1" s="27"/>
      <c r="VJZ1" s="27"/>
      <c r="VKA1" s="27"/>
      <c r="VKB1" s="27"/>
      <c r="VKC1" s="27"/>
      <c r="VKD1" s="27"/>
      <c r="VKE1" s="27"/>
      <c r="VKF1" s="27"/>
      <c r="VKG1" s="27"/>
      <c r="VKH1" s="27"/>
      <c r="VKI1" s="27"/>
      <c r="VKJ1" s="27"/>
      <c r="VKK1" s="27"/>
      <c r="VKL1" s="27"/>
      <c r="VKM1" s="27"/>
      <c r="VKN1" s="27"/>
      <c r="VKO1" s="27"/>
      <c r="VKP1" s="27"/>
      <c r="VKQ1" s="27"/>
      <c r="VKR1" s="27"/>
      <c r="VKS1" s="27"/>
      <c r="VKT1" s="27"/>
      <c r="VKU1" s="27"/>
      <c r="VKV1" s="27"/>
      <c r="VKW1" s="27"/>
      <c r="VKX1" s="27"/>
      <c r="VKY1" s="27"/>
      <c r="VKZ1" s="27"/>
      <c r="VLA1" s="27"/>
      <c r="VLB1" s="27"/>
      <c r="VLC1" s="27"/>
      <c r="VLD1" s="27"/>
      <c r="VLE1" s="27"/>
      <c r="VLF1" s="27"/>
      <c r="VLG1" s="27"/>
      <c r="VLH1" s="27"/>
      <c r="VLI1" s="27"/>
      <c r="VLJ1" s="27"/>
      <c r="VLK1" s="27"/>
      <c r="VLL1" s="27"/>
      <c r="VLM1" s="27"/>
      <c r="VLN1" s="27"/>
      <c r="VLO1" s="27"/>
      <c r="VLP1" s="27"/>
      <c r="VLQ1" s="27"/>
      <c r="VLR1" s="27"/>
      <c r="VLS1" s="27"/>
      <c r="VLT1" s="27"/>
      <c r="VLU1" s="27"/>
      <c r="VLV1" s="27"/>
      <c r="VLW1" s="27"/>
      <c r="VLX1" s="27"/>
      <c r="VLY1" s="27"/>
      <c r="VLZ1" s="27"/>
      <c r="VMA1" s="27"/>
      <c r="VMB1" s="27"/>
      <c r="VMC1" s="27"/>
      <c r="VMD1" s="27"/>
      <c r="VME1" s="27"/>
      <c r="VMF1" s="27"/>
      <c r="VMG1" s="27"/>
      <c r="VMH1" s="27"/>
      <c r="VMI1" s="27"/>
      <c r="VMJ1" s="27"/>
      <c r="VMK1" s="27"/>
      <c r="VML1" s="27"/>
      <c r="VMM1" s="27"/>
      <c r="VMN1" s="27"/>
      <c r="VMO1" s="27"/>
      <c r="VMP1" s="27"/>
      <c r="VMQ1" s="27"/>
      <c r="VMR1" s="27"/>
      <c r="VMS1" s="27"/>
      <c r="VMT1" s="27"/>
      <c r="VMU1" s="27"/>
      <c r="VMV1" s="27"/>
      <c r="VMW1" s="27"/>
      <c r="VMX1" s="27"/>
      <c r="VMY1" s="27"/>
      <c r="VMZ1" s="27"/>
      <c r="VNA1" s="27"/>
      <c r="VNB1" s="27"/>
      <c r="VNC1" s="27"/>
      <c r="VND1" s="27"/>
      <c r="VNE1" s="27"/>
      <c r="VNF1" s="27"/>
      <c r="VNG1" s="27"/>
      <c r="VNH1" s="27"/>
      <c r="VNI1" s="27"/>
      <c r="VNJ1" s="27"/>
      <c r="VNK1" s="27"/>
      <c r="VNL1" s="27"/>
      <c r="VNM1" s="27"/>
      <c r="VNN1" s="27"/>
      <c r="VNO1" s="27"/>
      <c r="VNP1" s="27"/>
      <c r="VNQ1" s="27"/>
      <c r="VNR1" s="27"/>
      <c r="VNS1" s="27"/>
      <c r="VNT1" s="27"/>
      <c r="VNU1" s="27"/>
      <c r="VNV1" s="27"/>
      <c r="VNW1" s="27"/>
      <c r="VNX1" s="27"/>
      <c r="VNY1" s="27"/>
      <c r="VNZ1" s="27"/>
      <c r="VOA1" s="27"/>
      <c r="VOB1" s="27"/>
      <c r="VOC1" s="27"/>
      <c r="VOD1" s="27"/>
      <c r="VOE1" s="27"/>
      <c r="VOF1" s="27"/>
      <c r="VOG1" s="27"/>
      <c r="VOH1" s="27"/>
      <c r="VOI1" s="27"/>
      <c r="VOJ1" s="27"/>
      <c r="VOK1" s="27"/>
      <c r="VOL1" s="27"/>
      <c r="VOM1" s="27"/>
      <c r="VON1" s="27"/>
      <c r="VOO1" s="27"/>
      <c r="VOP1" s="27"/>
      <c r="VOQ1" s="27"/>
      <c r="VOR1" s="27"/>
      <c r="VOS1" s="27"/>
      <c r="VOT1" s="27"/>
      <c r="VOU1" s="27"/>
      <c r="VOV1" s="27"/>
      <c r="VOW1" s="27"/>
      <c r="VOX1" s="27"/>
      <c r="VOY1" s="27"/>
      <c r="VOZ1" s="27"/>
      <c r="VPA1" s="27"/>
      <c r="VPB1" s="27"/>
      <c r="VPC1" s="27"/>
      <c r="VPD1" s="27"/>
      <c r="VPE1" s="27"/>
      <c r="VPF1" s="27"/>
      <c r="VPG1" s="27"/>
      <c r="VPH1" s="27"/>
      <c r="VPI1" s="27"/>
      <c r="VPJ1" s="27"/>
      <c r="VPK1" s="27"/>
      <c r="VPL1" s="27"/>
      <c r="VPM1" s="27"/>
      <c r="VPN1" s="27"/>
      <c r="VPO1" s="27"/>
      <c r="VPP1" s="27"/>
      <c r="VPQ1" s="27"/>
      <c r="VPR1" s="27"/>
      <c r="VPS1" s="27"/>
      <c r="VPT1" s="27"/>
      <c r="VPU1" s="27"/>
      <c r="VPV1" s="27"/>
      <c r="VPW1" s="27"/>
      <c r="VPX1" s="27"/>
      <c r="VPY1" s="27"/>
      <c r="VPZ1" s="27"/>
      <c r="VQA1" s="27"/>
      <c r="VQB1" s="27"/>
      <c r="VQC1" s="27"/>
      <c r="VQD1" s="27"/>
      <c r="VQE1" s="27"/>
      <c r="VQF1" s="27"/>
      <c r="VQG1" s="27"/>
      <c r="VQH1" s="27"/>
      <c r="VQI1" s="27"/>
      <c r="VQJ1" s="27"/>
      <c r="VQK1" s="27"/>
      <c r="VQL1" s="27"/>
      <c r="VQM1" s="27"/>
      <c r="VQN1" s="27"/>
      <c r="VQO1" s="27"/>
      <c r="VQP1" s="27"/>
      <c r="VQQ1" s="27"/>
      <c r="VQR1" s="27"/>
      <c r="VQS1" s="27"/>
      <c r="VQT1" s="27"/>
      <c r="VQU1" s="27"/>
      <c r="VQV1" s="27"/>
      <c r="VQW1" s="27"/>
      <c r="VQX1" s="27"/>
      <c r="VQY1" s="27"/>
      <c r="VQZ1" s="27"/>
      <c r="VRA1" s="27"/>
      <c r="VRB1" s="27"/>
      <c r="VRC1" s="27"/>
      <c r="VRD1" s="27"/>
      <c r="VRE1" s="27"/>
      <c r="VRF1" s="27"/>
      <c r="VRG1" s="27"/>
      <c r="VRH1" s="27"/>
      <c r="VRI1" s="27"/>
      <c r="VRJ1" s="27"/>
      <c r="VRK1" s="27"/>
      <c r="VRL1" s="27"/>
      <c r="VRM1" s="27"/>
      <c r="VRN1" s="27"/>
      <c r="VRO1" s="27"/>
      <c r="VRP1" s="27"/>
      <c r="VRQ1" s="27"/>
      <c r="VRR1" s="27"/>
      <c r="VRS1" s="27"/>
      <c r="VRT1" s="27"/>
      <c r="VRU1" s="27"/>
      <c r="VRV1" s="27"/>
      <c r="VRW1" s="27"/>
      <c r="VRX1" s="27"/>
      <c r="VRY1" s="27"/>
      <c r="VRZ1" s="27"/>
      <c r="VSA1" s="27"/>
      <c r="VSB1" s="27"/>
      <c r="VSC1" s="27"/>
      <c r="VSD1" s="27"/>
      <c r="VSE1" s="27"/>
      <c r="VSF1" s="27"/>
      <c r="VSG1" s="27"/>
      <c r="VSH1" s="27"/>
      <c r="VSI1" s="27"/>
      <c r="VSJ1" s="27"/>
      <c r="VSK1" s="27"/>
      <c r="VSL1" s="27"/>
      <c r="VSM1" s="27"/>
      <c r="VSN1" s="27"/>
      <c r="VSO1" s="27"/>
      <c r="VSP1" s="27"/>
      <c r="VSQ1" s="27"/>
      <c r="VSR1" s="27"/>
      <c r="VSS1" s="27"/>
      <c r="VST1" s="27"/>
      <c r="VSU1" s="27"/>
      <c r="VSV1" s="27"/>
      <c r="VSW1" s="27"/>
      <c r="VSX1" s="27"/>
      <c r="VSY1" s="27"/>
      <c r="VSZ1" s="27"/>
      <c r="VTA1" s="27"/>
      <c r="VTB1" s="27"/>
      <c r="VTC1" s="27"/>
      <c r="VTD1" s="27"/>
      <c r="VTE1" s="27"/>
      <c r="VTF1" s="27"/>
      <c r="VTG1" s="27"/>
      <c r="VTH1" s="27"/>
      <c r="VTI1" s="27"/>
      <c r="VTJ1" s="27"/>
      <c r="VTK1" s="27"/>
      <c r="VTL1" s="27"/>
      <c r="VTM1" s="27"/>
      <c r="VTN1" s="27"/>
      <c r="VTO1" s="27"/>
      <c r="VTP1" s="27"/>
      <c r="VTQ1" s="27"/>
      <c r="VTR1" s="27"/>
      <c r="VTS1" s="27"/>
      <c r="VTT1" s="27"/>
      <c r="VTU1" s="27"/>
      <c r="VTV1" s="27"/>
      <c r="VTW1" s="27"/>
      <c r="VTX1" s="27"/>
      <c r="VTY1" s="27"/>
      <c r="VTZ1" s="27"/>
      <c r="VUA1" s="27"/>
      <c r="VUB1" s="27"/>
      <c r="VUC1" s="27"/>
      <c r="VUD1" s="27"/>
      <c r="VUE1" s="27"/>
      <c r="VUF1" s="27"/>
      <c r="VUG1" s="27"/>
      <c r="VUH1" s="27"/>
      <c r="VUI1" s="27"/>
      <c r="VUJ1" s="27"/>
      <c r="VUK1" s="27"/>
      <c r="VUL1" s="27"/>
      <c r="VUM1" s="27"/>
      <c r="VUN1" s="27"/>
      <c r="VUO1" s="27"/>
      <c r="VUP1" s="27"/>
      <c r="VUQ1" s="27"/>
      <c r="VUR1" s="27"/>
      <c r="VUS1" s="27"/>
      <c r="VUT1" s="27"/>
      <c r="VUU1" s="27"/>
      <c r="VUV1" s="27"/>
      <c r="VUW1" s="27"/>
      <c r="VUX1" s="27"/>
      <c r="VUY1" s="27"/>
      <c r="VUZ1" s="27"/>
      <c r="VVA1" s="27"/>
      <c r="VVB1" s="27"/>
      <c r="VVC1" s="27"/>
      <c r="VVD1" s="27"/>
      <c r="VVE1" s="27"/>
      <c r="VVF1" s="27"/>
      <c r="VVG1" s="27"/>
      <c r="VVH1" s="27"/>
      <c r="VVI1" s="27"/>
      <c r="VVJ1" s="27"/>
      <c r="VVK1" s="27"/>
      <c r="VVL1" s="27"/>
      <c r="VVM1" s="27"/>
      <c r="VVN1" s="27"/>
      <c r="VVO1" s="27"/>
      <c r="VVP1" s="27"/>
      <c r="VVQ1" s="27"/>
      <c r="VVR1" s="27"/>
      <c r="VVS1" s="27"/>
      <c r="VVT1" s="27"/>
      <c r="VVU1" s="27"/>
      <c r="VVV1" s="27"/>
      <c r="VVW1" s="27"/>
      <c r="VVX1" s="27"/>
      <c r="VVY1" s="27"/>
      <c r="VVZ1" s="27"/>
      <c r="VWA1" s="27"/>
      <c r="VWB1" s="27"/>
      <c r="VWC1" s="27"/>
      <c r="VWD1" s="27"/>
      <c r="VWE1" s="27"/>
      <c r="VWF1" s="27"/>
      <c r="VWG1" s="27"/>
      <c r="VWH1" s="27"/>
      <c r="VWI1" s="27"/>
      <c r="VWJ1" s="27"/>
      <c r="VWK1" s="27"/>
      <c r="VWL1" s="27"/>
      <c r="VWM1" s="27"/>
      <c r="VWN1" s="27"/>
      <c r="VWO1" s="27"/>
      <c r="VWP1" s="27"/>
      <c r="VWQ1" s="27"/>
      <c r="VWR1" s="27"/>
      <c r="VWS1" s="27"/>
      <c r="VWT1" s="27"/>
      <c r="VWU1" s="27"/>
      <c r="VWV1" s="27"/>
      <c r="VWW1" s="27"/>
      <c r="VWX1" s="27"/>
      <c r="VWY1" s="27"/>
      <c r="VWZ1" s="27"/>
      <c r="VXA1" s="27"/>
      <c r="VXB1" s="27"/>
      <c r="VXC1" s="27"/>
      <c r="VXD1" s="27"/>
      <c r="VXE1" s="27"/>
      <c r="VXF1" s="27"/>
      <c r="VXG1" s="27"/>
      <c r="VXH1" s="27"/>
      <c r="VXI1" s="27"/>
      <c r="VXJ1" s="27"/>
      <c r="VXK1" s="27"/>
      <c r="VXL1" s="27"/>
      <c r="VXM1" s="27"/>
      <c r="VXN1" s="27"/>
      <c r="VXO1" s="27"/>
      <c r="VXP1" s="27"/>
      <c r="VXQ1" s="27"/>
      <c r="VXR1" s="27"/>
      <c r="VXS1" s="27"/>
      <c r="VXT1" s="27"/>
      <c r="VXU1" s="27"/>
      <c r="VXV1" s="27"/>
      <c r="VXW1" s="27"/>
      <c r="VXX1" s="27"/>
      <c r="VXY1" s="27"/>
      <c r="VXZ1" s="27"/>
      <c r="VYA1" s="27"/>
      <c r="VYB1" s="27"/>
      <c r="VYC1" s="27"/>
      <c r="VYD1" s="27"/>
      <c r="VYE1" s="27"/>
      <c r="VYF1" s="27"/>
      <c r="VYG1" s="27"/>
      <c r="VYH1" s="27"/>
      <c r="VYI1" s="27"/>
      <c r="VYJ1" s="27"/>
      <c r="VYK1" s="27"/>
      <c r="VYL1" s="27"/>
      <c r="VYM1" s="27"/>
      <c r="VYN1" s="27"/>
      <c r="VYO1" s="27"/>
      <c r="VYP1" s="27"/>
      <c r="VYQ1" s="27"/>
      <c r="VYR1" s="27"/>
      <c r="VYS1" s="27"/>
      <c r="VYT1" s="27"/>
      <c r="VYU1" s="27"/>
      <c r="VYV1" s="27"/>
      <c r="VYW1" s="27"/>
      <c r="VYX1" s="27"/>
      <c r="VYY1" s="27"/>
      <c r="VYZ1" s="27"/>
      <c r="VZA1" s="27"/>
      <c r="VZB1" s="27"/>
      <c r="VZC1" s="27"/>
      <c r="VZD1" s="27"/>
      <c r="VZE1" s="27"/>
      <c r="VZF1" s="27"/>
      <c r="VZG1" s="27"/>
      <c r="VZH1" s="27"/>
      <c r="VZI1" s="27"/>
      <c r="VZJ1" s="27"/>
      <c r="VZK1" s="27"/>
      <c r="VZL1" s="27"/>
      <c r="VZM1" s="27"/>
      <c r="VZN1" s="27"/>
      <c r="VZO1" s="27"/>
      <c r="VZP1" s="27"/>
      <c r="VZQ1" s="27"/>
      <c r="VZR1" s="27"/>
      <c r="VZS1" s="27"/>
      <c r="VZT1" s="27"/>
      <c r="VZU1" s="27"/>
      <c r="VZV1" s="27"/>
      <c r="VZW1" s="27"/>
      <c r="VZX1" s="27"/>
      <c r="VZY1" s="27"/>
      <c r="VZZ1" s="27"/>
      <c r="WAA1" s="27"/>
      <c r="WAB1" s="27"/>
      <c r="WAC1" s="27"/>
      <c r="WAD1" s="27"/>
      <c r="WAE1" s="27"/>
      <c r="WAF1" s="27"/>
      <c r="WAG1" s="27"/>
      <c r="WAH1" s="27"/>
      <c r="WAI1" s="27"/>
      <c r="WAJ1" s="27"/>
      <c r="WAK1" s="27"/>
      <c r="WAL1" s="27"/>
      <c r="WAM1" s="27"/>
      <c r="WAN1" s="27"/>
      <c r="WAO1" s="27"/>
      <c r="WAP1" s="27"/>
      <c r="WAQ1" s="27"/>
      <c r="WAR1" s="27"/>
      <c r="WAS1" s="27"/>
      <c r="WAT1" s="27"/>
      <c r="WAU1" s="27"/>
      <c r="WAV1" s="27"/>
      <c r="WAW1" s="27"/>
      <c r="WAX1" s="27"/>
      <c r="WAY1" s="27"/>
      <c r="WAZ1" s="27"/>
      <c r="WBA1" s="27"/>
      <c r="WBB1" s="27"/>
      <c r="WBC1" s="27"/>
      <c r="WBD1" s="27"/>
      <c r="WBE1" s="27"/>
      <c r="WBF1" s="27"/>
      <c r="WBG1" s="27"/>
      <c r="WBH1" s="27"/>
      <c r="WBI1" s="27"/>
      <c r="WBJ1" s="27"/>
      <c r="WBK1" s="27"/>
      <c r="WBL1" s="27"/>
      <c r="WBM1" s="27"/>
      <c r="WBN1" s="27"/>
      <c r="WBO1" s="27"/>
      <c r="WBP1" s="27"/>
      <c r="WBQ1" s="27"/>
      <c r="WBR1" s="27"/>
      <c r="WBS1" s="27"/>
      <c r="WBT1" s="27"/>
      <c r="WBU1" s="27"/>
      <c r="WBV1" s="27"/>
      <c r="WBW1" s="27"/>
      <c r="WBX1" s="27"/>
      <c r="WBY1" s="27"/>
      <c r="WBZ1" s="27"/>
      <c r="WCA1" s="27"/>
      <c r="WCB1" s="27"/>
      <c r="WCC1" s="27"/>
      <c r="WCD1" s="27"/>
      <c r="WCE1" s="27"/>
      <c r="WCF1" s="27"/>
      <c r="WCG1" s="27"/>
      <c r="WCH1" s="27"/>
      <c r="WCI1" s="27"/>
      <c r="WCJ1" s="27"/>
      <c r="WCK1" s="27"/>
      <c r="WCL1" s="27"/>
      <c r="WCM1" s="27"/>
      <c r="WCN1" s="27"/>
      <c r="WCO1" s="27"/>
      <c r="WCP1" s="27"/>
      <c r="WCQ1" s="27"/>
      <c r="WCR1" s="27"/>
      <c r="WCS1" s="27"/>
      <c r="WCT1" s="27"/>
      <c r="WCU1" s="27"/>
      <c r="WCV1" s="27"/>
      <c r="WCW1" s="27"/>
      <c r="WCX1" s="27"/>
      <c r="WCY1" s="27"/>
      <c r="WCZ1" s="27"/>
      <c r="WDA1" s="27"/>
      <c r="WDB1" s="27"/>
      <c r="WDC1" s="27"/>
      <c r="WDD1" s="27"/>
      <c r="WDE1" s="27"/>
      <c r="WDF1" s="27"/>
      <c r="WDG1" s="27"/>
      <c r="WDH1" s="27"/>
      <c r="WDI1" s="27"/>
      <c r="WDJ1" s="27"/>
      <c r="WDK1" s="27"/>
      <c r="WDL1" s="27"/>
      <c r="WDM1" s="27"/>
      <c r="WDN1" s="27"/>
      <c r="WDO1" s="27"/>
      <c r="WDP1" s="27"/>
      <c r="WDQ1" s="27"/>
      <c r="WDR1" s="27"/>
      <c r="WDS1" s="27"/>
      <c r="WDT1" s="27"/>
      <c r="WDU1" s="27"/>
      <c r="WDV1" s="27"/>
      <c r="WDW1" s="27"/>
      <c r="WDX1" s="27"/>
      <c r="WDY1" s="27"/>
      <c r="WDZ1" s="27"/>
      <c r="WEA1" s="27"/>
      <c r="WEB1" s="27"/>
      <c r="WEC1" s="27"/>
      <c r="WED1" s="27"/>
      <c r="WEE1" s="27"/>
      <c r="WEF1" s="27"/>
      <c r="WEG1" s="27"/>
      <c r="WEH1" s="27"/>
      <c r="WEI1" s="27"/>
      <c r="WEJ1" s="27"/>
      <c r="WEK1" s="27"/>
      <c r="WEL1" s="27"/>
      <c r="WEM1" s="27"/>
      <c r="WEN1" s="27"/>
      <c r="WEO1" s="27"/>
      <c r="WEP1" s="27"/>
      <c r="WEQ1" s="27"/>
      <c r="WER1" s="27"/>
      <c r="WES1" s="27"/>
      <c r="WET1" s="27"/>
      <c r="WEU1" s="27"/>
      <c r="WEV1" s="27"/>
      <c r="WEW1" s="27"/>
      <c r="WEX1" s="27"/>
      <c r="WEY1" s="27"/>
      <c r="WEZ1" s="27"/>
      <c r="WFA1" s="27"/>
      <c r="WFB1" s="27"/>
      <c r="WFC1" s="27"/>
      <c r="WFD1" s="27"/>
      <c r="WFE1" s="27"/>
      <c r="WFF1" s="27"/>
      <c r="WFG1" s="27"/>
      <c r="WFH1" s="27"/>
      <c r="WFI1" s="27"/>
      <c r="WFJ1" s="27"/>
      <c r="WFK1" s="27"/>
      <c r="WFL1" s="27"/>
      <c r="WFM1" s="27"/>
      <c r="WFN1" s="27"/>
      <c r="WFO1" s="27"/>
      <c r="WFP1" s="27"/>
      <c r="WFQ1" s="27"/>
      <c r="WFR1" s="27"/>
      <c r="WFS1" s="27"/>
      <c r="WFT1" s="27"/>
      <c r="WFU1" s="27"/>
      <c r="WFV1" s="27"/>
      <c r="WFW1" s="27"/>
      <c r="WFX1" s="27"/>
      <c r="WFY1" s="27"/>
      <c r="WFZ1" s="27"/>
      <c r="WGA1" s="27"/>
      <c r="WGB1" s="27"/>
      <c r="WGC1" s="27"/>
      <c r="WGD1" s="27"/>
      <c r="WGE1" s="27"/>
      <c r="WGF1" s="27"/>
      <c r="WGG1" s="27"/>
      <c r="WGH1" s="27"/>
      <c r="WGI1" s="27"/>
      <c r="WGJ1" s="27"/>
      <c r="WGK1" s="27"/>
      <c r="WGL1" s="27"/>
      <c r="WGM1" s="27"/>
      <c r="WGN1" s="27"/>
      <c r="WGO1" s="27"/>
      <c r="WGP1" s="27"/>
      <c r="WGQ1" s="27"/>
      <c r="WGR1" s="27"/>
      <c r="WGS1" s="27"/>
      <c r="WGT1" s="27"/>
      <c r="WGU1" s="27"/>
      <c r="WGV1" s="27"/>
      <c r="WGW1" s="27"/>
      <c r="WGX1" s="27"/>
      <c r="WGY1" s="27"/>
      <c r="WGZ1" s="27"/>
      <c r="WHA1" s="27"/>
      <c r="WHB1" s="27"/>
      <c r="WHC1" s="27"/>
      <c r="WHD1" s="27"/>
      <c r="WHE1" s="27"/>
      <c r="WHF1" s="27"/>
      <c r="WHG1" s="27"/>
      <c r="WHH1" s="27"/>
      <c r="WHI1" s="27"/>
      <c r="WHJ1" s="27"/>
      <c r="WHK1" s="27"/>
      <c r="WHL1" s="27"/>
      <c r="WHM1" s="27"/>
      <c r="WHN1" s="27"/>
      <c r="WHO1" s="27"/>
      <c r="WHP1" s="27"/>
      <c r="WHQ1" s="27"/>
      <c r="WHR1" s="27"/>
      <c r="WHS1" s="27"/>
      <c r="WHT1" s="27"/>
      <c r="WHU1" s="27"/>
      <c r="WHV1" s="27"/>
      <c r="WHW1" s="27"/>
      <c r="WHX1" s="27"/>
      <c r="WHY1" s="27"/>
      <c r="WHZ1" s="27"/>
      <c r="WIA1" s="27"/>
      <c r="WIB1" s="27"/>
      <c r="WIC1" s="27"/>
      <c r="WID1" s="27"/>
      <c r="WIE1" s="27"/>
      <c r="WIF1" s="27"/>
      <c r="WIG1" s="27"/>
      <c r="WIH1" s="27"/>
      <c r="WII1" s="27"/>
      <c r="WIJ1" s="27"/>
      <c r="WIK1" s="27"/>
      <c r="WIL1" s="27"/>
      <c r="WIM1" s="27"/>
      <c r="WIN1" s="27"/>
      <c r="WIO1" s="27"/>
      <c r="WIP1" s="27"/>
      <c r="WIQ1" s="27"/>
      <c r="WIR1" s="27"/>
      <c r="WIS1" s="27"/>
      <c r="WIT1" s="27"/>
      <c r="WIU1" s="27"/>
      <c r="WIV1" s="27"/>
      <c r="WIW1" s="27"/>
      <c r="WIX1" s="27"/>
      <c r="WIY1" s="27"/>
      <c r="WIZ1" s="27"/>
      <c r="WJA1" s="27"/>
      <c r="WJB1" s="27"/>
      <c r="WJC1" s="27"/>
      <c r="WJD1" s="27"/>
      <c r="WJE1" s="27"/>
      <c r="WJF1" s="27"/>
      <c r="WJG1" s="27"/>
      <c r="WJH1" s="27"/>
      <c r="WJI1" s="27"/>
      <c r="WJJ1" s="27"/>
      <c r="WJK1" s="27"/>
      <c r="WJL1" s="27"/>
      <c r="WJM1" s="27"/>
      <c r="WJN1" s="27"/>
      <c r="WJO1" s="27"/>
      <c r="WJP1" s="27"/>
      <c r="WJQ1" s="27"/>
      <c r="WJR1" s="27"/>
      <c r="WJS1" s="27"/>
      <c r="WJT1" s="27"/>
      <c r="WJU1" s="27"/>
      <c r="WJV1" s="27"/>
      <c r="WJW1" s="27"/>
      <c r="WJX1" s="27"/>
      <c r="WJY1" s="27"/>
      <c r="WJZ1" s="27"/>
      <c r="WKA1" s="27"/>
      <c r="WKB1" s="27"/>
      <c r="WKC1" s="27"/>
      <c r="WKD1" s="27"/>
      <c r="WKE1" s="27"/>
      <c r="WKF1" s="27"/>
      <c r="WKG1" s="27"/>
      <c r="WKH1" s="27"/>
      <c r="WKI1" s="27"/>
      <c r="WKJ1" s="27"/>
      <c r="WKK1" s="27"/>
      <c r="WKL1" s="27"/>
      <c r="WKM1" s="27"/>
      <c r="WKN1" s="27"/>
      <c r="WKO1" s="27"/>
      <c r="WKP1" s="27"/>
      <c r="WKQ1" s="27"/>
      <c r="WKR1" s="27"/>
      <c r="WKS1" s="27"/>
      <c r="WKT1" s="27"/>
      <c r="WKU1" s="27"/>
      <c r="WKV1" s="27"/>
      <c r="WKW1" s="27"/>
      <c r="WKX1" s="27"/>
      <c r="WKY1" s="27"/>
      <c r="WKZ1" s="27"/>
      <c r="WLA1" s="27"/>
      <c r="WLB1" s="27"/>
      <c r="WLC1" s="27"/>
      <c r="WLD1" s="27"/>
      <c r="WLE1" s="27"/>
      <c r="WLF1" s="27"/>
      <c r="WLG1" s="27"/>
      <c r="WLH1" s="27"/>
      <c r="WLI1" s="27"/>
      <c r="WLJ1" s="27"/>
      <c r="WLK1" s="27"/>
      <c r="WLL1" s="27"/>
      <c r="WLM1" s="27"/>
      <c r="WLN1" s="27"/>
      <c r="WLO1" s="27"/>
      <c r="WLP1" s="27"/>
      <c r="WLQ1" s="27"/>
      <c r="WLR1" s="27"/>
      <c r="WLS1" s="27"/>
      <c r="WLT1" s="27"/>
      <c r="WLU1" s="27"/>
      <c r="WLV1" s="27"/>
      <c r="WLW1" s="27"/>
      <c r="WLX1" s="27"/>
      <c r="WLY1" s="27"/>
      <c r="WLZ1" s="27"/>
      <c r="WMA1" s="27"/>
      <c r="WMB1" s="27"/>
      <c r="WMC1" s="27"/>
      <c r="WMD1" s="27"/>
      <c r="WME1" s="27"/>
      <c r="WMF1" s="27"/>
      <c r="WMG1" s="27"/>
      <c r="WMH1" s="27"/>
      <c r="WMI1" s="27"/>
      <c r="WMJ1" s="27"/>
      <c r="WMK1" s="27"/>
      <c r="WML1" s="27"/>
      <c r="WMM1" s="27"/>
      <c r="WMN1" s="27"/>
      <c r="WMO1" s="27"/>
      <c r="WMP1" s="27"/>
      <c r="WMQ1" s="27"/>
      <c r="WMR1" s="27"/>
      <c r="WMS1" s="27"/>
      <c r="WMT1" s="27"/>
      <c r="WMU1" s="27"/>
      <c r="WMV1" s="27"/>
      <c r="WMW1" s="27"/>
      <c r="WMX1" s="27"/>
      <c r="WMY1" s="27"/>
      <c r="WMZ1" s="27"/>
      <c r="WNA1" s="27"/>
      <c r="WNB1" s="27"/>
      <c r="WNC1" s="27"/>
      <c r="WND1" s="27"/>
      <c r="WNE1" s="27"/>
      <c r="WNF1" s="27"/>
      <c r="WNG1" s="27"/>
      <c r="WNH1" s="27"/>
      <c r="WNI1" s="27"/>
      <c r="WNJ1" s="27"/>
      <c r="WNK1" s="27"/>
      <c r="WNL1" s="27"/>
      <c r="WNM1" s="27"/>
      <c r="WNN1" s="27"/>
      <c r="WNO1" s="27"/>
      <c r="WNP1" s="27"/>
      <c r="WNQ1" s="27"/>
      <c r="WNR1" s="27"/>
      <c r="WNS1" s="27"/>
      <c r="WNT1" s="27"/>
      <c r="WNU1" s="27"/>
      <c r="WNV1" s="27"/>
      <c r="WNW1" s="27"/>
      <c r="WNX1" s="27"/>
      <c r="WNY1" s="27"/>
      <c r="WNZ1" s="27"/>
      <c r="WOA1" s="27"/>
      <c r="WOB1" s="27"/>
      <c r="WOC1" s="27"/>
      <c r="WOD1" s="27"/>
      <c r="WOE1" s="27"/>
      <c r="WOF1" s="27"/>
      <c r="WOG1" s="27"/>
      <c r="WOH1" s="27"/>
      <c r="WOI1" s="27"/>
      <c r="WOJ1" s="27"/>
      <c r="WOK1" s="27"/>
      <c r="WOL1" s="27"/>
      <c r="WOM1" s="27"/>
      <c r="WON1" s="27"/>
      <c r="WOO1" s="27"/>
      <c r="WOP1" s="27"/>
      <c r="WOQ1" s="27"/>
      <c r="WOR1" s="27"/>
      <c r="WOS1" s="27"/>
      <c r="WOT1" s="27"/>
      <c r="WOU1" s="27"/>
      <c r="WOV1" s="27"/>
      <c r="WOW1" s="27"/>
      <c r="WOX1" s="27"/>
      <c r="WOY1" s="27"/>
      <c r="WOZ1" s="27"/>
      <c r="WPA1" s="27"/>
      <c r="WPB1" s="27"/>
      <c r="WPC1" s="27"/>
      <c r="WPD1" s="27"/>
      <c r="WPE1" s="27"/>
      <c r="WPF1" s="27"/>
      <c r="WPG1" s="27"/>
      <c r="WPH1" s="27"/>
      <c r="WPI1" s="27"/>
      <c r="WPJ1" s="27"/>
      <c r="WPK1" s="27"/>
      <c r="WPL1" s="27"/>
      <c r="WPM1" s="27"/>
      <c r="WPN1" s="27"/>
      <c r="WPO1" s="27"/>
      <c r="WPP1" s="27"/>
      <c r="WPQ1" s="27"/>
      <c r="WPR1" s="27"/>
      <c r="WPS1" s="27"/>
      <c r="WPT1" s="27"/>
      <c r="WPU1" s="27"/>
      <c r="WPV1" s="27"/>
      <c r="WPW1" s="27"/>
      <c r="WPX1" s="27"/>
      <c r="WPY1" s="27"/>
      <c r="WPZ1" s="27"/>
      <c r="WQA1" s="27"/>
      <c r="WQB1" s="27"/>
      <c r="WQC1" s="27"/>
      <c r="WQD1" s="27"/>
      <c r="WQE1" s="27"/>
      <c r="WQF1" s="27"/>
      <c r="WQG1" s="27"/>
      <c r="WQH1" s="27"/>
      <c r="WQI1" s="27"/>
      <c r="WQJ1" s="27"/>
      <c r="WQK1" s="27"/>
      <c r="WQL1" s="27"/>
      <c r="WQM1" s="27"/>
      <c r="WQN1" s="27"/>
      <c r="WQO1" s="27"/>
      <c r="WQP1" s="27"/>
      <c r="WQQ1" s="27"/>
      <c r="WQR1" s="27"/>
      <c r="WQS1" s="27"/>
      <c r="WQT1" s="27"/>
      <c r="WQU1" s="27"/>
      <c r="WQV1" s="27"/>
      <c r="WQW1" s="27"/>
      <c r="WQX1" s="27"/>
      <c r="WQY1" s="27"/>
      <c r="WQZ1" s="27"/>
      <c r="WRA1" s="27"/>
      <c r="WRB1" s="27"/>
      <c r="WRC1" s="27"/>
      <c r="WRD1" s="27"/>
      <c r="WRE1" s="27"/>
      <c r="WRF1" s="27"/>
      <c r="WRG1" s="27"/>
      <c r="WRH1" s="27"/>
      <c r="WRI1" s="27"/>
      <c r="WRJ1" s="27"/>
      <c r="WRK1" s="27"/>
      <c r="WRL1" s="27"/>
      <c r="WRM1" s="27"/>
      <c r="WRN1" s="27"/>
      <c r="WRO1" s="27"/>
      <c r="WRP1" s="27"/>
      <c r="WRQ1" s="27"/>
      <c r="WRR1" s="27"/>
      <c r="WRS1" s="27"/>
      <c r="WRT1" s="27"/>
      <c r="WRU1" s="27"/>
      <c r="WRV1" s="27"/>
      <c r="WRW1" s="27"/>
      <c r="WRX1" s="27"/>
      <c r="WRY1" s="27"/>
      <c r="WRZ1" s="27"/>
      <c r="WSA1" s="27"/>
      <c r="WSB1" s="27"/>
      <c r="WSC1" s="27"/>
      <c r="WSD1" s="27"/>
      <c r="WSE1" s="27"/>
      <c r="WSF1" s="27"/>
      <c r="WSG1" s="27"/>
      <c r="WSH1" s="27"/>
      <c r="WSI1" s="27"/>
      <c r="WSJ1" s="27"/>
      <c r="WSK1" s="27"/>
      <c r="WSL1" s="27"/>
      <c r="WSM1" s="27"/>
      <c r="WSN1" s="27"/>
      <c r="WSO1" s="27"/>
      <c r="WSP1" s="27"/>
      <c r="WSQ1" s="27"/>
      <c r="WSR1" s="27"/>
      <c r="WSS1" s="27"/>
      <c r="WST1" s="27"/>
      <c r="WSU1" s="27"/>
      <c r="WSV1" s="27"/>
      <c r="WSW1" s="27"/>
      <c r="WSX1" s="27"/>
      <c r="WSY1" s="27"/>
      <c r="WSZ1" s="27"/>
      <c r="WTA1" s="27"/>
      <c r="WTB1" s="27"/>
      <c r="WTC1" s="27"/>
      <c r="WTD1" s="27"/>
      <c r="WTE1" s="27"/>
      <c r="WTF1" s="27"/>
      <c r="WTG1" s="27"/>
      <c r="WTH1" s="27"/>
      <c r="WTI1" s="27"/>
      <c r="WTJ1" s="27"/>
      <c r="WTK1" s="27"/>
      <c r="WTL1" s="27"/>
      <c r="WTM1" s="27"/>
      <c r="WTN1" s="27"/>
      <c r="WTO1" s="27"/>
      <c r="WTP1" s="27"/>
      <c r="WTQ1" s="27"/>
      <c r="WTR1" s="27"/>
      <c r="WTS1" s="27"/>
      <c r="WTT1" s="27"/>
      <c r="WTU1" s="27"/>
      <c r="WTV1" s="27"/>
      <c r="WTW1" s="27"/>
      <c r="WTX1" s="27"/>
      <c r="WTY1" s="27"/>
      <c r="WTZ1" s="27"/>
      <c r="WUA1" s="27"/>
      <c r="WUB1" s="27"/>
      <c r="WUC1" s="27"/>
      <c r="WUD1" s="27"/>
      <c r="WUE1" s="27"/>
      <c r="WUF1" s="27"/>
      <c r="WUG1" s="27"/>
      <c r="WUH1" s="27"/>
      <c r="WUI1" s="27"/>
      <c r="WUJ1" s="27"/>
      <c r="WUK1" s="27"/>
      <c r="WUL1" s="27"/>
      <c r="WUM1" s="27"/>
      <c r="WUN1" s="27"/>
      <c r="WUO1" s="27"/>
      <c r="WUP1" s="27"/>
      <c r="WUQ1" s="27"/>
      <c r="WUR1" s="27"/>
      <c r="WUS1" s="27"/>
      <c r="WUT1" s="27"/>
      <c r="WUU1" s="27"/>
      <c r="WUV1" s="27"/>
      <c r="WUW1" s="27"/>
      <c r="WUX1" s="27"/>
      <c r="WUY1" s="27"/>
      <c r="WUZ1" s="27"/>
      <c r="WVA1" s="27"/>
      <c r="WVB1" s="27"/>
      <c r="WVC1" s="27"/>
      <c r="WVD1" s="27"/>
      <c r="WVE1" s="27"/>
      <c r="WVF1" s="27"/>
      <c r="WVG1" s="27"/>
      <c r="WVH1" s="27"/>
      <c r="WVI1" s="27"/>
      <c r="WVJ1" s="27"/>
      <c r="WVK1" s="27"/>
      <c r="WVL1" s="27"/>
      <c r="WVM1" s="27"/>
      <c r="WVN1" s="27"/>
      <c r="WVO1" s="27"/>
      <c r="WVP1" s="27"/>
      <c r="WVQ1" s="27"/>
      <c r="WVR1" s="27"/>
      <c r="WVS1" s="27"/>
      <c r="WVT1" s="27"/>
      <c r="WVU1" s="27"/>
      <c r="WVV1" s="27"/>
      <c r="WVW1" s="27"/>
      <c r="WVX1" s="27"/>
      <c r="WVY1" s="27"/>
      <c r="WVZ1" s="27"/>
      <c r="WWA1" s="27"/>
      <c r="WWB1" s="27"/>
      <c r="WWC1" s="27"/>
      <c r="WWD1" s="27"/>
      <c r="WWE1" s="27"/>
      <c r="WWF1" s="27"/>
      <c r="WWG1" s="27"/>
      <c r="WWH1" s="27"/>
      <c r="WWI1" s="27"/>
      <c r="WWJ1" s="27"/>
      <c r="WWK1" s="27"/>
      <c r="WWL1" s="27"/>
      <c r="WWM1" s="27"/>
      <c r="WWN1" s="27"/>
      <c r="WWO1" s="27"/>
      <c r="WWP1" s="27"/>
      <c r="WWQ1" s="27"/>
      <c r="WWR1" s="27"/>
      <c r="WWS1" s="27"/>
      <c r="WWT1" s="27"/>
      <c r="WWU1" s="27"/>
      <c r="WWV1" s="27"/>
      <c r="WWW1" s="27"/>
      <c r="WWX1" s="27"/>
      <c r="WWY1" s="27"/>
      <c r="WWZ1" s="27"/>
      <c r="WXA1" s="27"/>
      <c r="WXB1" s="27"/>
      <c r="WXC1" s="27"/>
      <c r="WXD1" s="27"/>
      <c r="WXE1" s="27"/>
      <c r="WXF1" s="27"/>
      <c r="WXG1" s="27"/>
      <c r="WXH1" s="27"/>
      <c r="WXI1" s="27"/>
      <c r="WXJ1" s="27"/>
      <c r="WXK1" s="27"/>
      <c r="WXL1" s="27"/>
      <c r="WXM1" s="27"/>
      <c r="WXN1" s="27"/>
      <c r="WXO1" s="27"/>
      <c r="WXP1" s="27"/>
      <c r="WXQ1" s="27"/>
      <c r="WXR1" s="27"/>
      <c r="WXS1" s="27"/>
      <c r="WXT1" s="27"/>
      <c r="WXU1" s="27"/>
      <c r="WXV1" s="27"/>
      <c r="WXW1" s="27"/>
      <c r="WXX1" s="27"/>
      <c r="WXY1" s="27"/>
      <c r="WXZ1" s="27"/>
      <c r="WYA1" s="27"/>
      <c r="WYB1" s="27"/>
      <c r="WYC1" s="27"/>
      <c r="WYD1" s="27"/>
      <c r="WYE1" s="27"/>
      <c r="WYF1" s="27"/>
      <c r="WYG1" s="27"/>
      <c r="WYH1" s="27"/>
      <c r="WYI1" s="27"/>
      <c r="WYJ1" s="27"/>
      <c r="WYK1" s="27"/>
      <c r="WYL1" s="27"/>
      <c r="WYM1" s="27"/>
      <c r="WYN1" s="27"/>
      <c r="WYO1" s="27"/>
      <c r="WYP1" s="27"/>
      <c r="WYQ1" s="27"/>
      <c r="WYR1" s="27"/>
      <c r="WYS1" s="27"/>
      <c r="WYT1" s="27"/>
      <c r="WYU1" s="27"/>
      <c r="WYV1" s="27"/>
      <c r="WYW1" s="27"/>
      <c r="WYX1" s="27"/>
      <c r="WYY1" s="27"/>
      <c r="WYZ1" s="27"/>
      <c r="WZA1" s="27"/>
      <c r="WZB1" s="27"/>
      <c r="WZC1" s="27"/>
      <c r="WZD1" s="27"/>
      <c r="WZE1" s="27"/>
      <c r="WZF1" s="27"/>
      <c r="WZG1" s="27"/>
      <c r="WZH1" s="27"/>
      <c r="WZI1" s="27"/>
      <c r="WZJ1" s="27"/>
      <c r="WZK1" s="27"/>
      <c r="WZL1" s="27"/>
      <c r="WZM1" s="27"/>
      <c r="WZN1" s="27"/>
      <c r="WZO1" s="27"/>
      <c r="WZP1" s="27"/>
      <c r="WZQ1" s="27"/>
      <c r="WZR1" s="27"/>
      <c r="WZS1" s="27"/>
      <c r="WZT1" s="27"/>
      <c r="WZU1" s="27"/>
      <c r="WZV1" s="27"/>
      <c r="WZW1" s="27"/>
      <c r="WZX1" s="27"/>
      <c r="WZY1" s="27"/>
      <c r="WZZ1" s="27"/>
      <c r="XAA1" s="27"/>
      <c r="XAB1" s="27"/>
      <c r="XAC1" s="27"/>
      <c r="XAD1" s="27"/>
      <c r="XAE1" s="27"/>
      <c r="XAF1" s="27"/>
      <c r="XAG1" s="27"/>
      <c r="XAH1" s="27"/>
      <c r="XAI1" s="27"/>
      <c r="XAJ1" s="27"/>
      <c r="XAK1" s="27"/>
      <c r="XAL1" s="27"/>
      <c r="XAM1" s="27"/>
      <c r="XAN1" s="27"/>
      <c r="XAO1" s="27"/>
      <c r="XAP1" s="27"/>
      <c r="XAQ1" s="27"/>
      <c r="XAR1" s="27"/>
      <c r="XAS1" s="27"/>
      <c r="XAT1" s="27"/>
      <c r="XAU1" s="27"/>
      <c r="XAV1" s="27"/>
      <c r="XAW1" s="27"/>
      <c r="XAX1" s="27"/>
      <c r="XAY1" s="27"/>
      <c r="XAZ1" s="27"/>
      <c r="XBA1" s="27"/>
      <c r="XBB1" s="27"/>
      <c r="XBC1" s="27"/>
      <c r="XBD1" s="27"/>
      <c r="XBE1" s="27"/>
      <c r="XBF1" s="27"/>
      <c r="XBG1" s="27"/>
      <c r="XBH1" s="27"/>
      <c r="XBI1" s="27"/>
      <c r="XBJ1" s="27"/>
      <c r="XBK1" s="27"/>
      <c r="XBL1" s="27"/>
      <c r="XBM1" s="27"/>
      <c r="XBN1" s="27"/>
      <c r="XBO1" s="27"/>
      <c r="XBP1" s="27"/>
      <c r="XBQ1" s="27"/>
      <c r="XBR1" s="27"/>
      <c r="XBS1" s="27"/>
      <c r="XBT1" s="27"/>
      <c r="XBU1" s="27"/>
      <c r="XBV1" s="27"/>
      <c r="XBW1" s="27"/>
      <c r="XBX1" s="27"/>
      <c r="XBY1" s="27"/>
      <c r="XBZ1" s="27"/>
      <c r="XCA1" s="27"/>
      <c r="XCB1" s="27"/>
      <c r="XCC1" s="27"/>
      <c r="XCD1" s="27"/>
      <c r="XCE1" s="27"/>
      <c r="XCF1" s="27"/>
      <c r="XCG1" s="27"/>
      <c r="XCH1" s="27"/>
      <c r="XCI1" s="27"/>
      <c r="XCJ1" s="27"/>
      <c r="XCK1" s="27"/>
      <c r="XCL1" s="27"/>
      <c r="XCM1" s="27"/>
      <c r="XCN1" s="27"/>
      <c r="XCO1" s="27"/>
      <c r="XCP1" s="27"/>
      <c r="XCQ1" s="27"/>
      <c r="XCR1" s="27"/>
      <c r="XCS1" s="27"/>
      <c r="XCT1" s="27"/>
      <c r="XCU1" s="27"/>
      <c r="XCV1" s="27"/>
      <c r="XCW1" s="27"/>
      <c r="XCX1" s="27"/>
      <c r="XCY1" s="27"/>
      <c r="XCZ1" s="27"/>
      <c r="XDA1" s="27"/>
      <c r="XDB1" s="27"/>
      <c r="XDC1" s="27"/>
      <c r="XDD1" s="27"/>
      <c r="XDE1" s="27"/>
      <c r="XDF1" s="27"/>
      <c r="XDG1" s="27"/>
      <c r="XDH1" s="27"/>
      <c r="XDI1" s="27"/>
      <c r="XDJ1" s="27"/>
      <c r="XDK1" s="27"/>
      <c r="XDL1" s="27"/>
      <c r="XDM1" s="27"/>
      <c r="XDN1" s="27"/>
      <c r="XDO1" s="27"/>
      <c r="XDP1" s="27"/>
      <c r="XDQ1" s="27"/>
      <c r="XDR1" s="27"/>
      <c r="XDS1" s="27"/>
      <c r="XDT1" s="27"/>
      <c r="XDU1" s="27"/>
      <c r="XDV1" s="27"/>
      <c r="XDW1" s="27"/>
      <c r="XDX1" s="27"/>
      <c r="XDY1" s="27"/>
      <c r="XDZ1" s="27"/>
      <c r="XEA1" s="27"/>
      <c r="XEB1" s="27"/>
      <c r="XEC1" s="27"/>
      <c r="XED1" s="27"/>
      <c r="XEE1" s="27"/>
      <c r="XEF1" s="27"/>
      <c r="XEG1" s="27"/>
      <c r="XEH1" s="27"/>
      <c r="XEI1" s="27"/>
      <c r="XEJ1" s="27"/>
      <c r="XEK1" s="27"/>
      <c r="XEL1" s="27"/>
      <c r="XEM1" s="27"/>
      <c r="XEN1" s="27"/>
      <c r="XEO1" s="27"/>
      <c r="XEP1" s="27"/>
      <c r="XEQ1" s="27"/>
      <c r="XER1" s="27"/>
      <c r="XES1" s="27"/>
      <c r="XET1" s="27"/>
      <c r="XEU1" s="27"/>
      <c r="XEV1" s="27"/>
      <c r="XEW1" s="27"/>
      <c r="XEX1" s="27"/>
      <c r="XEY1" s="27"/>
      <c r="XEZ1" s="27"/>
      <c r="XFA1" s="27"/>
      <c r="XFB1" s="27"/>
      <c r="XFC1" s="27"/>
    </row>
  </sheetData>
  <sheetProtection sheet="1" objects="1" scenarios="1"/>
  <dataConsolidate/>
  <conditionalFormatting sqref="F1:I1">
    <cfRule type="containsText" dxfId="100" priority="1" operator="containsText" text="Water">
      <formula>NOT(ISERROR(SEARCH("Water",F1)))</formula>
    </cfRule>
    <cfRule type="containsText" dxfId="99" priority="2" operator="containsText" text="Steel">
      <formula>NOT(ISERROR(SEARCH("Steel",F1)))</formula>
    </cfRule>
    <cfRule type="containsText" dxfId="98" priority="3" operator="containsText" text="Rock">
      <formula>NOT(ISERROR(SEARCH("Rock",F1)))</formula>
    </cfRule>
    <cfRule type="containsText" dxfId="97" priority="4" operator="containsText" text="Ice">
      <formula>NOT(ISERROR(SEARCH("Ice",F1)))</formula>
    </cfRule>
    <cfRule type="containsText" dxfId="96" priority="5" operator="containsText" text="Ground">
      <formula>NOT(ISERROR(SEARCH("Ground",F1)))</formula>
    </cfRule>
    <cfRule type="containsText" dxfId="95" priority="6" operator="containsText" text="Grass">
      <formula>NOT(ISERROR(SEARCH("Grass",F1)))</formula>
    </cfRule>
    <cfRule type="containsText" dxfId="94" priority="7" operator="containsText" text="Poison">
      <formula>NOT(ISERROR(SEARCH("Poison",F1)))</formula>
    </cfRule>
    <cfRule type="containsText" dxfId="93" priority="8" operator="containsText" text="Flying">
      <formula>NOT(ISERROR(SEARCH("Flying",F1)))</formula>
    </cfRule>
    <cfRule type="containsText" dxfId="92" priority="9" operator="containsText" text="Fighting">
      <formula>NOT(ISERROR(SEARCH("Fighting",F1)))</formula>
    </cfRule>
    <cfRule type="containsText" dxfId="91" priority="10" operator="containsText" text="Electric">
      <formula>NOT(ISERROR(SEARCH("Electric",F1)))</formula>
    </cfRule>
    <cfRule type="containsText" dxfId="90" priority="11" operator="containsText" text="Dragon">
      <formula>NOT(ISERROR(SEARCH("Dragon",F1)))</formula>
    </cfRule>
    <cfRule type="containsText" dxfId="89" priority="12" operator="containsText" text="Dark">
      <formula>NOT(ISERROR(SEARCH("Dark",F1)))</formula>
    </cfRule>
    <cfRule type="containsText" dxfId="88" priority="13" operator="containsText" text="Bug">
      <formula>NOT(ISERROR(SEARCH("Bug",F1)))</formula>
    </cfRule>
    <cfRule type="containsText" dxfId="87" priority="14" operator="containsText" text="Fire">
      <formula>NOT(ISERROR(SEARCH("Fire",F1)))</formula>
    </cfRule>
    <cfRule type="containsText" dxfId="86" priority="15" operator="containsText" text="Normal">
      <formula>NOT(ISERROR(SEARCH("Normal",F1)))</formula>
    </cfRule>
    <cfRule type="containsText" dxfId="85" priority="16" operator="containsText" text="Psychic">
      <formula>NOT(ISERROR(SEARCH("Psychic",F1)))</formula>
    </cfRule>
    <cfRule type="containsText" dxfId="84" priority="17" operator="containsText" text="Ghost">
      <formula>NOT(ISERROR(SEARCH("Ghost",F1)))</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Welcome to PokePP!</vt:lpstr>
      <vt:lpstr>Party Pkm</vt:lpstr>
      <vt:lpstr>Type Table</vt:lpstr>
      <vt:lpstr>Analysis</vt:lpstr>
      <vt:lpstr>Pokedex</vt:lpstr>
      <vt:lpstr>Movedex</vt:lpstr>
      <vt:lpstr>Hidden Type Chart</vt:lpstr>
      <vt:lpstr>Hidden Party Saves</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Kaylyn</dc:creator>
  <cp:lastModifiedBy>bajuwa</cp:lastModifiedBy>
  <dcterms:created xsi:type="dcterms:W3CDTF">2013-05-21T00:15:03Z</dcterms:created>
  <dcterms:modified xsi:type="dcterms:W3CDTF">2014-01-25T17:27:18Z</dcterms:modified>
</cp:coreProperties>
</file>