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always" codeName="ThisWorkbook" defaultThemeVersion="124226"/>
  <mc:AlternateContent xmlns:mc="http://schemas.openxmlformats.org/markup-compatibility/2006">
    <mc:Choice Requires="x15">
      <x15ac:absPath xmlns:x15ac="http://schemas.microsoft.com/office/spreadsheetml/2010/11/ac" url="C:\Users\bajuwa\Dropbox\Code\PokePP\Dev\"/>
    </mc:Choice>
  </mc:AlternateContent>
  <bookViews>
    <workbookView xWindow="7185" yWindow="315" windowWidth="8310" windowHeight="6210" tabRatio="839" activeTab="1"/>
  </bookViews>
  <sheets>
    <sheet name="Welcome to PokePP!" sheetId="19" r:id="rId1"/>
    <sheet name="Party Pkm" sheetId="1" r:id="rId2"/>
    <sheet name="Type Table" sheetId="5" r:id="rId3"/>
    <sheet name="Analysis" sheetId="10" r:id="rId4"/>
    <sheet name="Pokedex" sheetId="9" r:id="rId5"/>
    <sheet name="Movedex" sheetId="8" r:id="rId6"/>
    <sheet name="Abilitydex" sheetId="16" r:id="rId7"/>
    <sheet name="Itemdex" sheetId="15" r:id="rId8"/>
    <sheet name="PokemonAbilities" sheetId="17" r:id="rId9"/>
    <sheet name="Hidden Nature Chart" sheetId="14" r:id="rId10"/>
    <sheet name="Hidden Type Chart" sheetId="7" state="hidden" r:id="rId11"/>
    <sheet name="Hidden Party Saves" sheetId="12" r:id="rId12"/>
    <sheet name="Dev" sheetId="13" r:id="rId13"/>
  </sheets>
  <functionGroups builtInGroupCount="18"/>
  <definedNames>
    <definedName name="Natures">'Hidden Nature Chart'!$A$2:$F$26</definedName>
  </definedNames>
  <calcPr calcId="152511"/>
</workbook>
</file>

<file path=xl/calcChain.xml><?xml version="1.0" encoding="utf-8"?>
<calcChain xmlns="http://schemas.openxmlformats.org/spreadsheetml/2006/main">
  <c r="E11" i="19" l="1"/>
  <c r="E10" i="19"/>
  <c r="E9" i="19"/>
  <c r="E8" i="19"/>
  <c r="E7" i="19"/>
  <c r="F23" i="14" l="1"/>
  <c r="C23" i="14"/>
  <c r="F11" i="14"/>
  <c r="C11" i="14"/>
  <c r="U22" i="10"/>
  <c r="U21" i="10"/>
  <c r="P21" i="10"/>
  <c r="O21" i="10"/>
  <c r="M21" i="10"/>
  <c r="I21" i="10"/>
  <c r="U20" i="10"/>
  <c r="P20" i="10"/>
  <c r="O20" i="10"/>
  <c r="M20" i="10"/>
  <c r="I20" i="10"/>
  <c r="U19" i="10"/>
  <c r="P19" i="10"/>
  <c r="O19" i="10"/>
  <c r="M19" i="10"/>
  <c r="I19" i="10"/>
  <c r="U18" i="10"/>
  <c r="P18" i="10"/>
  <c r="O18" i="10"/>
  <c r="M18" i="10"/>
  <c r="I18" i="10"/>
  <c r="U17" i="10"/>
  <c r="P17" i="10"/>
  <c r="O17" i="10"/>
  <c r="M17" i="10"/>
  <c r="I17" i="10"/>
  <c r="U16" i="10"/>
  <c r="P16" i="10"/>
  <c r="O16" i="10"/>
  <c r="M16" i="10"/>
  <c r="I16" i="10"/>
  <c r="U15" i="10"/>
  <c r="P15" i="10"/>
  <c r="O15" i="10"/>
  <c r="M15" i="10"/>
  <c r="I15" i="10"/>
  <c r="U14" i="10"/>
  <c r="P14" i="10"/>
  <c r="O14" i="10"/>
  <c r="M14" i="10"/>
  <c r="I14" i="10"/>
  <c r="U13" i="10"/>
  <c r="P13" i="10"/>
  <c r="O13" i="10"/>
  <c r="M13" i="10"/>
  <c r="I13" i="10"/>
  <c r="U12" i="10"/>
  <c r="P12" i="10"/>
  <c r="O12" i="10"/>
  <c r="M12" i="10"/>
  <c r="I12" i="10"/>
  <c r="U11" i="10"/>
  <c r="P11" i="10"/>
  <c r="O11" i="10"/>
  <c r="M11" i="10"/>
  <c r="I11" i="10"/>
  <c r="U10" i="10"/>
  <c r="P10" i="10"/>
  <c r="O10" i="10"/>
  <c r="M10" i="10"/>
  <c r="I10" i="10"/>
  <c r="U9" i="10"/>
  <c r="P9" i="10"/>
  <c r="O9" i="10"/>
  <c r="M9" i="10"/>
  <c r="I9" i="10"/>
  <c r="P8" i="10"/>
  <c r="O8" i="10"/>
  <c r="U7" i="10"/>
  <c r="P7" i="10"/>
  <c r="O7" i="10"/>
  <c r="M7" i="10"/>
  <c r="I7" i="10"/>
  <c r="U6" i="10"/>
  <c r="P6" i="10"/>
  <c r="O6" i="10"/>
  <c r="M6" i="10"/>
  <c r="I6" i="10"/>
  <c r="U5" i="10"/>
  <c r="P5" i="10"/>
  <c r="O5" i="10"/>
  <c r="M5" i="10"/>
  <c r="I5" i="10"/>
  <c r="U4" i="10"/>
  <c r="P4" i="10"/>
  <c r="O4" i="10"/>
  <c r="M4" i="10"/>
  <c r="I4" i="10"/>
  <c r="T20" i="5"/>
  <c r="S20" i="5"/>
  <c r="R20" i="5"/>
  <c r="Q20" i="5"/>
  <c r="P20" i="5"/>
  <c r="O20" i="5"/>
  <c r="N20" i="5"/>
  <c r="M20" i="5"/>
  <c r="L20" i="5"/>
  <c r="K20" i="5"/>
  <c r="J20" i="5"/>
  <c r="I20" i="5"/>
  <c r="H20" i="5"/>
  <c r="G20" i="5"/>
  <c r="F20" i="5"/>
  <c r="E20" i="5"/>
  <c r="D20" i="5"/>
  <c r="C20" i="5"/>
  <c r="B20" i="5"/>
  <c r="A20" i="5"/>
  <c r="T19" i="5"/>
  <c r="S19" i="5"/>
  <c r="R19" i="5"/>
  <c r="Q19" i="5"/>
  <c r="P19" i="5"/>
  <c r="O19" i="5"/>
  <c r="N19" i="5"/>
  <c r="M19" i="5"/>
  <c r="L19" i="5"/>
  <c r="K19" i="5"/>
  <c r="J19" i="5"/>
  <c r="I19" i="5"/>
  <c r="H19" i="5"/>
  <c r="G19" i="5"/>
  <c r="F19" i="5"/>
  <c r="E19" i="5"/>
  <c r="D19" i="5"/>
  <c r="C19" i="5"/>
  <c r="B19" i="5"/>
  <c r="A19" i="5"/>
  <c r="T18" i="5"/>
  <c r="S18" i="5"/>
  <c r="R18" i="5"/>
  <c r="Q18" i="5"/>
  <c r="P18" i="5"/>
  <c r="O18" i="5"/>
  <c r="N18" i="5"/>
  <c r="M18" i="5"/>
  <c r="L18" i="5"/>
  <c r="K18" i="5"/>
  <c r="J18" i="5"/>
  <c r="I18" i="5"/>
  <c r="H18" i="5"/>
  <c r="G18" i="5"/>
  <c r="F18" i="5"/>
  <c r="E18" i="5"/>
  <c r="D18" i="5"/>
  <c r="C18" i="5"/>
  <c r="B18" i="5"/>
  <c r="A18" i="5"/>
  <c r="T17" i="5"/>
  <c r="S17" i="5"/>
  <c r="R17" i="5"/>
  <c r="Q17" i="5"/>
  <c r="P17" i="5"/>
  <c r="O17" i="5"/>
  <c r="N17" i="5"/>
  <c r="M17" i="5"/>
  <c r="L17" i="5"/>
  <c r="K17" i="5"/>
  <c r="J17" i="5"/>
  <c r="I17" i="5"/>
  <c r="H17" i="5"/>
  <c r="G17" i="5"/>
  <c r="F17" i="5"/>
  <c r="E17" i="5"/>
  <c r="D17" i="5"/>
  <c r="C17" i="5"/>
  <c r="B17" i="5"/>
  <c r="A17" i="5"/>
  <c r="T16" i="5"/>
  <c r="S16" i="5"/>
  <c r="R16" i="5"/>
  <c r="Q16" i="5"/>
  <c r="P16" i="5"/>
  <c r="O16" i="5"/>
  <c r="N16" i="5"/>
  <c r="M16" i="5"/>
  <c r="L16" i="5"/>
  <c r="K16" i="5"/>
  <c r="J16" i="5"/>
  <c r="I16" i="5"/>
  <c r="H16" i="5"/>
  <c r="G16" i="5"/>
  <c r="F16" i="5"/>
  <c r="E16" i="5"/>
  <c r="D16" i="5"/>
  <c r="C16" i="5"/>
  <c r="B16" i="5"/>
  <c r="A16" i="5"/>
  <c r="T15" i="5"/>
  <c r="S15" i="5"/>
  <c r="R15" i="5"/>
  <c r="Q15" i="5"/>
  <c r="P15" i="5"/>
  <c r="O15" i="5"/>
  <c r="N15" i="5"/>
  <c r="M15" i="5"/>
  <c r="L15" i="5"/>
  <c r="K15" i="5"/>
  <c r="J15" i="5"/>
  <c r="I15" i="5"/>
  <c r="H15" i="5"/>
  <c r="G15" i="5"/>
  <c r="F15" i="5"/>
  <c r="E15" i="5"/>
  <c r="D15" i="5"/>
  <c r="C15" i="5"/>
  <c r="B15" i="5"/>
  <c r="A15" i="5"/>
  <c r="T14" i="5"/>
  <c r="S14" i="5"/>
  <c r="R14" i="5"/>
  <c r="Q14" i="5"/>
  <c r="P14" i="5"/>
  <c r="O14" i="5"/>
  <c r="N14" i="5"/>
  <c r="M14" i="5"/>
  <c r="L14" i="5"/>
  <c r="K14" i="5"/>
  <c r="J14" i="5"/>
  <c r="I14" i="5"/>
  <c r="H14" i="5"/>
  <c r="G14" i="5"/>
  <c r="F14" i="5"/>
  <c r="E14" i="5"/>
  <c r="D14" i="5"/>
  <c r="C14" i="5"/>
  <c r="B14" i="5"/>
  <c r="A14" i="5"/>
  <c r="T13" i="5"/>
  <c r="S13" i="5"/>
  <c r="R13" i="5"/>
  <c r="Q13" i="5"/>
  <c r="P13" i="5"/>
  <c r="O13" i="5"/>
  <c r="N13" i="5"/>
  <c r="M13" i="5"/>
  <c r="L13" i="5"/>
  <c r="K13" i="5"/>
  <c r="J13" i="5"/>
  <c r="I13" i="5"/>
  <c r="H13" i="5"/>
  <c r="G13" i="5"/>
  <c r="F13" i="5"/>
  <c r="E13" i="5"/>
  <c r="D13" i="5"/>
  <c r="C13" i="5"/>
  <c r="B13" i="5"/>
  <c r="A13" i="5"/>
  <c r="T12" i="5"/>
  <c r="S12" i="5"/>
  <c r="R12" i="5"/>
  <c r="Q12" i="5"/>
  <c r="P12" i="5"/>
  <c r="O12" i="5"/>
  <c r="N12" i="5"/>
  <c r="M12" i="5"/>
  <c r="L12" i="5"/>
  <c r="K12" i="5"/>
  <c r="J12" i="5"/>
  <c r="I12" i="5"/>
  <c r="H12" i="5"/>
  <c r="G12" i="5"/>
  <c r="F12" i="5"/>
  <c r="E12" i="5"/>
  <c r="D12" i="5"/>
  <c r="C12" i="5"/>
  <c r="B12" i="5"/>
  <c r="A12" i="5"/>
  <c r="T11" i="5"/>
  <c r="S11" i="5"/>
  <c r="R11" i="5"/>
  <c r="Q11" i="5"/>
  <c r="P11" i="5"/>
  <c r="O11" i="5"/>
  <c r="N11" i="5"/>
  <c r="M11" i="5"/>
  <c r="L11" i="5"/>
  <c r="K11" i="5"/>
  <c r="J11" i="5"/>
  <c r="I11" i="5"/>
  <c r="H11" i="5"/>
  <c r="G11" i="5"/>
  <c r="F11" i="5"/>
  <c r="E11" i="5"/>
  <c r="D11" i="5"/>
  <c r="C11" i="5"/>
  <c r="B11" i="5"/>
  <c r="A11" i="5"/>
  <c r="T10" i="5"/>
  <c r="S10" i="5"/>
  <c r="R10" i="5"/>
  <c r="Q10" i="5"/>
  <c r="P10" i="5"/>
  <c r="O10" i="5"/>
  <c r="N10" i="5"/>
  <c r="M10" i="5"/>
  <c r="L10" i="5"/>
  <c r="K10" i="5"/>
  <c r="J10" i="5"/>
  <c r="I10" i="5"/>
  <c r="H10" i="5"/>
  <c r="G10" i="5"/>
  <c r="F10" i="5"/>
  <c r="E10" i="5"/>
  <c r="D10" i="5"/>
  <c r="C10" i="5"/>
  <c r="B10" i="5"/>
  <c r="A10" i="5"/>
  <c r="T9" i="5"/>
  <c r="S9" i="5"/>
  <c r="R9" i="5"/>
  <c r="Q9" i="5"/>
  <c r="P9" i="5"/>
  <c r="O9" i="5"/>
  <c r="N9" i="5"/>
  <c r="M9" i="5"/>
  <c r="L9" i="5"/>
  <c r="K9" i="5"/>
  <c r="J9" i="5"/>
  <c r="I9" i="5"/>
  <c r="H9" i="5"/>
  <c r="G9" i="5"/>
  <c r="F9" i="5"/>
  <c r="E9" i="5"/>
  <c r="D9" i="5"/>
  <c r="C9" i="5"/>
  <c r="B9" i="5"/>
  <c r="A9" i="5"/>
  <c r="T8" i="5"/>
  <c r="S8" i="5"/>
  <c r="R8" i="5"/>
  <c r="Q8" i="5"/>
  <c r="P8" i="5"/>
  <c r="O8" i="5"/>
  <c r="N8" i="5"/>
  <c r="M8" i="5"/>
  <c r="L8" i="5"/>
  <c r="K8" i="5"/>
  <c r="J8" i="5"/>
  <c r="I8" i="5"/>
  <c r="H8" i="5"/>
  <c r="G8" i="5"/>
  <c r="F8" i="5"/>
  <c r="E8" i="5"/>
  <c r="D8" i="5"/>
  <c r="C8" i="5"/>
  <c r="B8" i="5"/>
  <c r="A8" i="5"/>
  <c r="T7" i="5"/>
  <c r="S7" i="5"/>
  <c r="R7" i="5"/>
  <c r="Q7" i="5"/>
  <c r="P7" i="5"/>
  <c r="O7" i="5"/>
  <c r="N7" i="5"/>
  <c r="M7" i="5"/>
  <c r="L7" i="5"/>
  <c r="K7" i="5"/>
  <c r="J7" i="5"/>
  <c r="I7" i="5"/>
  <c r="H7" i="5"/>
  <c r="G7" i="5"/>
  <c r="F7" i="5"/>
  <c r="E7" i="5"/>
  <c r="D7" i="5"/>
  <c r="C7" i="5"/>
  <c r="A7" i="5"/>
  <c r="T6" i="5"/>
  <c r="S6" i="5"/>
  <c r="R6" i="5"/>
  <c r="Q6" i="5"/>
  <c r="P6" i="5"/>
  <c r="O6" i="5"/>
  <c r="N6" i="5"/>
  <c r="M6" i="5"/>
  <c r="L6" i="5"/>
  <c r="K6" i="5"/>
  <c r="J6" i="5"/>
  <c r="I6" i="5"/>
  <c r="H6" i="5"/>
  <c r="G6" i="5"/>
  <c r="F6" i="5"/>
  <c r="E6" i="5"/>
  <c r="D6" i="5"/>
  <c r="C6" i="5"/>
  <c r="B6" i="5"/>
  <c r="A6" i="5"/>
  <c r="T5" i="5"/>
  <c r="S5" i="5"/>
  <c r="R5" i="5"/>
  <c r="Q5" i="5"/>
  <c r="P5" i="5"/>
  <c r="O5" i="5"/>
  <c r="N5" i="5"/>
  <c r="M5" i="5"/>
  <c r="L5" i="5"/>
  <c r="K5" i="5"/>
  <c r="J5" i="5"/>
  <c r="I5" i="5"/>
  <c r="H5" i="5"/>
  <c r="G5" i="5"/>
  <c r="F5" i="5"/>
  <c r="E5" i="5"/>
  <c r="D5" i="5"/>
  <c r="C5" i="5"/>
  <c r="B5" i="5"/>
  <c r="A5" i="5"/>
  <c r="T4" i="5"/>
  <c r="S4" i="5"/>
  <c r="R4" i="5"/>
  <c r="Q4" i="5"/>
  <c r="P4" i="5"/>
  <c r="O4" i="5"/>
  <c r="N4" i="5"/>
  <c r="M4" i="5"/>
  <c r="L4" i="5"/>
  <c r="K4" i="5"/>
  <c r="J4" i="5"/>
  <c r="I4" i="5"/>
  <c r="H4" i="5"/>
  <c r="G4" i="5"/>
  <c r="F4" i="5"/>
  <c r="E4" i="5"/>
  <c r="D4" i="5"/>
  <c r="C4" i="5"/>
  <c r="B4" i="5"/>
  <c r="A4" i="5"/>
  <c r="T3" i="5"/>
  <c r="S3" i="5"/>
  <c r="R3" i="5"/>
  <c r="Q3" i="5"/>
  <c r="P3" i="5"/>
  <c r="O3" i="5"/>
  <c r="N3" i="5"/>
  <c r="M3" i="5"/>
  <c r="L3" i="5"/>
  <c r="K3" i="5"/>
  <c r="J3" i="5"/>
  <c r="I3" i="5"/>
  <c r="H3" i="5"/>
  <c r="G3" i="5"/>
  <c r="F3" i="5"/>
  <c r="E3" i="5"/>
  <c r="D3" i="5"/>
  <c r="C3" i="5"/>
  <c r="B3" i="5"/>
  <c r="A3" i="5"/>
  <c r="T2" i="5"/>
  <c r="S2" i="5"/>
  <c r="R2" i="5"/>
  <c r="Q2" i="5"/>
  <c r="P2" i="5"/>
  <c r="O2" i="5"/>
  <c r="N2" i="5"/>
  <c r="M2" i="5"/>
  <c r="L2" i="5"/>
  <c r="K2" i="5"/>
  <c r="J2" i="5"/>
  <c r="I2" i="5"/>
  <c r="H2" i="5"/>
  <c r="F2" i="5"/>
  <c r="E2" i="5"/>
  <c r="D2" i="5"/>
  <c r="C2" i="5"/>
  <c r="T1" i="5"/>
  <c r="S1" i="5"/>
  <c r="R1" i="5"/>
  <c r="Q1" i="5"/>
  <c r="P1" i="5"/>
  <c r="O1" i="5"/>
  <c r="N1" i="5"/>
  <c r="M1" i="5"/>
  <c r="L1" i="5"/>
  <c r="K1" i="5"/>
  <c r="J1" i="5"/>
  <c r="I1" i="5"/>
  <c r="H1" i="5"/>
  <c r="G1" i="5"/>
  <c r="F1" i="5"/>
  <c r="E1" i="5"/>
  <c r="D1" i="5"/>
  <c r="C1" i="5"/>
  <c r="H8" i="10" l="1"/>
  <c r="H6" i="10"/>
  <c r="H4" i="10"/>
  <c r="H21" i="10"/>
  <c r="H19" i="10"/>
  <c r="H17" i="10"/>
  <c r="H15" i="10"/>
  <c r="H13" i="10"/>
  <c r="H11" i="10"/>
  <c r="H9" i="10"/>
  <c r="H7" i="10"/>
  <c r="H22" i="10"/>
  <c r="H20" i="10"/>
  <c r="H18" i="10"/>
  <c r="H16" i="10"/>
  <c r="H14" i="10"/>
  <c r="H12" i="10"/>
  <c r="H10" i="10"/>
  <c r="H5" i="10"/>
  <c r="J7" i="10"/>
  <c r="J5" i="10"/>
  <c r="J4" i="10"/>
  <c r="J20" i="10"/>
  <c r="J18" i="10"/>
  <c r="J16" i="10"/>
  <c r="J14" i="10"/>
  <c r="J12" i="10"/>
  <c r="J10" i="10"/>
  <c r="J21" i="10"/>
  <c r="J19" i="10"/>
  <c r="J17" i="10"/>
  <c r="J15" i="10"/>
  <c r="J13" i="10"/>
  <c r="J11" i="10"/>
  <c r="J9" i="10"/>
  <c r="J8" i="10"/>
  <c r="J22" i="10"/>
  <c r="J6" i="10"/>
  <c r="W5" i="10"/>
  <c r="X5" i="10"/>
  <c r="S10" i="10"/>
  <c r="X19" i="10"/>
  <c r="W12" i="10"/>
  <c r="X11" i="10"/>
  <c r="W9" i="10"/>
  <c r="X12" i="10"/>
  <c r="R14" i="10"/>
  <c r="W19" i="10"/>
  <c r="R19" i="10"/>
  <c r="R5" i="10"/>
  <c r="W20" i="10"/>
  <c r="W10" i="10"/>
  <c r="W15" i="10"/>
  <c r="S17" i="10"/>
  <c r="X4" i="10"/>
  <c r="S11" i="10"/>
  <c r="X7" i="10"/>
  <c r="W7" i="10"/>
  <c r="S8" i="10"/>
  <c r="R10" i="10"/>
  <c r="S4" i="10"/>
  <c r="R13" i="10"/>
  <c r="R21" i="10"/>
  <c r="S14" i="10"/>
  <c r="R20" i="10"/>
  <c r="R11" i="10"/>
  <c r="S6" i="10"/>
  <c r="X8" i="10"/>
  <c r="W6" i="10"/>
  <c r="W21" i="10"/>
  <c r="X14" i="10"/>
  <c r="R7" i="10"/>
  <c r="S20" i="10"/>
  <c r="S16" i="10"/>
  <c r="S7" i="10"/>
  <c r="W17" i="10"/>
  <c r="R17" i="10"/>
  <c r="X6" i="10"/>
  <c r="W8" i="10"/>
  <c r="R9" i="10"/>
  <c r="S9" i="10"/>
  <c r="S21" i="10"/>
  <c r="R16" i="10"/>
  <c r="X18" i="10"/>
  <c r="S5" i="10"/>
  <c r="S19" i="10"/>
  <c r="R12" i="10"/>
  <c r="W14" i="10"/>
  <c r="S12" i="10"/>
  <c r="X17" i="10"/>
  <c r="R15" i="10"/>
  <c r="W18" i="10"/>
  <c r="R4" i="10"/>
  <c r="R6" i="10"/>
  <c r="X20" i="10"/>
  <c r="R18" i="10"/>
  <c r="S15" i="10"/>
  <c r="X13" i="10"/>
  <c r="X15" i="10"/>
  <c r="X10" i="10"/>
  <c r="S13" i="10"/>
  <c r="X16" i="10"/>
  <c r="W13" i="10"/>
  <c r="W11" i="10"/>
  <c r="X21" i="10"/>
  <c r="W16" i="10"/>
  <c r="S18" i="10"/>
  <c r="W4" i="10"/>
  <c r="X9" i="10"/>
  <c r="R8" i="10"/>
  <c r="V14" i="10" l="1"/>
  <c r="N14" i="10" s="1"/>
  <c r="V12" i="10"/>
  <c r="N12" i="10" s="1"/>
  <c r="T4" i="10"/>
  <c r="T9" i="10"/>
  <c r="T8" i="10"/>
  <c r="T14" i="10"/>
  <c r="T10" i="10"/>
  <c r="T11" i="10"/>
  <c r="T19" i="10"/>
  <c r="V9" i="10"/>
  <c r="N9" i="10" s="1"/>
  <c r="V4" i="10"/>
  <c r="N4" i="10" s="1"/>
  <c r="V20" i="10"/>
  <c r="N20" i="10" s="1"/>
  <c r="V21" i="10"/>
  <c r="N21" i="10" s="1"/>
  <c r="V11" i="10"/>
  <c r="N11" i="10" s="1"/>
  <c r="T21" i="10"/>
  <c r="T18" i="10"/>
  <c r="T15" i="10"/>
  <c r="T6" i="10"/>
  <c r="V19" i="10"/>
  <c r="N19" i="10" s="1"/>
  <c r="V15" i="10"/>
  <c r="N15" i="10" s="1"/>
  <c r="V16" i="10"/>
  <c r="N16" i="10" s="1"/>
  <c r="V8" i="10"/>
  <c r="N8" i="10" s="1"/>
  <c r="T12" i="10"/>
  <c r="T5" i="10"/>
  <c r="T7" i="10"/>
  <c r="T20" i="10"/>
  <c r="T17" i="10"/>
  <c r="V6" i="10"/>
  <c r="N6" i="10" s="1"/>
  <c r="V17" i="10"/>
  <c r="N17" i="10" s="1"/>
  <c r="V10" i="10"/>
  <c r="N10" i="10" s="1"/>
  <c r="V7" i="10"/>
  <c r="N7" i="10" s="1"/>
  <c r="V5" i="10"/>
  <c r="N5" i="10" s="1"/>
  <c r="V13" i="10"/>
  <c r="N13" i="10" s="1"/>
  <c r="V18" i="10"/>
  <c r="N18" i="10" s="1"/>
  <c r="T13" i="10"/>
  <c r="T16" i="10"/>
  <c r="N22" i="10" l="1"/>
</calcChain>
</file>

<file path=xl/sharedStrings.xml><?xml version="1.0" encoding="utf-8"?>
<sst xmlns="http://schemas.openxmlformats.org/spreadsheetml/2006/main" count="8446" uniqueCount="2582">
  <si>
    <t>Pokemon</t>
  </si>
  <si>
    <t>Moves</t>
  </si>
  <si>
    <t>Move Type</t>
  </si>
  <si>
    <t>Move Cat.</t>
  </si>
  <si>
    <t>Power</t>
  </si>
  <si>
    <t>Accuracy</t>
  </si>
  <si>
    <t>PP</t>
  </si>
  <si>
    <t>Psychic</t>
  </si>
  <si>
    <t>Ghost</t>
  </si>
  <si>
    <t>Poison</t>
  </si>
  <si>
    <t>Att\Def</t>
  </si>
  <si>
    <t>1/2</t>
  </si>
  <si>
    <t>Bug</t>
  </si>
  <si>
    <t>Dark</t>
  </si>
  <si>
    <t>Dragon</t>
  </si>
  <si>
    <t>Electric</t>
  </si>
  <si>
    <t>Fighting</t>
  </si>
  <si>
    <t>Fire</t>
  </si>
  <si>
    <t>Flying</t>
  </si>
  <si>
    <t>Grass</t>
  </si>
  <si>
    <t>Ground</t>
  </si>
  <si>
    <t>Ice</t>
  </si>
  <si>
    <t>Normal</t>
  </si>
  <si>
    <t>Rock</t>
  </si>
  <si>
    <t>Steel</t>
  </si>
  <si>
    <t>Water</t>
  </si>
  <si>
    <t>2</t>
  </si>
  <si>
    <t>0</t>
  </si>
  <si>
    <t>Att Rating</t>
  </si>
  <si>
    <t>Def Rating</t>
  </si>
  <si>
    <t>Offense:</t>
  </si>
  <si>
    <t>Super effective:</t>
  </si>
  <si>
    <t>Not very effective:</t>
  </si>
  <si>
    <t>Defense:</t>
  </si>
  <si>
    <t>Immune:</t>
  </si>
  <si>
    <t>Type</t>
  </si>
  <si>
    <t>For example, a pokemon with a psychic type move will be super effective against fighting, poison, and psychic types, so each will be incremented by 1 in the offensive list.</t>
  </si>
  <si>
    <t>Formatting Preferences:</t>
  </si>
  <si>
    <t>Super Effective:</t>
  </si>
  <si>
    <t>Not Very Effective:</t>
  </si>
  <si>
    <t>Ghost, Psychic</t>
  </si>
  <si>
    <t>Dark, Grass, Psychic</t>
  </si>
  <si>
    <t>Flying, Water</t>
  </si>
  <si>
    <t>Dragon, Electric, Grass</t>
  </si>
  <si>
    <t>Bug, Grass, Ice, Steel</t>
  </si>
  <si>
    <t>Dragon, Fire, Rock, Water</t>
  </si>
  <si>
    <t>Bug, Fighting, Grass</t>
  </si>
  <si>
    <t>Electric, Rock, Steel</t>
  </si>
  <si>
    <t>Dark, Steel</t>
  </si>
  <si>
    <t>Ground, Rock, Water</t>
  </si>
  <si>
    <t>Bug, Dragon, Fire, Flying, Grass, Poison</t>
  </si>
  <si>
    <t>Bug, Grass</t>
  </si>
  <si>
    <t>Dragon, Flying, Grass, Ground</t>
  </si>
  <si>
    <t>Fire, Ice, Steel, Water</t>
  </si>
  <si>
    <t>Rock, Steel</t>
  </si>
  <si>
    <t>Ghost, Ground, Poison, Rock</t>
  </si>
  <si>
    <t>Fighting, Poison</t>
  </si>
  <si>
    <t>Psychic, Steel</t>
  </si>
  <si>
    <t>Bug, Fire, Flying, Ice</t>
  </si>
  <si>
    <t>Fighting, Ground, Steel</t>
  </si>
  <si>
    <t>Electric, Fire, Steel, Water</t>
  </si>
  <si>
    <t>Fire, Ground, Rock</t>
  </si>
  <si>
    <t>Dragon, Grass, Water</t>
  </si>
  <si>
    <t>Note: Formatting can be changed via  "Conditional Formatting" settings, only text is updated dynamically using these preferences</t>
  </si>
  <si>
    <t>Formula Weightings: (change these values to affect how each type is rated)</t>
  </si>
  <si>
    <t>Att: Super</t>
  </si>
  <si>
    <t>Att: Not Very</t>
  </si>
  <si>
    <t>Att: Immune</t>
  </si>
  <si>
    <t>Def: Immune</t>
  </si>
  <si>
    <t>Fighting, Grass, Ground</t>
  </si>
  <si>
    <t>Fire, Flying, Rock</t>
  </si>
  <si>
    <t>Dark, Ghost</t>
  </si>
  <si>
    <t>Electric, Fire, Grass, Water</t>
  </si>
  <si>
    <t>Electric, Steel</t>
  </si>
  <si>
    <t>Bug, Dark, Fighting, Rock</t>
  </si>
  <si>
    <t>Electric, Ice, Rock</t>
  </si>
  <si>
    <t>Bug, Poison</t>
  </si>
  <si>
    <t>Fighting, Normal</t>
  </si>
  <si>
    <t>Electric, Grass, Ground, Water</t>
  </si>
  <si>
    <t>Bug, Fire, Flying, Ice, Poison</t>
  </si>
  <si>
    <t>Poison, Rock</t>
  </si>
  <si>
    <t>Grass, Ice, Water</t>
  </si>
  <si>
    <t>Fighting, Fire, Rock, Steel</t>
  </si>
  <si>
    <t>Ground, Psychic</t>
  </si>
  <si>
    <t>Fighting, Psychic</t>
  </si>
  <si>
    <t>Bug, Dark, Ghost</t>
  </si>
  <si>
    <t>Fire, Flying, Normal, Poison</t>
  </si>
  <si>
    <t>Fighting, Ground, Water</t>
  </si>
  <si>
    <t>Dark, Ice, Normal, Rock, Steel</t>
  </si>
  <si>
    <t>Fire, Fighting, Ground</t>
  </si>
  <si>
    <t>Electric, Grass, Ground</t>
  </si>
  <si>
    <t>--</t>
  </si>
  <si>
    <t>PokePP</t>
  </si>
  <si>
    <t>Appendix</t>
  </si>
  <si>
    <t>Line</t>
  </si>
  <si>
    <t>Content</t>
  </si>
  <si>
    <t>Setup</t>
  </si>
  <si>
    <t>Taking Your First Steps</t>
  </si>
  <si>
    <t>Interpretting the Data</t>
  </si>
  <si>
    <t>FAQ</t>
  </si>
  <si>
    <t>-</t>
  </si>
  <si>
    <t>Generation I</t>
  </si>
  <si>
    <t>Generation II</t>
  </si>
  <si>
    <t>Generation III</t>
  </si>
  <si>
    <t>Generation IV</t>
  </si>
  <si>
    <t>Generation V</t>
  </si>
  <si>
    <t>Generation</t>
  </si>
  <si>
    <t>Region</t>
  </si>
  <si>
    <t>Nat. Dex Range</t>
  </si>
  <si>
    <t>Games</t>
  </si>
  <si>
    <t>Johto</t>
  </si>
  <si>
    <t>The first thing you should do is generate the Pokedex you plan on using.  Doing so will load all the available pokemon into this workbook, as well as all the available moves and which pokemon are able to learn these moves.</t>
  </si>
  <si>
    <t>Note:</t>
  </si>
  <si>
    <t>Nat Dex</t>
  </si>
  <si>
    <t>Kanto</t>
  </si>
  <si>
    <t>Hoenn</t>
  </si>
  <si>
    <t>Sinnoh</t>
  </si>
  <si>
    <t>Unova</t>
  </si>
  <si>
    <t>Sprite</t>
  </si>
  <si>
    <t>DEV:PokemonTopRow</t>
  </si>
  <si>
    <t>Party</t>
  </si>
  <si>
    <t>Saved</t>
  </si>
  <si>
    <t>Move1</t>
  </si>
  <si>
    <t>Move2</t>
  </si>
  <si>
    <t>Move3</t>
  </si>
  <si>
    <t>Move4</t>
  </si>
  <si>
    <t>Order</t>
  </si>
  <si>
    <t>Electric, Fire, Poison, Rock, Steel</t>
  </si>
  <si>
    <t>Bulbasaur</t>
  </si>
  <si>
    <t>Charmander</t>
  </si>
  <si>
    <t>Squirtle</t>
  </si>
  <si>
    <t>Gengar</t>
  </si>
  <si>
    <t>Lapras</t>
  </si>
  <si>
    <t>Dragonite</t>
  </si>
  <si>
    <t>Earthquake</t>
  </si>
  <si>
    <t>Fire Punch</t>
  </si>
  <si>
    <t>Fly</t>
  </si>
  <si>
    <t>Glare</t>
  </si>
  <si>
    <t>Hydro Pump</t>
  </si>
  <si>
    <t>Ice Beam</t>
  </si>
  <si>
    <t>Leech Seed</t>
  </si>
  <si>
    <t>Rock Slide</t>
  </si>
  <si>
    <t>Surf</t>
  </si>
  <si>
    <t>Swords Dance</t>
  </si>
  <si>
    <t>Thunderbolt</t>
  </si>
  <si>
    <t>ThunderPunch</t>
  </si>
  <si>
    <t>Toxic</t>
  </si>
  <si>
    <t>Vine Whip</t>
  </si>
  <si>
    <t>HP</t>
  </si>
  <si>
    <t>ATT</t>
  </si>
  <si>
    <t>DEF</t>
  </si>
  <si>
    <t>SPEED</t>
  </si>
  <si>
    <t>TOTAL</t>
  </si>
  <si>
    <t>DEV:MovesetRange</t>
  </si>
  <si>
    <t>Def: Good Against</t>
  </si>
  <si>
    <t>Def: Weak to</t>
  </si>
  <si>
    <t>Your Party Has:</t>
  </si>
  <si>
    <t>n/a</t>
  </si>
  <si>
    <t>Weak Def.</t>
  </si>
  <si>
    <t>Weak Att.</t>
  </si>
  <si>
    <t>Overall</t>
  </si>
  <si>
    <t>Strong Att</t>
  </si>
  <si>
    <t>Strong Def</t>
  </si>
  <si>
    <t>Your Party Strength/Weakness Breakdown</t>
  </si>
  <si>
    <t>AncientPower</t>
  </si>
  <si>
    <t>Giga Drain</t>
  </si>
  <si>
    <t>Description</t>
  </si>
  <si>
    <t>Learn By</t>
  </si>
  <si>
    <t>These tables to the right show which types you are have advantages over in regards to offense and defensive types.</t>
  </si>
  <si>
    <t>A Ghost pokemon will gain a defensive boost from normal, fighting, bug and poison attacks, so each will be incremented by 1 in the 'Ghost' defensive column.</t>
  </si>
  <si>
    <t>Rating</t>
  </si>
  <si>
    <t># of Pokemon</t>
  </si>
  <si>
    <t>Once you've got things setup, now it's time to start planning your party!  Your first step is to pop on over to the 'Party Pokemon' sheet and add a new pokemon row by clicking "Add Pokemon" on the top right.  This will insert a set of specially formatted rows to help display pokemon information.</t>
  </si>
  <si>
    <t>Now that an empty row is waiting, go to the cell in the 'Pokemon' column and select which pokemon you want by either typing in the name, or selecting from the drop down that will appear after clicking on the cell.  Once you do so some information about that pokemon will automatically appear!</t>
  </si>
  <si>
    <t>If your pokemon row doesn't load an image, simply go up to the top right and press 'Load Sprite'!  This will hit the internet and grab you a picture of your new pokemon.</t>
  </si>
  <si>
    <t>Next are the moves.  To the right of your pokemon you'll see a lot of empty formatted rows that will soon hold this information.  First go to one of the 4 slots under the 'Moves' column and pick a move.  Each move listed is available to the pokemon you've chosen, so don't worry about picking a move your pokemon can't learn!</t>
  </si>
  <si>
    <t>After you go adding a bunch of pokemon, you may decide later that you no longer want one.  In that case, select one of the cells in that pokemons row, then press 'Remove Pokemon' in the top right.</t>
  </si>
  <si>
    <t>So now you have a party, you'll probably want to save it!                                           Again, there's a button at the top for this, but before that:  Name your party by changing the text in the center of the header bar, this is the name you'll use to save and reload the party!</t>
  </si>
  <si>
    <t>Now before  you go, you may want to know one more thing.  If you want to see the base stats for any of the pokemon in your party, hit the 'Toggle Stats' button to reveal those hidden columns!</t>
  </si>
  <si>
    <t>Learn more about PokePP</t>
  </si>
  <si>
    <t>Other than having a nice place to organize your plans, you also get something else from PokePP: an automated analysis of how your party will perform!  For now it's fairly basic, and more is explained on the 'Analysis' sheet where the results are listed, but I will go over a bit of an explanation of 'why' the analysis is so benefitial.</t>
  </si>
  <si>
    <t>Oh how wrong you are.  Well, how wrong I was actually.  It wasn't until I got to the Elite Four that I realized how much this guy on the right here could kick my party's butt.</t>
  </si>
  <si>
    <t>What I didn't notice is that my party on the left had a major weakness to both Ground and Dark.  Not just in their defensive types, but also because their attacks weren't that effective.  After running this party through PokePP's analysis I was able to see how low my party ranked against those two types.</t>
  </si>
  <si>
    <t>And looking at that analysis I was also able to see all the other holes in my defense.  The series of charts that pair with this one were able to break down where and how the holes were formed, better enabling me to make the party better.  Hopefully this will help you do the same!</t>
  </si>
  <si>
    <t>So we've got our party on the left, from the 5th generation games.  Looks pretty good, right?  You've got a tank or two, your sweepers, your tacticians, no pokemon of a single type, no horrendous holes….. Right?</t>
  </si>
  <si>
    <t>Want to know more about PokePP?  It's simple, just follow the PokePP blog at:</t>
  </si>
  <si>
    <t>http://pokepp.wikidot.com/</t>
  </si>
  <si>
    <t>Found a bug, or have a suggestion to make PokePP better?  Walk on over to:</t>
  </si>
  <si>
    <t>http://pokepp-feedback.wikidot.com/</t>
  </si>
  <si>
    <t>justcallmebaj@gmail.com</t>
  </si>
  <si>
    <t>Got something else to say, or a question for the FAQ?  Contact me at:</t>
  </si>
  <si>
    <t>Why is it called 'PokePP'?</t>
  </si>
  <si>
    <t>PokePP' stands for 'Pokemon Party Planner'.  Obviously the latter wasn't that original… Also I'm pretty lazy and needed to find something shorter to type!</t>
  </si>
  <si>
    <t>The one-stop Pokemon Party Planner for all your partying needs!</t>
  </si>
  <si>
    <t>Growth</t>
  </si>
  <si>
    <t>Please note that generating a Pokedex requires an internet connection and will override your previous pokedex information.  This will not delete any of your saved parties and can be changed at any time.</t>
  </si>
  <si>
    <t>Tackle</t>
  </si>
  <si>
    <t>Growl</t>
  </si>
  <si>
    <t>PoisonPowder</t>
  </si>
  <si>
    <t>Sleep Powder</t>
  </si>
  <si>
    <t>Take Down</t>
  </si>
  <si>
    <t>Razor Leaf</t>
  </si>
  <si>
    <t>Double-Edge</t>
  </si>
  <si>
    <t>Cut</t>
  </si>
  <si>
    <t>Strength</t>
  </si>
  <si>
    <t>Light Screen</t>
  </si>
  <si>
    <t>SolarBeam</t>
  </si>
  <si>
    <t>Double Team</t>
  </si>
  <si>
    <t>Rest</t>
  </si>
  <si>
    <t>Flash</t>
  </si>
  <si>
    <t>Substitute</t>
  </si>
  <si>
    <t>Amnesia</t>
  </si>
  <si>
    <t>Petal Dance</t>
  </si>
  <si>
    <t>Skull Bash</t>
  </si>
  <si>
    <t>Sludge</t>
  </si>
  <si>
    <t>Bind</t>
  </si>
  <si>
    <t>Ivysaur</t>
  </si>
  <si>
    <t>Venusaur</t>
  </si>
  <si>
    <t>Roar</t>
  </si>
  <si>
    <t>Hyper Beam</t>
  </si>
  <si>
    <t>Scratch</t>
  </si>
  <si>
    <t>Ember</t>
  </si>
  <si>
    <t>SmokeScreen</t>
  </si>
  <si>
    <t>Dragon Rage</t>
  </si>
  <si>
    <t>Slash</t>
  </si>
  <si>
    <t>Flamethrower</t>
  </si>
  <si>
    <t>Fire Spin</t>
  </si>
  <si>
    <t>Dig</t>
  </si>
  <si>
    <t>Fire Blast</t>
  </si>
  <si>
    <t>Bite</t>
  </si>
  <si>
    <t>Counter</t>
  </si>
  <si>
    <t>Charmeleon</t>
  </si>
  <si>
    <t>Charizard</t>
  </si>
  <si>
    <t>Wing Attack</t>
  </si>
  <si>
    <t>Tail Whip</t>
  </si>
  <si>
    <t>Bubble</t>
  </si>
  <si>
    <t>Withdraw</t>
  </si>
  <si>
    <t>Water Gun</t>
  </si>
  <si>
    <t>Waterfall</t>
  </si>
  <si>
    <t>Blizzard</t>
  </si>
  <si>
    <t>Haze</t>
  </si>
  <si>
    <t>Mist</t>
  </si>
  <si>
    <t>Ice Punch</t>
  </si>
  <si>
    <t>Wartortle</t>
  </si>
  <si>
    <t>Blastoise</t>
  </si>
  <si>
    <t>Caterpie</t>
  </si>
  <si>
    <t>String Shot</t>
  </si>
  <si>
    <t>Metapod</t>
  </si>
  <si>
    <t>Harden</t>
  </si>
  <si>
    <t>Butterfree</t>
  </si>
  <si>
    <t>Confusion</t>
  </si>
  <si>
    <t>Stun Spore</t>
  </si>
  <si>
    <t>Gust</t>
  </si>
  <si>
    <t>Supersonic</t>
  </si>
  <si>
    <t>Whirlwind</t>
  </si>
  <si>
    <t>Psybeam</t>
  </si>
  <si>
    <t>Dream Eater</t>
  </si>
  <si>
    <t>Weedle</t>
  </si>
  <si>
    <t>Poison Sting</t>
  </si>
  <si>
    <t>Kakuna</t>
  </si>
  <si>
    <t>Beedrill</t>
  </si>
  <si>
    <t>Fury Attack</t>
  </si>
  <si>
    <t>Focus Energy</t>
  </si>
  <si>
    <t>Twineedle</t>
  </si>
  <si>
    <t>Rage</t>
  </si>
  <si>
    <t>Pin Missile</t>
  </si>
  <si>
    <t>Agility</t>
  </si>
  <si>
    <t>Pidgey</t>
  </si>
  <si>
    <t>Sand-Attack</t>
  </si>
  <si>
    <t>Quick Attack</t>
  </si>
  <si>
    <t>Mirror Move</t>
  </si>
  <si>
    <t>Pidgeotto</t>
  </si>
  <si>
    <t>Pidgeot</t>
  </si>
  <si>
    <t>Sky Attack</t>
  </si>
  <si>
    <t>Rattata</t>
  </si>
  <si>
    <t>Hyper Fang</t>
  </si>
  <si>
    <t>Super Fang</t>
  </si>
  <si>
    <t>Thunder</t>
  </si>
  <si>
    <t>Thunder Wave</t>
  </si>
  <si>
    <t>Fury Swipes</t>
  </si>
  <si>
    <t>Screech</t>
  </si>
  <si>
    <t>Raticate</t>
  </si>
  <si>
    <t>Spearow</t>
  </si>
  <si>
    <t>Peck</t>
  </si>
  <si>
    <t>Leer</t>
  </si>
  <si>
    <t>Drill Peck</t>
  </si>
  <si>
    <t>Razor Wind</t>
  </si>
  <si>
    <t>Tri Attack</t>
  </si>
  <si>
    <t>Fearow</t>
  </si>
  <si>
    <t>Ekans</t>
  </si>
  <si>
    <t>Wrap</t>
  </si>
  <si>
    <t>Acid</t>
  </si>
  <si>
    <t>Disable</t>
  </si>
  <si>
    <t>Slam</t>
  </si>
  <si>
    <t>Arbok</t>
  </si>
  <si>
    <t>Pikachu</t>
  </si>
  <si>
    <t>ThunderShock</t>
  </si>
  <si>
    <t>Bide</t>
  </si>
  <si>
    <t>DoubleSlap</t>
  </si>
  <si>
    <t>Raichu</t>
  </si>
  <si>
    <t>Sandshrew</t>
  </si>
  <si>
    <t>Defense Curl</t>
  </si>
  <si>
    <t>Swift</t>
  </si>
  <si>
    <t>Sandslash</t>
  </si>
  <si>
    <t>Nidoran-f</t>
  </si>
  <si>
    <t>Double Kick</t>
  </si>
  <si>
    <t>Nidorina</t>
  </si>
  <si>
    <t>Nidoqueen</t>
  </si>
  <si>
    <t>Body Slam</t>
  </si>
  <si>
    <t>Nidoran-m</t>
  </si>
  <si>
    <t>Horn Attack</t>
  </si>
  <si>
    <t>Horn Drill</t>
  </si>
  <si>
    <t>Nidorino</t>
  </si>
  <si>
    <t>Nidoking</t>
  </si>
  <si>
    <t>Thrash</t>
  </si>
  <si>
    <t>Clefairy</t>
  </si>
  <si>
    <t>Pound</t>
  </si>
  <si>
    <t>Sing</t>
  </si>
  <si>
    <t>Minimize</t>
  </si>
  <si>
    <t>Metronome</t>
  </si>
  <si>
    <t>Reflect</t>
  </si>
  <si>
    <t>Mimic</t>
  </si>
  <si>
    <t>Splash</t>
  </si>
  <si>
    <t>Clefable</t>
  </si>
  <si>
    <t>Vulpix</t>
  </si>
  <si>
    <t>Confuse Ray</t>
  </si>
  <si>
    <t>Hypnosis</t>
  </si>
  <si>
    <t>Ninetales</t>
  </si>
  <si>
    <t>Jigglypuff</t>
  </si>
  <si>
    <t>Wigglytuff</t>
  </si>
  <si>
    <t>Zubat</t>
  </si>
  <si>
    <t>Leech Life</t>
  </si>
  <si>
    <t>Golbat</t>
  </si>
  <si>
    <t>Oddish</t>
  </si>
  <si>
    <t>Absorb</t>
  </si>
  <si>
    <t>Mega Drain</t>
  </si>
  <si>
    <t>Gloom</t>
  </si>
  <si>
    <t>Vileplume</t>
  </si>
  <si>
    <t>Paras</t>
  </si>
  <si>
    <t>Spore</t>
  </si>
  <si>
    <t>Parasect</t>
  </si>
  <si>
    <t>Venonat</t>
  </si>
  <si>
    <t>Venomoth</t>
  </si>
  <si>
    <t>Diglett</t>
  </si>
  <si>
    <t>Fissure</t>
  </si>
  <si>
    <t>Headbutt</t>
  </si>
  <si>
    <t>Dugtrio</t>
  </si>
  <si>
    <t>Meowth</t>
  </si>
  <si>
    <t>Pay Day</t>
  </si>
  <si>
    <t>Persian</t>
  </si>
  <si>
    <t>Psyduck</t>
  </si>
  <si>
    <t>Golduck</t>
  </si>
  <si>
    <t>Low Kick</t>
  </si>
  <si>
    <t>Mankey</t>
  </si>
  <si>
    <t>Karate Chop</t>
  </si>
  <si>
    <t>Seismic Toss</t>
  </si>
  <si>
    <t>Meditate</t>
  </si>
  <si>
    <t>Primeape</t>
  </si>
  <si>
    <t>Growlithe</t>
  </si>
  <si>
    <t>Arcanine</t>
  </si>
  <si>
    <t>Poliwag</t>
  </si>
  <si>
    <t>BubbleBeam</t>
  </si>
  <si>
    <t>Poliwhirl</t>
  </si>
  <si>
    <t>Poliwrath</t>
  </si>
  <si>
    <t>Submission</t>
  </si>
  <si>
    <t>Abra</t>
  </si>
  <si>
    <t>Teleport</t>
  </si>
  <si>
    <t>Barrier</t>
  </si>
  <si>
    <t>Kadabra</t>
  </si>
  <si>
    <t>Kinesis</t>
  </si>
  <si>
    <t>Recover</t>
  </si>
  <si>
    <t>Alakazam</t>
  </si>
  <si>
    <t>Machop</t>
  </si>
  <si>
    <t>Rolling Kick</t>
  </si>
  <si>
    <t>Machoke</t>
  </si>
  <si>
    <t>Machamp</t>
  </si>
  <si>
    <t>Bellsprout</t>
  </si>
  <si>
    <t>Weepinbell</t>
  </si>
  <si>
    <t>Victreebel</t>
  </si>
  <si>
    <t>Tentacool</t>
  </si>
  <si>
    <t>Constrict</t>
  </si>
  <si>
    <t>Aurora Beam</t>
  </si>
  <si>
    <t>Tentacruel</t>
  </si>
  <si>
    <t>Geodude</t>
  </si>
  <si>
    <t>Rock Throw</t>
  </si>
  <si>
    <t>Selfdestruct</t>
  </si>
  <si>
    <t>Explosion</t>
  </si>
  <si>
    <t>Mega Punch</t>
  </si>
  <si>
    <t>Graveler</t>
  </si>
  <si>
    <t>Golem</t>
  </si>
  <si>
    <t>Ponyta</t>
  </si>
  <si>
    <t>Stomp</t>
  </si>
  <si>
    <t>Rapidash</t>
  </si>
  <si>
    <t>Slowpoke</t>
  </si>
  <si>
    <t>Slowbro</t>
  </si>
  <si>
    <t>Magnemite</t>
  </si>
  <si>
    <t>SonicBoom</t>
  </si>
  <si>
    <t>Magneton</t>
  </si>
  <si>
    <t>Doduo</t>
  </si>
  <si>
    <t>Dodrio</t>
  </si>
  <si>
    <t>Seel</t>
  </si>
  <si>
    <t>Lick</t>
  </si>
  <si>
    <t>Dewgong</t>
  </si>
  <si>
    <t>Grimer</t>
  </si>
  <si>
    <t>Poison Gas</t>
  </si>
  <si>
    <t>Acid Armor</t>
  </si>
  <si>
    <t>Muk</t>
  </si>
  <si>
    <t>Shellder</t>
  </si>
  <si>
    <t>Clamp</t>
  </si>
  <si>
    <t>Cloyster</t>
  </si>
  <si>
    <t>Spike Cannon</t>
  </si>
  <si>
    <t>Gastly</t>
  </si>
  <si>
    <t>Night Shade</t>
  </si>
  <si>
    <t>Psywave</t>
  </si>
  <si>
    <t>Smog</t>
  </si>
  <si>
    <t>Haunter</t>
  </si>
  <si>
    <t>Onix</t>
  </si>
  <si>
    <t>Drowzee</t>
  </si>
  <si>
    <t>Hypno</t>
  </si>
  <si>
    <t>Krabby</t>
  </si>
  <si>
    <t>ViceGrip</t>
  </si>
  <si>
    <t>Guillotine</t>
  </si>
  <si>
    <t>Crabhammer</t>
  </si>
  <si>
    <t>Kingler</t>
  </si>
  <si>
    <t>Voltorb</t>
  </si>
  <si>
    <t>Electrode</t>
  </si>
  <si>
    <t>Exeggcute</t>
  </si>
  <si>
    <t>Barrage</t>
  </si>
  <si>
    <t>Exeggutor</t>
  </si>
  <si>
    <t>Egg Bomb</t>
  </si>
  <si>
    <t>Cubone</t>
  </si>
  <si>
    <t>Bone Club</t>
  </si>
  <si>
    <t>Bonemerang</t>
  </si>
  <si>
    <t>Marowak</t>
  </si>
  <si>
    <t>Hitmonlee</t>
  </si>
  <si>
    <t>Jump Kick</t>
  </si>
  <si>
    <t>Hi Jump Kick</t>
  </si>
  <si>
    <t>Mega Kick</t>
  </si>
  <si>
    <t>Hitmonchan</t>
  </si>
  <si>
    <t>Comet Punch</t>
  </si>
  <si>
    <t>Lickitung</t>
  </si>
  <si>
    <t>Koffing</t>
  </si>
  <si>
    <t>Weezing</t>
  </si>
  <si>
    <t>Rhyhorn</t>
  </si>
  <si>
    <t>Rhydon</t>
  </si>
  <si>
    <t>Chansey</t>
  </si>
  <si>
    <t>Softboiled</t>
  </si>
  <si>
    <t>Tangela</t>
  </si>
  <si>
    <t>Kangaskhan</t>
  </si>
  <si>
    <t>Dizzy Punch</t>
  </si>
  <si>
    <t>Horsea</t>
  </si>
  <si>
    <t>Seadra</t>
  </si>
  <si>
    <t>Goldeen</t>
  </si>
  <si>
    <t>Seaking</t>
  </si>
  <si>
    <t>Staryu</t>
  </si>
  <si>
    <t>Starmie</t>
  </si>
  <si>
    <t>Scyther</t>
  </si>
  <si>
    <t>Jynx</t>
  </si>
  <si>
    <t>Lovely Kiss</t>
  </si>
  <si>
    <t>Electabuzz</t>
  </si>
  <si>
    <t>Magmar</t>
  </si>
  <si>
    <t>Pinsir</t>
  </si>
  <si>
    <t>Tauros</t>
  </si>
  <si>
    <t>Magikarp</t>
  </si>
  <si>
    <t>Gyarados</t>
  </si>
  <si>
    <t>Ditto</t>
  </si>
  <si>
    <t>Transform</t>
  </si>
  <si>
    <t>Eevee</t>
  </si>
  <si>
    <t>Vaporeon</t>
  </si>
  <si>
    <t>Jolteon</t>
  </si>
  <si>
    <t>Flareon</t>
  </si>
  <si>
    <t>Porygon</t>
  </si>
  <si>
    <t>Sharpen</t>
  </si>
  <si>
    <t>Conversion</t>
  </si>
  <si>
    <t>Omanyte</t>
  </si>
  <si>
    <t>Omastar</t>
  </si>
  <si>
    <t>Kabuto</t>
  </si>
  <si>
    <t>Kabutops</t>
  </si>
  <si>
    <t>Aerodactyl</t>
  </si>
  <si>
    <t>Snorlax</t>
  </si>
  <si>
    <t>Articuno</t>
  </si>
  <si>
    <t>Zapdos</t>
  </si>
  <si>
    <t>Moltres</t>
  </si>
  <si>
    <t>Dratini</t>
  </si>
  <si>
    <t>Dragonair</t>
  </si>
  <si>
    <t>Mewtwo</t>
  </si>
  <si>
    <t>Mew</t>
  </si>
  <si>
    <t>Special</t>
  </si>
  <si>
    <t>User recovers half the HP inflicted on opponent.</t>
  </si>
  <si>
    <t>May lower opponent's Special Defense.</t>
  </si>
  <si>
    <t>Status</t>
  </si>
  <si>
    <t>Sharply raises user's Defense.</t>
  </si>
  <si>
    <t>Sharply raises user's Speed.</t>
  </si>
  <si>
    <t>Sharply raises user's Special Defense.</t>
  </si>
  <si>
    <t>May lower opponent's Attack.</t>
  </si>
  <si>
    <t>Physical</t>
  </si>
  <si>
    <t>Hits 2-5 times in one turn.</t>
  </si>
  <si>
    <t>User takes damage for two turns then strikes back double.</t>
  </si>
  <si>
    <t>Traps opponent, damaging them for 4-5 turns.</t>
  </si>
  <si>
    <t>May cause flinching.</t>
  </si>
  <si>
    <t>May freeze opponent.</t>
  </si>
  <si>
    <t>May paralyze opponent.</t>
  </si>
  <si>
    <t>Hits twice in one turn.</t>
  </si>
  <si>
    <t>May lower opponent's Speed.</t>
  </si>
  <si>
    <t>Confuses opponent.</t>
  </si>
  <si>
    <t>May confuse opponent.</t>
  </si>
  <si>
    <t>May lower opponent's Speed by one stage.</t>
  </si>
  <si>
    <t>Changes user's type to a type of one of its own moves.</t>
  </si>
  <si>
    <t>When hit by a Physical Attack, user strikes back with 2x power.</t>
  </si>
  <si>
    <t>High critical hit ratio.</t>
  </si>
  <si>
    <t>Raises user's Defense.</t>
  </si>
  <si>
    <t>Digs underground on first turn, attacks on second. Can also escape from caves.</t>
  </si>
  <si>
    <t>Opponent can't use its last attack for a few turns.</t>
  </si>
  <si>
    <t>Raises user's Evasiveness.</t>
  </si>
  <si>
    <t>User receives recoil damage.</t>
  </si>
  <si>
    <t>Always inflicts 40 HP.</t>
  </si>
  <si>
    <t>User recovers half the HP inflicted on a sleeping opponent.</t>
  </si>
  <si>
    <t>Power is doubled if opponent is underground from using Dig.</t>
  </si>
  <si>
    <t>May burn opponent.</t>
  </si>
  <si>
    <t>User faints.</t>
  </si>
  <si>
    <t>One-Hit-KO, if it hits.</t>
  </si>
  <si>
    <t>Lowers opponent's Accuracy.</t>
  </si>
  <si>
    <t>Flies up on first turn, attacks on second turn.</t>
  </si>
  <si>
    <t>Increases critical hit ratio.</t>
  </si>
  <si>
    <t>Paralyzes opponent.</t>
  </si>
  <si>
    <t>Lowers opponent's Attack.</t>
  </si>
  <si>
    <t>Raises user's Attack and Special Attack.</t>
  </si>
  <si>
    <t>Hits Pokémon using Fly/Bounce with double power.</t>
  </si>
  <si>
    <t>Resets all stat changes.</t>
  </si>
  <si>
    <t>If it misses, the user loses half their HP.</t>
  </si>
  <si>
    <t>User must recharge next turn.</t>
  </si>
  <si>
    <t>Put opponent to sleep, if it hits.</t>
  </si>
  <si>
    <t>User steals HP from opponent each turn.</t>
  </si>
  <si>
    <t>Lowers opponent's Defense.</t>
  </si>
  <si>
    <t>Halves damage from Special attacks for 5 turns.</t>
  </si>
  <si>
    <t>Puts the opponent to sleep, if it hits.</t>
  </si>
  <si>
    <t>The heavier the opponent, the stronger the attack.</t>
  </si>
  <si>
    <t>Raises user's Attack.</t>
  </si>
  <si>
    <t>User performs any move in the game at random.</t>
  </si>
  <si>
    <t>Copies the opponent's last move.</t>
  </si>
  <si>
    <t>Sharply raises user's Evasiveness.</t>
  </si>
  <si>
    <t>User performs the opponent's last move.</t>
  </si>
  <si>
    <t>User's stats cannot be changed for a period of time.</t>
  </si>
  <si>
    <t>Inflicts damage equal to user's level.</t>
  </si>
  <si>
    <t>A small amount of money is gained after the battle resolves.</t>
  </si>
  <si>
    <t>User attacks for 2-3 turns but then becomes confused.</t>
  </si>
  <si>
    <t>Poisons opponent.</t>
  </si>
  <si>
    <t>May poison the opponent.</t>
  </si>
  <si>
    <t>Inflicts damage 50-150% of user's level.</t>
  </si>
  <si>
    <t>User attacks first.</t>
  </si>
  <si>
    <t>Raises user's Attack when hit.</t>
  </si>
  <si>
    <t>Charges on first turn, attacks on second. High critical hit ratio.</t>
  </si>
  <si>
    <t>User recovers 50% of its max HP.</t>
  </si>
  <si>
    <t>Halves damage from Physical attacks for 5 turns.</t>
  </si>
  <si>
    <t>User sleeps for 2 turns, but user is fully healed.</t>
  </si>
  <si>
    <t>In battles, the opponent switches. In the wild, the Pokémon runs.</t>
  </si>
  <si>
    <t>Sharply lowers opponent's Defense.</t>
  </si>
  <si>
    <t>Raises Defense on first turn, attacks on second.</t>
  </si>
  <si>
    <t>Charges on first turn, attacks on second. May cause flinching.</t>
  </si>
  <si>
    <t>May poison opponent.</t>
  </si>
  <si>
    <t>Charges on first turn, attacks on second.</t>
  </si>
  <si>
    <t>Always inflicts 20 HP.</t>
  </si>
  <si>
    <t>Doesn't do ANYTHING.</t>
  </si>
  <si>
    <t>Puts the opponent to sleep.</t>
  </si>
  <si>
    <t>Lowers opponent's Speed.</t>
  </si>
  <si>
    <t>Struggle</t>
  </si>
  <si>
    <t>Only usable when all PP are gone. Hurts the user.</t>
  </si>
  <si>
    <t>Uses HP to creates a decoy that takes hits.</t>
  </si>
  <si>
    <t>Always takes off half of the opponent's HP.</t>
  </si>
  <si>
    <t>Ignores Accuracy and Evasiveness.</t>
  </si>
  <si>
    <t>Sharply raises user's Attack.</t>
  </si>
  <si>
    <t>Allows user to switch out. In the wild, the battle ends.</t>
  </si>
  <si>
    <t>Badly poisons opponent.</t>
  </si>
  <si>
    <t>User takes on the form and attacks of the opponent.</t>
  </si>
  <si>
    <t>May paralyze, burn or freeze opponent.</t>
  </si>
  <si>
    <t>Hits twice in one turn. May poison opponent.</t>
  </si>
  <si>
    <t>Curse</t>
  </si>
  <si>
    <t>Swagger</t>
  </si>
  <si>
    <t>Outrage</t>
  </si>
  <si>
    <t>Mirror Coat</t>
  </si>
  <si>
    <t>Crunch</t>
  </si>
  <si>
    <t># of Moves</t>
  </si>
  <si>
    <t>Party Rating</t>
  </si>
  <si>
    <t>Farfetch'd</t>
  </si>
  <si>
    <t>Mr. Mime</t>
  </si>
  <si>
    <t>Column1</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</si>
  <si>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</si>
  <si>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</si>
  <si>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</si>
  <si>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</si>
  <si>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</si>
  <si>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</si>
  <si>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</si>
  <si>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</si>
  <si>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</si>
  <si>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</si>
  <si>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</si>
  <si>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</si>
  <si>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</si>
  <si>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</si>
  <si>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</si>
  <si>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</si>
  <si>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</si>
  <si>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</si>
  <si>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</si>
  <si>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</si>
  <si>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</si>
  <si>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</si>
  <si>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</si>
  <si>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</si>
  <si>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</si>
  <si>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</si>
  <si>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</si>
  <si>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</si>
  <si>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</si>
  <si>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</si>
  <si>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</si>
  <si>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</si>
  <si>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</si>
  <si>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</si>
  <si>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</si>
  <si>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</si>
  <si>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</si>
  <si>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Natdex #</t>
  </si>
  <si>
    <t>Sprite Url</t>
  </si>
  <si>
    <t>Name</t>
  </si>
  <si>
    <t>Type One</t>
  </si>
  <si>
    <t>Type Two</t>
  </si>
  <si>
    <t>Attack</t>
  </si>
  <si>
    <t>Def</t>
  </si>
  <si>
    <t>Spatt</t>
  </si>
  <si>
    <t>Spdef</t>
  </si>
  <si>
    <t>Speed</t>
  </si>
  <si>
    <t>Total</t>
  </si>
  <si>
    <t>Moveset</t>
  </si>
  <si>
    <t>Column2</t>
  </si>
  <si>
    <t>Column3</t>
  </si>
  <si>
    <t>Column4</t>
  </si>
  <si>
    <t>Column5</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</si>
  <si>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</si>
  <si>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</si>
  <si>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</si>
  <si>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</si>
  <si>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</si>
  <si>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</si>
  <si>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</si>
  <si>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</si>
  <si>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</si>
  <si>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</si>
  <si>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</si>
  <si>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</si>
  <si>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</si>
  <si>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</si>
  <si>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</si>
  <si>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</si>
  <si>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</si>
  <si>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</si>
  <si>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</si>
  <si>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</si>
  <si>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</si>
  <si>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</si>
  <si>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</si>
  <si>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</si>
  <si>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</si>
  <si>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</si>
  <si>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</si>
  <si>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Category</t>
  </si>
  <si>
    <t>Column70</t>
  </si>
  <si>
    <t>Column71</t>
  </si>
  <si>
    <t>Column72</t>
  </si>
  <si>
    <t>Kalos</t>
  </si>
  <si>
    <t>Generation VI</t>
  </si>
  <si>
    <t>Fairy</t>
  </si>
  <si>
    <t>Dark, Dragon, Fighting</t>
  </si>
  <si>
    <t>Fire, Poison, Steel</t>
  </si>
  <si>
    <t>Bug, Dark, Fighting</t>
  </si>
  <si>
    <t>Poison, Steel</t>
  </si>
  <si>
    <t>Bug, Fairy,Fighting</t>
  </si>
  <si>
    <t>Dragon, Fairy, Ice</t>
  </si>
  <si>
    <t>Fairy, Flying, Psychic</t>
  </si>
  <si>
    <t>Bug, Fairy, Fire, Grass, Ice, Steel</t>
  </si>
  <si>
    <t>Bug, Fairy, Fighting, Poison</t>
  </si>
  <si>
    <t>Bug, Dark, Dragon, Fairy, Flying, Grass, Ice, Normal, Psychic, Rock, Steel</t>
  </si>
  <si>
    <t>Fairy, Fighting, Fire, Flying, Ghost, Poison, Steel</t>
  </si>
  <si>
    <t>Dark, Fairy, Fighting, Steel</t>
  </si>
  <si>
    <t>Bug, Fairy, Fighting, Flying, Poison, Psychic</t>
  </si>
  <si>
    <t>Fairy, Grass</t>
  </si>
  <si>
    <t>Fairy, Ice, Rock</t>
  </si>
  <si>
    <t>Dragon Dance</t>
  </si>
  <si>
    <t>Yawn</t>
  </si>
  <si>
    <t>Aqua Jet</t>
  </si>
  <si>
    <t>Column73</t>
  </si>
  <si>
    <t>Column74</t>
  </si>
  <si>
    <t>Weak Defense</t>
  </si>
  <si>
    <t>Weak Attack</t>
  </si>
  <si>
    <t>Strong Attack</t>
  </si>
  <si>
    <t>Strong Defense</t>
  </si>
  <si>
    <t>Following types have Weak Attack against coloured type</t>
  </si>
  <si>
    <t>Following types have Strong Defense against coloured type</t>
  </si>
  <si>
    <t>Following types have Strong Attack against coloured type</t>
  </si>
  <si>
    <t>Following types have Weak Defense against coloured type</t>
  </si>
  <si>
    <t>Game</t>
  </si>
  <si>
    <t>Leaf Storm</t>
  </si>
  <si>
    <t>Nature Power</t>
  </si>
  <si>
    <t>Flame Charge</t>
  </si>
  <si>
    <t>Focus Blast</t>
  </si>
  <si>
    <t>Muddy Water</t>
  </si>
  <si>
    <t>Dark Pulse</t>
  </si>
  <si>
    <t>Avalanche</t>
  </si>
  <si>
    <t>Chikorita</t>
  </si>
  <si>
    <t>Totodile</t>
  </si>
  <si>
    <t>Larvitar</t>
  </si>
  <si>
    <t>Mudkip</t>
  </si>
  <si>
    <t>Feebas</t>
  </si>
  <si>
    <t>Drifblim</t>
  </si>
  <si>
    <t>Gible</t>
  </si>
  <si>
    <t>Garchomp</t>
  </si>
  <si>
    <t>Weavile</t>
  </si>
  <si>
    <t>Magnezone</t>
  </si>
  <si>
    <t>Rotom</t>
  </si>
  <si>
    <t>Weakens the power of Fire-type moves.</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</si>
  <si>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</si>
  <si>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</si>
  <si>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</si>
  <si>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</si>
  <si>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</si>
  <si>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</si>
  <si>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</si>
  <si>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</si>
  <si>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</si>
  <si>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</si>
  <si>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</si>
  <si>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</si>
  <si>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</si>
  <si>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</si>
  <si>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</si>
  <si>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</si>
  <si>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</si>
  <si>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</si>
  <si>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</si>
  <si>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</si>
  <si>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</si>
  <si>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</si>
  <si>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</si>
  <si>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</si>
  <si>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</si>
  <si>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</si>
  <si>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</si>
  <si>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</si>
  <si>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</si>
  <si>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</si>
  <si>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</si>
  <si>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</si>
  <si>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</si>
  <si>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</si>
  <si>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</si>
  <si>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</si>
  <si>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</si>
  <si>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</si>
  <si>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</si>
  <si>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</si>
  <si>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</si>
  <si>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</si>
  <si>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</si>
  <si>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</si>
  <si>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</si>
  <si>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</si>
  <si>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</si>
  <si>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</si>
  <si>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</si>
  <si>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</si>
  <si>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</si>
  <si>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</si>
  <si>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</si>
  <si>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</si>
  <si>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</si>
  <si>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</si>
  <si>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</si>
  <si>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</si>
  <si>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</si>
  <si>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</si>
  <si>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</si>
  <si>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</si>
  <si>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</si>
  <si>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</si>
  <si>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</si>
  <si>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</si>
  <si>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</si>
  <si>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</si>
  <si>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</si>
  <si>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</si>
  <si>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</si>
  <si>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</si>
  <si>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</si>
  <si>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</si>
  <si>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</si>
  <si>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</si>
  <si>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</si>
  <si>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</si>
  <si>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</si>
  <si>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</si>
  <si>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</si>
  <si>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</si>
  <si>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</si>
  <si>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</si>
  <si>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</si>
  <si>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</si>
  <si>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</si>
  <si>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</si>
  <si>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</si>
  <si>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</si>
  <si>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</si>
  <si>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</si>
  <si>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</si>
  <si>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</si>
  <si>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</si>
  <si>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</si>
  <si>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</si>
  <si>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</si>
  <si>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</si>
  <si>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</si>
  <si>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</si>
  <si>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</si>
  <si>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</si>
  <si>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</si>
  <si>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</si>
  <si>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</si>
  <si>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</si>
  <si>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</si>
  <si>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</si>
  <si>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-Def</t>
  </si>
  <si>
    <t>-SpAtt</t>
  </si>
  <si>
    <t>-SpDef</t>
  </si>
  <si>
    <t>-Speed</t>
  </si>
  <si>
    <t>+Att</t>
  </si>
  <si>
    <t>+Def</t>
  </si>
  <si>
    <t>+SpAtt</t>
  </si>
  <si>
    <t>+SpDef</t>
  </si>
  <si>
    <t>+Speed</t>
  </si>
  <si>
    <t>Hardy</t>
  </si>
  <si>
    <t>Lonely</t>
  </si>
  <si>
    <t>Adamant</t>
  </si>
  <si>
    <t>Naughty</t>
  </si>
  <si>
    <t>Brave</t>
  </si>
  <si>
    <t>Bold</t>
  </si>
  <si>
    <t>Docile</t>
  </si>
  <si>
    <t>Impish</t>
  </si>
  <si>
    <t>Lax</t>
  </si>
  <si>
    <t>Relaxed</t>
  </si>
  <si>
    <t>Modest</t>
  </si>
  <si>
    <t>Mild</t>
  </si>
  <si>
    <t>Rash</t>
  </si>
  <si>
    <t>Bashful</t>
  </si>
  <si>
    <t>Quiet</t>
  </si>
  <si>
    <t>Calm</t>
  </si>
  <si>
    <t>Gentle</t>
  </si>
  <si>
    <t>Careful</t>
  </si>
  <si>
    <t>Quirky</t>
  </si>
  <si>
    <t>Sassy</t>
  </si>
  <si>
    <t>Timid</t>
  </si>
  <si>
    <t>Hasty</t>
  </si>
  <si>
    <t>Jolly</t>
  </si>
  <si>
    <t>Naïve</t>
  </si>
  <si>
    <t>Serious</t>
  </si>
  <si>
    <t>Att</t>
  </si>
  <si>
    <t>Types</t>
  </si>
  <si>
    <t>Modifiers</t>
  </si>
  <si>
    <t>Bold (+Def, -Att)</t>
  </si>
  <si>
    <t>Modest (+SpAtt, -Att)</t>
  </si>
  <si>
    <t>Timid (+Speed, -Att)</t>
  </si>
  <si>
    <t>Lonely (+Att, -Def)</t>
  </si>
  <si>
    <t>Mild (+SpAtt, -Def)</t>
  </si>
  <si>
    <t>Gentle (+SpDef, -Def)</t>
  </si>
  <si>
    <t>Hasty (+Speed, -Def)</t>
  </si>
  <si>
    <t>Adamant (+Att, -SpAtt)</t>
  </si>
  <si>
    <t>Impish (+Def, -SpAtt)</t>
  </si>
  <si>
    <t>Naughty (+Att, -SpDef)</t>
  </si>
  <si>
    <t>Lax (+Def, -SpDef)</t>
  </si>
  <si>
    <t>Rash (+SpAtt, -SpDef)</t>
  </si>
  <si>
    <t>Naïve (+Speed, -SpDef)</t>
  </si>
  <si>
    <t>Brave (+Att, -Speed)</t>
  </si>
  <si>
    <t>Quiet (+SpAtt, -Speed)</t>
  </si>
  <si>
    <t>Relaxed (+Def, -Speed)</t>
  </si>
  <si>
    <t>Sassy (+SpDef, -Speed)</t>
  </si>
  <si>
    <t>SPA</t>
  </si>
  <si>
    <t>SPD</t>
  </si>
  <si>
    <t>Jolly (+Speed, -SpAtt)</t>
  </si>
  <si>
    <t>Careful (+SpDef, -SpAtt)</t>
  </si>
  <si>
    <t>Calm (+SpDef, -Att)</t>
  </si>
  <si>
    <t>DEV:EvPointsRemaining</t>
  </si>
  <si>
    <t>Nature</t>
  </si>
  <si>
    <t>1</t>
  </si>
  <si>
    <t>IV HP</t>
  </si>
  <si>
    <t>IV ATT</t>
  </si>
  <si>
    <t>IV DEF</t>
  </si>
  <si>
    <t>IV SPATT</t>
  </si>
  <si>
    <t>IV SPDEF</t>
  </si>
  <si>
    <t>IV SPEED</t>
  </si>
  <si>
    <t>EV HP</t>
  </si>
  <si>
    <t>EV ATT</t>
  </si>
  <si>
    <t>EV DEF</t>
  </si>
  <si>
    <t>EV SPATT</t>
  </si>
  <si>
    <t>EV SPDEF</t>
  </si>
  <si>
    <t>EV SPEED</t>
  </si>
  <si>
    <t>31</t>
  </si>
  <si>
    <t>63</t>
  </si>
  <si>
    <t>Charizard=MegaY</t>
  </si>
  <si>
    <t>X/Y</t>
  </si>
  <si>
    <t>Solarbeam</t>
  </si>
  <si>
    <t>Starter Rotation</t>
  </si>
  <si>
    <t>Trophy Shinies</t>
  </si>
  <si>
    <t>Imperfect 5ivs</t>
  </si>
  <si>
    <t>Foreign</t>
  </si>
  <si>
    <t>Pokemon Notes</t>
  </si>
  <si>
    <t>Notes</t>
  </si>
  <si>
    <t>Blaze</t>
  </si>
  <si>
    <t>Torrent</t>
  </si>
  <si>
    <t>Keen Eye, Pokeball, Male, Currently a sneasel so let me know if you have a moveset in mind and I can train/evolve as necessary</t>
  </si>
  <si>
    <t>Sturdy, Pokeball, Male, Nicknameable</t>
  </si>
  <si>
    <t>Sand Veil, Ultraball, Male, Nicknameable</t>
  </si>
  <si>
    <t>Unburden, Female, Premium Ball</t>
  </si>
  <si>
    <t>Chlorophyll</t>
  </si>
  <si>
    <t>Torrent, Luxury Ball</t>
  </si>
  <si>
    <t>Overgrow</t>
  </si>
  <si>
    <t>Keen Eye, Japanese with English name</t>
  </si>
  <si>
    <t>Adaptability, Male, Spanish with English name</t>
  </si>
  <si>
    <t>Oblivious, Female, Japanese</t>
  </si>
  <si>
    <t>Guts, Female, Dusk Ball, Japanese</t>
  </si>
  <si>
    <t>Rough Skin</t>
  </si>
  <si>
    <t>Blaze (Drought)</t>
  </si>
  <si>
    <t>Leftovers</t>
  </si>
  <si>
    <t>Rocky Helmet</t>
  </si>
  <si>
    <t>Charizardite Y</t>
  </si>
  <si>
    <t>Item</t>
  </si>
  <si>
    <t>x5 (All -atk imperfect 5iv combinations)</t>
  </si>
  <si>
    <t>x2, HA, luxury ball, male</t>
  </si>
  <si>
    <t>HA, luxury ball, male</t>
  </si>
  <si>
    <t>Breedables</t>
  </si>
  <si>
    <t>Rare Females</t>
  </si>
  <si>
    <t>Blaze, Female, Pokeball</t>
  </si>
  <si>
    <t>Blaze, Female, Pokeball, Used in breeding</t>
  </si>
  <si>
    <t>x2, Torrent, Luxury Ball</t>
  </si>
  <si>
    <t>Perfect 5-6ivs</t>
  </si>
  <si>
    <t>Sand Veil, Female, Luxury Ball</t>
  </si>
  <si>
    <t>Levitate, Pokeball</t>
  </si>
  <si>
    <t>Battle Pokes</t>
  </si>
  <si>
    <t>Solar Power, Premier Ball, Male, Shiny</t>
  </si>
  <si>
    <t>Adaptability</t>
  </si>
  <si>
    <t>Powers up moves of the same type.</t>
  </si>
  <si>
    <t>Aftermath</t>
  </si>
  <si>
    <t>Damages the attacker landing the finishing hit.</t>
  </si>
  <si>
    <t>Air Lock</t>
  </si>
  <si>
    <t>Eliminates the effects of weather.</t>
  </si>
  <si>
    <t>Anger Point</t>
  </si>
  <si>
    <t>Maxes Attack after taking a critical hit.</t>
  </si>
  <si>
    <t>Anticipation</t>
  </si>
  <si>
    <t>Senses a foe's dangerous moves.</t>
  </si>
  <si>
    <t>Arena Trap</t>
  </si>
  <si>
    <t>Prevents the foe from fleeing.</t>
  </si>
  <si>
    <t>Bad Dreams</t>
  </si>
  <si>
    <t>Reduces a sleeping foe's HP.</t>
  </si>
  <si>
    <t>Battle Armor</t>
  </si>
  <si>
    <t>The Pokémon is protected against critical hits.</t>
  </si>
  <si>
    <t>Powers up Fire-type moves in a pinch.</t>
  </si>
  <si>
    <t>Boosts the Pokémon's Speed in sunshine.</t>
  </si>
  <si>
    <t>Clear Body</t>
  </si>
  <si>
    <t>Prevents other Pokémon from lowering its stats.</t>
  </si>
  <si>
    <t>Cloud Nine</t>
  </si>
  <si>
    <t>Color Change</t>
  </si>
  <si>
    <t>Changes the Pokémon's type to the foe's move.</t>
  </si>
  <si>
    <t>Compound Eyes</t>
  </si>
  <si>
    <t>The Pokémon's accuracy is boosted.</t>
  </si>
  <si>
    <t>Cute Charm</t>
  </si>
  <si>
    <t>Contact with the Pokémon may cause infatuation.</t>
  </si>
  <si>
    <t>Damp</t>
  </si>
  <si>
    <t>Prevents the use of self-destructing moves.</t>
  </si>
  <si>
    <t>Download</t>
  </si>
  <si>
    <t>Adjusts power according to a foe's defenses.</t>
  </si>
  <si>
    <t>Drizzle</t>
  </si>
  <si>
    <t>The Pokémon makes it rain if it appears in battle.</t>
  </si>
  <si>
    <t>Drought</t>
  </si>
  <si>
    <t>Turns the sunlight harsh if it is in battle.</t>
  </si>
  <si>
    <t>Dry Skin</t>
  </si>
  <si>
    <t>Reduces HP if it is hot. Water restores HP.</t>
  </si>
  <si>
    <t>Early Bird</t>
  </si>
  <si>
    <t>The Pokémon awakens quickly from sleep.</t>
  </si>
  <si>
    <t>Effect Spore</t>
  </si>
  <si>
    <t>Contact may poison or cause paralysis or sleep.</t>
  </si>
  <si>
    <t>Filter</t>
  </si>
  <si>
    <t>Reduces damage from supereffective attacks.</t>
  </si>
  <si>
    <t>Flame Body</t>
  </si>
  <si>
    <t>Contact with the Pokémon may burn the attacker.</t>
  </si>
  <si>
    <t>Flash Fire</t>
  </si>
  <si>
    <t>It powers up Fire-type moves if it's hit by one.</t>
  </si>
  <si>
    <t>Flower Gift</t>
  </si>
  <si>
    <t>Powers up party Pokémon when it is sunny.</t>
  </si>
  <si>
    <t>Forecast</t>
  </si>
  <si>
    <t>Castform transforms with the weather.</t>
  </si>
  <si>
    <t>Forewarn</t>
  </si>
  <si>
    <t>Determines what moves a foe has.</t>
  </si>
  <si>
    <t>Frisk</t>
  </si>
  <si>
    <t>The Pokémon can check a foe's held item.</t>
  </si>
  <si>
    <t>Gluttony</t>
  </si>
  <si>
    <t>Encourages the early use of a held Berry.</t>
  </si>
  <si>
    <t>Guts</t>
  </si>
  <si>
    <t>Boosts Attack if there is a status problem.</t>
  </si>
  <si>
    <t>Heatproof</t>
  </si>
  <si>
    <t>Honey Gather</t>
  </si>
  <si>
    <t>The Pokémon may gather Honey from somewhere.</t>
  </si>
  <si>
    <t>Huge Power</t>
  </si>
  <si>
    <t>Raises the Pokémon's Attack stat.</t>
  </si>
  <si>
    <t>Hustle</t>
  </si>
  <si>
    <t>Boosts the Attack stat, but lowers accuracy.</t>
  </si>
  <si>
    <t>Hydration</t>
  </si>
  <si>
    <t>Heals status problems if it is raining.</t>
  </si>
  <si>
    <t>Hyper Cutter</t>
  </si>
  <si>
    <t>Prevents other Pokémon from lowering Attack stat.</t>
  </si>
  <si>
    <t>Ice Body</t>
  </si>
  <si>
    <t>The Pokémon gradually regains HP in a hailstorm.</t>
  </si>
  <si>
    <t>Illuminate</t>
  </si>
  <si>
    <t>Raises the likelihood of meeting wild Pokémon.</t>
  </si>
  <si>
    <t>Immunity</t>
  </si>
  <si>
    <t>Prevents the Pokémon from getting poisoned.</t>
  </si>
  <si>
    <t>Inner Focus</t>
  </si>
  <si>
    <t>The Pokémon is protected from flinching.</t>
  </si>
  <si>
    <t>Insomnia</t>
  </si>
  <si>
    <t>Prevents the Pokémon from falling asleep.</t>
  </si>
  <si>
    <t>Intimidate</t>
  </si>
  <si>
    <t>Lowers the foe's Attack stat.</t>
  </si>
  <si>
    <t>Iron Fist</t>
  </si>
  <si>
    <t>Boosts the power of punching moves.</t>
  </si>
  <si>
    <t>Keen Eye</t>
  </si>
  <si>
    <t>Prevents other Pokémon from lowering accuracy.</t>
  </si>
  <si>
    <t>Klutz</t>
  </si>
  <si>
    <t>The Pokémon can't use any held items.</t>
  </si>
  <si>
    <t>Leaf Guard</t>
  </si>
  <si>
    <t>Prevents problems with status in sunny weather.</t>
  </si>
  <si>
    <t>Levitate</t>
  </si>
  <si>
    <t>Gives immunity to Ground type moves.</t>
  </si>
  <si>
    <t>Lightning Rod</t>
  </si>
  <si>
    <t>Draws in all Electric-type moves to up Sp. Attack.</t>
  </si>
  <si>
    <t>Limber</t>
  </si>
  <si>
    <t>The Pokémon is protected from paralysis.</t>
  </si>
  <si>
    <t>Liquid Ooze</t>
  </si>
  <si>
    <t>Damages attackers using any draining move.</t>
  </si>
  <si>
    <t>Magic Guard</t>
  </si>
  <si>
    <t>The Pokémon only takes damage from attacks.</t>
  </si>
  <si>
    <t>Magma Armor</t>
  </si>
  <si>
    <t>Prevents the Pokémon from becoming frozen.</t>
  </si>
  <si>
    <t>Magnet Pull</t>
  </si>
  <si>
    <t>Prevents Steel-type Pokémon from escaping.</t>
  </si>
  <si>
    <t>Marvel Scale</t>
  </si>
  <si>
    <t>Ups Defense if there is a status problem.</t>
  </si>
  <si>
    <t>Minus</t>
  </si>
  <si>
    <t>Ups Sp. Atk if another Pokémon has Plus or Minus.</t>
  </si>
  <si>
    <t>Mold Breaker</t>
  </si>
  <si>
    <t>Moves can be used regardless of Abilities.</t>
  </si>
  <si>
    <t>Motor Drive</t>
  </si>
  <si>
    <t>Raises Speed if hit by an Electric-type move.</t>
  </si>
  <si>
    <t>Multitype</t>
  </si>
  <si>
    <t>Changes type to match the held Plate.</t>
  </si>
  <si>
    <t>Natural Cure</t>
  </si>
  <si>
    <t>All status problems heal when it switches out.</t>
  </si>
  <si>
    <t>No Guard</t>
  </si>
  <si>
    <t>Ensures attacks by or against the Pokémon land.</t>
  </si>
  <si>
    <t>Normalize</t>
  </si>
  <si>
    <t>All the Pokémon's moves become the Normal type.</t>
  </si>
  <si>
    <t>Oblivious</t>
  </si>
  <si>
    <t>Prevents it from becoming infatuated.</t>
  </si>
  <si>
    <t>Powers up Grass-type moves in a pinch.</t>
  </si>
  <si>
    <t>Own Tempo</t>
  </si>
  <si>
    <t>Prevents the Pokémon from becoming confused.</t>
  </si>
  <si>
    <t>Pickup</t>
  </si>
  <si>
    <t>The Pokémon may pick up items.</t>
  </si>
  <si>
    <t>Plus</t>
  </si>
  <si>
    <t>Poison Heal</t>
  </si>
  <si>
    <t>Restores HP if the Pokémon is poisoned.</t>
  </si>
  <si>
    <t>Poison Point</t>
  </si>
  <si>
    <t>Contact with the Pokémon may poison the attacker.</t>
  </si>
  <si>
    <t>Pressure</t>
  </si>
  <si>
    <t>The Pokémon raises the foe's PP usage.</t>
  </si>
  <si>
    <t>Pure Power</t>
  </si>
  <si>
    <t>Quick Feet</t>
  </si>
  <si>
    <t>Boosts Speed if there is a status problem.</t>
  </si>
  <si>
    <t>Rain Dish</t>
  </si>
  <si>
    <t>The Pokémon gradually regains HP in rain.</t>
  </si>
  <si>
    <t>Reckless</t>
  </si>
  <si>
    <t>Powers up moves that have recoil damage.</t>
  </si>
  <si>
    <t>Rivalry</t>
  </si>
  <si>
    <t>Deals more damage to a Pokémon of same gender.</t>
  </si>
  <si>
    <t>Rock Head</t>
  </si>
  <si>
    <t>Protects the Pokémon from recoil damage.</t>
  </si>
  <si>
    <t>Inflicts damage to the attacker on contact.</t>
  </si>
  <si>
    <t>Run Away</t>
  </si>
  <si>
    <t>Enables a sure getaway from wild Pokémon.</t>
  </si>
  <si>
    <t>Sand Stream</t>
  </si>
  <si>
    <t>The Pokémon summons a sandstorm in battle.</t>
  </si>
  <si>
    <t>Sand Veil</t>
  </si>
  <si>
    <t>Boosts the Pokémon's evasion in a sandstorm.</t>
  </si>
  <si>
    <t>Scrappy</t>
  </si>
  <si>
    <t>Enables moves to hit Ghost-type Pokémon.</t>
  </si>
  <si>
    <t>Serene Grace</t>
  </si>
  <si>
    <t>Boosts the likelihood of added effects appearing.</t>
  </si>
  <si>
    <t>Shadow Tag</t>
  </si>
  <si>
    <t>Prevents the foe from escaping.</t>
  </si>
  <si>
    <t>Shed Skin</t>
  </si>
  <si>
    <t>The Pokémon may heal its own status problems.</t>
  </si>
  <si>
    <t>Shell Armor</t>
  </si>
  <si>
    <t>Shield Dust</t>
  </si>
  <si>
    <t>Blocks the added effects of attacks taken.</t>
  </si>
  <si>
    <t>Simple</t>
  </si>
  <si>
    <t>The Pokémon is prone to wild stat changes.</t>
  </si>
  <si>
    <t>Skill Link</t>
  </si>
  <si>
    <t>Increases the frequency of multi-strike moves.</t>
  </si>
  <si>
    <t>Slow Start</t>
  </si>
  <si>
    <t>Temporarily halves Attack and Speed.</t>
  </si>
  <si>
    <t>Sniper</t>
  </si>
  <si>
    <t>Powers up moves if they become critical hits.</t>
  </si>
  <si>
    <t>Snow Cloak</t>
  </si>
  <si>
    <t>Raises evasion in a hailstorm.</t>
  </si>
  <si>
    <t>Snow Warning</t>
  </si>
  <si>
    <t>The Pokémon summons a hailstorm in battle.</t>
  </si>
  <si>
    <t>Solar Power</t>
  </si>
  <si>
    <t>In sunshine, Sp. Atk is boosted but HP decreases.</t>
  </si>
  <si>
    <t>Solid Rock</t>
  </si>
  <si>
    <t>Soundproof</t>
  </si>
  <si>
    <t>Gives immunity to sound-based moves.</t>
  </si>
  <si>
    <t>Speed Boost</t>
  </si>
  <si>
    <t>Its Speed stat is gradually boosted.</t>
  </si>
  <si>
    <t>Stall</t>
  </si>
  <si>
    <t>The Pokémon moves after all other Pokémon do.</t>
  </si>
  <si>
    <t>Static</t>
  </si>
  <si>
    <t>Contact with the Pokémon may cause paralysis.</t>
  </si>
  <si>
    <t>Steadfast</t>
  </si>
  <si>
    <t>Raises Speed each time the Pokémon flinches.</t>
  </si>
  <si>
    <t>Stench</t>
  </si>
  <si>
    <t>The stench may cause the target to flinch.</t>
  </si>
  <si>
    <t>Sticky Hold</t>
  </si>
  <si>
    <t>Protects the Pokémon from item theft.</t>
  </si>
  <si>
    <t>Storm Drain</t>
  </si>
  <si>
    <t>Draws in all Water-type moves to up Sp. Attack.</t>
  </si>
  <si>
    <t>Sturdy</t>
  </si>
  <si>
    <t>It cannot be knocked out with one hit.</t>
  </si>
  <si>
    <t>Suction Cups</t>
  </si>
  <si>
    <t>Negates all moves that force switching out.</t>
  </si>
  <si>
    <t>Super Luck</t>
  </si>
  <si>
    <t>Heightens the critical-hit ratios of moves.</t>
  </si>
  <si>
    <t>Swarm</t>
  </si>
  <si>
    <t>Powers up Bug-type moves in a pinch.</t>
  </si>
  <si>
    <t>Swift Swim</t>
  </si>
  <si>
    <t>Boosts the Pokémon's Speed in rain.</t>
  </si>
  <si>
    <t>Synchronize</t>
  </si>
  <si>
    <t>Passes a burn, poison, or paralysis to the foe.</t>
  </si>
  <si>
    <t>Tangled Feet</t>
  </si>
  <si>
    <t>Raises evasion if the Pokémon is confused.</t>
  </si>
  <si>
    <t>Technician</t>
  </si>
  <si>
    <t>Powers up the Pokémon's weaker moves.</t>
  </si>
  <si>
    <t>Thick Fat</t>
  </si>
  <si>
    <t>Ups resistance to Fire- and Ice-type moves.</t>
  </si>
  <si>
    <t>Tinted Lens</t>
  </si>
  <si>
    <t>Powers up “not very effective” moves.</t>
  </si>
  <si>
    <t>Powers up Water-type moves in a pinch.</t>
  </si>
  <si>
    <t>Trace</t>
  </si>
  <si>
    <t>The Pokémon copies a foe's Ability.</t>
  </si>
  <si>
    <t>Truant</t>
  </si>
  <si>
    <t>Pokémon can't attack on consecutive turns.</t>
  </si>
  <si>
    <t>Unaware</t>
  </si>
  <si>
    <t>Ignores any stat changes in the Pokémon.</t>
  </si>
  <si>
    <t>Unburden</t>
  </si>
  <si>
    <t>Raises Speed if a held item is used.</t>
  </si>
  <si>
    <t>Vital Spirit</t>
  </si>
  <si>
    <t>Volt Absorb</t>
  </si>
  <si>
    <t>Restores HP if hit by an Electric-type move.</t>
  </si>
  <si>
    <t>Water Absorb</t>
  </si>
  <si>
    <t>Restores HP if hit by a Water-type move.</t>
  </si>
  <si>
    <t>Water Veil</t>
  </si>
  <si>
    <t>Prevents the Pokémon from getting a burn.</t>
  </si>
  <si>
    <t>White Smoke</t>
  </si>
  <si>
    <t>Wonder Guard</t>
  </si>
  <si>
    <t>Only supereffective moves will hit.</t>
  </si>
  <si>
    <t>Ability 1</t>
  </si>
  <si>
    <t>Ability 2</t>
  </si>
  <si>
    <t>End Of Ability List</t>
  </si>
  <si>
    <t>Ability 3</t>
  </si>
  <si>
    <t>Ability 4</t>
  </si>
  <si>
    <t>Ability 5</t>
  </si>
  <si>
    <t>Ability 6</t>
  </si>
  <si>
    <t>Sweet Scent</t>
  </si>
  <si>
    <t>Worry Seed</t>
  </si>
  <si>
    <t>Synthesis</t>
  </si>
  <si>
    <t>Seed Bomb</t>
  </si>
  <si>
    <t>Venoshock</t>
  </si>
  <si>
    <t>Hidden Power</t>
  </si>
  <si>
    <t>Sunny Day</t>
  </si>
  <si>
    <t>Protect</t>
  </si>
  <si>
    <t>Safeguard</t>
  </si>
  <si>
    <t>Frustration</t>
  </si>
  <si>
    <t>Return</t>
  </si>
  <si>
    <t>Sludge Bomb</t>
  </si>
  <si>
    <t>Facade</t>
  </si>
  <si>
    <t>Attract</t>
  </si>
  <si>
    <t>Round</t>
  </si>
  <si>
    <t>Echoed Voice</t>
  </si>
  <si>
    <t>Energy Ball</t>
  </si>
  <si>
    <t>Grass Knot</t>
  </si>
  <si>
    <t>Sleep Talk</t>
  </si>
  <si>
    <t>Rock Smash</t>
  </si>
  <si>
    <t>Confide</t>
  </si>
  <si>
    <t>Endure</t>
  </si>
  <si>
    <t>Charm</t>
  </si>
  <si>
    <t>Ingrain</t>
  </si>
  <si>
    <t>GrassWhistle</t>
  </si>
  <si>
    <t>Magical Leaf</t>
  </si>
  <si>
    <t>Power Whip</t>
  </si>
  <si>
    <t>Grassy Terrain</t>
  </si>
  <si>
    <t>Petal Blizzard</t>
  </si>
  <si>
    <t>Giga Impact</t>
  </si>
  <si>
    <t>Bulldoze</t>
  </si>
  <si>
    <t>Scary Face</t>
  </si>
  <si>
    <t>Fire Fang</t>
  </si>
  <si>
    <t>Flame Burst</t>
  </si>
  <si>
    <t>Inferno</t>
  </si>
  <si>
    <t>Hone Claws</t>
  </si>
  <si>
    <t>Dragon Claw</t>
  </si>
  <si>
    <t>Brick Break</t>
  </si>
  <si>
    <t>Rock Tomb</t>
  </si>
  <si>
    <t>Aerial Ace</t>
  </si>
  <si>
    <t>Overheat</t>
  </si>
  <si>
    <t>Fling</t>
  </si>
  <si>
    <t>Incinerate</t>
  </si>
  <si>
    <t>Will-O-Wisp</t>
  </si>
  <si>
    <t>Shadow Claw</t>
  </si>
  <si>
    <t>Power-Up Punch</t>
  </si>
  <si>
    <t>Belly Drum</t>
  </si>
  <si>
    <t>Metal Claw</t>
  </si>
  <si>
    <t>Beat Up</t>
  </si>
  <si>
    <t>Focus Punch</t>
  </si>
  <si>
    <t>Flare Blitz</t>
  </si>
  <si>
    <t>Dragon Pulse</t>
  </si>
  <si>
    <t>Dragon Rush</t>
  </si>
  <si>
    <t>Air Slash</t>
  </si>
  <si>
    <t>Heat Wave</t>
  </si>
  <si>
    <t>Roost</t>
  </si>
  <si>
    <t>Steel Wing</t>
  </si>
  <si>
    <t>Sky Drop</t>
  </si>
  <si>
    <t>Dragon Tail</t>
  </si>
  <si>
    <t>Rapid Spin</t>
  </si>
  <si>
    <t>Water Pulse</t>
  </si>
  <si>
    <t>Aqua Tail</t>
  </si>
  <si>
    <t>Iron Defense</t>
  </si>
  <si>
    <t>Rain Dance</t>
  </si>
  <si>
    <t>Dive</t>
  </si>
  <si>
    <t>Hail</t>
  </si>
  <si>
    <t>Scald</t>
  </si>
  <si>
    <t>Gyro Ball</t>
  </si>
  <si>
    <t>Flail</t>
  </si>
  <si>
    <t>Foresight</t>
  </si>
  <si>
    <t>Fake Out</t>
  </si>
  <si>
    <t>Refresh</t>
  </si>
  <si>
    <t>Mud Sport</t>
  </si>
  <si>
    <t>Water Spout</t>
  </si>
  <si>
    <t>Brine</t>
  </si>
  <si>
    <t>Aqua Ring</t>
  </si>
  <si>
    <t>Aura Sphere</t>
  </si>
  <si>
    <t>Flash Cannon</t>
  </si>
  <si>
    <t>Smack Down</t>
  </si>
  <si>
    <t>Bug Bite</t>
  </si>
  <si>
    <t>Silver Wind</t>
  </si>
  <si>
    <t>Tailwind</t>
  </si>
  <si>
    <t>Rage Powder</t>
  </si>
  <si>
    <t>Captivate</t>
  </si>
  <si>
    <t>Bug Buzz</t>
  </si>
  <si>
    <t>Quiver Dance</t>
  </si>
  <si>
    <t>Shadow Ball</t>
  </si>
  <si>
    <t>Thief</t>
  </si>
  <si>
    <t>Acrobatics</t>
  </si>
  <si>
    <t>Struggle Bug</t>
  </si>
  <si>
    <t>Psych Up</t>
  </si>
  <si>
    <t>Infestation</t>
  </si>
  <si>
    <t>U-turn</t>
  </si>
  <si>
    <t>Pursuit</t>
  </si>
  <si>
    <t>Toxic Spikes</t>
  </si>
  <si>
    <t>Assurance</t>
  </si>
  <si>
    <t>Poison Jab</t>
  </si>
  <si>
    <t>Endeavor</t>
  </si>
  <si>
    <t>Fell Stinger</t>
  </si>
  <si>
    <t>False Swipe</t>
  </si>
  <si>
    <t>Payback</t>
  </si>
  <si>
    <t>X-Scissor</t>
  </si>
  <si>
    <t>Twister</t>
  </si>
  <si>
    <t>FeatherDance</t>
  </si>
  <si>
    <t>Hurricane</t>
  </si>
  <si>
    <t>Faint Attack</t>
  </si>
  <si>
    <t>Uproar</t>
  </si>
  <si>
    <t>Air Cutter</t>
  </si>
  <si>
    <t>Brave Bird</t>
  </si>
  <si>
    <t>Defog</t>
  </si>
  <si>
    <t>Sucker Punch</t>
  </si>
  <si>
    <t>Taunt</t>
  </si>
  <si>
    <t>Charge Beam</t>
  </si>
  <si>
    <t>Retaliate</t>
  </si>
  <si>
    <t>Wild Charge</t>
  </si>
  <si>
    <t>Flame Wheel</t>
  </si>
  <si>
    <t>Reversal</t>
  </si>
  <si>
    <t>Revenge</t>
  </si>
  <si>
    <t>Me First</t>
  </si>
  <si>
    <t>Last Resort</t>
  </si>
  <si>
    <t>Final Gambit</t>
  </si>
  <si>
    <t>Astonish</t>
  </si>
  <si>
    <t>Pluck</t>
  </si>
  <si>
    <t>Drill Run</t>
  </si>
  <si>
    <t>Stockpile</t>
  </si>
  <si>
    <t>Spit Up</t>
  </si>
  <si>
    <t>Swallow</t>
  </si>
  <si>
    <t>Acid Spray</t>
  </si>
  <si>
    <t>Mud Bomb</t>
  </si>
  <si>
    <t>Gastro Acid</t>
  </si>
  <si>
    <t>Belch</t>
  </si>
  <si>
    <t>Coil</t>
  </si>
  <si>
    <t>Gunk Shot</t>
  </si>
  <si>
    <t>Sludge Wave</t>
  </si>
  <si>
    <t>Torment</t>
  </si>
  <si>
    <t>Spite</t>
  </si>
  <si>
    <t>Iron Tail</t>
  </si>
  <si>
    <t>Snatch</t>
  </si>
  <si>
    <t>Poison Fang</t>
  </si>
  <si>
    <t>Poison Tail</t>
  </si>
  <si>
    <t>Switcheroo</t>
  </si>
  <si>
    <t>Thunder Fang</t>
  </si>
  <si>
    <t>Ice Fang</t>
  </si>
  <si>
    <t>Play Nice</t>
  </si>
  <si>
    <t>Electro Ball</t>
  </si>
  <si>
    <t>Nuzzle</t>
  </si>
  <si>
    <t>Feint</t>
  </si>
  <si>
    <t>Discharge</t>
  </si>
  <si>
    <t>Volt Switch</t>
  </si>
  <si>
    <t>Present</t>
  </si>
  <si>
    <t>Encore</t>
  </si>
  <si>
    <t>Charge</t>
  </si>
  <si>
    <t>Wish</t>
  </si>
  <si>
    <t>Tickle</t>
  </si>
  <si>
    <t>Volt Tackle</t>
  </si>
  <si>
    <t>Lucky Chant</t>
  </si>
  <si>
    <t>Bestow</t>
  </si>
  <si>
    <t>Disarming Voice</t>
  </si>
  <si>
    <t>Sweet Kiss</t>
  </si>
  <si>
    <t>Nasty Plot</t>
  </si>
  <si>
    <t>Rollout</t>
  </si>
  <si>
    <t>Fury Cutter</t>
  </si>
  <si>
    <t>Magnitude</t>
  </si>
  <si>
    <t>Sand Tomb</t>
  </si>
  <si>
    <t>Sandstorm</t>
  </si>
  <si>
    <t>Crush Claw</t>
  </si>
  <si>
    <t>Mud Shot</t>
  </si>
  <si>
    <t>Night Slash</t>
  </si>
  <si>
    <t>Rock Climb</t>
  </si>
  <si>
    <t>Chip Away</t>
  </si>
  <si>
    <t>Rototiller</t>
  </si>
  <si>
    <t>Stone Edge</t>
  </si>
  <si>
    <t>Helping Hand</t>
  </si>
  <si>
    <t>Flatter</t>
  </si>
  <si>
    <t>Venom Drench</t>
  </si>
  <si>
    <t>Earth Power</t>
  </si>
  <si>
    <t>Superpower</t>
  </si>
  <si>
    <t>Quash</t>
  </si>
  <si>
    <t>Head Smash</t>
  </si>
  <si>
    <t>Megahorn</t>
  </si>
  <si>
    <t>Follow Me</t>
  </si>
  <si>
    <t>Wake-Up Slap</t>
  </si>
  <si>
    <t>Stored Power</t>
  </si>
  <si>
    <t>Cosmic Power</t>
  </si>
  <si>
    <t>Moonlight</t>
  </si>
  <si>
    <t>Moonblast</t>
  </si>
  <si>
    <t>Gravity</t>
  </si>
  <si>
    <t>Meteor Mash</t>
  </si>
  <si>
    <t>Healing Wish</t>
  </si>
  <si>
    <t>After You</t>
  </si>
  <si>
    <t>Psyshock</t>
  </si>
  <si>
    <t>Calm Mind</t>
  </si>
  <si>
    <t>Dazzling Gleam</t>
  </si>
  <si>
    <t>Aromatherapy</t>
  </si>
  <si>
    <t>Fake Tears</t>
  </si>
  <si>
    <t>Covet</t>
  </si>
  <si>
    <t>Heal Pulse</t>
  </si>
  <si>
    <t>Misty Terrain</t>
  </si>
  <si>
    <t>Copycat</t>
  </si>
  <si>
    <t>Baby-Doll Eyes</t>
  </si>
  <si>
    <t>Imprison</t>
  </si>
  <si>
    <t>Hex</t>
  </si>
  <si>
    <t>Extrasensory</t>
  </si>
  <si>
    <t>Grudge</t>
  </si>
  <si>
    <t>Secret Power</t>
  </si>
  <si>
    <t>Howl</t>
  </si>
  <si>
    <t>Power Swap</t>
  </si>
  <si>
    <t>Tail Slap</t>
  </si>
  <si>
    <t>Hyper Voice</t>
  </si>
  <si>
    <t>Perish Song</t>
  </si>
  <si>
    <t>Punishment</t>
  </si>
  <si>
    <t>Play Rough</t>
  </si>
  <si>
    <t>Mean Look</t>
  </si>
  <si>
    <t>Zen Headbutt</t>
  </si>
  <si>
    <t>Natural Gift</t>
  </si>
  <si>
    <t>Teeter Dance</t>
  </si>
  <si>
    <t>Cross Poison</t>
  </si>
  <si>
    <t>Signal Beam</t>
  </si>
  <si>
    <t>Baton Pass</t>
  </si>
  <si>
    <t>Morning Sun</t>
  </si>
  <si>
    <t>Skill Swap</t>
  </si>
  <si>
    <t>Mud-Slap</t>
  </si>
  <si>
    <t>Memento</t>
  </si>
  <si>
    <t>Assist</t>
  </si>
  <si>
    <t>Odor Sleuth</t>
  </si>
  <si>
    <t>Foul Play</t>
  </si>
  <si>
    <t>Power Gem</t>
  </si>
  <si>
    <t>Embargo</t>
  </si>
  <si>
    <t>Water Sport</t>
  </si>
  <si>
    <t>Soak</t>
  </si>
  <si>
    <t>Wonder Room</t>
  </si>
  <si>
    <t>Cross Chop</t>
  </si>
  <si>
    <t>Future Sight</t>
  </si>
  <si>
    <t>Synchronoise</t>
  </si>
  <si>
    <t>Simple Beam</t>
  </si>
  <si>
    <t>Clear Smog</t>
  </si>
  <si>
    <t>Low Sweep</t>
  </si>
  <si>
    <t>Close Combat</t>
  </si>
  <si>
    <t>Bulk Up</t>
  </si>
  <si>
    <t>SmellingSalt</t>
  </si>
  <si>
    <t>Snarl</t>
  </si>
  <si>
    <t>ExtremeSpeed</t>
  </si>
  <si>
    <t>Mind Reader</t>
  </si>
  <si>
    <t>Ice Ball</t>
  </si>
  <si>
    <t>DynamicPunch</t>
  </si>
  <si>
    <t>Circle Throw</t>
  </si>
  <si>
    <t>Trick Room</t>
  </si>
  <si>
    <t>Knock Off</t>
  </si>
  <si>
    <t>Psycho Shift</t>
  </si>
  <si>
    <t>Power Trick</t>
  </si>
  <si>
    <t>Guard Swap</t>
  </si>
  <si>
    <t>Guard Split</t>
  </si>
  <si>
    <t>Ally Switch</t>
  </si>
  <si>
    <t>Miracle Eye</t>
  </si>
  <si>
    <t>Telekinesis</t>
  </si>
  <si>
    <t>Psycho Cut</t>
  </si>
  <si>
    <t>Role Play</t>
  </si>
  <si>
    <t>Trick</t>
  </si>
  <si>
    <t>Vital Throw</t>
  </si>
  <si>
    <t>Bullet Punch</t>
  </si>
  <si>
    <t>Heavy Slam</t>
  </si>
  <si>
    <t>Quick Guard</t>
  </si>
  <si>
    <t>Wide Guard</t>
  </si>
  <si>
    <t>Wring Out</t>
  </si>
  <si>
    <t>Weather Ball</t>
  </si>
  <si>
    <t>Bullet Seed</t>
  </si>
  <si>
    <t>Leaf Tornado</t>
  </si>
  <si>
    <t>Leaf Blade</t>
  </si>
  <si>
    <t>Acupressure</t>
  </si>
  <si>
    <t>Rock Polish</t>
  </si>
  <si>
    <t>Rock Blast</t>
  </si>
  <si>
    <t>Stealth Rock</t>
  </si>
  <si>
    <t>Block</t>
  </si>
  <si>
    <t>Hammer Arm</t>
  </si>
  <si>
    <t>Autotomize</t>
  </si>
  <si>
    <t>Steamroller</t>
  </si>
  <si>
    <t>Bounce</t>
  </si>
  <si>
    <t>Slack Off</t>
  </si>
  <si>
    <t>Snore</t>
  </si>
  <si>
    <t>Magnet Bomb</t>
  </si>
  <si>
    <t>Spark</t>
  </si>
  <si>
    <t>Mirror Shot</t>
  </si>
  <si>
    <t>Metal Sound</t>
  </si>
  <si>
    <t>Lock-On</t>
  </si>
  <si>
    <t>Magnet Rise</t>
  </si>
  <si>
    <t>Zap Cannon</t>
  </si>
  <si>
    <t>Electric Terrain</t>
  </si>
  <si>
    <t>Trump Card</t>
  </si>
  <si>
    <t>Double Hit</t>
  </si>
  <si>
    <t>Icy Wind</t>
  </si>
  <si>
    <t>Ice Shard</t>
  </si>
  <si>
    <t>Icicle Spear</t>
  </si>
  <si>
    <t>Entrainment</t>
  </si>
  <si>
    <t>Sheer Cold</t>
  </si>
  <si>
    <t>Frost Breath</t>
  </si>
  <si>
    <t>Shadow Punch</t>
  </si>
  <si>
    <t>Shadow Sneak</t>
  </si>
  <si>
    <t>Razor Shell</t>
  </si>
  <si>
    <t>Whirlpool</t>
  </si>
  <si>
    <t>Shell Smash</t>
  </si>
  <si>
    <t>Spikes</t>
  </si>
  <si>
    <t>Icicle Crash</t>
  </si>
  <si>
    <t>Destiny Bond</t>
  </si>
  <si>
    <t>Nightmare</t>
  </si>
  <si>
    <t>Reflect Type</t>
  </si>
  <si>
    <t>DragonBreath</t>
  </si>
  <si>
    <t>Eerie Impulse</t>
  </si>
  <si>
    <t>Magnetic Flux</t>
  </si>
  <si>
    <t>Wood Hammer</t>
  </si>
  <si>
    <t>Bone Rush</t>
  </si>
  <si>
    <t>Detect</t>
  </si>
  <si>
    <t>Iron Head</t>
  </si>
  <si>
    <t>Blaze Kick</t>
  </si>
  <si>
    <t>Mach Punch</t>
  </si>
  <si>
    <t>Vacuum Wave</t>
  </si>
  <si>
    <t>Sky Uppercut</t>
  </si>
  <si>
    <t>Pain Split</t>
  </si>
  <si>
    <t>Metal Burst</t>
  </si>
  <si>
    <t>Heal Bell</t>
  </si>
  <si>
    <t>Octazooka</t>
  </si>
  <si>
    <t>Camouflage</t>
  </si>
  <si>
    <t>Recycle</t>
  </si>
  <si>
    <t>Power Split</t>
  </si>
  <si>
    <t>Magic Room</t>
  </si>
  <si>
    <t>Powder Snow</t>
  </si>
  <si>
    <t>Draining Kiss</t>
  </si>
  <si>
    <t>Heart Stamp</t>
  </si>
  <si>
    <t>Shock Wave</t>
  </si>
  <si>
    <t>Lava Plume</t>
  </si>
  <si>
    <t>Storm Throw</t>
  </si>
  <si>
    <t>Work Up</t>
  </si>
  <si>
    <t>Freeze-Dry</t>
  </si>
  <si>
    <t>Conversion 2</t>
  </si>
  <si>
    <t>Magic Coat</t>
  </si>
  <si>
    <t>Psystrike</t>
  </si>
  <si>
    <t>Bayleef</t>
  </si>
  <si>
    <t>Meganium</t>
  </si>
  <si>
    <t>Cyndaquil</t>
  </si>
  <si>
    <t>Eruption</t>
  </si>
  <si>
    <t>Quilava</t>
  </si>
  <si>
    <t>Typhlosion</t>
  </si>
  <si>
    <t>Croconaw</t>
  </si>
  <si>
    <t>Feraligatr</t>
  </si>
  <si>
    <t>Sentret</t>
  </si>
  <si>
    <t>Furret</t>
  </si>
  <si>
    <t>Hoothoot</t>
  </si>
  <si>
    <t>Noctowl</t>
  </si>
  <si>
    <t>Ledyba</t>
  </si>
  <si>
    <t>Drain Punch</t>
  </si>
  <si>
    <t>Ledian</t>
  </si>
  <si>
    <t>Spinarak</t>
  </si>
  <si>
    <t>Spider Web</t>
  </si>
  <si>
    <t>Sticky Web</t>
  </si>
  <si>
    <t>Electroweb</t>
  </si>
  <si>
    <t>Ariados</t>
  </si>
  <si>
    <t>Crobat</t>
  </si>
  <si>
    <t>Chinchou</t>
  </si>
  <si>
    <t>Ion Deluge</t>
  </si>
  <si>
    <t>Lanturn</t>
  </si>
  <si>
    <t>Pichu</t>
  </si>
  <si>
    <t>Cleffa</t>
  </si>
  <si>
    <t>Igglybuff</t>
  </si>
  <si>
    <t>Togepi</t>
  </si>
  <si>
    <t>Togetic</t>
  </si>
  <si>
    <t>Fairy Wind</t>
  </si>
  <si>
    <t>Natu</t>
  </si>
  <si>
    <t>Ominous Wind</t>
  </si>
  <si>
    <t>Xatu</t>
  </si>
  <si>
    <t>Mareep</t>
  </si>
  <si>
    <t>Cotton Spore</t>
  </si>
  <si>
    <t>Cotton Guard</t>
  </si>
  <si>
    <t>Flaaffy</t>
  </si>
  <si>
    <t>Ampharos</t>
  </si>
  <si>
    <t>Bellossom</t>
  </si>
  <si>
    <t>Marill</t>
  </si>
  <si>
    <t>Azumarill</t>
  </si>
  <si>
    <t>Sudowoodo</t>
  </si>
  <si>
    <t>Politoed</t>
  </si>
  <si>
    <t>Hoppip</t>
  </si>
  <si>
    <t>Skiploom</t>
  </si>
  <si>
    <t>Jumpluff</t>
  </si>
  <si>
    <t>Aipom</t>
  </si>
  <si>
    <t>Sunkern</t>
  </si>
  <si>
    <t>Sunflora</t>
  </si>
  <si>
    <t>Flower Shield</t>
  </si>
  <si>
    <t>Yanma</t>
  </si>
  <si>
    <t>Wooper</t>
  </si>
  <si>
    <t>Quagsire</t>
  </si>
  <si>
    <t>Espeon</t>
  </si>
  <si>
    <t>Umbreon</t>
  </si>
  <si>
    <t>Murkrow</t>
  </si>
  <si>
    <t>Slowking</t>
  </si>
  <si>
    <t>Misdreavus</t>
  </si>
  <si>
    <t>Unown</t>
  </si>
  <si>
    <t>Wobbuffet</t>
  </si>
  <si>
    <t>Girafarig</t>
  </si>
  <si>
    <t>Pineco</t>
  </si>
  <si>
    <t>Forretress</t>
  </si>
  <si>
    <t>Dunsparce</t>
  </si>
  <si>
    <t>Gligar</t>
  </si>
  <si>
    <t>Steelix</t>
  </si>
  <si>
    <t>Snubbull</t>
  </si>
  <si>
    <t>Granbull</t>
  </si>
  <si>
    <t>Qwilfish</t>
  </si>
  <si>
    <t>Scizor</t>
  </si>
  <si>
    <t>Shuckle</t>
  </si>
  <si>
    <t>Heracross</t>
  </si>
  <si>
    <t>Sneasel</t>
  </si>
  <si>
    <t>Teddiursa</t>
  </si>
  <si>
    <t>Ursaring</t>
  </si>
  <si>
    <t>Slugma</t>
  </si>
  <si>
    <t>Magcargo</t>
  </si>
  <si>
    <t>Swinub</t>
  </si>
  <si>
    <t>Piloswine</t>
  </si>
  <si>
    <t>Corsola</t>
  </si>
  <si>
    <t>Remoraid</t>
  </si>
  <si>
    <t>Octillery</t>
  </si>
  <si>
    <t>Delibird</t>
  </si>
  <si>
    <t>Mantine</t>
  </si>
  <si>
    <t>Skarmory</t>
  </si>
  <si>
    <t>Houndour</t>
  </si>
  <si>
    <t>Houndoom</t>
  </si>
  <si>
    <t>Kingdra</t>
  </si>
  <si>
    <t>Phanpy</t>
  </si>
  <si>
    <t>Donphan</t>
  </si>
  <si>
    <t>Porygon2</t>
  </si>
  <si>
    <t>Stantler</t>
  </si>
  <si>
    <t>Smeargle</t>
  </si>
  <si>
    <t>Sketch</t>
  </si>
  <si>
    <t>Tyrogue</t>
  </si>
  <si>
    <t>Hitmontop</t>
  </si>
  <si>
    <t>Triple Kick</t>
  </si>
  <si>
    <t>Smoochum</t>
  </si>
  <si>
    <t>Elekid</t>
  </si>
  <si>
    <t>Magby</t>
  </si>
  <si>
    <t>Miltank</t>
  </si>
  <si>
    <t>Milk Drink</t>
  </si>
  <si>
    <t>Blissey</t>
  </si>
  <si>
    <t>Raikou</t>
  </si>
  <si>
    <t>Entei</t>
  </si>
  <si>
    <t>Suicune</t>
  </si>
  <si>
    <t>Pupitar</t>
  </si>
  <si>
    <t>Tyranitar</t>
  </si>
  <si>
    <t>Lugia</t>
  </si>
  <si>
    <t>Ho-oh</t>
  </si>
  <si>
    <t>Sacred Fire</t>
  </si>
  <si>
    <t>Celebi</t>
  </si>
  <si>
    <t>Heal Block</t>
  </si>
  <si>
    <t>Treecko</t>
  </si>
  <si>
    <t>Grovyle</t>
  </si>
  <si>
    <t>Sceptile</t>
  </si>
  <si>
    <t>Torchic</t>
  </si>
  <si>
    <t>Combusken</t>
  </si>
  <si>
    <t>Blaziken</t>
  </si>
  <si>
    <t>Marshtomp</t>
  </si>
  <si>
    <t>Swampert</t>
  </si>
  <si>
    <t>Poochyena</t>
  </si>
  <si>
    <t>Mightyena</t>
  </si>
  <si>
    <t>Zigzagoon</t>
  </si>
  <si>
    <t>Linoone</t>
  </si>
  <si>
    <t>Wurmple</t>
  </si>
  <si>
    <t>Silcoon</t>
  </si>
  <si>
    <t>Beautifly</t>
  </si>
  <si>
    <t>Cascoon</t>
  </si>
  <si>
    <t>Dustox</t>
  </si>
  <si>
    <t>Lotad</t>
  </si>
  <si>
    <t>Lombre</t>
  </si>
  <si>
    <t>Ludicolo</t>
  </si>
  <si>
    <t>Seedot</t>
  </si>
  <si>
    <t>Nuzleaf</t>
  </si>
  <si>
    <t>Shiftry</t>
  </si>
  <si>
    <t>Taillow</t>
  </si>
  <si>
    <t>Boomburst</t>
  </si>
  <si>
    <t>Swellow</t>
  </si>
  <si>
    <t>Wingull</t>
  </si>
  <si>
    <t>Pelipper</t>
  </si>
  <si>
    <t>Ralts</t>
  </si>
  <si>
    <t>Kirlia</t>
  </si>
  <si>
    <t>Gardevoir</t>
  </si>
  <si>
    <t>Surskit</t>
  </si>
  <si>
    <t>Masquerain</t>
  </si>
  <si>
    <t>Shroomish</t>
  </si>
  <si>
    <t>Breloom</t>
  </si>
  <si>
    <t>Force Palm</t>
  </si>
  <si>
    <t>Slakoth</t>
  </si>
  <si>
    <t>Vigoroth</t>
  </si>
  <si>
    <t>Slaking</t>
  </si>
  <si>
    <t>Nincada</t>
  </si>
  <si>
    <t>Ninjask</t>
  </si>
  <si>
    <t>Shedinja</t>
  </si>
  <si>
    <t>Phantom Force</t>
  </si>
  <si>
    <t>Whismur</t>
  </si>
  <si>
    <t>Loudred</t>
  </si>
  <si>
    <t>Exploud</t>
  </si>
  <si>
    <t>Makuhita</t>
  </si>
  <si>
    <t>Arm Thrust</t>
  </si>
  <si>
    <t>Hariyama</t>
  </si>
  <si>
    <t>Azurill</t>
  </si>
  <si>
    <t>Nosepass</t>
  </si>
  <si>
    <t>Skitty</t>
  </si>
  <si>
    <t>Delcatty</t>
  </si>
  <si>
    <t>Sableye</t>
  </si>
  <si>
    <t>Mawile</t>
  </si>
  <si>
    <t>Aron</t>
  </si>
  <si>
    <t>Lairon</t>
  </si>
  <si>
    <t>Aggron</t>
  </si>
  <si>
    <t>Meditite</t>
  </si>
  <si>
    <t>Medicham</t>
  </si>
  <si>
    <t>Electrike</t>
  </si>
  <si>
    <t>Manectric</t>
  </si>
  <si>
    <t>Plusle</t>
  </si>
  <si>
    <t>Minun</t>
  </si>
  <si>
    <t>Volbeat</t>
  </si>
  <si>
    <t>Tail Glow</t>
  </si>
  <si>
    <t>Illumise</t>
  </si>
  <si>
    <t>Roselia</t>
  </si>
  <si>
    <t>Gulpin</t>
  </si>
  <si>
    <t>Swalot</t>
  </si>
  <si>
    <t>Carvanha</t>
  </si>
  <si>
    <t>Sharpedo</t>
  </si>
  <si>
    <t>Wailmer</t>
  </si>
  <si>
    <t>Wailord</t>
  </si>
  <si>
    <t>Numel</t>
  </si>
  <si>
    <t>Camerupt</t>
  </si>
  <si>
    <t>Torkoal</t>
  </si>
  <si>
    <t>Spoink</t>
  </si>
  <si>
    <t>Grumpig</t>
  </si>
  <si>
    <t>Spinda</t>
  </si>
  <si>
    <t>Trapinch</t>
  </si>
  <si>
    <t>Vibrava</t>
  </si>
  <si>
    <t>Flygon</t>
  </si>
  <si>
    <t>Cacnea</t>
  </si>
  <si>
    <t>Needle Arm</t>
  </si>
  <si>
    <t>Cacturne</t>
  </si>
  <si>
    <t>Swablu</t>
  </si>
  <si>
    <t>Altaria</t>
  </si>
  <si>
    <t>Zangoose</t>
  </si>
  <si>
    <t>Seviper</t>
  </si>
  <si>
    <t>Lunatone</t>
  </si>
  <si>
    <t>Solrock</t>
  </si>
  <si>
    <t>Barboach</t>
  </si>
  <si>
    <t>Whiscash</t>
  </si>
  <si>
    <t>Corphish</t>
  </si>
  <si>
    <t>Crawdaunt</t>
  </si>
  <si>
    <t>Baltoy</t>
  </si>
  <si>
    <t>Claydol</t>
  </si>
  <si>
    <t>Lileep</t>
  </si>
  <si>
    <t>Cradily</t>
  </si>
  <si>
    <t>Anorith</t>
  </si>
  <si>
    <t>Armaldo</t>
  </si>
  <si>
    <t>Milotic</t>
  </si>
  <si>
    <t>Castform</t>
  </si>
  <si>
    <t>Kecleon</t>
  </si>
  <si>
    <t>Shuppet</t>
  </si>
  <si>
    <t>Banette</t>
  </si>
  <si>
    <t>Duskull</t>
  </si>
  <si>
    <t>Dusclops</t>
  </si>
  <si>
    <t>Tropius</t>
  </si>
  <si>
    <t>Chimecho</t>
  </si>
  <si>
    <t>Absol</t>
  </si>
  <si>
    <t>Wynaut</t>
  </si>
  <si>
    <t>Snorunt</t>
  </si>
  <si>
    <t>Glalie</t>
  </si>
  <si>
    <t>Spheal</t>
  </si>
  <si>
    <t>Sealeo</t>
  </si>
  <si>
    <t>Walrein</t>
  </si>
  <si>
    <t>Clamperl</t>
  </si>
  <si>
    <t>Huntail</t>
  </si>
  <si>
    <t>Gorebyss</t>
  </si>
  <si>
    <t>Relicanth</t>
  </si>
  <si>
    <t>Luvdisc</t>
  </si>
  <si>
    <t>Bagon</t>
  </si>
  <si>
    <t>Shelgon</t>
  </si>
  <si>
    <t>Salamence</t>
  </si>
  <si>
    <t>Beldum</t>
  </si>
  <si>
    <t>Metang</t>
  </si>
  <si>
    <t>Metagross</t>
  </si>
  <si>
    <t>Regirock</t>
  </si>
  <si>
    <t>Regice</t>
  </si>
  <si>
    <t>Registeel</t>
  </si>
  <si>
    <t>Latias</t>
  </si>
  <si>
    <t>Mist Ball</t>
  </si>
  <si>
    <t>Latios</t>
  </si>
  <si>
    <t>Luster Purge</t>
  </si>
  <si>
    <t>Kyogre</t>
  </si>
  <si>
    <t>Groudon</t>
  </si>
  <si>
    <t>Rayquaza</t>
  </si>
  <si>
    <t>Jirachi</t>
  </si>
  <si>
    <t>Doom Desire</t>
  </si>
  <si>
    <t>Psycho Boost</t>
  </si>
  <si>
    <t>Turtwig</t>
  </si>
  <si>
    <t>Grotle</t>
  </si>
  <si>
    <t>Torterra</t>
  </si>
  <si>
    <t>Chimchar</t>
  </si>
  <si>
    <t>Monferno</t>
  </si>
  <si>
    <t>Infernape</t>
  </si>
  <si>
    <t>Piplup</t>
  </si>
  <si>
    <t>Prinplup</t>
  </si>
  <si>
    <t>Empoleon</t>
  </si>
  <si>
    <t>Starly</t>
  </si>
  <si>
    <t>Staravia</t>
  </si>
  <si>
    <t>Staraptor</t>
  </si>
  <si>
    <t>Bidoof</t>
  </si>
  <si>
    <t>Bibarel</t>
  </si>
  <si>
    <t>Kricketot</t>
  </si>
  <si>
    <t>Kricketune</t>
  </si>
  <si>
    <t>Shinx</t>
  </si>
  <si>
    <t>Luxio</t>
  </si>
  <si>
    <t>Luxray</t>
  </si>
  <si>
    <t>Budew</t>
  </si>
  <si>
    <t>Roserade</t>
  </si>
  <si>
    <t>Cranidos</t>
  </si>
  <si>
    <t>Rampardos</t>
  </si>
  <si>
    <t>Shieldon</t>
  </si>
  <si>
    <t>Bastiodon</t>
  </si>
  <si>
    <t>Burmy</t>
  </si>
  <si>
    <t>Mothim</t>
  </si>
  <si>
    <t>Combee</t>
  </si>
  <si>
    <t>Vespiquen</t>
  </si>
  <si>
    <t>Defend Order</t>
  </si>
  <si>
    <t>Heal Order</t>
  </si>
  <si>
    <t>Attack Order</t>
  </si>
  <si>
    <t>Pachirisu</t>
  </si>
  <si>
    <t>Buizel</t>
  </si>
  <si>
    <t>Floatzel</t>
  </si>
  <si>
    <t>Cherubi</t>
  </si>
  <si>
    <t>Cherrim</t>
  </si>
  <si>
    <t>Shellos</t>
  </si>
  <si>
    <t>Gastrodon</t>
  </si>
  <si>
    <t>Ambipom</t>
  </si>
  <si>
    <t>Drifloon</t>
  </si>
  <si>
    <t>Buneary</t>
  </si>
  <si>
    <t>Lopunny</t>
  </si>
  <si>
    <t>Mismagius</t>
  </si>
  <si>
    <t>Honchkrow</t>
  </si>
  <si>
    <t>Glameow</t>
  </si>
  <si>
    <t>Purugly</t>
  </si>
  <si>
    <t>Chingling</t>
  </si>
  <si>
    <t>Stunky</t>
  </si>
  <si>
    <t>Skuntank</t>
  </si>
  <si>
    <t>Bronzor</t>
  </si>
  <si>
    <t>Bronzong</t>
  </si>
  <si>
    <t>Bonsly</t>
  </si>
  <si>
    <t>Mime Jr.</t>
  </si>
  <si>
    <t>Happiny</t>
  </si>
  <si>
    <t>Chatot</t>
  </si>
  <si>
    <t>Chatter</t>
  </si>
  <si>
    <t>Spiritomb</t>
  </si>
  <si>
    <t>Gabite</t>
  </si>
  <si>
    <t>Dual Chop</t>
  </si>
  <si>
    <t>Munchlax</t>
  </si>
  <si>
    <t>Riolu</t>
  </si>
  <si>
    <t>Lucario</t>
  </si>
  <si>
    <t>Hippopotas</t>
  </si>
  <si>
    <t>Hippowdon</t>
  </si>
  <si>
    <t>Skorupi</t>
  </si>
  <si>
    <t>Drapion</t>
  </si>
  <si>
    <t>Croagunk</t>
  </si>
  <si>
    <t>Toxicroak</t>
  </si>
  <si>
    <t>Carnivine</t>
  </si>
  <si>
    <t>Finneon</t>
  </si>
  <si>
    <t>Lumineon</t>
  </si>
  <si>
    <t>Mantyke</t>
  </si>
  <si>
    <t>Snover</t>
  </si>
  <si>
    <t>Abomasnow</t>
  </si>
  <si>
    <t>Lickilicky</t>
  </si>
  <si>
    <t>Rhyperior</t>
  </si>
  <si>
    <t>Rock Wrecker</t>
  </si>
  <si>
    <t>Tangrowth</t>
  </si>
  <si>
    <t>Electivire</t>
  </si>
  <si>
    <t>Magmortar</t>
  </si>
  <si>
    <t>Togekiss</t>
  </si>
  <si>
    <t>Yanmega</t>
  </si>
  <si>
    <t>Leafeon</t>
  </si>
  <si>
    <t>Glaceon</t>
  </si>
  <si>
    <t>Gliscor</t>
  </si>
  <si>
    <t>Mamoswine</t>
  </si>
  <si>
    <t>Gallade</t>
  </si>
  <si>
    <t>Probopass</t>
  </si>
  <si>
    <t>Dusknoir</t>
  </si>
  <si>
    <t>Froslass</t>
  </si>
  <si>
    <t>Uxie</t>
  </si>
  <si>
    <t>Mesprit</t>
  </si>
  <si>
    <t>Azelf</t>
  </si>
  <si>
    <t>Dialga</t>
  </si>
  <si>
    <t>Roar of Time</t>
  </si>
  <si>
    <t>Palkia</t>
  </si>
  <si>
    <t>Spacial Rend</t>
  </si>
  <si>
    <t>Heatran</t>
  </si>
  <si>
    <t>Magma Storm</t>
  </si>
  <si>
    <t>Regigigas</t>
  </si>
  <si>
    <t>Crush Grip</t>
  </si>
  <si>
    <t>Shadow Force</t>
  </si>
  <si>
    <t>Cresselia</t>
  </si>
  <si>
    <t>Lunar Dance</t>
  </si>
  <si>
    <t>Phione</t>
  </si>
  <si>
    <t>Manaphy</t>
  </si>
  <si>
    <t>Heart Swap</t>
  </si>
  <si>
    <t>Darkrai</t>
  </si>
  <si>
    <t>Dark Void</t>
  </si>
  <si>
    <t>Seed Flare</t>
  </si>
  <si>
    <t>Arceus</t>
  </si>
  <si>
    <t>Judgment</t>
  </si>
  <si>
    <t>Victini</t>
  </si>
  <si>
    <t>Searing Shot</t>
  </si>
  <si>
    <t>Snivy</t>
  </si>
  <si>
    <t>Servine</t>
  </si>
  <si>
    <t>Serperior</t>
  </si>
  <si>
    <t>Tepig</t>
  </si>
  <si>
    <t>Heat Crash</t>
  </si>
  <si>
    <t>Pignite</t>
  </si>
  <si>
    <t>Emboar</t>
  </si>
  <si>
    <t>Oshawott</t>
  </si>
  <si>
    <t>Dewott</t>
  </si>
  <si>
    <t>Samurott</t>
  </si>
  <si>
    <t>Patrat</t>
  </si>
  <si>
    <t>Watchog</t>
  </si>
  <si>
    <t>Lillipup</t>
  </si>
  <si>
    <t>Herdier</t>
  </si>
  <si>
    <t>Stoutland</t>
  </si>
  <si>
    <t>Purrloin</t>
  </si>
  <si>
    <t>Liepard</t>
  </si>
  <si>
    <t>Pansage</t>
  </si>
  <si>
    <t>Simisage</t>
  </si>
  <si>
    <t>Pansear</t>
  </si>
  <si>
    <t>Simisear</t>
  </si>
  <si>
    <t>Panpour</t>
  </si>
  <si>
    <t>Simipour</t>
  </si>
  <si>
    <t>Munna</t>
  </si>
  <si>
    <t>Musharna</t>
  </si>
  <si>
    <t>Pidove</t>
  </si>
  <si>
    <t>Tranquill</t>
  </si>
  <si>
    <t>Unfezant</t>
  </si>
  <si>
    <t>Blitzle</t>
  </si>
  <si>
    <t>Zebstrika</t>
  </si>
  <si>
    <t>Roggenrola</t>
  </si>
  <si>
    <t>Boldore</t>
  </si>
  <si>
    <t>Gigalith</t>
  </si>
  <si>
    <t>Woobat</t>
  </si>
  <si>
    <t>Swoobat</t>
  </si>
  <si>
    <t>Drilbur</t>
  </si>
  <si>
    <t>Excadrill</t>
  </si>
  <si>
    <t>Audino</t>
  </si>
  <si>
    <t>Timburr</t>
  </si>
  <si>
    <t>Gurdurr</t>
  </si>
  <si>
    <t>Conkeldurr</t>
  </si>
  <si>
    <t>Tympole</t>
  </si>
  <si>
    <t>Palpitoad</t>
  </si>
  <si>
    <t>Seismitoad</t>
  </si>
  <si>
    <t>Throh</t>
  </si>
  <si>
    <t>Sawk</t>
  </si>
  <si>
    <t>Sewaddle</t>
  </si>
  <si>
    <t>Swadloon</t>
  </si>
  <si>
    <t>Leavanny</t>
  </si>
  <si>
    <t>Venipede</t>
  </si>
  <si>
    <t>Whirlipede</t>
  </si>
  <si>
    <t>Scolipede</t>
  </si>
  <si>
    <t>Cottonee</t>
  </si>
  <si>
    <t>Whimsicott</t>
  </si>
  <si>
    <t>Petilil</t>
  </si>
  <si>
    <t>Lilligant</t>
  </si>
  <si>
    <t>Basculin</t>
  </si>
  <si>
    <t>Sandile</t>
  </si>
  <si>
    <t>Krokorok</t>
  </si>
  <si>
    <t>Krookodile</t>
  </si>
  <si>
    <t>Darumaka</t>
  </si>
  <si>
    <t>Maractus</t>
  </si>
  <si>
    <t>Dwebble</t>
  </si>
  <si>
    <t>Crustle</t>
  </si>
  <si>
    <t>Scraggy</t>
  </si>
  <si>
    <t>Scrafty</t>
  </si>
  <si>
    <t>Sigilyph</t>
  </si>
  <si>
    <t>Yamask</t>
  </si>
  <si>
    <t>Cofagrigus</t>
  </si>
  <si>
    <t>Tirtouga</t>
  </si>
  <si>
    <t>Carracosta</t>
  </si>
  <si>
    <t>Archen</t>
  </si>
  <si>
    <t>Archeops</t>
  </si>
  <si>
    <t>Trubbish</t>
  </si>
  <si>
    <t>Garbodor</t>
  </si>
  <si>
    <t>Zorua</t>
  </si>
  <si>
    <t>Night Daze</t>
  </si>
  <si>
    <t>Zoroark</t>
  </si>
  <si>
    <t>Minccino</t>
  </si>
  <si>
    <t>Cinccino</t>
  </si>
  <si>
    <t>Gothita</t>
  </si>
  <si>
    <t>Gothorita</t>
  </si>
  <si>
    <t>Gothitelle</t>
  </si>
  <si>
    <t>Solosis</t>
  </si>
  <si>
    <t>Duosion</t>
  </si>
  <si>
    <t>Reuniclus</t>
  </si>
  <si>
    <t>Ducklett</t>
  </si>
  <si>
    <t>Swanna</t>
  </si>
  <si>
    <t>Vanillite</t>
  </si>
  <si>
    <t>Vanillish</t>
  </si>
  <si>
    <t>Vanilluxe</t>
  </si>
  <si>
    <t>Deerling</t>
  </si>
  <si>
    <t>Sawsbuck</t>
  </si>
  <si>
    <t>Horn Leech</t>
  </si>
  <si>
    <t>Emolga</t>
  </si>
  <si>
    <t>Karrablast</t>
  </si>
  <si>
    <t>Escavalier</t>
  </si>
  <si>
    <t>Foongus</t>
  </si>
  <si>
    <t>Amoonguss</t>
  </si>
  <si>
    <t>Frillish</t>
  </si>
  <si>
    <t>Jellicent</t>
  </si>
  <si>
    <t>Alomomola</t>
  </si>
  <si>
    <t>Joltik</t>
  </si>
  <si>
    <t>Galvantula</t>
  </si>
  <si>
    <t>Ferroseed</t>
  </si>
  <si>
    <t>Ferrothorn</t>
  </si>
  <si>
    <t>Klink</t>
  </si>
  <si>
    <t>Gear Grind</t>
  </si>
  <si>
    <t>Shift Gear</t>
  </si>
  <si>
    <t>Klang</t>
  </si>
  <si>
    <t>Klinklang</t>
  </si>
  <si>
    <t>Tynamo</t>
  </si>
  <si>
    <t>Eelektrik</t>
  </si>
  <si>
    <t>Eelektross</t>
  </si>
  <si>
    <t>Elgyem</t>
  </si>
  <si>
    <t>Beheeyem</t>
  </si>
  <si>
    <t>Litwick</t>
  </si>
  <si>
    <t>Lampent</t>
  </si>
  <si>
    <t>Chandelure</t>
  </si>
  <si>
    <t>Axew</t>
  </si>
  <si>
    <t>Fraxure</t>
  </si>
  <si>
    <t>Haxorus</t>
  </si>
  <si>
    <t>Cubchoo</t>
  </si>
  <si>
    <t>Beartic</t>
  </si>
  <si>
    <t>Cryogonal</t>
  </si>
  <si>
    <t>Shelmet</t>
  </si>
  <si>
    <t>Accelgor</t>
  </si>
  <si>
    <t>Stunfisk</t>
  </si>
  <si>
    <t>Mienfoo</t>
  </si>
  <si>
    <t>Mienshao</t>
  </si>
  <si>
    <t>Druddigon</t>
  </si>
  <si>
    <t>Golett</t>
  </si>
  <si>
    <t>Golurk</t>
  </si>
  <si>
    <t>Pawniard</t>
  </si>
  <si>
    <t>Bisharp</t>
  </si>
  <si>
    <t>Bouffalant</t>
  </si>
  <si>
    <t>Head Charge</t>
  </si>
  <si>
    <t>Rufflet</t>
  </si>
  <si>
    <t>Braviary</t>
  </si>
  <si>
    <t>Vullaby</t>
  </si>
  <si>
    <t>Mandibuzz</t>
  </si>
  <si>
    <t>Heatmor</t>
  </si>
  <si>
    <t>Durant</t>
  </si>
  <si>
    <t>Deino</t>
  </si>
  <si>
    <t>Zweilous</t>
  </si>
  <si>
    <t>Hydreigon</t>
  </si>
  <si>
    <t>Larvesta</t>
  </si>
  <si>
    <t>Volcarona</t>
  </si>
  <si>
    <t>Fiery Dance</t>
  </si>
  <si>
    <t>Cobalion</t>
  </si>
  <si>
    <t>Sacred Sword</t>
  </si>
  <si>
    <t>Terrakion</t>
  </si>
  <si>
    <t>Virizion</t>
  </si>
  <si>
    <t>Reshiram</t>
  </si>
  <si>
    <t>Fusion Flare</t>
  </si>
  <si>
    <t>Blue Flare</t>
  </si>
  <si>
    <t>Zekrom</t>
  </si>
  <si>
    <t>Fusion Bolt</t>
  </si>
  <si>
    <t>Bolt Strike</t>
  </si>
  <si>
    <t>Glaciate</t>
  </si>
  <si>
    <t>Ice Burn</t>
  </si>
  <si>
    <t>Freeze Shock</t>
  </si>
  <si>
    <t>Genesect</t>
  </si>
  <si>
    <t>Techno Blast</t>
  </si>
  <si>
    <t>Chespin</t>
  </si>
  <si>
    <t>Quilladin</t>
  </si>
  <si>
    <t>Chesnaught</t>
  </si>
  <si>
    <t>Spiky Shield</t>
  </si>
  <si>
    <t>Fennekin</t>
  </si>
  <si>
    <t>Braixen</t>
  </si>
  <si>
    <t>Delphox</t>
  </si>
  <si>
    <t>Mystical Fire</t>
  </si>
  <si>
    <t>Froakie</t>
  </si>
  <si>
    <t>Frogadier</t>
  </si>
  <si>
    <t>Greninja</t>
  </si>
  <si>
    <t>Mat Block</t>
  </si>
  <si>
    <t>Water Shuriken</t>
  </si>
  <si>
    <t>Bunnelby</t>
  </si>
  <si>
    <t>Diggersby</t>
  </si>
  <si>
    <t>Fletchling</t>
  </si>
  <si>
    <t>Fletchinder</t>
  </si>
  <si>
    <t>Talonflame</t>
  </si>
  <si>
    <t>Scatterbug</t>
  </si>
  <si>
    <t>Spewpa</t>
  </si>
  <si>
    <t>Vivillon</t>
  </si>
  <si>
    <t>Powder</t>
  </si>
  <si>
    <t>Litleo</t>
  </si>
  <si>
    <t>Noble Roar</t>
  </si>
  <si>
    <t>Pyroar</t>
  </si>
  <si>
    <t>Flabébé</t>
  </si>
  <si>
    <t>Floette</t>
  </si>
  <si>
    <t>Florges</t>
  </si>
  <si>
    <t>Skiddo</t>
  </si>
  <si>
    <t>Gogoat</t>
  </si>
  <si>
    <t>Pancham</t>
  </si>
  <si>
    <t>Parting Shot</t>
  </si>
  <si>
    <t>Pangoro</t>
  </si>
  <si>
    <t>Furfrou</t>
  </si>
  <si>
    <t>Espurr</t>
  </si>
  <si>
    <t>Honedge</t>
  </si>
  <si>
    <t>Doublade</t>
  </si>
  <si>
    <t>King's Shield</t>
  </si>
  <si>
    <t>Spritzee</t>
  </si>
  <si>
    <t>Aromatisse</t>
  </si>
  <si>
    <t>Aromatic Mist</t>
  </si>
  <si>
    <t>Swirlix</t>
  </si>
  <si>
    <t>Slurpuff</t>
  </si>
  <si>
    <t>Inkay</t>
  </si>
  <si>
    <t>Topsy-Turvy</t>
  </si>
  <si>
    <t>Malamar</t>
  </si>
  <si>
    <t>Binacle</t>
  </si>
  <si>
    <t>Barbaracle</t>
  </si>
  <si>
    <t>Skrelp</t>
  </si>
  <si>
    <t>Dragalge</t>
  </si>
  <si>
    <t>Clauncher</t>
  </si>
  <si>
    <t>Clawitzer</t>
  </si>
  <si>
    <t>Helioptile</t>
  </si>
  <si>
    <t>Parabolic Charge</t>
  </si>
  <si>
    <t>Electrify</t>
  </si>
  <si>
    <t>Heliolisk</t>
  </si>
  <si>
    <t>Tyrunt</t>
  </si>
  <si>
    <t>Tyrantrum</t>
  </si>
  <si>
    <t>Amaura</t>
  </si>
  <si>
    <t>Aurorus</t>
  </si>
  <si>
    <t>Sylveon</t>
  </si>
  <si>
    <t>Hawlucha</t>
  </si>
  <si>
    <t>Flying Press</t>
  </si>
  <si>
    <t>Dedenne</t>
  </si>
  <si>
    <t>Carbink</t>
  </si>
  <si>
    <t>Goomy</t>
  </si>
  <si>
    <t>Sliggoo</t>
  </si>
  <si>
    <t>Goodra</t>
  </si>
  <si>
    <t>Klefki</t>
  </si>
  <si>
    <t>Fairy Lock</t>
  </si>
  <si>
    <t>Crafty Shield</t>
  </si>
  <si>
    <t>Phantump</t>
  </si>
  <si>
    <t>Forest's Curse</t>
  </si>
  <si>
    <t>Trevenant</t>
  </si>
  <si>
    <t>Trick-or-Treat</t>
  </si>
  <si>
    <t>Bergmite</t>
  </si>
  <si>
    <t>Avalugg</t>
  </si>
  <si>
    <t>Noibat</t>
  </si>
  <si>
    <t>Noivern</t>
  </si>
  <si>
    <t>Xerneas</t>
  </si>
  <si>
    <t>Geomancy</t>
  </si>
  <si>
    <t>Yveltal</t>
  </si>
  <si>
    <t>Oblivion Wing</t>
  </si>
  <si>
    <t>Zygarde</t>
  </si>
  <si>
    <t>Land's Wrath</t>
  </si>
  <si>
    <t>May raise all user's stats at once.</t>
  </si>
  <si>
    <t>If opponent is the opposite gender, it's less likely to attack.</t>
  </si>
  <si>
    <t>User switches out and gives stat changes to the incoming Pokémon.</t>
  </si>
  <si>
    <t>Each Pokémon in your party attacks.</t>
  </si>
  <si>
    <t>User loses 50% of its max HP, but Attack raises to maximum.</t>
  </si>
  <si>
    <t>Sharply lowers opponent's Attack.</t>
  </si>
  <si>
    <t>User changes type to become resistant to opponent's last move.</t>
  </si>
  <si>
    <t>Sharply lowers opponent's Speed.</t>
  </si>
  <si>
    <t>May lower opponent's Defense.</t>
  </si>
  <si>
    <t>Ghosts lose 50% of max HP and curse the opponent; Non-Ghosts raise Attack, Defense and lower Speed.</t>
  </si>
  <si>
    <t>If the user faints, the opponent also faints.</t>
  </si>
  <si>
    <t>Opponent's attack doesn't affect you, but may fail if used often.</t>
  </si>
  <si>
    <t>Forces opponent to keep using its last move for 3 turns.</t>
  </si>
  <si>
    <t>Always left with at least 1 HP, but may fail if used consecutively.</t>
  </si>
  <si>
    <t>Always leaves opponent with at least 1 HP.</t>
  </si>
  <si>
    <t>The lower the user's HP, the higher the power.</t>
  </si>
  <si>
    <t>Resets opponent's Evasiveness, Normal-type and Fighting-type attacks can now hit Ghosts, and Ghost-type attacks hit Normal.</t>
  </si>
  <si>
    <t>Power decreases with higher Happiness.</t>
  </si>
  <si>
    <t>Power increases with each consecutive hit.</t>
  </si>
  <si>
    <t>Damage occurs 2 turns later.</t>
  </si>
  <si>
    <t>Heals the user's party's status conditions.</t>
  </si>
  <si>
    <t>Type and power depends on user's IVs.</t>
  </si>
  <si>
    <t>The next move the user uses is guaranteed to hit.</t>
  </si>
  <si>
    <t>Hits with random power.</t>
  </si>
  <si>
    <t>Opponent cannot escape/switch.</t>
  </si>
  <si>
    <t>May raise user's Attack.</t>
  </si>
  <si>
    <t>User recoves 50% of its maximum HP.</t>
  </si>
  <si>
    <t>User's next attack is guaranteed to hit.</t>
  </si>
  <si>
    <t>When hit by a Special Attack, user strikes back with 2x power.</t>
  </si>
  <si>
    <t>User recovers HP. Amount varies with the weather.</t>
  </si>
  <si>
    <t>The sleeping opponent loses 25% of its max HP each turn.</t>
  </si>
  <si>
    <t>May lower opponent's Accuracy.</t>
  </si>
  <si>
    <t>The user's and opponent's HP becomes the average of both.</t>
  </si>
  <si>
    <t>Any Pokémon in play when this attack is used faints in 3 turns.</t>
  </si>
  <si>
    <t>Either deals damage or heals.</t>
  </si>
  <si>
    <t>User is not affected by opponent's move.</t>
  </si>
  <si>
    <t>Copies the opponent's stat changes.</t>
  </si>
  <si>
    <t>Double power if the opponent is switching out.</t>
  </si>
  <si>
    <t>Makes it rain for 5 turns.</t>
  </si>
  <si>
    <t>Removes effects of trap moves.</t>
  </si>
  <si>
    <t>Power increases with user's Happiness.</t>
  </si>
  <si>
    <t>Doubles in power each turn for 5 turns.</t>
  </si>
  <si>
    <t>The user's party is protected from status conditions.</t>
  </si>
  <si>
    <t>Creates a sandstorm for 5 turns.</t>
  </si>
  <si>
    <t>Permanently copies the opponent's last move.</t>
  </si>
  <si>
    <t>User performs one of its own moves while sleeping.</t>
  </si>
  <si>
    <t>Can only be used if asleep. May cause flinching.</t>
  </si>
  <si>
    <t>Hurts opponents when they switch into battle.</t>
  </si>
  <si>
    <t>The opponent's last move loses 2-5 PP.</t>
  </si>
  <si>
    <t>May raise user's Defense.</t>
  </si>
  <si>
    <t>Makes it sunny for 5 turns.</t>
  </si>
  <si>
    <t>Opponent becomes confused, but its Attack is raised two stages.</t>
  </si>
  <si>
    <t>Lowers opponent's Evasiveness.</t>
  </si>
  <si>
    <t>Also steals opponent's held item.</t>
  </si>
  <si>
    <t>Hits thrice in one turn at increasing power.</t>
  </si>
  <si>
    <t>May cause flinching. Hits Pokémon using Fly/Bounce with double power.</t>
  </si>
  <si>
    <t>User attacks last, but ignores Accuracy and Evasiveness.</t>
  </si>
  <si>
    <t>Cures all status problems in your party.</t>
  </si>
  <si>
    <t>In a Double Battle, user randomly attacks with a partner's move.</t>
  </si>
  <si>
    <t>Blast Burn</t>
  </si>
  <si>
    <t>High critical hit ratio. May burn opponent.</t>
  </si>
  <si>
    <t>Opponent cannot flee or switch.</t>
  </si>
  <si>
    <t>Springs up on first turn, attacks on second. May paralyze opponent.</t>
  </si>
  <si>
    <t>Breaks through Reflect and Light Screen barriers.</t>
  </si>
  <si>
    <t>Raises user's Attack and Defense.</t>
  </si>
  <si>
    <t>Raises user's Special Attack and Special Defense.</t>
  </si>
  <si>
    <t>Changes user's type according to the location.</t>
  </si>
  <si>
    <t>Raises user's Special Defense and next Electric move's power increases.</t>
  </si>
  <si>
    <t>Raises user's Defense and Special Defense.</t>
  </si>
  <si>
    <t>Opponent's item is stolen by the user.</t>
  </si>
  <si>
    <t>Dives underwater on first turn, attacks on second turn.</t>
  </si>
  <si>
    <t>Raises user's Attack and Speed.</t>
  </si>
  <si>
    <t>Reduces opponent's HP to same as user's.</t>
  </si>
  <si>
    <t>Stronger when the user's HP is higher.</t>
  </si>
  <si>
    <t>Stronger if user is Burned, Poisoned, or Paralyzed.</t>
  </si>
  <si>
    <t>User attacks first, foe flinches. Only usable on first turn.</t>
  </si>
  <si>
    <t>Sharply lowers opponent's Special Defense.</t>
  </si>
  <si>
    <t>Confuses opponent, but raises its Special Attack by two stages.</t>
  </si>
  <si>
    <t>If the user is hit before attacking, it flinches instead.</t>
  </si>
  <si>
    <t>In Double Battle, the user takes all the attacks.</t>
  </si>
  <si>
    <t>Frenzy Plant</t>
  </si>
  <si>
    <t>Puts opponent to sleep, if it hits.</t>
  </si>
  <si>
    <t>If the users faints after using this move, the PP for the opponent's last move is depleted.</t>
  </si>
  <si>
    <t>Non-Ice types are damaged for 5 turns.</t>
  </si>
  <si>
    <t>In Double Battles, boosts the power of the partner's move.</t>
  </si>
  <si>
    <t>Hydro Cannon</t>
  </si>
  <si>
    <t>Opponent is unable to use moves that the user also knows.</t>
  </si>
  <si>
    <t>User restores HP each turn. User cannot escape/switch.</t>
  </si>
  <si>
    <t>Opponent cannot use its hold item for the duration of the battle.</t>
  </si>
  <si>
    <t>Any special move is reflected back to the attacker.</t>
  </si>
  <si>
    <t>User faints, sharply lowers opponent's Attack and Special Attack.</t>
  </si>
  <si>
    <t>May lower opponent's Special Attack.</t>
  </si>
  <si>
    <t>Weakens the power of Electric-type moves.</t>
  </si>
  <si>
    <t>Uses a certain move based on the current terrain.</t>
  </si>
  <si>
    <t>Sharply lowers user's Special Attack.</t>
  </si>
  <si>
    <t>May badly poison opponent.</t>
  </si>
  <si>
    <t>High critical hit ratio. May poison opponent.</t>
  </si>
  <si>
    <t>User's used hold item is restored.</t>
  </si>
  <si>
    <t>Cures paralysis, poison, and burns.</t>
  </si>
  <si>
    <t>Power increases if user was hit first.</t>
  </si>
  <si>
    <t>User copies the opponent's Ability.</t>
  </si>
  <si>
    <t>Effects of the attack vary with the location.</t>
  </si>
  <si>
    <t>May raise all stats of user at once.</t>
  </si>
  <si>
    <t>The user swaps Abilities with the opponent.</t>
  </si>
  <si>
    <t>Hits the opponent, even during Fly.</t>
  </si>
  <si>
    <t>Power increases when used on a paralyzed opponent, but cures it.</t>
  </si>
  <si>
    <t>Steals the effects of the opponent's next move.</t>
  </si>
  <si>
    <t>Power depends on how many times the user performed Stockpile.</t>
  </si>
  <si>
    <t>Stores energy for use with Spit Up and Swallow.</t>
  </si>
  <si>
    <t>Lowers user's Attack and Defense.</t>
  </si>
  <si>
    <t>The more times the user has performed Stockpile, the more HP is recovered.</t>
  </si>
  <si>
    <t>Drastically raises user's Special Attack.</t>
  </si>
  <si>
    <t>Opponent can only use moves that attack.</t>
  </si>
  <si>
    <t>Confuses all Pokémon.</t>
  </si>
  <si>
    <t>Lowers opponent's Attack and Defense.</t>
  </si>
  <si>
    <t>Opponent cannot use the same move in a row.</t>
  </si>
  <si>
    <t>Swaps held items with the opponent.</t>
  </si>
  <si>
    <t>User attacks for 3 turns and prevents sleep.</t>
  </si>
  <si>
    <t>User receives recoil damage. May paralyze opponent.</t>
  </si>
  <si>
    <t>The higher the user's HP, the higher the damage caused.</t>
  </si>
  <si>
    <t>Move's power and type changes with the weather.</t>
  </si>
  <si>
    <t>Burns opponent.</t>
  </si>
  <si>
    <t>The user recovers HP in the following turn.</t>
  </si>
  <si>
    <t>Puts the opponent to sleep in the following turn.</t>
  </si>
  <si>
    <t>Sharply raises a random stat.</t>
  </si>
  <si>
    <t>Restores a little HP each turn.</t>
  </si>
  <si>
    <t>Power doubles if opponent already took damage in the same turn.</t>
  </si>
  <si>
    <t>Power doubles if user took damage first.</t>
  </si>
  <si>
    <t>Power doubles if opponent's HP is less than 50%.</t>
  </si>
  <si>
    <t>Receives the effect from the opponent's held berry.</t>
  </si>
  <si>
    <t>Sharply lowers opponent's Special Attack if opposite gender.</t>
  </si>
  <si>
    <t>May raise user's Special Attack.</t>
  </si>
  <si>
    <t>Lowers user's Defense and Special Defense.</t>
  </si>
  <si>
    <t>Copies opponent's last move.</t>
  </si>
  <si>
    <t>More powerful when opponent has higher HP.</t>
  </si>
  <si>
    <t>Puts all Pokémon on the field to sleep.</t>
  </si>
  <si>
    <t>Lowers opponent's Evasiveness and clears fog.</t>
  </si>
  <si>
    <t>Draco Meteor</t>
  </si>
  <si>
    <t>Opponent cannot use items.</t>
  </si>
  <si>
    <t>Only hits if opponent uses Protect or Detect in the same turn.</t>
  </si>
  <si>
    <t>May cause flinching and/or burn opponent.</t>
  </si>
  <si>
    <t>User receives recoil damage. May burn opponent.</t>
  </si>
  <si>
    <t>Power depends on held item.</t>
  </si>
  <si>
    <t>Cancels out the effect of the opponent's Ability.</t>
  </si>
  <si>
    <t>Prevents moves like Fly and Bounce and the Ability Levitate for 5 turns.</t>
  </si>
  <si>
    <t>User and opponent swap Defense and Special Defense.</t>
  </si>
  <si>
    <t>The slower the opponent, the stronger the attack.</t>
  </si>
  <si>
    <t>Lowers user's Speed.</t>
  </si>
  <si>
    <t>Prevents the opponent from restoring HP for 5 turns.</t>
  </si>
  <si>
    <t>Recovers half of the user's max HP.</t>
  </si>
  <si>
    <t>The user faints and the next Pokémon released is fully healed.</t>
  </si>
  <si>
    <t>Stat changes are swapped with the opponent.</t>
  </si>
  <si>
    <t>May cause flinching and/or freeze opponent.</t>
  </si>
  <si>
    <t>Type depends on the Arceus Plate being held.</t>
  </si>
  <si>
    <t>Can only be used after all other moves are used.</t>
  </si>
  <si>
    <t>Opponent cannot land critical hits for 5 turns.</t>
  </si>
  <si>
    <t>The user faints but the next Pokémon released is fully healed.</t>
  </si>
  <si>
    <t>User becomes immune to Ground-type moves for 5 turns.</t>
  </si>
  <si>
    <t>User copies the opponent's attack with 1.5× power.</t>
  </si>
  <si>
    <t>Deals damage equal to 1.5x opponent's attack.</t>
  </si>
  <si>
    <t>Resets opponent's Evasiveness, removes Dark's Psychic immunity.</t>
  </si>
  <si>
    <t>Sharply raises user's Special Attack.</t>
  </si>
  <si>
    <t>Power and type depend on the user's held berry.</t>
  </si>
  <si>
    <t>Power doubles if the user was attacked first.</t>
  </si>
  <si>
    <t>If the opponent is holding a berry, its effect is stolen by user.</t>
  </si>
  <si>
    <t>User and opponent swap Attack and Special Attack.</t>
  </si>
  <si>
    <t>User's own Attack and Defense switch.</t>
  </si>
  <si>
    <t>Gives the opponent the user's status condition, if it hits.</t>
  </si>
  <si>
    <t>Power increases when opponent's stats have been raised.</t>
  </si>
  <si>
    <t>User recovers 50% of its max HP. Flying-type users are not immune to Ground-type moves immediately following this move.</t>
  </si>
  <si>
    <t>Disappears on first turn, attacks on second. Can strike through Protect/Detect.</t>
  </si>
  <si>
    <t>Damages opponent switching into battle.</t>
  </si>
  <si>
    <t>User attacks first, but only works if opponent is readying an attack.</t>
  </si>
  <si>
    <t>Doubles Speed for 4 turns.</t>
  </si>
  <si>
    <t>May cause flinching and/or paralyze opponent.</t>
  </si>
  <si>
    <t>Poisons opponents when they switch into battle.</t>
  </si>
  <si>
    <t>Slower Pokémon move first in the turn for 5 turns.</t>
  </si>
  <si>
    <t>The lower the PP, the higher the power.</t>
  </si>
  <si>
    <t>User switches out immediately after attacking.</t>
  </si>
  <si>
    <t>Power doubles if used on a sleeping opponent, but wakes it up.</t>
  </si>
  <si>
    <t>Changes the opponent's Ability to Insomnia.</t>
  </si>
  <si>
    <t>The higher the opponent's HP, the higher the damage.</t>
  </si>
  <si>
    <t>Stronger when the user does not have a held item.</t>
  </si>
  <si>
    <t>Gives target priority in the next turn.</t>
  </si>
  <si>
    <t>User switches with opposite teammate.</t>
  </si>
  <si>
    <t>Halves weight and sharply raises Speed.</t>
  </si>
  <si>
    <t>Gives the user's held item to the target.</t>
  </si>
  <si>
    <t>Ignores opponent's stat changes.</t>
  </si>
  <si>
    <t>Removes all of the target's stat changes.</t>
  </si>
  <si>
    <t>Raises user's Attack, Defense and Accuracy.</t>
  </si>
  <si>
    <t>Drastically raises user's Defense.</t>
  </si>
  <si>
    <t>Power increases each turn if multiple Pokémon in the team also use it.</t>
  </si>
  <si>
    <t>The faster the user, the stronger the attack.</t>
  </si>
  <si>
    <t>Makes target's ability same as user's.</t>
  </si>
  <si>
    <t>Inflicts damage equal to the user's remaining HP. User faints.</t>
  </si>
  <si>
    <t>Fire Pledge</t>
  </si>
  <si>
    <t>Added effects appear if combined with Grass Pledge or Water Pledge.</t>
  </si>
  <si>
    <t>May also injure nearby Pokémon.</t>
  </si>
  <si>
    <t>Raises user's Speed.</t>
  </si>
  <si>
    <t>Uses the opponent's Attack stat.</t>
  </si>
  <si>
    <t>Charges on first turn, attacks on second. May paralyze opponent.</t>
  </si>
  <si>
    <t>Always results in a critical hit.</t>
  </si>
  <si>
    <t>Power increases if Fusion Flare is used in the same turn.</t>
  </si>
  <si>
    <t>Power increases if Fusion Bolt is used in the same turn.</t>
  </si>
  <si>
    <t>Grass Pledge</t>
  </si>
  <si>
    <t>Added effects appear if preceded by Water Pledge or succeeded by Fire Pledge.</t>
  </si>
  <si>
    <t>Averages Defense and Special Defense with the target.</t>
  </si>
  <si>
    <t>Restores half the target's max HP.</t>
  </si>
  <si>
    <t>The heavier the user, the stronger the attack.</t>
  </si>
  <si>
    <t>Inflicts more damage if the target has a status condition.</t>
  </si>
  <si>
    <t>Raises user's Attack and Accuracy.</t>
  </si>
  <si>
    <t>Charges on first turn, attacks on second. May burn opponent.</t>
  </si>
  <si>
    <t>Destroys the target's held berry.</t>
  </si>
  <si>
    <t>Suppresses the effects of held items for five turns.</t>
  </si>
  <si>
    <t>Averages Attack and Special Attack with the target.</t>
  </si>
  <si>
    <t>Inflicts damage based on the target's Defense, not Special Defense.</t>
  </si>
  <si>
    <t>Makes the target act last this turn.</t>
  </si>
  <si>
    <t>Fast moves won't damage the user or its teammates.</t>
  </si>
  <si>
    <t>Raises user's Special Attack, Special Defense and Speed.</t>
  </si>
  <si>
    <t>Forces attacks to hit user, not team-mates.</t>
  </si>
  <si>
    <t>User becomes the target's type.</t>
  </si>
  <si>
    <t>Relic Song</t>
  </si>
  <si>
    <t>May put the target to sleep.</t>
  </si>
  <si>
    <t>Inflicts double damage if a teammate fainted on the last turn.</t>
  </si>
  <si>
    <t>Secret Sword</t>
  </si>
  <si>
    <t>Sharply raises user's Attack, Special Attack and Speed but lowers Defense and Special Defense.</t>
  </si>
  <si>
    <t>Raises user's Attack and sharply raises Speed.</t>
  </si>
  <si>
    <t>Changes target's ability to Simple.</t>
  </si>
  <si>
    <t>Takes opponent into the air on first turn, drops them on second turn.</t>
  </si>
  <si>
    <t>Makes Flying-type Pokémon vulnerable to Ground moves.</t>
  </si>
  <si>
    <t>Lowers opponent's Special Attack.</t>
  </si>
  <si>
    <t>Changes the target's type to water.</t>
  </si>
  <si>
    <t>Power increases when user's stats have been raised.</t>
  </si>
  <si>
    <t>Hits any Pokémon that shares a type with the user.</t>
  </si>
  <si>
    <t>If the user is holding a plate, the damage inflicted will match it.</t>
  </si>
  <si>
    <t>Ignores opponent's Evasiveness for three turns, add Ground immunity.</t>
  </si>
  <si>
    <t>V-create</t>
  </si>
  <si>
    <t>Lowers user's Defense, Special Defense and Speed.</t>
  </si>
  <si>
    <t>Inflicts double damage if the target is poisoned.</t>
  </si>
  <si>
    <t>User must switch out after attacking.</t>
  </si>
  <si>
    <t>Water Pledge</t>
  </si>
  <si>
    <t>Added effects appear if preceded by Fire Pledge or succeeded by Grass Pledge.</t>
  </si>
  <si>
    <t>Protects the user's team from multi-target attacks.</t>
  </si>
  <si>
    <t>Swaps every Pokémon's Defense and Special Defense for 5 turns.</t>
  </si>
  <si>
    <t>Raises Special Attack of teammates.</t>
  </si>
  <si>
    <t>Always goes first. Lowers the target's attack.</t>
  </si>
  <si>
    <t>Requires a held Berry to attack.</t>
  </si>
  <si>
    <t>Hits all Pokémon on the field.</t>
  </si>
  <si>
    <t>Protects the Pokémon from status moves.</t>
  </si>
  <si>
    <t>User recovers over half the HP inflicted on opponent.</t>
  </si>
  <si>
    <t>Sharply lowers opponent's Special Attack.</t>
  </si>
  <si>
    <t>Prevents all Pokémon from falling asleep for 5 turns.</t>
  </si>
  <si>
    <t>Changes the target's move to Electric type.</t>
  </si>
  <si>
    <t>Prevents fleeing in the next turn.</t>
  </si>
  <si>
    <t>Sharply raises user's Attack if target is KO'd.</t>
  </si>
  <si>
    <t>Raises Defense of all Grass-type Pokémon on the field.</t>
  </si>
  <si>
    <t>Deals Fighting and Flying type damage.</t>
  </si>
  <si>
    <t>Turns opponents into Grass type.</t>
  </si>
  <si>
    <t>May freeze opponent. Super-effective against Water types.</t>
  </si>
  <si>
    <t>Charges on first turn, sharply raises user's Sp. Attack, Sp. Defense and Speed on the second.</t>
  </si>
  <si>
    <t xml:space="preserve">Restores a little HP of all Pokémon for 5 turns. </t>
  </si>
  <si>
    <t>Changes Normal-type moves to Electric-type.</t>
  </si>
  <si>
    <t>Protects against attacks, and lowers opponent's Attack on contact moves.</t>
  </si>
  <si>
    <t>Raises Defense and Sp. Defense of Plus/Minus Pokémon.</t>
  </si>
  <si>
    <t>Protects teammates from damaging moves.</t>
  </si>
  <si>
    <t>Protects the field from status conditions for 5 turns.</t>
  </si>
  <si>
    <t>Lowers opponent's Attack and Special Attack.</t>
  </si>
  <si>
    <t>User recovers most of the HP inflicted on opponent.</t>
  </si>
  <si>
    <t xml:space="preserve">Lowers opponent's Attack and Special Attack then switches out. </t>
  </si>
  <si>
    <t>Lowers opponent's Attack. Always hits.</t>
  </si>
  <si>
    <t>Damages Pokémon using Fire type moves.</t>
  </si>
  <si>
    <t>Raises Attack.</t>
  </si>
  <si>
    <t>Raises Attack and Special Attack of Grass-types.</t>
  </si>
  <si>
    <t>Protects user and inflicts damage on contact moves.</t>
  </si>
  <si>
    <t>Lowers opponent's Speed when switching into battle.</t>
  </si>
  <si>
    <t>Reverses stat changes of opponent.</t>
  </si>
  <si>
    <t>Turns opponents into Ghost type.</t>
  </si>
  <si>
    <t>Lowers poisoned opponent's Special Attack and Speed.</t>
  </si>
  <si>
    <t>Absorb Bulb</t>
  </si>
  <si>
    <t>A consumable bulb. If the holder is hit by a Water-type move, its Sp. Atk will rise.</t>
  </si>
  <si>
    <t>Aerialate</t>
  </si>
  <si>
    <t>Turns Normal-type moves into Flying-type moves.</t>
  </si>
  <si>
    <t>Analytic</t>
  </si>
  <si>
    <t>Boosts move power when the Pokémon moves last.</t>
  </si>
  <si>
    <t>Aroma Veil</t>
  </si>
  <si>
    <t>Protects allies from attacks that limit their move choices.</t>
  </si>
  <si>
    <t>Aura Break</t>
  </si>
  <si>
    <t>The effects of “Aura” Abilities are reversed.</t>
  </si>
  <si>
    <t>Big Pecks</t>
  </si>
  <si>
    <t>Protects the Pokémon from Defense-lowering attacks.</t>
  </si>
  <si>
    <t>Bulletproof</t>
  </si>
  <si>
    <t>Protects the Pokémon from ball and bomb moves.</t>
  </si>
  <si>
    <t>Cheek Pouch</t>
  </si>
  <si>
    <t>Restores additional HP when a Berry is consumed.</t>
  </si>
  <si>
    <t>Competitive</t>
  </si>
  <si>
    <t>Raises Special Attack when the Pokémon's stats are lowered.</t>
  </si>
  <si>
    <t>Contrary</t>
  </si>
  <si>
    <t>Makes stat changes have an opposite effect.</t>
  </si>
  <si>
    <t>Cursed Body</t>
  </si>
  <si>
    <t>May disable a move used on the Pokémon.</t>
  </si>
  <si>
    <t>Dark Aura</t>
  </si>
  <si>
    <t>Raises power of Dark type moves for all Pokémon in battle.</t>
  </si>
  <si>
    <t>Defeatist</t>
  </si>
  <si>
    <t>Lowers stats when HP becomes half or less.</t>
  </si>
  <si>
    <t>Defiant</t>
  </si>
  <si>
    <t>When its stats are lowered its Attack increases.</t>
  </si>
  <si>
    <t>Fairy Aura</t>
  </si>
  <si>
    <t>Raises power of Fairy type moves for all Pokémon in battle.</t>
  </si>
  <si>
    <t>Flare Boost</t>
  </si>
  <si>
    <t>Powers up special attacks when burned.</t>
  </si>
  <si>
    <t>Flower Veil</t>
  </si>
  <si>
    <t>Prevents lowering of ally Grass-type Pokémon's stats.</t>
  </si>
  <si>
    <t>Friend Guard</t>
  </si>
  <si>
    <t>Reduces damage done to allies.</t>
  </si>
  <si>
    <t>Fur Coat</t>
  </si>
  <si>
    <t>Reduces damage from physical moves.</t>
  </si>
  <si>
    <t>Gale Wings</t>
  </si>
  <si>
    <t>Gives priority to Flying-type moves.</t>
  </si>
  <si>
    <t>Gooey</t>
  </si>
  <si>
    <t>Contact with the Pokémon lowers the attacker's Speed stat.</t>
  </si>
  <si>
    <t>Grass Pelt</t>
  </si>
  <si>
    <t>Boosts the Defense stat in Grassy Terrain.</t>
  </si>
  <si>
    <t>Harvest</t>
  </si>
  <si>
    <t>May create another Berry after one is used.</t>
  </si>
  <si>
    <t>Healer</t>
  </si>
  <si>
    <t>May heal an ally's status conditions.</t>
  </si>
  <si>
    <t>Heavy Metal</t>
  </si>
  <si>
    <t>Doubles the Pokémon's weight.</t>
  </si>
  <si>
    <t>Illusion</t>
  </si>
  <si>
    <t>Comes out disguised as the Pokémon in back.</t>
  </si>
  <si>
    <t>Imposter</t>
  </si>
  <si>
    <t>It transforms itself into the Pokémon it is facing.</t>
  </si>
  <si>
    <t>Infiltrator</t>
  </si>
  <si>
    <t>Passes through the foe's barrier and strikes.</t>
  </si>
  <si>
    <t>Iron Barbs</t>
  </si>
  <si>
    <t>Inflicts damage to the Pokémon on contact.</t>
  </si>
  <si>
    <t>Justified</t>
  </si>
  <si>
    <t>Raises Attack when hit by a Dark-type move.</t>
  </si>
  <si>
    <t>Light Metal</t>
  </si>
  <si>
    <t>Halves the Pokémon's weight.</t>
  </si>
  <si>
    <t>Magic Bounce</t>
  </si>
  <si>
    <t>Reflects status- changing moves.</t>
  </si>
  <si>
    <t>Magician</t>
  </si>
  <si>
    <t>The Pokémon steals the held item of a Pokémon it hits with a move.</t>
  </si>
  <si>
    <t>Mega Launcher</t>
  </si>
  <si>
    <t>Boosts the power of aura and pulse moves.</t>
  </si>
  <si>
    <t>Moody</t>
  </si>
  <si>
    <t>Raises one stat and lowers another.</t>
  </si>
  <si>
    <t>Moxie</t>
  </si>
  <si>
    <t>Boosts Attack after knocking out any Pokémon.</t>
  </si>
  <si>
    <t>Multiscale</t>
  </si>
  <si>
    <t>Reduces damage when HP is full.</t>
  </si>
  <si>
    <t>Mummy</t>
  </si>
  <si>
    <t>Contact with this Pokémon spreads this Ability.</t>
  </si>
  <si>
    <t>Overcoat</t>
  </si>
  <si>
    <t>Protects the Pokémon from damage from weather.</t>
  </si>
  <si>
    <t>Parental Bond</t>
  </si>
  <si>
    <t>Allows the Pokémon to attack twice.</t>
  </si>
  <si>
    <t>Pickpocket</t>
  </si>
  <si>
    <t>Steals an item when hit by another Pokémon.</t>
  </si>
  <si>
    <t>Pixilate</t>
  </si>
  <si>
    <t>Turns Normal-type moves into Fairy-type moves.</t>
  </si>
  <si>
    <t>Poison Touch</t>
  </si>
  <si>
    <t>May poison targets when a Pokémon makes contact.</t>
  </si>
  <si>
    <t>Prankster</t>
  </si>
  <si>
    <t>Gives priority to a status move.</t>
  </si>
  <si>
    <t>Protean</t>
  </si>
  <si>
    <t>Changes the Pokémon's type to its last used move.</t>
  </si>
  <si>
    <t>Rattled</t>
  </si>
  <si>
    <t>Bug, Ghost or Dark type moves scare it and boost its Speed.</t>
  </si>
  <si>
    <t>Refrigerate</t>
  </si>
  <si>
    <t>Turns Normal-type moves into Ice-type moves.</t>
  </si>
  <si>
    <t>Regenerator</t>
  </si>
  <si>
    <t>Restores a little HP when withdrawn from battle.</t>
  </si>
  <si>
    <t>Sand Force</t>
  </si>
  <si>
    <t>Boosts certain moves' power in a sandstorm.</t>
  </si>
  <si>
    <t>Sand Rush</t>
  </si>
  <si>
    <t>Boosts the Pokémon's Speed in a sandstorm.</t>
  </si>
  <si>
    <t>Sap Sipper</t>
  </si>
  <si>
    <t>Boosts Attack when hit by a Grass-type move.</t>
  </si>
  <si>
    <t>Sheer Force</t>
  </si>
  <si>
    <t>Removes added effects to increase move damage.</t>
  </si>
  <si>
    <t>Stance Change</t>
  </si>
  <si>
    <t>The Pokémon changes form depending on how it battles.</t>
  </si>
  <si>
    <t>Strong Jaw</t>
  </si>
  <si>
    <t>Boosts the power of biting moves.</t>
  </si>
  <si>
    <t>Sweet Veil</t>
  </si>
  <si>
    <t>Prevents the Pokémon and allies from falling asleep.</t>
  </si>
  <si>
    <t>Symbiosis</t>
  </si>
  <si>
    <t>The Pokémon can pass an item to an ally.</t>
  </si>
  <si>
    <t>Telepathy</t>
  </si>
  <si>
    <t>Anticipates an ally's attack and dodges it.</t>
  </si>
  <si>
    <t>Teravolt</t>
  </si>
  <si>
    <t>Tough Claws</t>
  </si>
  <si>
    <t>Boosts the power of contact moves.</t>
  </si>
  <si>
    <t>Toxic Boost</t>
  </si>
  <si>
    <t>Powers up physical attacks when poisoned.</t>
  </si>
  <si>
    <t>Turboblaze</t>
  </si>
  <si>
    <t>Unnerve</t>
  </si>
  <si>
    <t>Makes the foe nervous and unable to eat Berries.</t>
  </si>
  <si>
    <t>Victory Star</t>
  </si>
  <si>
    <t>Boosts the accuracy of its allies and itself.</t>
  </si>
  <si>
    <t>Weak Armor</t>
  </si>
  <si>
    <t>Physical attacks lower Defense and raise Speed.</t>
  </si>
  <si>
    <t>Wonder Skin</t>
  </si>
  <si>
    <t>Makes status-changing moves more likely to miss.</t>
  </si>
  <si>
    <t>Zen Mode</t>
  </si>
  <si>
    <t>Changes the Pokémon's shape when HP is halved.</t>
  </si>
  <si>
    <t>B</t>
  </si>
  <si>
    <t>C</t>
  </si>
  <si>
    <t>D</t>
  </si>
  <si>
    <t>A</t>
  </si>
  <si>
    <t>@</t>
  </si>
  <si>
    <t>Deoxys</t>
  </si>
  <si>
    <t>Wormadam</t>
  </si>
  <si>
    <t>Porygon-z</t>
  </si>
  <si>
    <t>Giratina</t>
  </si>
  <si>
    <t>Shaymin</t>
  </si>
  <si>
    <t>Darmanitan</t>
  </si>
  <si>
    <t>Tornadus</t>
  </si>
  <si>
    <t>Thundurus</t>
  </si>
  <si>
    <t>Landorus</t>
  </si>
  <si>
    <t>Kyurem</t>
  </si>
  <si>
    <t>Keldeo</t>
  </si>
  <si>
    <t>Meloetta</t>
  </si>
  <si>
    <t>Meowstic</t>
  </si>
  <si>
    <t>Aegislash</t>
  </si>
  <si>
    <t>Pumpkaboo</t>
  </si>
  <si>
    <t>Gourgeist</t>
  </si>
  <si>
    <t>DEV:AbilityRange</t>
  </si>
  <si>
    <t>http://img.pokemondb.net/sprites/black-white/normal/bulbasaur.png</t>
  </si>
  <si>
    <t>---LEVEL---</t>
  </si>
  <si>
    <t>---HM---</t>
  </si>
  <si>
    <t>---TM---</t>
  </si>
  <si>
    <t>---EGG---</t>
  </si>
  <si>
    <t>---TUTOR---</t>
  </si>
  <si>
    <t>---PREVO---</t>
  </si>
  <si>
    <t>---SPECIAL---</t>
  </si>
  <si>
    <t>---DREAM---</t>
  </si>
  <si>
    <t>Red/Blue</t>
  </si>
  <si>
    <t>AT</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</si>
</sst>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0"/>
      <name val="Calibri"/>
      <family val="2"/>
      <scheme val="minor"/>
    </font>
    <font>
      <b/>
      <sz val="11"/>
      <color theme="1"/>
      <name val="Calibri"/>
      <family val="2"/>
      <scheme val="minor"/>
    </font>
    <font>
      <b/>
      <sz val="12"/>
      <color theme="1"/>
      <name val="Adobe Gothic Std B"/>
      <family val="2"/>
      <charset val="128"/>
    </font>
    <font>
      <b/>
      <sz val="15"/>
      <color theme="3"/>
      <name val="Calibri"/>
      <family val="2"/>
      <scheme val="minor"/>
    </font>
    <font>
      <b/>
      <sz val="13"/>
      <color theme="3"/>
      <name val="Calibri"/>
      <family val="2"/>
      <scheme val="minor"/>
    </font>
    <font>
      <b/>
      <sz val="11"/>
      <color theme="3"/>
      <name val="Calibri"/>
      <family val="2"/>
      <scheme val="minor"/>
    </font>
    <font>
      <b/>
      <sz val="24"/>
      <color theme="3"/>
      <name val="Calibri"/>
      <family val="2"/>
      <scheme val="minor"/>
    </font>
    <font>
      <b/>
      <sz val="12"/>
      <color theme="3"/>
      <name val="Calibri"/>
      <family val="2"/>
      <scheme val="minor"/>
    </font>
    <font>
      <sz val="11"/>
      <color theme="1"/>
      <name val="Calibri"/>
      <family val="2"/>
      <scheme val="minor"/>
    </font>
    <font>
      <b/>
      <sz val="16"/>
      <color theme="1"/>
      <name val="Calibri"/>
      <family val="2"/>
      <scheme val="minor"/>
    </font>
    <font>
      <b/>
      <sz val="14"/>
      <color theme="1"/>
      <name val="Calibri"/>
      <family val="2"/>
      <scheme val="minor"/>
    </font>
    <font>
      <u/>
      <sz val="11"/>
      <color theme="10"/>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2"/>
      <color rgb="FF000000"/>
      <name val="Calibri"/>
      <family val="2"/>
    </font>
    <font>
      <sz val="11"/>
      <color rgb="FF000000"/>
      <name val="Calibri"/>
      <family val="2"/>
    </font>
    <font>
      <sz val="8"/>
      <color rgb="FF000000"/>
      <name val="Tahoma"/>
      <family val="2"/>
    </font>
  </fonts>
  <fills count="14">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0" tint="-0.14996795556505021"/>
        <bgColor indexed="64"/>
      </patternFill>
    </fill>
    <fill>
      <patternFill patternType="solid">
        <fgColor theme="9"/>
        <bgColor indexed="64"/>
      </patternFill>
    </fill>
    <fill>
      <patternFill patternType="solid">
        <fgColor rgb="FFFFFFCC"/>
      </patternFill>
    </fill>
    <fill>
      <patternFill patternType="solid">
        <fgColor theme="8" tint="0.59996337778862885"/>
        <bgColor indexed="64"/>
      </patternFill>
    </fill>
    <fill>
      <patternFill patternType="solid">
        <fgColor theme="3"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8" tint="0.79998168889431442"/>
        <bgColor indexed="65"/>
      </patternFill>
    </fill>
    <fill>
      <patternFill patternType="solid">
        <fgColor theme="4"/>
        <bgColor theme="4"/>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style="thin">
        <color auto="1"/>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ck">
        <color theme="8" tint="0.39994506668294322"/>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bottom style="thin">
        <color indexed="64"/>
      </bottom>
      <diagonal/>
    </border>
    <border>
      <left style="thin">
        <color rgb="FFB2B2B2"/>
      </left>
      <right style="thin">
        <color rgb="FFB2B2B2"/>
      </right>
      <top style="thin">
        <color rgb="FFB2B2B2"/>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auto="1"/>
      </right>
      <top style="thin">
        <color auto="1"/>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4" tint="0.39997558519241921"/>
      </top>
      <bottom style="thin">
        <color theme="4" tint="0.39997558519241921"/>
      </bottom>
      <diagonal/>
    </border>
    <border>
      <left style="thin">
        <color theme="4" tint="0.39997558519241921"/>
      </left>
      <right style="thin">
        <color theme="0" tint="-0.34998626667073579"/>
      </right>
      <top style="thin">
        <color theme="4" tint="0.39997558519241921"/>
      </top>
      <bottom style="thin">
        <color theme="4" tint="0.39997558519241921"/>
      </bottom>
      <diagonal/>
    </border>
    <border>
      <left style="thin">
        <color theme="4" tint="0.39997558519241921"/>
      </left>
      <right style="thin">
        <color theme="0" tint="-0.34998626667073579"/>
      </right>
      <top style="thin">
        <color theme="0" tint="-0.34998626667073579"/>
      </top>
      <bottom style="thin">
        <color theme="0" tint="-0.34998626667073579"/>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s>
  <cellStyleXfs count="10">
    <xf numFmtId="0" fontId="0" fillId="0" borderId="0"/>
    <xf numFmtId="0" fontId="4" fillId="0" borderId="11" applyNumberFormat="0" applyFill="0" applyAlignment="0" applyProtection="0"/>
    <xf numFmtId="0" fontId="5" fillId="0" borderId="12" applyNumberFormat="0" applyFill="0" applyAlignment="0" applyProtection="0"/>
    <xf numFmtId="0" fontId="6" fillId="0" borderId="13" applyNumberFormat="0" applyFill="0" applyAlignment="0" applyProtection="0"/>
    <xf numFmtId="0" fontId="9" fillId="6" borderId="15" applyNumberFormat="0" applyFont="0" applyAlignment="0" applyProtection="0"/>
    <xf numFmtId="0" fontId="12" fillId="0" borderId="0" applyNumberFormat="0" applyFill="0" applyBorder="0" applyAlignment="0" applyProtection="0"/>
    <xf numFmtId="0" fontId="14" fillId="9" borderId="0" applyNumberFormat="0" applyBorder="0" applyAlignment="0" applyProtection="0"/>
    <xf numFmtId="0" fontId="15" fillId="10" borderId="0" applyNumberFormat="0" applyBorder="0" applyAlignment="0" applyProtection="0"/>
    <xf numFmtId="0" fontId="16" fillId="11" borderId="0" applyNumberFormat="0" applyBorder="0" applyAlignment="0" applyProtection="0"/>
    <xf numFmtId="0" fontId="9" fillId="12" borderId="0" applyNumberFormat="0" applyBorder="0" applyAlignment="0" applyProtection="0"/>
  </cellStyleXfs>
  <cellXfs count="129">
    <xf numFmtId="0" fontId="0" fillId="0" borderId="0" xfId="0"/>
    <xf numFmtId="0" fontId="0" fillId="0" borderId="0" xfId="0" applyAlignment="1">
      <alignment horizontal="center" vertical="center"/>
    </xf>
    <xf numFmtId="0" fontId="2" fillId="0" borderId="0" xfId="0" applyFont="1"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2" fillId="4" borderId="2" xfId="0" applyFont="1" applyFill="1" applyBorder="1"/>
    <xf numFmtId="0" fontId="2" fillId="4" borderId="8" xfId="0" applyFont="1" applyFill="1" applyBorder="1"/>
    <xf numFmtId="0" fontId="2" fillId="4" borderId="3" xfId="0" applyFont="1" applyFill="1" applyBorder="1"/>
    <xf numFmtId="0" fontId="2" fillId="4" borderId="4" xfId="0" applyFont="1" applyFill="1" applyBorder="1"/>
    <xf numFmtId="0" fontId="2" fillId="4" borderId="0" xfId="0" applyFont="1" applyFill="1" applyBorder="1"/>
    <xf numFmtId="0" fontId="2" fillId="4" borderId="5" xfId="0" applyFont="1" applyFill="1" applyBorder="1"/>
    <xf numFmtId="0" fontId="2" fillId="4" borderId="6" xfId="0" applyFont="1" applyFill="1" applyBorder="1"/>
    <xf numFmtId="0" fontId="2" fillId="4" borderId="9" xfId="0" applyFont="1" applyFill="1" applyBorder="1"/>
    <xf numFmtId="0" fontId="2" fillId="4" borderId="2" xfId="0" applyFont="1" applyFill="1" applyBorder="1" applyAlignment="1">
      <alignment horizontal="left" vertical="center"/>
    </xf>
    <xf numFmtId="0" fontId="2" fillId="4" borderId="4" xfId="0" applyFont="1" applyFill="1" applyBorder="1" applyAlignment="1">
      <alignment horizontal="left" vertical="center"/>
    </xf>
    <xf numFmtId="0" fontId="2" fillId="4" borderId="4" xfId="0" applyFont="1" applyFill="1" applyBorder="1" applyAlignment="1">
      <alignment horizontal="left"/>
    </xf>
    <xf numFmtId="0" fontId="0" fillId="0" borderId="10" xfId="0" quotePrefix="1" applyFill="1" applyBorder="1" applyAlignment="1">
      <alignment horizontal="center" vertical="center"/>
    </xf>
    <xf numFmtId="0" fontId="0" fillId="0" borderId="0" xfId="0" applyAlignment="1" applyProtection="1">
      <alignment horizontal="center" vertical="center"/>
    </xf>
    <xf numFmtId="0" fontId="0" fillId="0" borderId="0" xfId="0" applyProtection="1"/>
    <xf numFmtId="0" fontId="0" fillId="0" borderId="1" xfId="0" applyBorder="1" applyAlignment="1" applyProtection="1">
      <alignment horizontal="center" vertical="center"/>
    </xf>
    <xf numFmtId="0" fontId="0" fillId="0" borderId="0" xfId="0" applyAlignment="1" applyProtection="1">
      <alignment vertical="center" wrapText="1"/>
    </xf>
    <xf numFmtId="0" fontId="0" fillId="0" borderId="0" xfId="0" applyAlignment="1" applyProtection="1">
      <alignment horizontal="center" vertical="center"/>
      <protection locked="0"/>
    </xf>
    <xf numFmtId="0" fontId="2" fillId="5" borderId="1" xfId="0" applyFont="1" applyFill="1" applyBorder="1" applyProtection="1">
      <protection locked="0"/>
    </xf>
    <xf numFmtId="49" fontId="2" fillId="4" borderId="5" xfId="0" applyNumberFormat="1" applyFont="1" applyFill="1" applyBorder="1" applyAlignment="1" applyProtection="1">
      <alignment horizontal="center" vertical="center"/>
      <protection locked="0"/>
    </xf>
    <xf numFmtId="49" fontId="2" fillId="4" borderId="1" xfId="0" applyNumberFormat="1" applyFont="1" applyFill="1" applyBorder="1" applyAlignment="1" applyProtection="1">
      <alignment horizontal="center" vertical="center"/>
      <protection locked="0"/>
    </xf>
    <xf numFmtId="49" fontId="1" fillId="4" borderId="7" xfId="0" applyNumberFormat="1" applyFont="1" applyFill="1" applyBorder="1" applyAlignment="1" applyProtection="1">
      <alignment horizontal="center" vertical="center"/>
      <protection locked="0"/>
    </xf>
    <xf numFmtId="0" fontId="0" fillId="0" borderId="0" xfId="0" applyAlignment="1">
      <alignment horizontal="left" vertical="top"/>
    </xf>
    <xf numFmtId="0" fontId="3" fillId="2" borderId="0" xfId="0" applyFont="1" applyFill="1" applyAlignment="1">
      <alignment horizontal="center" vertical="center"/>
    </xf>
    <xf numFmtId="0" fontId="0" fillId="0" borderId="0" xfId="0" applyAlignment="1"/>
    <xf numFmtId="0" fontId="0" fillId="0" borderId="0" xfId="0" applyAlignment="1">
      <alignment vertical="center" wrapText="1"/>
    </xf>
    <xf numFmtId="0" fontId="0" fillId="0" borderId="0" xfId="0" applyAlignment="1" applyProtection="1">
      <alignment horizontal="center" vertical="center"/>
    </xf>
    <xf numFmtId="0" fontId="0" fillId="0" borderId="0" xfId="0" applyAlignment="1">
      <alignment horizontal="center" wrapText="1"/>
    </xf>
    <xf numFmtId="0" fontId="0" fillId="0" borderId="0" xfId="0" applyAlignment="1">
      <alignment horizontal="left" vertical="center"/>
    </xf>
    <xf numFmtId="0" fontId="6" fillId="0" borderId="13" xfId="3" applyAlignment="1"/>
    <xf numFmtId="0" fontId="0" fillId="0" borderId="0" xfId="0" quotePrefix="1"/>
    <xf numFmtId="0" fontId="0" fillId="7" borderId="0" xfId="0" applyFill="1" applyProtection="1"/>
    <xf numFmtId="0" fontId="3" fillId="7" borderId="0" xfId="0" applyFont="1" applyFill="1" applyAlignment="1" applyProtection="1">
      <alignment horizontal="center"/>
    </xf>
    <xf numFmtId="1" fontId="2" fillId="0" borderId="0" xfId="0" applyNumberFormat="1" applyFont="1" applyAlignment="1">
      <alignment horizontal="center" vertical="center"/>
    </xf>
    <xf numFmtId="0" fontId="2" fillId="7" borderId="0" xfId="0" applyFont="1" applyFill="1" applyAlignment="1" applyProtection="1">
      <alignment horizontal="center" vertical="center"/>
    </xf>
    <xf numFmtId="0" fontId="10" fillId="7" borderId="0" xfId="0" applyFont="1" applyFill="1" applyAlignment="1" applyProtection="1">
      <alignment horizontal="center" vertical="center"/>
    </xf>
    <xf numFmtId="0" fontId="3" fillId="7" borderId="0" xfId="0" applyFont="1" applyFill="1" applyAlignment="1" applyProtection="1">
      <alignment horizontal="center" vertical="center"/>
    </xf>
    <xf numFmtId="0" fontId="2" fillId="0" borderId="0" xfId="0" applyFont="1" applyAlignment="1">
      <alignment horizontal="center"/>
    </xf>
    <xf numFmtId="0" fontId="3" fillId="7" borderId="0" xfId="0" applyFont="1" applyFill="1" applyAlignment="1">
      <alignment horizontal="center" vertical="center"/>
    </xf>
    <xf numFmtId="0" fontId="2" fillId="0" borderId="0" xfId="0" applyFont="1" applyAlignment="1" applyProtection="1">
      <alignment horizontal="center"/>
    </xf>
    <xf numFmtId="0" fontId="0" fillId="0" borderId="16" xfId="0" applyBorder="1" applyAlignment="1" applyProtection="1">
      <alignment horizontal="center" vertical="center"/>
    </xf>
    <xf numFmtId="0" fontId="3" fillId="2" borderId="9" xfId="0" applyFont="1" applyFill="1" applyBorder="1" applyAlignment="1" applyProtection="1">
      <alignment horizontal="center" vertical="top"/>
    </xf>
    <xf numFmtId="0" fontId="0" fillId="0" borderId="0" xfId="0" applyBorder="1" applyAlignment="1">
      <alignment horizontal="center" vertical="center"/>
    </xf>
    <xf numFmtId="0" fontId="3" fillId="2" borderId="0" xfId="0" applyFont="1" applyFill="1" applyBorder="1" applyAlignment="1" applyProtection="1">
      <alignment vertical="top"/>
    </xf>
    <xf numFmtId="0" fontId="2" fillId="0" borderId="0" xfId="0" applyFont="1" applyAlignment="1" applyProtection="1">
      <alignment horizontal="center" vertical="center"/>
    </xf>
    <xf numFmtId="0" fontId="2" fillId="0" borderId="1" xfId="0" applyFont="1" applyBorder="1" applyAlignment="1" applyProtection="1">
      <alignment horizontal="center" vertical="center"/>
    </xf>
    <xf numFmtId="0" fontId="0" fillId="0" borderId="0" xfId="0" applyAlignment="1" applyProtection="1">
      <alignment horizontal="left"/>
    </xf>
    <xf numFmtId="0" fontId="3" fillId="2" borderId="4" xfId="0" applyFont="1" applyFill="1" applyBorder="1" applyAlignment="1" applyProtection="1">
      <alignment horizontal="center" vertical="top"/>
    </xf>
    <xf numFmtId="1" fontId="2" fillId="0" borderId="0" xfId="0" applyNumberFormat="1" applyFont="1" applyAlignment="1" applyProtection="1">
      <alignment horizontal="center" vertical="center"/>
    </xf>
    <xf numFmtId="0" fontId="0" fillId="0" borderId="0" xfId="0" applyBorder="1"/>
    <xf numFmtId="0" fontId="2" fillId="0" borderId="0" xfId="0" applyFont="1"/>
    <xf numFmtId="0" fontId="2" fillId="0" borderId="0" xfId="0" applyFont="1" applyAlignment="1">
      <alignment horizontal="right"/>
    </xf>
    <xf numFmtId="0" fontId="0" fillId="0" borderId="0" xfId="0" applyBorder="1" applyAlignment="1">
      <alignment horizontal="left" vertical="center"/>
    </xf>
    <xf numFmtId="0" fontId="10" fillId="7" borderId="0" xfId="0" applyFont="1" applyFill="1" applyAlignment="1" applyProtection="1">
      <alignment horizontal="center" vertical="center"/>
      <protection locked="0"/>
    </xf>
    <xf numFmtId="0" fontId="10" fillId="7" borderId="0" xfId="0" applyFont="1" applyFill="1" applyAlignment="1" applyProtection="1">
      <alignment horizontal="center" vertical="center"/>
      <protection locked="0"/>
    </xf>
    <xf numFmtId="0" fontId="15" fillId="10" borderId="1" xfId="7" quotePrefix="1" applyBorder="1"/>
    <xf numFmtId="0" fontId="14" fillId="9" borderId="1" xfId="6" quotePrefix="1" applyBorder="1"/>
    <xf numFmtId="0" fontId="15" fillId="10" borderId="19" xfId="7" quotePrefix="1" applyBorder="1"/>
    <xf numFmtId="0" fontId="0" fillId="0" borderId="20" xfId="0" applyBorder="1"/>
    <xf numFmtId="0" fontId="16" fillId="11" borderId="0" xfId="8" applyFont="1" applyBorder="1"/>
    <xf numFmtId="0" fontId="9" fillId="12" borderId="23" xfId="9" applyFont="1" applyBorder="1"/>
    <xf numFmtId="0" fontId="9" fillId="12" borderId="0" xfId="9" applyFont="1" applyBorder="1"/>
    <xf numFmtId="0" fontId="9" fillId="12" borderId="24" xfId="9" applyFont="1" applyBorder="1"/>
    <xf numFmtId="0" fontId="9" fillId="12" borderId="21" xfId="9" applyFont="1" applyBorder="1"/>
    <xf numFmtId="0" fontId="16" fillId="11" borderId="18" xfId="8" applyFont="1" applyBorder="1"/>
    <xf numFmtId="0" fontId="9" fillId="12" borderId="18" xfId="9" applyFont="1" applyBorder="1"/>
    <xf numFmtId="0" fontId="9" fillId="12" borderId="22" xfId="9" applyFont="1" applyBorder="1"/>
    <xf numFmtId="0" fontId="16" fillId="11" borderId="21" xfId="8" applyFont="1" applyBorder="1"/>
    <xf numFmtId="0" fontId="16" fillId="11" borderId="22" xfId="8" applyFont="1" applyBorder="1"/>
    <xf numFmtId="0" fontId="0" fillId="12" borderId="26" xfId="9" applyFont="1" applyFill="1" applyBorder="1"/>
    <xf numFmtId="0" fontId="0" fillId="12" borderId="27" xfId="9" applyFont="1" applyFill="1" applyBorder="1"/>
    <xf numFmtId="0" fontId="16" fillId="11" borderId="18" xfId="8" applyFont="1" applyFill="1" applyBorder="1"/>
    <xf numFmtId="0" fontId="0" fillId="12" borderId="18" xfId="9" applyFont="1" applyFill="1" applyBorder="1"/>
    <xf numFmtId="0" fontId="0" fillId="12" borderId="25" xfId="9" applyFont="1" applyFill="1" applyBorder="1"/>
    <xf numFmtId="0" fontId="16" fillId="11" borderId="26" xfId="8" applyFont="1" applyFill="1" applyBorder="1"/>
    <xf numFmtId="0" fontId="0" fillId="12" borderId="28" xfId="9" applyFont="1" applyFill="1" applyBorder="1"/>
    <xf numFmtId="0" fontId="0" fillId="12" borderId="29" xfId="9" applyFont="1" applyFill="1" applyBorder="1"/>
    <xf numFmtId="0" fontId="16" fillId="11" borderId="29" xfId="8" applyFont="1" applyFill="1" applyBorder="1"/>
    <xf numFmtId="0" fontId="1" fillId="13" borderId="30" xfId="0" applyFont="1" applyFill="1" applyBorder="1" applyAlignment="1">
      <alignment horizontal="center" vertical="center"/>
    </xf>
    <xf numFmtId="0" fontId="1" fillId="13" borderId="31" xfId="0" applyFont="1" applyFill="1" applyBorder="1" applyAlignment="1">
      <alignment horizontal="center" vertical="center"/>
    </xf>
    <xf numFmtId="0" fontId="1" fillId="13" borderId="32" xfId="0" applyFont="1" applyFill="1" applyBorder="1" applyAlignment="1">
      <alignment horizontal="center" vertical="center"/>
    </xf>
    <xf numFmtId="0" fontId="5" fillId="0" borderId="12" xfId="2" applyAlignment="1">
      <alignment horizontal="center" vertical="center"/>
    </xf>
    <xf numFmtId="0" fontId="0" fillId="0" borderId="0" xfId="0" applyAlignment="1">
      <alignment horizontal="center" vertical="center" wrapText="1"/>
    </xf>
    <xf numFmtId="0" fontId="12" fillId="0" borderId="0" xfId="5" applyAlignment="1">
      <alignment horizontal="center"/>
    </xf>
    <xf numFmtId="0" fontId="0" fillId="0" borderId="0" xfId="0" applyAlignment="1">
      <alignment horizontal="center"/>
    </xf>
    <xf numFmtId="0" fontId="12" fillId="0" borderId="0" xfId="5" applyAlignment="1">
      <alignment horizontal="center" vertical="center"/>
    </xf>
    <xf numFmtId="0" fontId="0" fillId="0" borderId="0" xfId="0" applyAlignment="1">
      <alignment horizontal="center" vertical="center" wrapText="1"/>
    </xf>
    <xf numFmtId="0" fontId="7" fillId="0" borderId="14" xfId="1" applyFont="1" applyFill="1" applyBorder="1" applyAlignment="1">
      <alignment horizontal="center"/>
    </xf>
    <xf numFmtId="0" fontId="8" fillId="0" borderId="0" xfId="1" applyFont="1" applyFill="1" applyBorder="1" applyAlignment="1">
      <alignment horizontal="center" vertical="top"/>
    </xf>
    <xf numFmtId="0" fontId="5" fillId="0" borderId="12" xfId="2" applyAlignment="1">
      <alignment horizontal="center" vertical="center"/>
    </xf>
    <xf numFmtId="0" fontId="5" fillId="0" borderId="12" xfId="2" applyBorder="1" applyAlignment="1">
      <alignment horizontal="center" vertical="center"/>
    </xf>
    <xf numFmtId="0" fontId="13" fillId="6" borderId="17" xfId="4" applyFont="1" applyBorder="1" applyAlignment="1">
      <alignment horizontal="center" vertical="center" wrapText="1"/>
    </xf>
    <xf numFmtId="0" fontId="0" fillId="6" borderId="18" xfId="4" applyFont="1" applyBorder="1" applyAlignment="1">
      <alignment horizontal="center" vertical="center" wrapText="1"/>
    </xf>
    <xf numFmtId="0" fontId="6" fillId="0" borderId="13" xfId="3" applyAlignment="1">
      <alignment horizontal="left"/>
    </xf>
    <xf numFmtId="0" fontId="6" fillId="0" borderId="13" xfId="3" applyAlignment="1">
      <alignment horizontal="left" vertical="center"/>
    </xf>
    <xf numFmtId="0" fontId="12" fillId="0" borderId="0" xfId="5" applyAlignment="1">
      <alignment horizontal="center"/>
    </xf>
    <xf numFmtId="0" fontId="0" fillId="0" borderId="0" xfId="0" applyAlignment="1">
      <alignment horizontal="center"/>
    </xf>
    <xf numFmtId="0" fontId="12" fillId="0" borderId="0" xfId="5" applyAlignment="1">
      <alignment horizontal="center" vertical="center" wrapText="1"/>
    </xf>
    <xf numFmtId="0" fontId="13" fillId="0" borderId="0" xfId="5" applyFont="1" applyAlignment="1">
      <alignment horizontal="center" vertical="center"/>
    </xf>
    <xf numFmtId="0" fontId="12" fillId="0" borderId="0" xfId="5" applyAlignment="1">
      <alignment horizontal="center" vertical="center"/>
    </xf>
    <xf numFmtId="0" fontId="0" fillId="0" borderId="0" xfId="0" quotePrefix="1" applyAlignment="1">
      <alignment horizontal="center" vertical="center" wrapText="1"/>
    </xf>
    <xf numFmtId="0" fontId="10" fillId="7" borderId="0" xfId="0" applyFont="1" applyFill="1" applyAlignment="1" applyProtection="1">
      <alignment horizontal="center" vertical="center"/>
      <protection locked="0"/>
    </xf>
    <xf numFmtId="0" fontId="2" fillId="7" borderId="0" xfId="0" applyFont="1" applyFill="1" applyAlignment="1" applyProtection="1">
      <alignment horizontal="center" vertical="center"/>
      <protection locked="0"/>
    </xf>
    <xf numFmtId="0" fontId="2" fillId="4" borderId="2" xfId="0" applyFont="1" applyFill="1" applyBorder="1" applyAlignment="1">
      <alignment horizontal="center" vertical="center" wrapText="1"/>
    </xf>
    <xf numFmtId="0" fontId="2" fillId="4" borderId="8"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2" fillId="4" borderId="4" xfId="0" applyFont="1" applyFill="1" applyBorder="1" applyAlignment="1">
      <alignment horizontal="center" vertical="center" wrapText="1"/>
    </xf>
    <xf numFmtId="0" fontId="2" fillId="4" borderId="0" xfId="0" applyFont="1" applyFill="1" applyBorder="1" applyAlignment="1">
      <alignment horizontal="center" vertical="center" wrapText="1"/>
    </xf>
    <xf numFmtId="0" fontId="2" fillId="4" borderId="5" xfId="0" applyFont="1" applyFill="1" applyBorder="1" applyAlignment="1">
      <alignment horizontal="center" vertical="center" wrapText="1"/>
    </xf>
    <xf numFmtId="0" fontId="2" fillId="4" borderId="6" xfId="0" applyFont="1" applyFill="1" applyBorder="1" applyAlignment="1">
      <alignment horizontal="center" vertical="center" wrapText="1"/>
    </xf>
    <xf numFmtId="0" fontId="2" fillId="4" borderId="9"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11" fillId="8" borderId="0" xfId="0" applyFont="1" applyFill="1" applyAlignment="1" applyProtection="1">
      <alignment horizontal="center" vertical="center"/>
    </xf>
    <xf numFmtId="0" fontId="2" fillId="3" borderId="2" xfId="0" applyFont="1" applyFill="1" applyBorder="1" applyAlignment="1" applyProtection="1">
      <alignment horizontal="center" vertical="center" wrapText="1"/>
    </xf>
    <xf numFmtId="0" fontId="2" fillId="3" borderId="8" xfId="0" applyFont="1" applyFill="1" applyBorder="1" applyAlignment="1" applyProtection="1">
      <alignment horizontal="center" vertical="center" wrapText="1"/>
    </xf>
    <xf numFmtId="0" fontId="2" fillId="3" borderId="3" xfId="0" applyFont="1" applyFill="1" applyBorder="1" applyAlignment="1" applyProtection="1">
      <alignment horizontal="center" vertical="center" wrapText="1"/>
    </xf>
    <xf numFmtId="0" fontId="2" fillId="3" borderId="4"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5" xfId="0" applyFont="1" applyFill="1" applyBorder="1" applyAlignment="1" applyProtection="1">
      <alignment horizontal="center" vertical="center" wrapText="1"/>
    </xf>
    <xf numFmtId="0" fontId="2" fillId="3" borderId="6" xfId="0" applyFont="1" applyFill="1" applyBorder="1" applyAlignment="1" applyProtection="1">
      <alignment horizontal="center" vertical="center" wrapText="1"/>
    </xf>
    <xf numFmtId="0" fontId="2" fillId="3" borderId="9" xfId="0" applyFont="1" applyFill="1" applyBorder="1" applyAlignment="1" applyProtection="1">
      <alignment horizontal="center" vertical="center" wrapText="1"/>
    </xf>
    <xf numFmtId="0" fontId="2" fillId="3" borderId="7" xfId="0" applyFont="1" applyFill="1" applyBorder="1" applyAlignment="1" applyProtection="1">
      <alignment horizontal="center" vertical="center" wrapText="1"/>
    </xf>
    <xf numFmtId="0" fontId="3" fillId="2" borderId="0" xfId="0" applyFont="1" applyFill="1" applyBorder="1" applyAlignment="1" applyProtection="1">
      <alignment horizontal="left" vertical="top"/>
    </xf>
    <xf numFmtId="0" fontId="3" fillId="2" borderId="0" xfId="0" applyFont="1" applyFill="1" applyBorder="1" applyAlignment="1" applyProtection="1">
      <alignment horizontal="right" vertical="top"/>
    </xf>
    <xf numFmtId="0" fontId="11" fillId="8" borderId="0" xfId="0" applyFont="1" applyFill="1" applyBorder="1" applyAlignment="1" applyProtection="1">
      <alignment horizontal="center" vertical="center"/>
    </xf>
  </cellXfs>
  <cellStyles count="10">
    <cellStyle name="20% - Accent5" xfId="9" builtinId="46"/>
    <cellStyle name="Bad" xfId="7" builtinId="27"/>
    <cellStyle name="Good" xfId="6" builtinId="26"/>
    <cellStyle name="Heading 1" xfId="1" builtinId="16"/>
    <cellStyle name="Heading 2" xfId="2" builtinId="17"/>
    <cellStyle name="Heading 3" xfId="3" builtinId="18"/>
    <cellStyle name="Hyperlink" xfId="5" builtinId="8"/>
    <cellStyle name="Neutral" xfId="8" builtinId="28"/>
    <cellStyle name="Normal" xfId="0" builtinId="0"/>
    <cellStyle name="Note" xfId="4" builtinId="10"/>
  </cellStyles>
  <dxfs count="2494">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A33EA1"/>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rgb="FFE383E3"/>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theme="5" tint="0.59996337778862885"/>
        </patternFill>
      </fill>
    </dxf>
    <dxf>
      <font>
        <b/>
        <i val="0"/>
      </font>
      <fill>
        <patternFill>
          <bgColor theme="7"/>
        </patternFill>
      </fill>
    </dxf>
    <dxf>
      <font>
        <b/>
        <i val="0"/>
      </font>
      <fill>
        <patternFill>
          <bgColor theme="9" tint="-0.24994659260841701"/>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ill>
        <patternFill>
          <fgColor indexed="64"/>
          <bgColor rgb="FF8064A2"/>
        </patternFill>
      </fill>
    </dxf>
    <dxf>
      <fill>
        <patternFill>
          <fgColor indexed="64"/>
          <bgColor rgb="FFE26B0A"/>
        </patternFill>
      </fill>
    </dxf>
    <dxf>
      <fill>
        <patternFill>
          <fgColor indexed="64"/>
          <bgColor rgb="FFE6B8B7"/>
        </patternFill>
      </fill>
    </dxf>
    <dxf>
      <fill>
        <patternFill>
          <fgColor indexed="64"/>
          <bgColor rgb="FF6390F0"/>
        </patternFill>
      </fill>
    </dxf>
    <dxf>
      <fill>
        <patternFill>
          <fgColor indexed="64"/>
          <bgColor rgb="FFB7B7CE"/>
        </patternFill>
      </fill>
    </dxf>
    <dxf>
      <fill>
        <patternFill>
          <fgColor indexed="64"/>
          <bgColor rgb="FFB6A136"/>
        </patternFill>
      </fill>
    </dxf>
    <dxf>
      <fill>
        <patternFill>
          <fgColor indexed="64"/>
          <bgColor rgb="FFA33EA1"/>
        </patternFill>
      </fill>
    </dxf>
    <dxf>
      <fill>
        <patternFill>
          <fgColor indexed="64"/>
          <bgColor rgb="FF96D9D6"/>
        </patternFill>
      </fill>
    </dxf>
    <dxf>
      <fill>
        <patternFill>
          <fgColor indexed="64"/>
          <bgColor rgb="FFE2C74C"/>
        </patternFill>
      </fill>
    </dxf>
    <dxf>
      <fill>
        <patternFill>
          <fgColor indexed="64"/>
          <bgColor rgb="FF7AC74C"/>
        </patternFill>
      </fill>
    </dxf>
    <dxf>
      <fill>
        <patternFill>
          <fgColor indexed="64"/>
          <bgColor rgb="FFA98FF3"/>
        </patternFill>
      </fill>
    </dxf>
    <dxf>
      <fill>
        <patternFill>
          <fgColor indexed="64"/>
          <bgColor rgb="FFC22E28"/>
        </patternFill>
      </fill>
    </dxf>
    <dxf>
      <fill>
        <patternFill>
          <fgColor indexed="64"/>
          <bgColor rgb="FFE383E3"/>
        </patternFill>
      </fill>
    </dxf>
    <dxf>
      <fill>
        <patternFill>
          <fgColor indexed="64"/>
          <bgColor rgb="FFF7D02C"/>
        </patternFill>
      </fill>
    </dxf>
    <dxf>
      <fill>
        <patternFill>
          <fgColor indexed="64"/>
          <bgColor rgb="FF6F35FC"/>
        </patternFill>
      </fill>
    </dxf>
    <dxf>
      <fill>
        <patternFill>
          <fgColor indexed="64"/>
          <bgColor rgb="FF705746"/>
        </patternFill>
      </fill>
    </dxf>
    <dxf>
      <fill>
        <patternFill>
          <fgColor indexed="64"/>
          <bgColor rgb="FFA6B91A"/>
        </patternFill>
      </fill>
    </dxf>
    <dxf>
      <fill>
        <patternFill>
          <fgColor indexed="64"/>
          <bgColor rgb="FFEE8130"/>
        </patternFill>
      </fill>
    </dxf>
    <dxf>
      <fill>
        <patternFill>
          <fgColor indexed="64"/>
          <bgColor rgb="FFA8A77A"/>
        </patternFill>
      </fill>
    </dxf>
    <dxf>
      <fill>
        <patternFill>
          <fgColor indexed="64"/>
          <bgColor rgb="FFF95587"/>
        </patternFill>
      </fill>
    </dxf>
    <dxf>
      <fill>
        <patternFill>
          <fgColor indexed="64"/>
          <bgColor rgb="FF5D538D"/>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A33EA1"/>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A33EA1"/>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A33EA1"/>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A33EA1"/>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A33EA1"/>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A33EA1"/>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font>
      <fill>
        <patternFill>
          <bgColor rgb="FFE383E3"/>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color theme="0"/>
      </font>
      <fill>
        <patternFill>
          <bgColor theme="3"/>
        </patternFill>
      </fill>
      <border>
        <left style="thin">
          <color auto="1"/>
        </left>
        <right style="thin">
          <color auto="1"/>
        </right>
        <top style="thin">
          <color auto="1"/>
        </top>
        <bottom style="thin">
          <color auto="1"/>
        </bottom>
        <vertical/>
        <horizontal/>
      </border>
    </dxf>
    <dxf>
      <font>
        <b/>
        <i val="0"/>
        <strike val="0"/>
      </font>
      <fill>
        <patternFill>
          <bgColor rgb="FFFF0000"/>
        </patternFill>
      </fill>
      <border>
        <left style="thin">
          <color auto="1"/>
        </left>
        <right style="thin">
          <color auto="1"/>
        </right>
        <top style="thin">
          <color auto="1"/>
        </top>
        <bottom style="thin">
          <color auto="1"/>
        </bottom>
        <vertical/>
        <horizontal/>
      </border>
    </dxf>
    <dxf>
      <font>
        <b/>
        <i val="0"/>
        <strike val="0"/>
      </font>
      <fill>
        <patternFill>
          <bgColor rgb="FF00CC00"/>
        </patternFill>
      </fill>
      <border>
        <left style="thin">
          <color auto="1"/>
        </left>
        <right style="thin">
          <color auto="1"/>
        </right>
        <top style="thin">
          <color auto="1"/>
        </top>
        <bottom style="thin">
          <color auto="1"/>
        </bottom>
        <vertical/>
        <horizontal/>
      </border>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A33EA1"/>
        </patternFill>
      </fill>
    </dxf>
    <dxf>
      <font>
        <b/>
        <i val="0"/>
      </font>
      <fill>
        <patternFill>
          <bgColor rgb="FFB6A136"/>
        </patternFill>
      </fill>
    </dxf>
    <dxf>
      <font>
        <b/>
        <i val="0"/>
      </font>
      <fill>
        <patternFill>
          <bgColor rgb="FFB7B7CE"/>
        </patternFill>
      </fill>
    </dxf>
    <dxf>
      <font>
        <b/>
        <i val="0"/>
      </font>
      <fill>
        <patternFill>
          <bgColor rgb="FF6390F0"/>
        </patternFill>
      </fill>
    </dxf>
    <dxf>
      <font>
        <b/>
        <i val="0"/>
        <strike val="0"/>
      </font>
      <fill>
        <patternFill>
          <bgColor rgb="FF5D538D"/>
        </patternFill>
      </fill>
    </dxf>
    <dxf>
      <font>
        <b/>
        <i val="0"/>
      </font>
      <fill>
        <patternFill>
          <bgColor rgb="FFF95587"/>
        </patternFill>
      </fill>
    </dxf>
    <dxf>
      <font>
        <b/>
        <i val="0"/>
      </font>
      <fill>
        <patternFill>
          <bgColor rgb="FFA8A77A"/>
        </patternFill>
      </fill>
    </dxf>
    <dxf>
      <font>
        <b/>
        <i val="0"/>
      </font>
      <fill>
        <patternFill>
          <bgColor rgb="FFEE8130"/>
        </patternFill>
      </fill>
    </dxf>
    <dxf>
      <font>
        <b/>
        <i val="0"/>
      </font>
      <fill>
        <patternFill>
          <bgColor rgb="FFA6B91A"/>
        </patternFill>
      </fill>
    </dxf>
    <dxf>
      <font>
        <b/>
        <i val="0"/>
      </font>
      <fill>
        <patternFill>
          <bgColor rgb="FF705746"/>
        </patternFill>
      </fill>
    </dxf>
    <dxf>
      <font>
        <b/>
        <i val="0"/>
      </font>
      <fill>
        <patternFill>
          <bgColor rgb="FF6F35FC"/>
        </patternFill>
      </fill>
    </dxf>
    <dxf>
      <font>
        <b/>
        <i val="0"/>
      </font>
      <fill>
        <patternFill>
          <bgColor rgb="FFF7D02C"/>
        </patternFill>
      </fill>
    </dxf>
    <dxf>
      <font>
        <b/>
        <i val="0"/>
      </font>
      <fill>
        <patternFill>
          <bgColor rgb="FFC22E28"/>
        </patternFill>
      </fill>
    </dxf>
    <dxf>
      <font>
        <b/>
        <i val="0"/>
      </font>
      <fill>
        <patternFill>
          <bgColor rgb="FFA98FF3"/>
        </patternFill>
      </fill>
    </dxf>
    <dxf>
      <font>
        <b/>
        <i val="0"/>
      </font>
      <fill>
        <patternFill>
          <bgColor rgb="FFA33EA1"/>
        </patternFill>
      </fill>
    </dxf>
    <dxf>
      <font>
        <b/>
        <i val="0"/>
      </font>
      <fill>
        <patternFill>
          <bgColor rgb="FF7AC74C"/>
        </patternFill>
      </fill>
    </dxf>
    <dxf>
      <font>
        <b/>
        <i val="0"/>
      </font>
      <fill>
        <patternFill>
          <bgColor rgb="FFE2BF65"/>
        </patternFill>
      </fill>
    </dxf>
    <dxf>
      <font>
        <b/>
        <i val="0"/>
      </font>
      <fill>
        <patternFill>
          <bgColor rgb="FF96D9D6"/>
        </patternFill>
      </fill>
    </dxf>
    <dxf>
      <font>
        <b/>
        <i val="0"/>
      </font>
      <fill>
        <patternFill>
          <bgColor rgb="FFB6A136"/>
        </patternFill>
      </fill>
    </dxf>
    <dxf>
      <font>
        <b/>
        <i val="0"/>
      </font>
      <fill>
        <patternFill>
          <bgColor rgb="FFB7B7CE"/>
        </patternFill>
      </fill>
    </dxf>
    <dxf>
      <font>
        <b/>
        <i val="0"/>
      </font>
      <fill>
        <patternFill>
          <bgColor rgb="FF6390F0"/>
        </patternFill>
      </fill>
    </dxf>
    <dxf>
      <font>
        <b val="0"/>
        <i val="0"/>
        <strike val="0"/>
        <condense val="0"/>
        <extend val="0"/>
        <outline val="0"/>
        <shadow val="0"/>
        <u val="none"/>
        <vertAlign val="baseline"/>
        <sz val="11"/>
        <color theme="1"/>
        <name val="Calibri"/>
        <scheme val="minor"/>
      </font>
      <fill>
        <patternFill patternType="solid">
          <fgColor indexed="64"/>
          <bgColor theme="8" tint="0.79998168889431442"/>
        </patternFill>
      </fill>
      <border diagonalUp="0" diagonalDown="0">
        <left style="thin">
          <color theme="4" tint="0.39997558519241921"/>
        </left>
        <right style="thin">
          <color theme="0" tint="-0.34998626667073579"/>
        </right>
        <top style="thin">
          <color theme="0" tint="-0.34998626667073579"/>
        </top>
        <bottom style="thin">
          <color theme="0" tint="-0.34998626667073579"/>
        </bottom>
        <vertical/>
        <horizontal/>
      </border>
    </dxf>
    <dxf>
      <font>
        <b/>
        <i val="0"/>
        <strike val="0"/>
        <condense val="0"/>
        <extend val="0"/>
        <outline val="0"/>
        <shadow val="0"/>
        <u val="none"/>
        <vertAlign val="baseline"/>
        <sz val="12"/>
        <color theme="1"/>
        <name val="Adobe Gothic Std B"/>
        <scheme val="none"/>
      </font>
      <fill>
        <patternFill patternType="solid">
          <fgColor indexed="64"/>
          <bgColor theme="8" tint="0.59996337778862885"/>
        </patternFill>
      </fill>
      <alignment horizontal="center" vertical="center" textRotation="0" wrapText="0" indent="0" justifyLastLine="0" shrinkToFit="0" readingOrder="0"/>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border outline="0">
        <top style="thin">
          <color theme="4" tint="0.39997558519241921"/>
        </top>
      </border>
    </dxf>
    <dxf>
      <font>
        <b/>
      </font>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center" textRotation="0" wrapText="0" indent="0" justifyLastLine="0" shrinkToFit="0" readingOrder="0"/>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border outline="0">
        <top style="thin">
          <color theme="4" tint="0.39997558519241921"/>
        </top>
      </border>
    </dxf>
    <dxf>
      <font>
        <b/>
      </font>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center" textRotation="0" wrapText="0" indent="0" justifyLastLine="0" shrinkToFit="0" readingOrder="0"/>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border outline="0">
        <top style="thin">
          <color theme="4" tint="0.39997558519241921"/>
        </top>
      </border>
    </dxf>
    <dxf>
      <font>
        <b/>
      </font>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dxf>
  </dxfs>
  <tableStyles count="0" defaultTableStyle="TableStyleMedium2" defaultPivotStyle="PivotStyleLight16"/>
  <colors>
    <mruColors>
      <color rgb="FFE383E3"/>
      <color rgb="FF17A517"/>
      <color rgb="FF7AC74C"/>
      <color rgb="FFFF0000"/>
      <color rgb="FF00CC00"/>
      <color rgb="FF6390F0"/>
      <color rgb="FFB7B7CE"/>
      <color rgb="FFB6A136"/>
      <color rgb="FFA33EA1"/>
      <color rgb="FF96D9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238125</xdr:colOff>
      <xdr:row>52</xdr:row>
      <xdr:rowOff>152400</xdr:rowOff>
    </xdr:from>
    <xdr:to>
      <xdr:col>9</xdr:col>
      <xdr:colOff>439956</xdr:colOff>
      <xdr:row>57</xdr:row>
      <xdr:rowOff>181372</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 y="10648950"/>
          <a:ext cx="4469031" cy="98147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xdr:col>
      <xdr:colOff>438150</xdr:colOff>
      <xdr:row>68</xdr:row>
      <xdr:rowOff>85725</xdr:rowOff>
    </xdr:from>
    <xdr:to>
      <xdr:col>10</xdr:col>
      <xdr:colOff>183090</xdr:colOff>
      <xdr:row>73</xdr:row>
      <xdr:rowOff>57524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47750" y="13630275"/>
          <a:ext cx="5231340" cy="924299"/>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xdr:col>
      <xdr:colOff>333375</xdr:colOff>
      <xdr:row>87</xdr:row>
      <xdr:rowOff>104775</xdr:rowOff>
    </xdr:from>
    <xdr:to>
      <xdr:col>10</xdr:col>
      <xdr:colOff>326065</xdr:colOff>
      <xdr:row>92</xdr:row>
      <xdr:rowOff>114689</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42975" y="17268825"/>
          <a:ext cx="5479090" cy="96241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2</xdr:col>
      <xdr:colOff>238125</xdr:colOff>
      <xdr:row>103</xdr:row>
      <xdr:rowOff>47625</xdr:rowOff>
    </xdr:from>
    <xdr:to>
      <xdr:col>3</xdr:col>
      <xdr:colOff>409891</xdr:colOff>
      <xdr:row>127</xdr:row>
      <xdr:rowOff>49474</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457325" y="20307300"/>
          <a:ext cx="781366" cy="4573849"/>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8</xdr:col>
      <xdr:colOff>180975</xdr:colOff>
      <xdr:row>108</xdr:row>
      <xdr:rowOff>180975</xdr:rowOff>
    </xdr:from>
    <xdr:to>
      <xdr:col>9</xdr:col>
      <xdr:colOff>343212</xdr:colOff>
      <xdr:row>113</xdr:row>
      <xdr:rowOff>95600</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057775" y="21393150"/>
          <a:ext cx="771837" cy="8671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7</xdr:col>
      <xdr:colOff>161925</xdr:colOff>
      <xdr:row>114</xdr:row>
      <xdr:rowOff>85725</xdr:rowOff>
    </xdr:from>
    <xdr:to>
      <xdr:col>10</xdr:col>
      <xdr:colOff>57150</xdr:colOff>
      <xdr:row>127</xdr:row>
      <xdr:rowOff>171600</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429125" y="22440900"/>
          <a:ext cx="1724025" cy="256237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mc:AlternateContent xmlns:mc="http://schemas.openxmlformats.org/markup-compatibility/2006">
    <mc:Choice xmlns:a14="http://schemas.microsoft.com/office/drawing/2010/main" Requires="a14">
      <xdr:twoCellAnchor>
        <xdr:from>
          <xdr:col>6</xdr:col>
          <xdr:colOff>600075</xdr:colOff>
          <xdr:row>26</xdr:row>
          <xdr:rowOff>9525</xdr:rowOff>
        </xdr:from>
        <xdr:to>
          <xdr:col>9</xdr:col>
          <xdr:colOff>0</xdr:colOff>
          <xdr:row>39</xdr:row>
          <xdr:rowOff>38100</xdr:rowOff>
        </xdr:to>
        <xdr:grpSp>
          <xdr:nvGrpSpPr>
            <xdr:cNvPr id="9" name="Group_GameSelection"/>
            <xdr:cNvGrpSpPr/>
          </xdr:nvGrpSpPr>
          <xdr:grpSpPr>
            <a:xfrm>
              <a:off x="4257675" y="5353050"/>
              <a:ext cx="1228725" cy="2505075"/>
              <a:chOff x="5238750" y="5448300"/>
              <a:chExt cx="1228725" cy="2505075"/>
            </a:xfrm>
          </xdr:grpSpPr>
          <xdr:sp macro="" textlink="">
            <xdr:nvSpPr>
              <xdr:cNvPr id="17424" name="Radio_RedBlue" hidden="1">
                <a:extLst>
                  <a:ext uri="{63B3BB69-23CF-44E3-9099-C40C66FF867C}">
                    <a14:compatExt spid="_x0000_s17424"/>
                  </a:ext>
                </a:extLst>
              </xdr:cNvPr>
              <xdr:cNvSpPr/>
            </xdr:nvSpPr>
            <xdr:spPr bwMode="auto">
              <a:xfrm>
                <a:off x="5238750" y="5448300"/>
                <a:ext cx="122872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Red/Blue</a:t>
                </a:r>
              </a:p>
            </xdr:txBody>
          </xdr:sp>
          <xdr:sp macro="" textlink="">
            <xdr:nvSpPr>
              <xdr:cNvPr id="17425" name="Radio_Yellow" hidden="1">
                <a:extLst>
                  <a:ext uri="{63B3BB69-23CF-44E3-9099-C40C66FF867C}">
                    <a14:compatExt spid="_x0000_s17425"/>
                  </a:ext>
                </a:extLst>
              </xdr:cNvPr>
              <xdr:cNvSpPr/>
            </xdr:nvSpPr>
            <xdr:spPr bwMode="auto">
              <a:xfrm>
                <a:off x="5238750" y="5638800"/>
                <a:ext cx="12287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Yellow</a:t>
                </a:r>
              </a:p>
            </xdr:txBody>
          </xdr:sp>
          <xdr:sp macro="" textlink="">
            <xdr:nvSpPr>
              <xdr:cNvPr id="17426" name="Radio_GoldSilver" hidden="1">
                <a:extLst>
                  <a:ext uri="{63B3BB69-23CF-44E3-9099-C40C66FF867C}">
                    <a14:compatExt spid="_x0000_s17426"/>
                  </a:ext>
                </a:extLst>
              </xdr:cNvPr>
              <xdr:cNvSpPr/>
            </xdr:nvSpPr>
            <xdr:spPr bwMode="auto">
              <a:xfrm>
                <a:off x="5238750" y="5819775"/>
                <a:ext cx="122872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Gold/Silver</a:t>
                </a:r>
              </a:p>
            </xdr:txBody>
          </xdr:sp>
          <xdr:sp macro="" textlink="">
            <xdr:nvSpPr>
              <xdr:cNvPr id="17427" name="Radio_Crystal" hidden="1">
                <a:extLst>
                  <a:ext uri="{63B3BB69-23CF-44E3-9099-C40C66FF867C}">
                    <a14:compatExt spid="_x0000_s17427"/>
                  </a:ext>
                </a:extLst>
              </xdr:cNvPr>
              <xdr:cNvSpPr/>
            </xdr:nvSpPr>
            <xdr:spPr bwMode="auto">
              <a:xfrm>
                <a:off x="5238750" y="6010275"/>
                <a:ext cx="122872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Crystal</a:t>
                </a:r>
              </a:p>
            </xdr:txBody>
          </xdr:sp>
          <xdr:sp macro="" textlink="">
            <xdr:nvSpPr>
              <xdr:cNvPr id="17428" name="Radio_HeartGoldSoulSilver" hidden="1">
                <a:extLst>
                  <a:ext uri="{63B3BB69-23CF-44E3-9099-C40C66FF867C}">
                    <a14:compatExt spid="_x0000_s17428"/>
                  </a:ext>
                </a:extLst>
              </xdr:cNvPr>
              <xdr:cNvSpPr/>
            </xdr:nvSpPr>
            <xdr:spPr bwMode="auto">
              <a:xfrm>
                <a:off x="5238750" y="7143750"/>
                <a:ext cx="122872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HeartGold/SoulSilver</a:t>
                </a:r>
              </a:p>
            </xdr:txBody>
          </xdr:sp>
          <xdr:sp macro="" textlink="">
            <xdr:nvSpPr>
              <xdr:cNvPr id="17429" name="Radio_Ruby/Sapphire" hidden="1">
                <a:extLst>
                  <a:ext uri="{63B3BB69-23CF-44E3-9099-C40C66FF867C}">
                    <a14:compatExt spid="_x0000_s17429"/>
                  </a:ext>
                </a:extLst>
              </xdr:cNvPr>
              <xdr:cNvSpPr/>
            </xdr:nvSpPr>
            <xdr:spPr bwMode="auto">
              <a:xfrm>
                <a:off x="5238750" y="6210300"/>
                <a:ext cx="1228725"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Ruby/Sapphire</a:t>
                </a:r>
              </a:p>
            </xdr:txBody>
          </xdr:sp>
          <xdr:sp macro="" textlink="">
            <xdr:nvSpPr>
              <xdr:cNvPr id="17430" name="Radio_Emerald" hidden="1">
                <a:extLst>
                  <a:ext uri="{63B3BB69-23CF-44E3-9099-C40C66FF867C}">
                    <a14:compatExt spid="_x0000_s17430"/>
                  </a:ext>
                </a:extLst>
              </xdr:cNvPr>
              <xdr:cNvSpPr/>
            </xdr:nvSpPr>
            <xdr:spPr bwMode="auto">
              <a:xfrm>
                <a:off x="5238750" y="6581775"/>
                <a:ext cx="12287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Emerald</a:t>
                </a:r>
              </a:p>
            </xdr:txBody>
          </xdr:sp>
          <xdr:sp macro="" textlink="">
            <xdr:nvSpPr>
              <xdr:cNvPr id="17431" name="Radio_DiamondPearl" hidden="1">
                <a:extLst>
                  <a:ext uri="{63B3BB69-23CF-44E3-9099-C40C66FF867C}">
                    <a14:compatExt spid="_x0000_s17431"/>
                  </a:ext>
                </a:extLst>
              </xdr:cNvPr>
              <xdr:cNvSpPr/>
            </xdr:nvSpPr>
            <xdr:spPr bwMode="auto">
              <a:xfrm>
                <a:off x="5238750" y="6762750"/>
                <a:ext cx="122872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Diamond/Pearl</a:t>
                </a:r>
              </a:p>
            </xdr:txBody>
          </xdr:sp>
          <xdr:sp macro="" textlink="">
            <xdr:nvSpPr>
              <xdr:cNvPr id="17432" name="Radio_Platinum" hidden="1">
                <a:extLst>
                  <a:ext uri="{63B3BB69-23CF-44E3-9099-C40C66FF867C}">
                    <a14:compatExt spid="_x0000_s17432"/>
                  </a:ext>
                </a:extLst>
              </xdr:cNvPr>
              <xdr:cNvSpPr/>
            </xdr:nvSpPr>
            <xdr:spPr bwMode="auto">
              <a:xfrm>
                <a:off x="5238750" y="6953250"/>
                <a:ext cx="122872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Platinum</a:t>
                </a:r>
              </a:p>
            </xdr:txBody>
          </xdr:sp>
          <xdr:sp macro="" textlink="">
            <xdr:nvSpPr>
              <xdr:cNvPr id="17433" name="Radio_BlackWhite" hidden="1">
                <a:extLst>
                  <a:ext uri="{63B3BB69-23CF-44E3-9099-C40C66FF867C}">
                    <a14:compatExt spid="_x0000_s17433"/>
                  </a:ext>
                </a:extLst>
              </xdr:cNvPr>
              <xdr:cNvSpPr/>
            </xdr:nvSpPr>
            <xdr:spPr bwMode="auto">
              <a:xfrm>
                <a:off x="5238750" y="7353300"/>
                <a:ext cx="12287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Black/White</a:t>
                </a:r>
              </a:p>
            </xdr:txBody>
          </xdr:sp>
          <xdr:sp macro="" textlink="">
            <xdr:nvSpPr>
              <xdr:cNvPr id="17434" name="Radio_Black2White2" hidden="1">
                <a:extLst>
                  <a:ext uri="{63B3BB69-23CF-44E3-9099-C40C66FF867C}">
                    <a14:compatExt spid="_x0000_s17434"/>
                  </a:ext>
                </a:extLst>
              </xdr:cNvPr>
              <xdr:cNvSpPr/>
            </xdr:nvSpPr>
            <xdr:spPr bwMode="auto">
              <a:xfrm>
                <a:off x="5238750" y="7534275"/>
                <a:ext cx="122872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Black 2/White 2</a:t>
                </a:r>
              </a:p>
            </xdr:txBody>
          </xdr:sp>
          <xdr:sp macro="" textlink="">
            <xdr:nvSpPr>
              <xdr:cNvPr id="17435" name="Radio_Ruby/Sapphire" hidden="1">
                <a:extLst>
                  <a:ext uri="{63B3BB69-23CF-44E3-9099-C40C66FF867C}">
                    <a14:compatExt spid="_x0000_s17435"/>
                  </a:ext>
                </a:extLst>
              </xdr:cNvPr>
              <xdr:cNvSpPr/>
            </xdr:nvSpPr>
            <xdr:spPr bwMode="auto">
              <a:xfrm>
                <a:off x="5238750" y="6400800"/>
                <a:ext cx="1228725"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Fire Red/Leaf Green</a:t>
                </a:r>
              </a:p>
            </xdr:txBody>
          </xdr:sp>
          <xdr:sp macro="" textlink="">
            <xdr:nvSpPr>
              <xdr:cNvPr id="17436" name="Radio_Black2White2" hidden="1">
                <a:extLst>
                  <a:ext uri="{63B3BB69-23CF-44E3-9099-C40C66FF867C}">
                    <a14:compatExt spid="_x0000_s17436"/>
                  </a:ext>
                </a:extLst>
              </xdr:cNvPr>
              <xdr:cNvSpPr/>
            </xdr:nvSpPr>
            <xdr:spPr bwMode="auto">
              <a:xfrm>
                <a:off x="5238750" y="7734300"/>
                <a:ext cx="122872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X/Y</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absoluteAnchor>
        <xdr:pos x="5572125" y="142875"/>
        <xdr:ext cx="685800" cy="447675"/>
        <xdr:sp macro="" textlink="">
          <xdr:nvSpPr>
            <xdr:cNvPr id="2051" name="Button 3" descr="Insert New Pokemon"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Add Pokemon</a:t>
              </a:r>
            </a:p>
          </xdr:txBody>
        </xdr:sp>
        <xdr:clientData fPrintsWithSheet="0"/>
      </xdr:absoluteAnchor>
    </mc:Choice>
    <mc:Fallback/>
  </mc:AlternateContent>
  <mc:AlternateContent xmlns:mc="http://schemas.openxmlformats.org/markup-compatibility/2006">
    <mc:Choice xmlns:a14="http://schemas.microsoft.com/office/drawing/2010/main" Requires="a14">
      <xdr:absoluteAnchor>
        <xdr:pos x="6334125" y="142875"/>
        <xdr:ext cx="685800" cy="438150"/>
        <xdr:sp macro="" textlink="">
          <xdr:nvSpPr>
            <xdr:cNvPr id="2055" name="Button 7" descr="Insert New Pokemon"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Remove Pokemon</a:t>
              </a:r>
            </a:p>
          </xdr:txBody>
        </xdr:sp>
        <xdr:clientData fPrintsWithSheet="0"/>
      </xdr:absoluteAnchor>
    </mc:Choice>
    <mc:Fallback/>
  </mc:AlternateContent>
  <mc:AlternateContent xmlns:mc="http://schemas.openxmlformats.org/markup-compatibility/2006">
    <mc:Choice xmlns:a14="http://schemas.microsoft.com/office/drawing/2010/main" Requires="a14">
      <xdr:absoluteAnchor>
        <xdr:pos x="114300" y="142875"/>
        <xdr:ext cx="657225" cy="447675"/>
        <xdr:sp macro="" textlink="">
          <xdr:nvSpPr>
            <xdr:cNvPr id="2059" name="Button 11" descr="Insert New Pokemon"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Load Party</a:t>
              </a:r>
            </a:p>
            <a:p>
              <a:pPr algn="ctr" rtl="0">
                <a:defRPr sz="1000"/>
              </a:pPr>
              <a:endParaRPr lang="en-US" sz="1200" b="1" i="0" u="none" strike="noStrike" baseline="0">
                <a:solidFill>
                  <a:srgbClr val="000000"/>
                </a:solidFill>
                <a:latin typeface="Calibri"/>
                <a:cs typeface="Calibri"/>
              </a:endParaRPr>
            </a:p>
          </xdr:txBody>
        </xdr:sp>
        <xdr:clientData fPrintsWithSheet="0"/>
      </xdr:absoluteAnchor>
    </mc:Choice>
    <mc:Fallback/>
  </mc:AlternateContent>
  <mc:AlternateContent xmlns:mc="http://schemas.openxmlformats.org/markup-compatibility/2006">
    <mc:Choice xmlns:a14="http://schemas.microsoft.com/office/drawing/2010/main" Requires="a14">
      <xdr:absoluteAnchor>
        <xdr:pos x="847725" y="142875"/>
        <xdr:ext cx="657225" cy="447675"/>
        <xdr:sp macro="" textlink="">
          <xdr:nvSpPr>
            <xdr:cNvPr id="2060" name="Button 12" descr="Insert New Pokemon" hidden="1">
              <a:extLst>
                <a:ext uri="{63B3BB69-23CF-44E3-9099-C40C66FF867C}">
                  <a14:compatExt spid="_x0000_s20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Save Party</a:t>
              </a:r>
            </a:p>
          </xdr:txBody>
        </xdr:sp>
        <xdr:clientData fPrintsWithSheet="0"/>
      </xdr:absoluteAnchor>
    </mc:Choice>
    <mc:Fallback/>
  </mc:AlternateContent>
  <mc:AlternateContent xmlns:mc="http://schemas.openxmlformats.org/markup-compatibility/2006">
    <mc:Choice xmlns:a14="http://schemas.microsoft.com/office/drawing/2010/main" Requires="a14">
      <xdr:absoluteAnchor>
        <xdr:pos x="1571625" y="142875"/>
        <xdr:ext cx="657225" cy="447675"/>
        <xdr:sp macro="" textlink="">
          <xdr:nvSpPr>
            <xdr:cNvPr id="2061" name="Button 13" descr="Insert New Pokemon" hidden="1">
              <a:extLst>
                <a:ext uri="{63B3BB69-23CF-44E3-9099-C40C66FF867C}">
                  <a14:compatExt spid="_x0000_s20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Delete Party</a:t>
              </a:r>
            </a:p>
          </xdr:txBody>
        </xdr:sp>
        <xdr:clientData fPrintsWithSheet="0"/>
      </xdr:absoluteAnchor>
    </mc:Choice>
    <mc:Fallback/>
  </mc:AlternateContent>
  <mc:AlternateContent xmlns:mc="http://schemas.openxmlformats.org/markup-compatibility/2006">
    <mc:Choice xmlns:a14="http://schemas.microsoft.com/office/drawing/2010/main" Requires="a14">
      <xdr:absoluteAnchor>
        <xdr:pos x="9363075" y="133350"/>
        <xdr:ext cx="657225" cy="447675"/>
        <xdr:sp macro="" textlink="">
          <xdr:nvSpPr>
            <xdr:cNvPr id="2065" name="Button 17" descr="Insert New Pokemon"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Clear Screen</a:t>
              </a:r>
            </a:p>
            <a:p>
              <a:pPr algn="ctr" rtl="0">
                <a:defRPr sz="1000"/>
              </a:pPr>
              <a:endParaRPr lang="en-US" sz="1200" b="1" i="0" u="none" strike="noStrike" baseline="0">
                <a:solidFill>
                  <a:srgbClr val="000000"/>
                </a:solidFill>
                <a:latin typeface="Calibri"/>
                <a:cs typeface="Calibri"/>
              </a:endParaRPr>
            </a:p>
          </xdr:txBody>
        </xdr:sp>
        <xdr:clientData fPrintsWithSheet="0"/>
      </xdr:absoluteAnchor>
    </mc:Choice>
    <mc:Fallback/>
  </mc:AlternateContent>
  <mc:AlternateContent xmlns:mc="http://schemas.openxmlformats.org/markup-compatibility/2006">
    <mc:Choice xmlns:a14="http://schemas.microsoft.com/office/drawing/2010/main" Requires="a14">
      <xdr:absoluteAnchor>
        <xdr:pos x="7096125" y="142875"/>
        <xdr:ext cx="685800" cy="438150"/>
        <xdr:sp macro="" textlink="">
          <xdr:nvSpPr>
            <xdr:cNvPr id="2066" name="Button 18" descr="Insert New Pokemon" hidden="1">
              <a:extLst>
                <a:ext uri="{63B3BB69-23CF-44E3-9099-C40C66FF867C}">
                  <a14:compatExt spid="_x0000_s20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Load Sprite</a:t>
              </a:r>
            </a:p>
          </xdr:txBody>
        </xdr:sp>
        <xdr:clientData fPrintsWithSheet="0"/>
      </xdr:absoluteAnchor>
    </mc:Choice>
    <mc:Fallback/>
  </mc:AlternateContent>
  <mc:AlternateContent xmlns:mc="http://schemas.openxmlformats.org/markup-compatibility/2006">
    <mc:Choice xmlns:a14="http://schemas.microsoft.com/office/drawing/2010/main" Requires="a14">
      <xdr:absoluteAnchor>
        <xdr:pos x="7839075" y="142875"/>
        <xdr:ext cx="695325" cy="438150"/>
        <xdr:sp macro="" textlink="">
          <xdr:nvSpPr>
            <xdr:cNvPr id="2068" name="Button 20" descr="Insert New Pokemon" hidden="1">
              <a:extLst>
                <a:ext uri="{63B3BB69-23CF-44E3-9099-C40C66FF867C}">
                  <a14:compatExt spid="_x0000_s2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Toggle Stats</a:t>
              </a:r>
            </a:p>
          </xdr:txBody>
        </xdr:sp>
        <xdr:clientData fPrintsWithSheet="0"/>
      </xdr:absoluteAnchor>
    </mc:Choice>
    <mc:Fallback/>
  </mc:AlternateContent>
  <mc:AlternateContent xmlns:mc="http://schemas.openxmlformats.org/markup-compatibility/2006">
    <mc:Choice xmlns:a14="http://schemas.microsoft.com/office/drawing/2010/main" Requires="a14">
      <xdr:absoluteAnchor>
        <xdr:pos x="2305050" y="142875"/>
        <xdr:ext cx="657225" cy="209550"/>
        <xdr:sp macro="" textlink="">
          <xdr:nvSpPr>
            <xdr:cNvPr id="2073" name="Button 25" descr="Insert New Pokemon"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Import</a:t>
              </a:r>
            </a:p>
          </xdr:txBody>
        </xdr:sp>
        <xdr:clientData fPrintsWithSheet="0"/>
      </xdr:absoluteAnchor>
    </mc:Choice>
    <mc:Fallback/>
  </mc:AlternateContent>
  <mc:AlternateContent xmlns:mc="http://schemas.openxmlformats.org/markup-compatibility/2006">
    <mc:Choice xmlns:a14="http://schemas.microsoft.com/office/drawing/2010/main" Requires="a14">
      <xdr:absoluteAnchor>
        <xdr:pos x="2305050" y="390525"/>
        <xdr:ext cx="657225" cy="200025"/>
        <xdr:sp macro="" textlink="">
          <xdr:nvSpPr>
            <xdr:cNvPr id="2074" name="Button 26" descr="Insert New Pokemon" hidden="1">
              <a:extLst>
                <a:ext uri="{63B3BB69-23CF-44E3-9099-C40C66FF867C}">
                  <a14:compatExt spid="_x0000_s2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Export</a:t>
              </a:r>
            </a:p>
          </xdr:txBody>
        </xdr:sp>
        <xdr:clientData fPrintsWithSheet="0"/>
      </xdr:absoluteAnchor>
    </mc:Choice>
    <mc:Fallback/>
  </mc:AlternateContent>
  <mc:AlternateContent xmlns:mc="http://schemas.openxmlformats.org/markup-compatibility/2006">
    <mc:Choice xmlns:a14="http://schemas.microsoft.com/office/drawing/2010/main" Requires="a14">
      <xdr:absoluteAnchor>
        <xdr:pos x="8601075" y="142875"/>
        <xdr:ext cx="695325" cy="438150"/>
        <xdr:sp macro="" textlink="">
          <xdr:nvSpPr>
            <xdr:cNvPr id="2086" name="Button 38" descr="Insert New Pokemon"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Toggle Moves</a:t>
              </a:r>
            </a:p>
          </xdr:txBody>
        </xdr:sp>
        <xdr:clientData fPrintsWithSheet="0"/>
      </xdr:absolute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2</xdr:row>
          <xdr:rowOff>9525</xdr:rowOff>
        </xdr:from>
        <xdr:to>
          <xdr:col>4</xdr:col>
          <xdr:colOff>600075</xdr:colOff>
          <xdr:row>5</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Pokedex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9525</xdr:rowOff>
        </xdr:from>
        <xdr:to>
          <xdr:col>4</xdr:col>
          <xdr:colOff>590550</xdr:colOff>
          <xdr:row>9</xdr:row>
          <xdr:rowOff>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Movedex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180975</xdr:rowOff>
        </xdr:from>
        <xdr:to>
          <xdr:col>9</xdr:col>
          <xdr:colOff>600075</xdr:colOff>
          <xdr:row>4</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Unit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10</xdr:col>
          <xdr:colOff>0</xdr:colOff>
          <xdr:row>7</xdr:row>
          <xdr:rowOff>19050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User Driven Unit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9</xdr:col>
          <xdr:colOff>600075</xdr:colOff>
          <xdr:row>10</xdr:row>
          <xdr:rowOff>9525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Sheet Integration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600075</xdr:colOff>
          <xdr:row>2</xdr:row>
          <xdr:rowOff>0</xdr:rowOff>
        </xdr:from>
        <xdr:to>
          <xdr:col>14</xdr:col>
          <xdr:colOff>600075</xdr:colOff>
          <xdr:row>4</xdr:row>
          <xdr:rowOff>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180975</xdr:rowOff>
        </xdr:from>
        <xdr:to>
          <xdr:col>4</xdr:col>
          <xdr:colOff>590550</xdr:colOff>
          <xdr:row>12</xdr:row>
          <xdr:rowOff>171450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Itemdex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14</xdr:row>
          <xdr:rowOff>9525</xdr:rowOff>
        </xdr:from>
        <xdr:to>
          <xdr:col>4</xdr:col>
          <xdr:colOff>600075</xdr:colOff>
          <xdr:row>17</xdr:row>
          <xdr:rowOff>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Abilitydex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18</xdr:row>
          <xdr:rowOff>9525</xdr:rowOff>
        </xdr:from>
        <xdr:to>
          <xdr:col>5</xdr:col>
          <xdr:colOff>0</xdr:colOff>
          <xdr:row>21</xdr:row>
          <xdr:rowOff>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Pokemon Abilities HTML</a:t>
              </a:r>
            </a:p>
          </xdr:txBody>
        </xdr:sp>
        <xdr:clientData fPrintsWithSheet="0"/>
      </xdr:twoCellAnchor>
    </mc:Choice>
    <mc:Fallback/>
  </mc:AlternateContent>
</xdr:wsDr>
</file>

<file path=xl/tables/table1.xml><?xml version="1.0" encoding="utf-8"?>
<table xmlns="http://schemas.openxmlformats.org/spreadsheetml/2006/main" id="46" name="PokedexTable" displayName="PokedexTable" ref="A1:GN774" totalsRowShown="0">
  <sortState ref="A2:GN774">
    <sortCondition ref="C1:C774"/>
  </sortState>
  <tableColumns count="196">
    <tableColumn id="1" name="Natdex #" dataDxfId="2493"/>
    <tableColumn id="2" name="Sprite Url" dataDxfId="2492"/>
    <tableColumn id="3" name="Name" dataDxfId="2491"/>
    <tableColumn id="4" name="Type One" dataDxfId="2490"/>
    <tableColumn id="5" name="Type Two" dataDxfId="2489"/>
    <tableColumn id="6" name="HP" dataDxfId="2488"/>
    <tableColumn id="7" name="Attack" dataDxfId="2487"/>
    <tableColumn id="8" name="Def" dataDxfId="2486"/>
    <tableColumn id="9" name="Spatt" dataDxfId="2485"/>
    <tableColumn id="10" name="Spdef" dataDxfId="2484"/>
    <tableColumn id="11" name="Speed" dataDxfId="2483"/>
    <tableColumn id="12" name="Total" dataDxfId="2482"/>
    <tableColumn id="13" name="Moveset" dataDxfId="2481"/>
    <tableColumn id="14" name="Column1" dataDxfId="2480"/>
    <tableColumn id="15" name="Column2"/>
    <tableColumn id="16" name="Column3"/>
    <tableColumn id="17" name="Column4"/>
    <tableColumn id="18" name="Column5"/>
    <tableColumn id="19" name="Column6"/>
    <tableColumn id="20" name="Column7"/>
    <tableColumn id="21" name="Column8"/>
    <tableColumn id="22" name="Column9"/>
    <tableColumn id="23" name="Column10"/>
    <tableColumn id="24" name="Column11"/>
    <tableColumn id="25" name="Column12"/>
    <tableColumn id="26" name="Column13"/>
    <tableColumn id="27" name="Column14"/>
    <tableColumn id="28" name="Column15"/>
    <tableColumn id="29" name="Column16"/>
    <tableColumn id="30" name="Column17"/>
    <tableColumn id="31" name="Column18"/>
    <tableColumn id="32" name="Column19"/>
    <tableColumn id="33" name="Column20"/>
    <tableColumn id="34" name="Column21"/>
    <tableColumn id="35" name="Column22"/>
    <tableColumn id="36" name="Column23"/>
    <tableColumn id="37" name="Column24"/>
    <tableColumn id="38" name="Column25"/>
    <tableColumn id="39" name="Column26"/>
    <tableColumn id="40" name="Column27"/>
    <tableColumn id="41" name="Column28"/>
    <tableColumn id="42" name="Column29"/>
    <tableColumn id="43" name="Column30"/>
    <tableColumn id="44" name="Column31"/>
    <tableColumn id="45" name="Column32"/>
    <tableColumn id="46" name="Column33"/>
    <tableColumn id="47" name="Column34"/>
    <tableColumn id="48" name="Column35"/>
    <tableColumn id="49" name="Column36"/>
    <tableColumn id="50" name="Column37"/>
    <tableColumn id="51" name="Column38"/>
    <tableColumn id="52" name="Column39"/>
    <tableColumn id="53" name="Column40"/>
    <tableColumn id="54" name="Column41"/>
    <tableColumn id="55" name="Column42"/>
    <tableColumn id="56" name="Column43"/>
    <tableColumn id="57" name="Column44"/>
    <tableColumn id="58" name="Column45"/>
    <tableColumn id="59" name="Column46"/>
    <tableColumn id="60" name="Column47"/>
    <tableColumn id="61" name="Column48"/>
    <tableColumn id="62" name="Column49"/>
    <tableColumn id="63" name="Column50"/>
    <tableColumn id="64" name="Column51"/>
    <tableColumn id="65" name="Column52"/>
    <tableColumn id="66" name="Column53"/>
    <tableColumn id="67" name="Column54"/>
    <tableColumn id="68" name="Column55"/>
    <tableColumn id="69" name="Column56"/>
    <tableColumn id="70" name="Column57"/>
    <tableColumn id="71" name="Column58"/>
    <tableColumn id="72" name="Column59"/>
    <tableColumn id="73" name="Column60"/>
    <tableColumn id="74" name="Column61"/>
    <tableColumn id="75" name="Column62"/>
    <tableColumn id="76" name="Column63"/>
    <tableColumn id="77" name="Column64"/>
    <tableColumn id="78" name="Column65"/>
    <tableColumn id="79" name="Column66"/>
    <tableColumn id="80" name="Column67"/>
    <tableColumn id="81" name="Column68"/>
    <tableColumn id="82" name="Column69"/>
    <tableColumn id="83" name="Column70"/>
    <tableColumn id="84" name="Column71"/>
    <tableColumn id="85" name="Column72"/>
    <tableColumn id="86" name="Column73"/>
    <tableColumn id="87" name="Column74"/>
    <tableColumn id="88" name="Column75"/>
    <tableColumn id="89" name="Column76"/>
    <tableColumn id="90" name="Column77"/>
    <tableColumn id="91" name="Column78"/>
    <tableColumn id="92" name="Column79"/>
    <tableColumn id="93" name="Column80"/>
    <tableColumn id="94" name="Column81"/>
    <tableColumn id="95" name="Column82"/>
    <tableColumn id="96" name="Column83"/>
    <tableColumn id="97" name="Column84"/>
    <tableColumn id="98" name="Column85"/>
    <tableColumn id="99" name="Column86"/>
    <tableColumn id="100" name="Column87"/>
    <tableColumn id="101" name="Column88"/>
    <tableColumn id="102" name="Column89"/>
    <tableColumn id="103" name="Column90"/>
    <tableColumn id="104" name="Column91"/>
    <tableColumn id="105" name="Column92"/>
    <tableColumn id="106" name="Column93"/>
    <tableColumn id="107" name="Column94"/>
    <tableColumn id="108" name="Column95"/>
    <tableColumn id="109" name="Column96"/>
    <tableColumn id="110" name="Column97"/>
    <tableColumn id="111" name="Column98"/>
    <tableColumn id="112" name="Column99"/>
    <tableColumn id="113" name="Column100"/>
    <tableColumn id="114" name="Column101"/>
    <tableColumn id="115" name="Column102"/>
    <tableColumn id="116" name="Column103"/>
    <tableColumn id="117" name="Column104"/>
    <tableColumn id="118" name="Column105"/>
    <tableColumn id="119" name="Column106"/>
    <tableColumn id="120" name="Column107"/>
    <tableColumn id="121" name="Column108"/>
    <tableColumn id="122" name="Column109"/>
    <tableColumn id="123" name="Column110"/>
    <tableColumn id="124" name="Column111"/>
    <tableColumn id="125" name="Column112"/>
    <tableColumn id="126" name="Column113"/>
    <tableColumn id="127" name="Column114"/>
    <tableColumn id="128" name="Column115"/>
    <tableColumn id="129" name="Column116"/>
    <tableColumn id="130" name="Column117"/>
    <tableColumn id="131" name="Column118"/>
    <tableColumn id="132" name="Column119"/>
    <tableColumn id="133" name="Column120"/>
    <tableColumn id="134" name="Column121"/>
    <tableColumn id="135" name="Column122"/>
    <tableColumn id="136" name="Column123"/>
    <tableColumn id="137" name="Column124"/>
    <tableColumn id="138" name="Column125"/>
    <tableColumn id="139" name="Column126"/>
    <tableColumn id="140" name="Column127"/>
    <tableColumn id="141" name="Column128"/>
    <tableColumn id="142" name="Column129"/>
    <tableColumn id="143" name="Column130"/>
    <tableColumn id="144" name="Column131"/>
    <tableColumn id="145" name="Column132"/>
    <tableColumn id="146" name="Column133"/>
    <tableColumn id="147" name="Column134"/>
    <tableColumn id="148" name="Column135"/>
    <tableColumn id="149" name="Column136"/>
    <tableColumn id="150" name="Column137"/>
    <tableColumn id="151" name="Column138"/>
    <tableColumn id="152" name="Column139"/>
    <tableColumn id="153" name="Column140"/>
    <tableColumn id="154" name="Column141"/>
    <tableColumn id="155" name="Column142"/>
    <tableColumn id="156" name="Column143"/>
    <tableColumn id="157" name="Column144"/>
    <tableColumn id="158" name="Column145"/>
    <tableColumn id="159" name="Column146"/>
    <tableColumn id="160" name="Column147"/>
    <tableColumn id="161" name="Column148"/>
    <tableColumn id="162" name="Column149"/>
    <tableColumn id="163" name="Column150"/>
    <tableColumn id="164" name="Column151"/>
    <tableColumn id="165" name="Column152"/>
    <tableColumn id="166" name="Column153"/>
    <tableColumn id="167" name="Column154"/>
    <tableColumn id="168" name="Column155"/>
    <tableColumn id="169" name="Column156"/>
    <tableColumn id="170" name="Column157"/>
    <tableColumn id="171" name="Column158"/>
    <tableColumn id="172" name="Column159"/>
    <tableColumn id="173" name="Column160"/>
    <tableColumn id="174" name="Column161"/>
    <tableColumn id="175" name="Column162"/>
    <tableColumn id="176" name="Column163"/>
    <tableColumn id="177" name="Column164"/>
    <tableColumn id="178" name="Column165"/>
    <tableColumn id="179" name="Column166"/>
    <tableColumn id="180" name="Column167"/>
    <tableColumn id="181" name="Column168"/>
    <tableColumn id="182" name="Column169"/>
    <tableColumn id="183" name="Column170"/>
    <tableColumn id="184" name="Column171"/>
    <tableColumn id="185" name="Column172"/>
    <tableColumn id="186" name="Column173"/>
    <tableColumn id="187" name="Column174"/>
    <tableColumn id="188" name="Column175"/>
    <tableColumn id="189" name="Column176"/>
    <tableColumn id="190" name="Column177"/>
    <tableColumn id="191" name="Column178"/>
    <tableColumn id="192" name="Column179"/>
    <tableColumn id="193" name="Column180"/>
    <tableColumn id="194" name="Column181"/>
    <tableColumn id="195" name="Column182"/>
    <tableColumn id="196" name="Column183"/>
  </tableColumns>
  <tableStyleInfo name="TableStyleMedium2" showFirstColumn="0" showLastColumn="0" showRowStripes="1" showColumnStripes="0"/>
</table>
</file>

<file path=xl/tables/table2.xml><?xml version="1.0" encoding="utf-8"?>
<table xmlns="http://schemas.openxmlformats.org/spreadsheetml/2006/main" id="47" name="MovedexTable" displayName="MovedexTable" ref="A1:G609" totalsRowShown="0" headerRowDxfId="2479" dataDxfId="2478">
  <autoFilter ref="A1:G609"/>
  <tableColumns count="7">
    <tableColumn id="1" name="Name" dataDxfId="2477"/>
    <tableColumn id="2" name="Type" dataDxfId="2476"/>
    <tableColumn id="3" name="Category" dataDxfId="2475"/>
    <tableColumn id="4" name="Power" dataDxfId="2474"/>
    <tableColumn id="5" name="Accuracy" dataDxfId="2473"/>
    <tableColumn id="6" name="PP" dataDxfId="2472"/>
    <tableColumn id="7" name="Description" dataDxfId="2471"/>
  </tableColumns>
  <tableStyleInfo name="TableStyleMedium2" showFirstColumn="0" showLastColumn="0" showRowStripes="1" showColumnStripes="0"/>
</table>
</file>

<file path=xl/tables/table3.xml><?xml version="1.0" encoding="utf-8"?>
<table xmlns="http://schemas.openxmlformats.org/spreadsheetml/2006/main" id="3" name="AbilitydexTable" displayName="AbilitydexTable" ref="A1:B190" totalsRowShown="0" headerRowDxfId="2470" dataDxfId="2468" headerRowBorderDxfId="2469" tableBorderDxfId="2467">
  <autoFilter ref="A1:B190"/>
  <tableColumns count="2">
    <tableColumn id="1" name="Name" dataDxfId="2466"/>
    <tableColumn id="2" name="Description" dataDxfId="2465"/>
  </tableColumns>
  <tableStyleInfo name="TableStyleMedium2" showFirstColumn="0" showLastColumn="0" showRowStripes="1" showColumnStripes="0"/>
</table>
</file>

<file path=xl/tables/table4.xml><?xml version="1.0" encoding="utf-8"?>
<table xmlns="http://schemas.openxmlformats.org/spreadsheetml/2006/main" id="2" name="ItemdexTable" displayName="ItemdexTable" ref="A1:B247" totalsRowShown="0" headerRowDxfId="2464" dataDxfId="2462" headerRowBorderDxfId="2463" tableBorderDxfId="2461">
  <autoFilter ref="A1:B247"/>
  <tableColumns count="2">
    <tableColumn id="1" name="Name" dataDxfId="2460"/>
    <tableColumn id="2" name="Description" dataDxfId="2459"/>
  </tableColumns>
  <tableStyleInfo name="TableStyleMedium2" showFirstColumn="0" showLastColumn="0" showRowStripes="1" showColumnStripes="0"/>
</table>
</file>

<file path=xl/tables/table5.xml><?xml version="1.0" encoding="utf-8"?>
<table xmlns="http://schemas.openxmlformats.org/spreadsheetml/2006/main" id="5" name="PkmAbTable" displayName="PkmAbTable" ref="A1:H720" totalsRowShown="0" headerRowDxfId="2458" dataDxfId="2456" headerRowBorderDxfId="2457" tableBorderDxfId="2455">
  <autoFilter ref="A1:H720"/>
  <tableColumns count="8">
    <tableColumn id="1" name="Pokemon" dataDxfId="2454"/>
    <tableColumn id="2" name="End Of Ability List" dataDxfId="2453"/>
    <tableColumn id="3" name="Ability 1" dataDxfId="2452"/>
    <tableColumn id="4" name="Ability 2" dataDxfId="2451"/>
    <tableColumn id="5" name="Ability 3" dataDxfId="2450"/>
    <tableColumn id="6" name="Ability 4" dataDxfId="2449"/>
    <tableColumn id="7" name="Ability 5" dataDxfId="2448"/>
    <tableColumn id="8" name="Ability 6" dataDxfId="2447"/>
  </tableColumns>
  <tableStyleInfo name="TableStyleMedium2" showFirstColumn="0" showLastColumn="0" showRowStripes="1" showColumnStripes="0"/>
</table>
</file>

<file path=xl/tables/table6.xml><?xml version="1.0" encoding="utf-8"?>
<table xmlns="http://schemas.openxmlformats.org/spreadsheetml/2006/main" id="1" name="NaturesTable" displayName="NaturesTable" ref="A1:F26" totalsRowShown="0" headerRowDxfId="2446">
  <autoFilter ref="A1:F26"/>
  <sortState ref="A2:F26">
    <sortCondition ref="A1:A26"/>
  </sortState>
  <tableColumns count="6">
    <tableColumn id="1" name="Name" dataDxfId="2445" dataCellStyle="20% - Accent5"/>
    <tableColumn id="2" name="ATT"/>
    <tableColumn id="3" name="DEF"/>
    <tableColumn id="4" name="SPA"/>
    <tableColumn id="5" name="SPD"/>
    <tableColumn id="6" name="SPE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hyperlink" Target="mailto:justcallmebaj@gmail.com" TargetMode="Externa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pokepp-feedback.wikidot.com/" TargetMode="External"/><Relationship Id="rId16" Type="http://schemas.openxmlformats.org/officeDocument/2006/relationships/ctrlProp" Target="../ctrlProps/ctrlProp10.xml"/><Relationship Id="rId1" Type="http://schemas.openxmlformats.org/officeDocument/2006/relationships/hyperlink" Target="http://pokepp.wikidot.com/"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2.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elcomeSheet"/>
  <dimension ref="A1:L155"/>
  <sheetViews>
    <sheetView topLeftCell="A4" workbookViewId="0">
      <selection activeCell="AB25" sqref="AB25"/>
    </sheetView>
  </sheetViews>
  <sheetFormatPr defaultRowHeight="15" x14ac:dyDescent="0.25"/>
  <sheetData>
    <row r="1" spans="1:12" ht="32.25" thickBot="1" x14ac:dyDescent="0.55000000000000004">
      <c r="A1" s="91" t="s">
        <v>92</v>
      </c>
      <c r="B1" s="91"/>
      <c r="C1" s="91"/>
      <c r="D1" s="91"/>
      <c r="E1" s="91"/>
      <c r="F1" s="91"/>
      <c r="G1" s="91"/>
      <c r="H1" s="91"/>
      <c r="I1" s="91"/>
      <c r="J1" s="91"/>
      <c r="K1" s="91"/>
      <c r="L1" s="91"/>
    </row>
    <row r="2" spans="1:12" ht="16.5" thickTop="1" x14ac:dyDescent="0.25">
      <c r="A2" s="92" t="s">
        <v>193</v>
      </c>
      <c r="B2" s="92"/>
      <c r="C2" s="92"/>
      <c r="D2" s="92"/>
      <c r="E2" s="92"/>
      <c r="F2" s="92"/>
      <c r="G2" s="92"/>
      <c r="H2" s="92"/>
      <c r="I2" s="92"/>
      <c r="J2" s="92"/>
      <c r="K2" s="92"/>
      <c r="L2" s="92"/>
    </row>
    <row r="4" spans="1:12" ht="18" thickBot="1" x14ac:dyDescent="0.3">
      <c r="B4" s="93" t="s">
        <v>93</v>
      </c>
      <c r="C4" s="93"/>
      <c r="D4" s="93"/>
      <c r="E4" s="93"/>
      <c r="F4" s="93"/>
      <c r="G4" s="93"/>
      <c r="H4" s="93"/>
      <c r="I4" s="93"/>
      <c r="J4" s="93"/>
      <c r="K4" s="93"/>
    </row>
    <row r="5" spans="1:12" ht="15.75" thickTop="1" x14ac:dyDescent="0.25">
      <c r="G5" s="53"/>
      <c r="H5" s="53"/>
      <c r="I5" s="53"/>
    </row>
    <row r="6" spans="1:12" ht="18" thickBot="1" x14ac:dyDescent="0.3">
      <c r="E6" s="85" t="s">
        <v>94</v>
      </c>
      <c r="G6" s="94" t="s">
        <v>95</v>
      </c>
      <c r="H6" s="94"/>
      <c r="I6" s="94"/>
    </row>
    <row r="7" spans="1:12" ht="15.75" thickTop="1" x14ac:dyDescent="0.25">
      <c r="E7" s="4">
        <f>MATCH($G7,$B:$B,0 )</f>
        <v>14</v>
      </c>
      <c r="F7" s="4" t="s">
        <v>100</v>
      </c>
      <c r="G7" t="s">
        <v>96</v>
      </c>
    </row>
    <row r="8" spans="1:12" x14ac:dyDescent="0.25">
      <c r="E8" s="4">
        <f>MATCH($G8,$B:$B,0 )</f>
        <v>42</v>
      </c>
      <c r="F8" s="4" t="s">
        <v>100</v>
      </c>
      <c r="G8" t="s">
        <v>97</v>
      </c>
    </row>
    <row r="9" spans="1:12" x14ac:dyDescent="0.25">
      <c r="E9" s="4">
        <f>MATCH($G9,$B:$B,0 )</f>
        <v>96</v>
      </c>
      <c r="F9" s="4" t="s">
        <v>100</v>
      </c>
      <c r="G9" t="s">
        <v>98</v>
      </c>
    </row>
    <row r="10" spans="1:12" x14ac:dyDescent="0.25">
      <c r="E10" s="4">
        <f>MATCH($G10,$B:$B,0 )</f>
        <v>137</v>
      </c>
      <c r="F10" s="4" t="s">
        <v>100</v>
      </c>
      <c r="G10" t="s">
        <v>179</v>
      </c>
    </row>
    <row r="11" spans="1:12" x14ac:dyDescent="0.25">
      <c r="E11" s="4">
        <f>MATCH($G11,$B:$B,0 )</f>
        <v>149</v>
      </c>
      <c r="F11" s="4" t="s">
        <v>100</v>
      </c>
      <c r="G11" t="s">
        <v>99</v>
      </c>
    </row>
    <row r="14" spans="1:12" ht="18" thickBot="1" x14ac:dyDescent="0.3">
      <c r="B14" s="93" t="s">
        <v>96</v>
      </c>
      <c r="C14" s="93"/>
      <c r="D14" s="93"/>
      <c r="E14" s="93"/>
      <c r="F14" s="93"/>
      <c r="G14" s="93"/>
      <c r="H14" s="93"/>
      <c r="I14" s="93"/>
      <c r="J14" s="93"/>
      <c r="K14" s="93"/>
    </row>
    <row r="15" spans="1:12" ht="15.75" thickTop="1" x14ac:dyDescent="0.25"/>
    <row r="16" spans="1:12" x14ac:dyDescent="0.25">
      <c r="C16" s="90" t="s">
        <v>111</v>
      </c>
      <c r="D16" s="90"/>
      <c r="E16" s="90"/>
      <c r="F16" s="90"/>
      <c r="G16" s="90"/>
      <c r="H16" s="90"/>
      <c r="I16" s="90"/>
      <c r="J16" s="90"/>
      <c r="K16" s="29"/>
    </row>
    <row r="17" spans="3:11" x14ac:dyDescent="0.25">
      <c r="C17" s="90"/>
      <c r="D17" s="90"/>
      <c r="E17" s="90"/>
      <c r="F17" s="90"/>
      <c r="G17" s="90"/>
      <c r="H17" s="90"/>
      <c r="I17" s="90"/>
      <c r="J17" s="90"/>
      <c r="K17" s="29"/>
    </row>
    <row r="18" spans="3:11" x14ac:dyDescent="0.25">
      <c r="C18" s="90"/>
      <c r="D18" s="90"/>
      <c r="E18" s="90"/>
      <c r="F18" s="90"/>
      <c r="G18" s="90"/>
      <c r="H18" s="90"/>
      <c r="I18" s="90"/>
      <c r="J18" s="90"/>
      <c r="K18" s="29"/>
    </row>
    <row r="19" spans="3:11" x14ac:dyDescent="0.25">
      <c r="C19" s="29"/>
      <c r="D19" s="29"/>
      <c r="E19" s="29"/>
      <c r="F19" s="29"/>
      <c r="G19" s="29"/>
      <c r="H19" s="29"/>
      <c r="I19" s="29"/>
      <c r="J19" s="29"/>
      <c r="K19" s="29"/>
    </row>
    <row r="20" spans="3:11" x14ac:dyDescent="0.25">
      <c r="C20" s="95" t="s">
        <v>112</v>
      </c>
      <c r="D20" s="95"/>
      <c r="E20" s="95"/>
      <c r="F20" s="95"/>
      <c r="G20" s="95"/>
      <c r="H20" s="95"/>
      <c r="I20" s="95"/>
      <c r="J20" s="95"/>
      <c r="K20" s="29"/>
    </row>
    <row r="21" spans="3:11" x14ac:dyDescent="0.25">
      <c r="C21" s="96" t="s">
        <v>195</v>
      </c>
      <c r="D21" s="96"/>
      <c r="E21" s="96"/>
      <c r="F21" s="96"/>
      <c r="G21" s="96"/>
      <c r="H21" s="96"/>
      <c r="I21" s="96"/>
      <c r="J21" s="96"/>
      <c r="K21" s="29"/>
    </row>
    <row r="22" spans="3:11" x14ac:dyDescent="0.25">
      <c r="C22" s="96"/>
      <c r="D22" s="96"/>
      <c r="E22" s="96"/>
      <c r="F22" s="96"/>
      <c r="G22" s="96"/>
      <c r="H22" s="96"/>
      <c r="I22" s="96"/>
      <c r="J22" s="96"/>
      <c r="K22" s="29"/>
    </row>
    <row r="23" spans="3:11" x14ac:dyDescent="0.25">
      <c r="C23" s="96"/>
      <c r="D23" s="96"/>
      <c r="E23" s="96"/>
      <c r="F23" s="96"/>
      <c r="G23" s="96"/>
      <c r="H23" s="96"/>
      <c r="I23" s="96"/>
      <c r="J23" s="96"/>
      <c r="K23" s="29"/>
    </row>
    <row r="24" spans="3:11" x14ac:dyDescent="0.25">
      <c r="C24" s="96"/>
      <c r="D24" s="96"/>
      <c r="E24" s="96"/>
      <c r="F24" s="96"/>
      <c r="G24" s="96"/>
      <c r="H24" s="96"/>
      <c r="I24" s="96"/>
      <c r="J24" s="96"/>
      <c r="K24" s="86"/>
    </row>
    <row r="25" spans="3:11" x14ac:dyDescent="0.25">
      <c r="C25" s="31"/>
      <c r="D25" s="31"/>
      <c r="E25" s="31"/>
      <c r="F25" s="31"/>
      <c r="G25" s="31"/>
      <c r="H25" s="31"/>
      <c r="I25" s="31"/>
      <c r="J25" s="31"/>
    </row>
    <row r="26" spans="3:11" ht="15.75" thickBot="1" x14ac:dyDescent="0.3">
      <c r="C26" s="97" t="s">
        <v>106</v>
      </c>
      <c r="D26" s="97"/>
      <c r="E26" s="97" t="s">
        <v>108</v>
      </c>
      <c r="F26" s="97"/>
      <c r="G26" s="33" t="s">
        <v>107</v>
      </c>
      <c r="H26" s="98" t="s">
        <v>109</v>
      </c>
      <c r="I26" s="98"/>
      <c r="J26" s="98"/>
    </row>
    <row r="27" spans="3:11" x14ac:dyDescent="0.25">
      <c r="C27" s="28" t="s">
        <v>101</v>
      </c>
      <c r="D27" s="28"/>
      <c r="E27" s="32">
        <v>1</v>
      </c>
      <c r="F27" s="32">
        <v>151</v>
      </c>
      <c r="G27" t="s">
        <v>114</v>
      </c>
    </row>
    <row r="28" spans="3:11" x14ac:dyDescent="0.25">
      <c r="C28" s="28"/>
      <c r="D28" s="28"/>
      <c r="E28" s="32"/>
      <c r="F28" s="32"/>
    </row>
    <row r="29" spans="3:11" x14ac:dyDescent="0.25">
      <c r="C29" t="s">
        <v>102</v>
      </c>
      <c r="E29" s="32">
        <v>152</v>
      </c>
      <c r="F29" s="32">
        <v>251</v>
      </c>
      <c r="G29" t="s">
        <v>110</v>
      </c>
    </row>
    <row r="30" spans="3:11" x14ac:dyDescent="0.25">
      <c r="E30" s="32"/>
      <c r="F30" s="32"/>
    </row>
    <row r="31" spans="3:11" x14ac:dyDescent="0.25">
      <c r="C31" t="s">
        <v>103</v>
      </c>
      <c r="E31" s="32">
        <v>252</v>
      </c>
      <c r="F31" s="32">
        <v>386</v>
      </c>
      <c r="G31" t="s">
        <v>115</v>
      </c>
    </row>
    <row r="32" spans="3:11" x14ac:dyDescent="0.25">
      <c r="E32" s="32"/>
      <c r="F32" s="32"/>
    </row>
    <row r="34" spans="2:11" x14ac:dyDescent="0.25">
      <c r="C34" t="s">
        <v>104</v>
      </c>
      <c r="E34" s="32">
        <v>387</v>
      </c>
      <c r="F34" s="32">
        <v>493</v>
      </c>
      <c r="G34" t="s">
        <v>116</v>
      </c>
    </row>
    <row r="35" spans="2:11" x14ac:dyDescent="0.25">
      <c r="E35" s="32"/>
      <c r="F35" s="32"/>
    </row>
    <row r="37" spans="2:11" x14ac:dyDescent="0.25">
      <c r="C37" t="s">
        <v>105</v>
      </c>
      <c r="E37" s="32">
        <v>494</v>
      </c>
      <c r="F37" s="32">
        <v>649</v>
      </c>
      <c r="G37" t="s">
        <v>117</v>
      </c>
    </row>
    <row r="39" spans="2:11" x14ac:dyDescent="0.25">
      <c r="C39" t="s">
        <v>671</v>
      </c>
      <c r="E39" s="32">
        <v>650</v>
      </c>
      <c r="F39" s="32">
        <v>718</v>
      </c>
      <c r="G39" t="s">
        <v>670</v>
      </c>
    </row>
    <row r="42" spans="2:11" ht="18" thickBot="1" x14ac:dyDescent="0.3">
      <c r="B42" s="93" t="s">
        <v>97</v>
      </c>
      <c r="C42" s="93"/>
      <c r="D42" s="93"/>
      <c r="E42" s="93"/>
      <c r="F42" s="93"/>
      <c r="G42" s="93"/>
      <c r="H42" s="93"/>
      <c r="I42" s="93"/>
      <c r="J42" s="93"/>
      <c r="K42" s="93"/>
    </row>
    <row r="43" spans="2:11" ht="15.75" thickTop="1" x14ac:dyDescent="0.25"/>
    <row r="44" spans="2:11" x14ac:dyDescent="0.25">
      <c r="C44" s="90" t="s">
        <v>172</v>
      </c>
      <c r="D44" s="90"/>
      <c r="E44" s="90"/>
      <c r="F44" s="90"/>
      <c r="G44" s="90"/>
      <c r="H44" s="90"/>
      <c r="I44" s="90"/>
      <c r="J44" s="90"/>
    </row>
    <row r="45" spans="2:11" x14ac:dyDescent="0.25">
      <c r="C45" s="90"/>
      <c r="D45" s="90"/>
      <c r="E45" s="90"/>
      <c r="F45" s="90"/>
      <c r="G45" s="90"/>
      <c r="H45" s="90"/>
      <c r="I45" s="90"/>
      <c r="J45" s="90"/>
    </row>
    <row r="46" spans="2:11" x14ac:dyDescent="0.25">
      <c r="C46" s="90"/>
      <c r="D46" s="90"/>
      <c r="E46" s="90"/>
      <c r="F46" s="90"/>
      <c r="G46" s="90"/>
      <c r="H46" s="90"/>
      <c r="I46" s="90"/>
      <c r="J46" s="90"/>
    </row>
    <row r="47" spans="2:11" x14ac:dyDescent="0.25">
      <c r="C47" s="90"/>
      <c r="D47" s="90"/>
      <c r="E47" s="90"/>
      <c r="F47" s="90"/>
      <c r="G47" s="90"/>
      <c r="H47" s="90"/>
      <c r="I47" s="90"/>
      <c r="J47" s="90"/>
    </row>
    <row r="49" spans="3:10" x14ac:dyDescent="0.25">
      <c r="C49" s="90" t="s">
        <v>173</v>
      </c>
      <c r="D49" s="90"/>
      <c r="E49" s="90"/>
      <c r="F49" s="90"/>
      <c r="G49" s="90"/>
      <c r="H49" s="90"/>
      <c r="I49" s="90"/>
      <c r="J49" s="90"/>
    </row>
    <row r="50" spans="3:10" x14ac:dyDescent="0.25">
      <c r="C50" s="90"/>
      <c r="D50" s="90"/>
      <c r="E50" s="90"/>
      <c r="F50" s="90"/>
      <c r="G50" s="90"/>
      <c r="H50" s="90"/>
      <c r="I50" s="90"/>
      <c r="J50" s="90"/>
    </row>
    <row r="51" spans="3:10" x14ac:dyDescent="0.25">
      <c r="C51" s="90"/>
      <c r="D51" s="90"/>
      <c r="E51" s="90"/>
      <c r="F51" s="90"/>
      <c r="G51" s="90"/>
      <c r="H51" s="90"/>
      <c r="I51" s="90"/>
      <c r="J51" s="90"/>
    </row>
    <row r="52" spans="3:10" x14ac:dyDescent="0.25">
      <c r="C52" s="90"/>
      <c r="D52" s="90"/>
      <c r="E52" s="90"/>
      <c r="F52" s="90"/>
      <c r="G52" s="90"/>
      <c r="H52" s="90"/>
      <c r="I52" s="90"/>
      <c r="J52" s="90"/>
    </row>
    <row r="60" spans="3:10" x14ac:dyDescent="0.25">
      <c r="C60" s="90" t="s">
        <v>174</v>
      </c>
      <c r="D60" s="90"/>
      <c r="E60" s="90"/>
      <c r="F60" s="90"/>
      <c r="G60" s="90"/>
      <c r="H60" s="90"/>
      <c r="I60" s="90"/>
      <c r="J60" s="90"/>
    </row>
    <row r="61" spans="3:10" x14ac:dyDescent="0.25">
      <c r="C61" s="90"/>
      <c r="D61" s="90"/>
      <c r="E61" s="90"/>
      <c r="F61" s="90"/>
      <c r="G61" s="90"/>
      <c r="H61" s="90"/>
      <c r="I61" s="90"/>
      <c r="J61" s="90"/>
    </row>
    <row r="62" spans="3:10" x14ac:dyDescent="0.25">
      <c r="C62" s="90"/>
      <c r="D62" s="90"/>
      <c r="E62" s="90"/>
      <c r="F62" s="90"/>
      <c r="G62" s="90"/>
      <c r="H62" s="90"/>
      <c r="I62" s="90"/>
      <c r="J62" s="90"/>
    </row>
    <row r="63" spans="3:10" x14ac:dyDescent="0.25">
      <c r="C63" s="86"/>
      <c r="D63" s="86"/>
      <c r="E63" s="86"/>
      <c r="F63" s="86"/>
      <c r="G63" s="86"/>
      <c r="H63" s="86"/>
      <c r="I63" s="86"/>
      <c r="J63" s="86"/>
    </row>
    <row r="64" spans="3:10" x14ac:dyDescent="0.25">
      <c r="C64" s="90" t="s">
        <v>175</v>
      </c>
      <c r="D64" s="90"/>
      <c r="E64" s="90"/>
      <c r="F64" s="90"/>
      <c r="G64" s="90"/>
      <c r="H64" s="90"/>
      <c r="I64" s="90"/>
      <c r="J64" s="90"/>
    </row>
    <row r="65" spans="3:10" x14ac:dyDescent="0.25">
      <c r="C65" s="90"/>
      <c r="D65" s="90"/>
      <c r="E65" s="90"/>
      <c r="F65" s="90"/>
      <c r="G65" s="90"/>
      <c r="H65" s="90"/>
      <c r="I65" s="90"/>
      <c r="J65" s="90"/>
    </row>
    <row r="66" spans="3:10" x14ac:dyDescent="0.25">
      <c r="C66" s="90"/>
      <c r="D66" s="90"/>
      <c r="E66" s="90"/>
      <c r="F66" s="90"/>
      <c r="G66" s="90"/>
      <c r="H66" s="90"/>
      <c r="I66" s="90"/>
      <c r="J66" s="90"/>
    </row>
    <row r="67" spans="3:10" x14ac:dyDescent="0.25">
      <c r="C67" s="90"/>
      <c r="D67" s="90"/>
      <c r="E67" s="90"/>
      <c r="F67" s="90"/>
      <c r="G67" s="90"/>
      <c r="H67" s="90"/>
      <c r="I67" s="90"/>
      <c r="J67" s="90"/>
    </row>
    <row r="68" spans="3:10" x14ac:dyDescent="0.25">
      <c r="C68" s="90"/>
      <c r="D68" s="90"/>
      <c r="E68" s="90"/>
      <c r="F68" s="90"/>
      <c r="G68" s="90"/>
      <c r="H68" s="90"/>
      <c r="I68" s="90"/>
      <c r="J68" s="90"/>
    </row>
    <row r="69" spans="3:10" x14ac:dyDescent="0.25">
      <c r="C69" s="86"/>
      <c r="D69" s="86"/>
      <c r="E69" s="86"/>
      <c r="F69" s="86"/>
      <c r="G69" s="86"/>
      <c r="H69" s="86"/>
      <c r="I69" s="86"/>
      <c r="J69" s="86"/>
    </row>
    <row r="70" spans="3:10" x14ac:dyDescent="0.25">
      <c r="C70" s="86"/>
      <c r="D70" s="86"/>
      <c r="E70" s="86"/>
      <c r="F70" s="86"/>
      <c r="G70" s="86"/>
      <c r="H70" s="86"/>
      <c r="I70" s="86"/>
      <c r="J70" s="86"/>
    </row>
    <row r="71" spans="3:10" x14ac:dyDescent="0.25">
      <c r="C71" s="86"/>
      <c r="D71" s="86"/>
      <c r="E71" s="86"/>
      <c r="F71" s="86"/>
      <c r="G71" s="86"/>
      <c r="H71" s="86"/>
      <c r="I71" s="86"/>
      <c r="J71" s="86"/>
    </row>
    <row r="72" spans="3:10" x14ac:dyDescent="0.25">
      <c r="C72" s="86"/>
      <c r="D72" s="86"/>
      <c r="E72" s="86"/>
      <c r="F72" s="86"/>
      <c r="G72" s="86"/>
      <c r="H72" s="86"/>
      <c r="I72" s="86"/>
      <c r="J72" s="86"/>
    </row>
    <row r="73" spans="3:10" x14ac:dyDescent="0.25">
      <c r="C73" s="86"/>
      <c r="D73" s="86"/>
      <c r="E73" s="86"/>
      <c r="F73" s="86"/>
      <c r="G73" s="86"/>
      <c r="H73" s="86"/>
      <c r="I73" s="86"/>
      <c r="J73" s="86"/>
    </row>
    <row r="74" spans="3:10" x14ac:dyDescent="0.25">
      <c r="C74" s="86"/>
      <c r="D74" s="86"/>
      <c r="E74" s="86"/>
      <c r="F74" s="86"/>
      <c r="G74" s="86"/>
      <c r="H74" s="86"/>
      <c r="I74" s="86"/>
      <c r="J74" s="86"/>
    </row>
    <row r="75" spans="3:10" x14ac:dyDescent="0.25">
      <c r="C75" s="90" t="s">
        <v>176</v>
      </c>
      <c r="D75" s="90"/>
      <c r="E75" s="90"/>
      <c r="F75" s="90"/>
      <c r="G75" s="90"/>
      <c r="H75" s="90"/>
      <c r="I75" s="90"/>
      <c r="J75" s="90"/>
    </row>
    <row r="76" spans="3:10" x14ac:dyDescent="0.25">
      <c r="C76" s="90"/>
      <c r="D76" s="90"/>
      <c r="E76" s="90"/>
      <c r="F76" s="90"/>
      <c r="G76" s="90"/>
      <c r="H76" s="90"/>
      <c r="I76" s="90"/>
      <c r="J76" s="90"/>
    </row>
    <row r="77" spans="3:10" x14ac:dyDescent="0.25">
      <c r="C77" s="90"/>
      <c r="D77" s="90"/>
      <c r="E77" s="90"/>
      <c r="F77" s="90"/>
      <c r="G77" s="90"/>
      <c r="H77" s="90"/>
      <c r="I77" s="90"/>
      <c r="J77" s="90"/>
    </row>
    <row r="78" spans="3:10" x14ac:dyDescent="0.25">
      <c r="C78" s="90"/>
      <c r="D78" s="90"/>
      <c r="E78" s="90"/>
      <c r="F78" s="90"/>
      <c r="G78" s="90"/>
      <c r="H78" s="90"/>
      <c r="I78" s="90"/>
      <c r="J78" s="90"/>
    </row>
    <row r="79" spans="3:10" x14ac:dyDescent="0.25">
      <c r="C79" s="86"/>
      <c r="D79" s="86"/>
      <c r="E79" s="86"/>
      <c r="F79" s="86"/>
      <c r="G79" s="86"/>
      <c r="H79" s="86"/>
      <c r="I79" s="86"/>
      <c r="J79" s="86"/>
    </row>
    <row r="80" spans="3:10" x14ac:dyDescent="0.25">
      <c r="C80" s="90" t="s">
        <v>177</v>
      </c>
      <c r="D80" s="90"/>
      <c r="E80" s="90"/>
      <c r="F80" s="90"/>
      <c r="G80" s="90"/>
      <c r="H80" s="90"/>
      <c r="I80" s="90"/>
      <c r="J80" s="90"/>
    </row>
    <row r="81" spans="2:11" x14ac:dyDescent="0.25">
      <c r="C81" s="90"/>
      <c r="D81" s="90"/>
      <c r="E81" s="90"/>
      <c r="F81" s="90"/>
      <c r="G81" s="90"/>
      <c r="H81" s="90"/>
      <c r="I81" s="90"/>
      <c r="J81" s="90"/>
    </row>
    <row r="82" spans="2:11" x14ac:dyDescent="0.25">
      <c r="C82" s="90"/>
      <c r="D82" s="90"/>
      <c r="E82" s="90"/>
      <c r="F82" s="90"/>
      <c r="G82" s="90"/>
      <c r="H82" s="90"/>
      <c r="I82" s="90"/>
      <c r="J82" s="90"/>
    </row>
    <row r="83" spans="2:11" x14ac:dyDescent="0.25">
      <c r="C83" s="90"/>
      <c r="D83" s="90"/>
      <c r="E83" s="90"/>
      <c r="F83" s="90"/>
      <c r="G83" s="90"/>
      <c r="H83" s="90"/>
      <c r="I83" s="90"/>
      <c r="J83" s="90"/>
    </row>
    <row r="84" spans="2:11" x14ac:dyDescent="0.25">
      <c r="C84" s="29"/>
      <c r="D84" s="29"/>
      <c r="E84" s="29"/>
      <c r="F84" s="29"/>
      <c r="G84" s="29"/>
      <c r="H84" s="29"/>
      <c r="I84" s="29"/>
      <c r="J84" s="29"/>
    </row>
    <row r="85" spans="2:11" x14ac:dyDescent="0.25">
      <c r="C85" s="90" t="s">
        <v>178</v>
      </c>
      <c r="D85" s="90"/>
      <c r="E85" s="90"/>
      <c r="F85" s="90"/>
      <c r="G85" s="90"/>
      <c r="H85" s="90"/>
      <c r="I85" s="90"/>
      <c r="J85" s="90"/>
    </row>
    <row r="86" spans="2:11" x14ac:dyDescent="0.25">
      <c r="C86" s="90"/>
      <c r="D86" s="90"/>
      <c r="E86" s="90"/>
      <c r="F86" s="90"/>
      <c r="G86" s="90"/>
      <c r="H86" s="90"/>
      <c r="I86" s="90"/>
      <c r="J86" s="90"/>
    </row>
    <row r="87" spans="2:11" x14ac:dyDescent="0.25">
      <c r="C87" s="90"/>
      <c r="D87" s="90"/>
      <c r="E87" s="90"/>
      <c r="F87" s="90"/>
      <c r="G87" s="90"/>
      <c r="H87" s="90"/>
      <c r="I87" s="90"/>
      <c r="J87" s="90"/>
    </row>
    <row r="88" spans="2:11" x14ac:dyDescent="0.25">
      <c r="C88" s="86"/>
      <c r="D88" s="86"/>
      <c r="E88" s="86"/>
      <c r="F88" s="86"/>
      <c r="G88" s="86"/>
      <c r="H88" s="86"/>
      <c r="I88" s="86"/>
      <c r="J88" s="86"/>
    </row>
    <row r="89" spans="2:11" x14ac:dyDescent="0.25">
      <c r="C89" s="86"/>
      <c r="D89" s="86"/>
      <c r="E89" s="86"/>
      <c r="F89" s="86"/>
      <c r="G89" s="86"/>
      <c r="H89" s="86"/>
      <c r="I89" s="86"/>
      <c r="J89" s="86"/>
    </row>
    <row r="90" spans="2:11" x14ac:dyDescent="0.25">
      <c r="C90" s="86"/>
      <c r="D90" s="86"/>
      <c r="E90" s="86"/>
      <c r="F90" s="86"/>
      <c r="G90" s="86"/>
      <c r="H90" s="86"/>
      <c r="I90" s="86"/>
      <c r="J90" s="86"/>
    </row>
    <row r="91" spans="2:11" x14ac:dyDescent="0.25">
      <c r="C91" s="86"/>
      <c r="D91" s="86"/>
      <c r="E91" s="86"/>
      <c r="F91" s="86"/>
      <c r="G91" s="86"/>
      <c r="H91" s="86"/>
      <c r="I91" s="86"/>
      <c r="J91" s="86"/>
    </row>
    <row r="92" spans="2:11" x14ac:dyDescent="0.25">
      <c r="C92" s="86"/>
      <c r="D92" s="86"/>
      <c r="E92" s="86"/>
      <c r="F92" s="86"/>
      <c r="G92" s="86"/>
      <c r="H92" s="86"/>
      <c r="I92" s="86"/>
      <c r="J92" s="86"/>
    </row>
    <row r="93" spans="2:11" x14ac:dyDescent="0.25">
      <c r="C93" s="86"/>
      <c r="D93" s="86"/>
      <c r="E93" s="86"/>
      <c r="F93" s="86"/>
      <c r="G93" s="86"/>
      <c r="H93" s="86"/>
      <c r="I93" s="86"/>
      <c r="J93" s="86"/>
    </row>
    <row r="94" spans="2:11" x14ac:dyDescent="0.25">
      <c r="C94" s="86"/>
      <c r="D94" s="86"/>
      <c r="E94" s="86"/>
      <c r="F94" s="86"/>
      <c r="G94" s="86"/>
      <c r="H94" s="86"/>
      <c r="I94" s="86"/>
      <c r="J94" s="86"/>
    </row>
    <row r="96" spans="2:11" ht="18" thickBot="1" x14ac:dyDescent="0.3">
      <c r="B96" s="93" t="s">
        <v>98</v>
      </c>
      <c r="C96" s="93"/>
      <c r="D96" s="93"/>
      <c r="E96" s="93"/>
      <c r="F96" s="93"/>
      <c r="G96" s="93"/>
      <c r="H96" s="93"/>
      <c r="I96" s="93"/>
      <c r="J96" s="93"/>
      <c r="K96" s="93"/>
    </row>
    <row r="97" spans="3:10" ht="15.75" thickTop="1" x14ac:dyDescent="0.25"/>
    <row r="98" spans="3:10" x14ac:dyDescent="0.25">
      <c r="C98" s="90" t="s">
        <v>180</v>
      </c>
      <c r="D98" s="90"/>
      <c r="E98" s="90"/>
      <c r="F98" s="90"/>
      <c r="G98" s="90"/>
      <c r="H98" s="90"/>
      <c r="I98" s="90"/>
      <c r="J98" s="90"/>
    </row>
    <row r="99" spans="3:10" x14ac:dyDescent="0.25">
      <c r="C99" s="90"/>
      <c r="D99" s="90"/>
      <c r="E99" s="90"/>
      <c r="F99" s="90"/>
      <c r="G99" s="90"/>
      <c r="H99" s="90"/>
      <c r="I99" s="90"/>
      <c r="J99" s="90"/>
    </row>
    <row r="100" spans="3:10" x14ac:dyDescent="0.25">
      <c r="C100" s="90"/>
      <c r="D100" s="90"/>
      <c r="E100" s="90"/>
      <c r="F100" s="90"/>
      <c r="G100" s="90"/>
      <c r="H100" s="90"/>
      <c r="I100" s="90"/>
      <c r="J100" s="90"/>
    </row>
    <row r="101" spans="3:10" x14ac:dyDescent="0.25">
      <c r="C101" s="90"/>
      <c r="D101" s="90"/>
      <c r="E101" s="90"/>
      <c r="F101" s="90"/>
      <c r="G101" s="90"/>
      <c r="H101" s="90"/>
      <c r="I101" s="90"/>
      <c r="J101" s="90"/>
    </row>
    <row r="102" spans="3:10" x14ac:dyDescent="0.25">
      <c r="C102" s="90"/>
      <c r="D102" s="90"/>
      <c r="E102" s="90"/>
      <c r="F102" s="90"/>
      <c r="G102" s="90"/>
      <c r="H102" s="90"/>
      <c r="I102" s="90"/>
      <c r="J102" s="90"/>
    </row>
    <row r="104" spans="3:10" x14ac:dyDescent="0.25">
      <c r="E104" s="90" t="s">
        <v>184</v>
      </c>
      <c r="F104" s="90"/>
      <c r="G104" s="90"/>
      <c r="H104" s="90"/>
      <c r="I104" s="90"/>
      <c r="J104" s="90"/>
    </row>
    <row r="105" spans="3:10" x14ac:dyDescent="0.25">
      <c r="E105" s="90"/>
      <c r="F105" s="90"/>
      <c r="G105" s="90"/>
      <c r="H105" s="90"/>
      <c r="I105" s="90"/>
      <c r="J105" s="90"/>
    </row>
    <row r="106" spans="3:10" x14ac:dyDescent="0.25">
      <c r="E106" s="90"/>
      <c r="F106" s="90"/>
      <c r="G106" s="90"/>
      <c r="H106" s="90"/>
      <c r="I106" s="90"/>
      <c r="J106" s="90"/>
    </row>
    <row r="107" spans="3:10" x14ac:dyDescent="0.25">
      <c r="E107" s="90"/>
      <c r="F107" s="90"/>
      <c r="G107" s="90"/>
      <c r="H107" s="90"/>
      <c r="I107" s="90"/>
      <c r="J107" s="90"/>
    </row>
    <row r="108" spans="3:10" x14ac:dyDescent="0.25">
      <c r="E108" s="90"/>
      <c r="F108" s="90"/>
      <c r="G108" s="90"/>
      <c r="H108" s="90"/>
      <c r="I108" s="90"/>
      <c r="J108" s="90"/>
    </row>
    <row r="110" spans="3:10" x14ac:dyDescent="0.25">
      <c r="E110" s="90" t="s">
        <v>181</v>
      </c>
      <c r="F110" s="90"/>
      <c r="G110" s="90"/>
      <c r="H110" s="90"/>
    </row>
    <row r="111" spans="3:10" x14ac:dyDescent="0.25">
      <c r="E111" s="90"/>
      <c r="F111" s="90"/>
      <c r="G111" s="90"/>
      <c r="H111" s="90"/>
    </row>
    <row r="112" spans="3:10" x14ac:dyDescent="0.25">
      <c r="E112" s="90"/>
      <c r="F112" s="90"/>
      <c r="G112" s="90"/>
      <c r="H112" s="90"/>
    </row>
    <row r="113" spans="5:8" x14ac:dyDescent="0.25">
      <c r="E113" s="90"/>
      <c r="F113" s="90"/>
      <c r="G113" s="90"/>
      <c r="H113" s="90"/>
    </row>
    <row r="114" spans="5:8" x14ac:dyDescent="0.25">
      <c r="E114" s="90"/>
      <c r="F114" s="90"/>
      <c r="G114" s="90"/>
      <c r="H114" s="90"/>
    </row>
    <row r="116" spans="5:8" x14ac:dyDescent="0.25">
      <c r="E116" s="90" t="s">
        <v>182</v>
      </c>
      <c r="F116" s="90"/>
      <c r="G116" s="90"/>
    </row>
    <row r="117" spans="5:8" x14ac:dyDescent="0.25">
      <c r="E117" s="90"/>
      <c r="F117" s="90"/>
      <c r="G117" s="90"/>
    </row>
    <row r="118" spans="5:8" x14ac:dyDescent="0.25">
      <c r="E118" s="90"/>
      <c r="F118" s="90"/>
      <c r="G118" s="90"/>
    </row>
    <row r="119" spans="5:8" x14ac:dyDescent="0.25">
      <c r="E119" s="90"/>
      <c r="F119" s="90"/>
      <c r="G119" s="90"/>
    </row>
    <row r="120" spans="5:8" x14ac:dyDescent="0.25">
      <c r="E120" s="90"/>
      <c r="F120" s="90"/>
      <c r="G120" s="90"/>
    </row>
    <row r="121" spans="5:8" x14ac:dyDescent="0.25">
      <c r="E121" s="90"/>
      <c r="F121" s="90"/>
      <c r="G121" s="90"/>
    </row>
    <row r="122" spans="5:8" x14ac:dyDescent="0.25">
      <c r="E122" s="90"/>
      <c r="F122" s="90"/>
      <c r="G122" s="90"/>
    </row>
    <row r="123" spans="5:8" x14ac:dyDescent="0.25">
      <c r="E123" s="90"/>
      <c r="F123" s="90"/>
      <c r="G123" s="90"/>
    </row>
    <row r="124" spans="5:8" x14ac:dyDescent="0.25">
      <c r="E124" s="90"/>
      <c r="F124" s="90"/>
      <c r="G124" s="90"/>
    </row>
    <row r="125" spans="5:8" x14ac:dyDescent="0.25">
      <c r="E125" s="90"/>
      <c r="F125" s="90"/>
      <c r="G125" s="90"/>
    </row>
    <row r="126" spans="5:8" x14ac:dyDescent="0.25">
      <c r="E126" s="90"/>
      <c r="F126" s="90"/>
      <c r="G126" s="90"/>
    </row>
    <row r="127" spans="5:8" x14ac:dyDescent="0.25">
      <c r="E127" s="90"/>
      <c r="F127" s="90"/>
      <c r="G127" s="90"/>
    </row>
    <row r="130" spans="2:11" x14ac:dyDescent="0.25">
      <c r="C130" s="90" t="s">
        <v>183</v>
      </c>
      <c r="D130" s="90"/>
      <c r="E130" s="90"/>
      <c r="F130" s="90"/>
      <c r="G130" s="90"/>
      <c r="H130" s="90"/>
      <c r="I130" s="90"/>
      <c r="J130" s="90"/>
    </row>
    <row r="131" spans="2:11" x14ac:dyDescent="0.25">
      <c r="C131" s="90"/>
      <c r="D131" s="90"/>
      <c r="E131" s="90"/>
      <c r="F131" s="90"/>
      <c r="G131" s="90"/>
      <c r="H131" s="90"/>
      <c r="I131" s="90"/>
      <c r="J131" s="90"/>
    </row>
    <row r="132" spans="2:11" x14ac:dyDescent="0.25">
      <c r="C132" s="90"/>
      <c r="D132" s="90"/>
      <c r="E132" s="90"/>
      <c r="F132" s="90"/>
      <c r="G132" s="90"/>
      <c r="H132" s="90"/>
      <c r="I132" s="90"/>
      <c r="J132" s="90"/>
    </row>
    <row r="133" spans="2:11" x14ac:dyDescent="0.25">
      <c r="C133" s="90"/>
      <c r="D133" s="90"/>
      <c r="E133" s="90"/>
      <c r="F133" s="90"/>
      <c r="G133" s="90"/>
      <c r="H133" s="90"/>
      <c r="I133" s="90"/>
      <c r="J133" s="90"/>
    </row>
    <row r="134" spans="2:11" x14ac:dyDescent="0.25">
      <c r="C134" s="90"/>
      <c r="D134" s="90"/>
      <c r="E134" s="90"/>
      <c r="F134" s="90"/>
      <c r="G134" s="90"/>
      <c r="H134" s="90"/>
      <c r="I134" s="90"/>
      <c r="J134" s="90"/>
    </row>
    <row r="137" spans="2:11" ht="18" thickBot="1" x14ac:dyDescent="0.3">
      <c r="B137" s="93" t="s">
        <v>179</v>
      </c>
      <c r="C137" s="93"/>
      <c r="D137" s="93"/>
      <c r="E137" s="93"/>
      <c r="F137" s="93"/>
      <c r="G137" s="93"/>
      <c r="H137" s="93"/>
      <c r="I137" s="93"/>
      <c r="J137" s="93"/>
      <c r="K137" s="93"/>
    </row>
    <row r="138" spans="2:11" ht="15.75" thickTop="1" x14ac:dyDescent="0.25"/>
    <row r="139" spans="2:11" x14ac:dyDescent="0.25">
      <c r="C139" s="90" t="s">
        <v>185</v>
      </c>
      <c r="D139" s="90"/>
      <c r="E139" s="90"/>
      <c r="F139" s="90"/>
      <c r="G139" s="90"/>
      <c r="H139" s="90"/>
      <c r="I139" s="90"/>
      <c r="J139" s="90"/>
    </row>
    <row r="140" spans="2:11" x14ac:dyDescent="0.25">
      <c r="C140" s="101" t="s">
        <v>186</v>
      </c>
      <c r="D140" s="90"/>
      <c r="E140" s="90"/>
      <c r="F140" s="90"/>
      <c r="G140" s="90"/>
      <c r="H140" s="90"/>
      <c r="I140" s="90"/>
      <c r="J140" s="90"/>
    </row>
    <row r="141" spans="2:11" x14ac:dyDescent="0.25">
      <c r="C141" s="29"/>
      <c r="D141" s="29"/>
      <c r="E141" s="29"/>
      <c r="F141" s="29"/>
      <c r="G141" s="29"/>
      <c r="H141" s="29"/>
      <c r="I141" s="29"/>
      <c r="J141" s="29"/>
    </row>
    <row r="142" spans="2:11" x14ac:dyDescent="0.25">
      <c r="C142" s="90" t="s">
        <v>187</v>
      </c>
      <c r="D142" s="90"/>
      <c r="E142" s="90"/>
      <c r="F142" s="90"/>
      <c r="G142" s="90"/>
      <c r="H142" s="90"/>
      <c r="I142" s="90"/>
      <c r="J142" s="90"/>
    </row>
    <row r="143" spans="2:11" x14ac:dyDescent="0.25">
      <c r="C143" s="99" t="s">
        <v>188</v>
      </c>
      <c r="D143" s="100"/>
      <c r="E143" s="100"/>
      <c r="F143" s="100"/>
      <c r="G143" s="100"/>
      <c r="H143" s="100"/>
      <c r="I143" s="100"/>
      <c r="J143" s="100"/>
    </row>
    <row r="144" spans="2:11" x14ac:dyDescent="0.25">
      <c r="C144" s="87"/>
      <c r="D144" s="88"/>
      <c r="E144" s="88"/>
      <c r="F144" s="88"/>
      <c r="G144" s="88"/>
      <c r="H144" s="88"/>
      <c r="I144" s="88"/>
      <c r="J144" s="88"/>
    </row>
    <row r="145" spans="2:11" x14ac:dyDescent="0.25">
      <c r="C145" s="102" t="s">
        <v>190</v>
      </c>
      <c r="D145" s="103"/>
      <c r="E145" s="103"/>
      <c r="F145" s="103"/>
      <c r="G145" s="103"/>
      <c r="H145" s="103"/>
      <c r="I145" s="103"/>
      <c r="J145" s="103"/>
    </row>
    <row r="146" spans="2:11" x14ac:dyDescent="0.25">
      <c r="C146" s="103" t="s">
        <v>189</v>
      </c>
      <c r="D146" s="103"/>
      <c r="E146" s="103"/>
      <c r="F146" s="103"/>
      <c r="G146" s="103"/>
      <c r="H146" s="103"/>
      <c r="I146" s="103"/>
      <c r="J146" s="103"/>
    </row>
    <row r="147" spans="2:11" x14ac:dyDescent="0.25">
      <c r="C147" s="89"/>
      <c r="D147" s="89"/>
      <c r="E147" s="89"/>
      <c r="F147" s="89"/>
      <c r="G147" s="89"/>
      <c r="H147" s="89"/>
      <c r="I147" s="89"/>
      <c r="J147" s="89"/>
    </row>
    <row r="149" spans="2:11" ht="18" thickBot="1" x14ac:dyDescent="0.3">
      <c r="B149" s="93" t="s">
        <v>99</v>
      </c>
      <c r="C149" s="93"/>
      <c r="D149" s="93"/>
      <c r="E149" s="93"/>
      <c r="F149" s="93"/>
      <c r="G149" s="93"/>
      <c r="H149" s="93"/>
      <c r="I149" s="93"/>
      <c r="J149" s="93"/>
      <c r="K149" s="93"/>
    </row>
    <row r="150" spans="2:11" ht="15.75" thickTop="1" x14ac:dyDescent="0.25"/>
    <row r="151" spans="2:11" ht="18" thickBot="1" x14ac:dyDescent="0.3">
      <c r="C151" s="93" t="s">
        <v>191</v>
      </c>
      <c r="D151" s="93"/>
      <c r="E151" s="93"/>
      <c r="F151" s="93"/>
      <c r="G151" s="93"/>
      <c r="H151" s="93"/>
      <c r="I151" s="93"/>
      <c r="J151" s="93"/>
    </row>
    <row r="152" spans="2:11" ht="15.75" thickTop="1" x14ac:dyDescent="0.25"/>
    <row r="153" spans="2:11" x14ac:dyDescent="0.25">
      <c r="D153" s="104" t="s">
        <v>192</v>
      </c>
      <c r="E153" s="90"/>
      <c r="F153" s="90"/>
      <c r="G153" s="90"/>
      <c r="H153" s="90"/>
      <c r="I153" s="90"/>
    </row>
    <row r="154" spans="2:11" x14ac:dyDescent="0.25">
      <c r="D154" s="90"/>
      <c r="E154" s="90"/>
      <c r="F154" s="90"/>
      <c r="G154" s="90"/>
      <c r="H154" s="90"/>
      <c r="I154" s="90"/>
    </row>
    <row r="155" spans="2:11" x14ac:dyDescent="0.25">
      <c r="D155" s="90"/>
      <c r="E155" s="90"/>
      <c r="F155" s="90"/>
      <c r="G155" s="90"/>
      <c r="H155" s="90"/>
      <c r="I155" s="90"/>
    </row>
  </sheetData>
  <sheetProtection sheet="1" objects="1" scenarios="1"/>
  <dataConsolidate/>
  <mergeCells count="35">
    <mergeCell ref="C145:J145"/>
    <mergeCell ref="C146:J146"/>
    <mergeCell ref="B149:K149"/>
    <mergeCell ref="C151:J151"/>
    <mergeCell ref="D153:I155"/>
    <mergeCell ref="C143:J143"/>
    <mergeCell ref="C85:J87"/>
    <mergeCell ref="B96:K96"/>
    <mergeCell ref="C98:J102"/>
    <mergeCell ref="E104:J108"/>
    <mergeCell ref="E110:H114"/>
    <mergeCell ref="E116:G127"/>
    <mergeCell ref="C130:J134"/>
    <mergeCell ref="B137:K137"/>
    <mergeCell ref="C139:J139"/>
    <mergeCell ref="C140:J140"/>
    <mergeCell ref="C142:J142"/>
    <mergeCell ref="C80:J83"/>
    <mergeCell ref="C20:J20"/>
    <mergeCell ref="C21:J24"/>
    <mergeCell ref="C26:D26"/>
    <mergeCell ref="E26:F26"/>
    <mergeCell ref="H26:J26"/>
    <mergeCell ref="B42:K42"/>
    <mergeCell ref="C44:J47"/>
    <mergeCell ref="C49:J52"/>
    <mergeCell ref="C60:J62"/>
    <mergeCell ref="C64:J68"/>
    <mergeCell ref="C75:J78"/>
    <mergeCell ref="C16:J18"/>
    <mergeCell ref="A1:L1"/>
    <mergeCell ref="A2:L2"/>
    <mergeCell ref="B4:K4"/>
    <mergeCell ref="G6:I6"/>
    <mergeCell ref="B14:K14"/>
  </mergeCells>
  <hyperlinks>
    <hyperlink ref="C140" r:id="rId1"/>
    <hyperlink ref="C143" r:id="rId2"/>
    <hyperlink ref="C146" r:id="rId3"/>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7424" r:id="rId7" name="Radio_RedBlue">
              <controlPr defaultSize="0" autoFill="0" autoLine="0" autoPict="0" macro="[0]!WelcomeSheet.Radio_GameColour_Click">
                <anchor moveWithCells="1">
                  <from>
                    <xdr:col>6</xdr:col>
                    <xdr:colOff>600075</xdr:colOff>
                    <xdr:row>26</xdr:row>
                    <xdr:rowOff>9525</xdr:rowOff>
                  </from>
                  <to>
                    <xdr:col>9</xdr:col>
                    <xdr:colOff>0</xdr:colOff>
                    <xdr:row>27</xdr:row>
                    <xdr:rowOff>38100</xdr:rowOff>
                  </to>
                </anchor>
              </controlPr>
            </control>
          </mc:Choice>
        </mc:AlternateContent>
        <mc:AlternateContent xmlns:mc="http://schemas.openxmlformats.org/markup-compatibility/2006">
          <mc:Choice Requires="x14">
            <control shapeId="17425" r:id="rId8" name="Radio_Yellow">
              <controlPr defaultSize="0" autoFill="0" autoLine="0" autoPict="0" macro="[0]!WelcomeSheet.Radio_GameColour_Click">
                <anchor moveWithCells="1">
                  <from>
                    <xdr:col>6</xdr:col>
                    <xdr:colOff>600075</xdr:colOff>
                    <xdr:row>27</xdr:row>
                    <xdr:rowOff>9525</xdr:rowOff>
                  </from>
                  <to>
                    <xdr:col>9</xdr:col>
                    <xdr:colOff>0</xdr:colOff>
                    <xdr:row>28</xdr:row>
                    <xdr:rowOff>28575</xdr:rowOff>
                  </to>
                </anchor>
              </controlPr>
            </control>
          </mc:Choice>
        </mc:AlternateContent>
        <mc:AlternateContent xmlns:mc="http://schemas.openxmlformats.org/markup-compatibility/2006">
          <mc:Choice Requires="x14">
            <control shapeId="17426" r:id="rId9" name="Radio_GoldSilver">
              <controlPr defaultSize="0" autoFill="0" autoLine="0" autoPict="0" macro="[0]!WelcomeSheet.Radio_GameColour_Click">
                <anchor moveWithCells="1">
                  <from>
                    <xdr:col>6</xdr:col>
                    <xdr:colOff>600075</xdr:colOff>
                    <xdr:row>28</xdr:row>
                    <xdr:rowOff>0</xdr:rowOff>
                  </from>
                  <to>
                    <xdr:col>9</xdr:col>
                    <xdr:colOff>0</xdr:colOff>
                    <xdr:row>29</xdr:row>
                    <xdr:rowOff>28575</xdr:rowOff>
                  </to>
                </anchor>
              </controlPr>
            </control>
          </mc:Choice>
        </mc:AlternateContent>
        <mc:AlternateContent xmlns:mc="http://schemas.openxmlformats.org/markup-compatibility/2006">
          <mc:Choice Requires="x14">
            <control shapeId="17427" r:id="rId10" name="Radio_Crystal">
              <controlPr defaultSize="0" autoFill="0" autoLine="0" autoPict="0" macro="[0]!WelcomeSheet.Radio_GameColour_Click">
                <anchor moveWithCells="1">
                  <from>
                    <xdr:col>6</xdr:col>
                    <xdr:colOff>600075</xdr:colOff>
                    <xdr:row>29</xdr:row>
                    <xdr:rowOff>0</xdr:rowOff>
                  </from>
                  <to>
                    <xdr:col>9</xdr:col>
                    <xdr:colOff>0</xdr:colOff>
                    <xdr:row>30</xdr:row>
                    <xdr:rowOff>28575</xdr:rowOff>
                  </to>
                </anchor>
              </controlPr>
            </control>
          </mc:Choice>
        </mc:AlternateContent>
        <mc:AlternateContent xmlns:mc="http://schemas.openxmlformats.org/markup-compatibility/2006">
          <mc:Choice Requires="x14">
            <control shapeId="17428" r:id="rId11" name="Radio_HeartGoldSoulSilver">
              <controlPr defaultSize="0" autoFill="0" autoLine="0" autoPict="0" macro="[0]!WelcomeSheet.Radio_GameColour_Click">
                <anchor moveWithCells="1">
                  <from>
                    <xdr:col>6</xdr:col>
                    <xdr:colOff>600075</xdr:colOff>
                    <xdr:row>34</xdr:row>
                    <xdr:rowOff>180975</xdr:rowOff>
                  </from>
                  <to>
                    <xdr:col>9</xdr:col>
                    <xdr:colOff>0</xdr:colOff>
                    <xdr:row>36</xdr:row>
                    <xdr:rowOff>19050</xdr:rowOff>
                  </to>
                </anchor>
              </controlPr>
            </control>
          </mc:Choice>
        </mc:AlternateContent>
        <mc:AlternateContent xmlns:mc="http://schemas.openxmlformats.org/markup-compatibility/2006">
          <mc:Choice Requires="x14">
            <control shapeId="17429" r:id="rId12" name="Radio_Ruby/Sapphire">
              <controlPr defaultSize="0" autoFill="0" autoLine="0" autoPict="0" macro="[0]!WelcomeSheet.Radio_GameColour_Click">
                <anchor moveWithCells="1">
                  <from>
                    <xdr:col>6</xdr:col>
                    <xdr:colOff>600075</xdr:colOff>
                    <xdr:row>30</xdr:row>
                    <xdr:rowOff>9525</xdr:rowOff>
                  </from>
                  <to>
                    <xdr:col>9</xdr:col>
                    <xdr:colOff>0</xdr:colOff>
                    <xdr:row>31</xdr:row>
                    <xdr:rowOff>19050</xdr:rowOff>
                  </to>
                </anchor>
              </controlPr>
            </control>
          </mc:Choice>
        </mc:AlternateContent>
        <mc:AlternateContent xmlns:mc="http://schemas.openxmlformats.org/markup-compatibility/2006">
          <mc:Choice Requires="x14">
            <control shapeId="17430" r:id="rId13" name="Radio_Emerald">
              <controlPr defaultSize="0" autoFill="0" autoLine="0" autoPict="0" macro="[0]!WelcomeSheet.Radio_GameColour_Click">
                <anchor moveWithCells="1">
                  <from>
                    <xdr:col>6</xdr:col>
                    <xdr:colOff>600075</xdr:colOff>
                    <xdr:row>32</xdr:row>
                    <xdr:rowOff>0</xdr:rowOff>
                  </from>
                  <to>
                    <xdr:col>9</xdr:col>
                    <xdr:colOff>0</xdr:colOff>
                    <xdr:row>33</xdr:row>
                    <xdr:rowOff>19050</xdr:rowOff>
                  </to>
                </anchor>
              </controlPr>
            </control>
          </mc:Choice>
        </mc:AlternateContent>
        <mc:AlternateContent xmlns:mc="http://schemas.openxmlformats.org/markup-compatibility/2006">
          <mc:Choice Requires="x14">
            <control shapeId="17431" r:id="rId14" name="Radio_DiamondPearl">
              <controlPr defaultSize="0" autoFill="0" autoLine="0" autoPict="0" macro="[0]!WelcomeSheet.Radio_GameColour_Click">
                <anchor moveWithCells="1">
                  <from>
                    <xdr:col>6</xdr:col>
                    <xdr:colOff>600075</xdr:colOff>
                    <xdr:row>32</xdr:row>
                    <xdr:rowOff>180975</xdr:rowOff>
                  </from>
                  <to>
                    <xdr:col>9</xdr:col>
                    <xdr:colOff>0</xdr:colOff>
                    <xdr:row>34</xdr:row>
                    <xdr:rowOff>19050</xdr:rowOff>
                  </to>
                </anchor>
              </controlPr>
            </control>
          </mc:Choice>
        </mc:AlternateContent>
        <mc:AlternateContent xmlns:mc="http://schemas.openxmlformats.org/markup-compatibility/2006">
          <mc:Choice Requires="x14">
            <control shapeId="17432" r:id="rId15" name="Radio_Platinum">
              <controlPr defaultSize="0" autoFill="0" autoLine="0" autoPict="0" macro="[0]!WelcomeSheet.Radio_GameColour_Click">
                <anchor moveWithCells="1">
                  <from>
                    <xdr:col>6</xdr:col>
                    <xdr:colOff>600075</xdr:colOff>
                    <xdr:row>33</xdr:row>
                    <xdr:rowOff>180975</xdr:rowOff>
                  </from>
                  <to>
                    <xdr:col>9</xdr:col>
                    <xdr:colOff>0</xdr:colOff>
                    <xdr:row>35</xdr:row>
                    <xdr:rowOff>19050</xdr:rowOff>
                  </to>
                </anchor>
              </controlPr>
            </control>
          </mc:Choice>
        </mc:AlternateContent>
        <mc:AlternateContent xmlns:mc="http://schemas.openxmlformats.org/markup-compatibility/2006">
          <mc:Choice Requires="x14">
            <control shapeId="17433" r:id="rId16" name="Radio_BlackWhite">
              <controlPr defaultSize="0" autoFill="0" autoLine="0" autoPict="0" macro="[0]!WelcomeSheet.Radio_GameColour_Click">
                <anchor moveWithCells="1">
                  <from>
                    <xdr:col>6</xdr:col>
                    <xdr:colOff>600075</xdr:colOff>
                    <xdr:row>36</xdr:row>
                    <xdr:rowOff>9525</xdr:rowOff>
                  </from>
                  <to>
                    <xdr:col>9</xdr:col>
                    <xdr:colOff>0</xdr:colOff>
                    <xdr:row>37</xdr:row>
                    <xdr:rowOff>28575</xdr:rowOff>
                  </to>
                </anchor>
              </controlPr>
            </control>
          </mc:Choice>
        </mc:AlternateContent>
        <mc:AlternateContent xmlns:mc="http://schemas.openxmlformats.org/markup-compatibility/2006">
          <mc:Choice Requires="x14">
            <control shapeId="17434" r:id="rId17" name="Radio_Black2White2">
              <controlPr defaultSize="0" autoFill="0" autoLine="0" autoPict="0" macro="[0]!WelcomeSheet.Radio_GameColour_Click">
                <anchor moveWithCells="1">
                  <from>
                    <xdr:col>6</xdr:col>
                    <xdr:colOff>600075</xdr:colOff>
                    <xdr:row>37</xdr:row>
                    <xdr:rowOff>0</xdr:rowOff>
                  </from>
                  <to>
                    <xdr:col>9</xdr:col>
                    <xdr:colOff>0</xdr:colOff>
                    <xdr:row>38</xdr:row>
                    <xdr:rowOff>28575</xdr:rowOff>
                  </to>
                </anchor>
              </controlPr>
            </control>
          </mc:Choice>
        </mc:AlternateContent>
        <mc:AlternateContent xmlns:mc="http://schemas.openxmlformats.org/markup-compatibility/2006">
          <mc:Choice Requires="x14">
            <control shapeId="17435" r:id="rId18" name="Option Button 27">
              <controlPr defaultSize="0" autoFill="0" autoLine="0" autoPict="0" macro="[0]!WelcomeSheet.Radio_GameColour_Click">
                <anchor moveWithCells="1">
                  <from>
                    <xdr:col>6</xdr:col>
                    <xdr:colOff>600075</xdr:colOff>
                    <xdr:row>31</xdr:row>
                    <xdr:rowOff>9525</xdr:rowOff>
                  </from>
                  <to>
                    <xdr:col>9</xdr:col>
                    <xdr:colOff>0</xdr:colOff>
                    <xdr:row>32</xdr:row>
                    <xdr:rowOff>19050</xdr:rowOff>
                  </to>
                </anchor>
              </controlPr>
            </control>
          </mc:Choice>
        </mc:AlternateContent>
        <mc:AlternateContent xmlns:mc="http://schemas.openxmlformats.org/markup-compatibility/2006">
          <mc:Choice Requires="x14">
            <control shapeId="17436" r:id="rId19" name="Option Button 28">
              <controlPr defaultSize="0" autoFill="0" autoLine="0" autoPict="0" macro="[0]!WelcomeSheet.Radio_GameColour_Click">
                <anchor moveWithCells="1">
                  <from>
                    <xdr:col>6</xdr:col>
                    <xdr:colOff>600075</xdr:colOff>
                    <xdr:row>38</xdr:row>
                    <xdr:rowOff>9525</xdr:rowOff>
                  </from>
                  <to>
                    <xdr:col>9</xdr:col>
                    <xdr:colOff>0</xdr:colOff>
                    <xdr:row>39</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tyPkmSheet">
    <pageSetUpPr autoPageBreaks="0"/>
  </sheetPr>
  <dimension ref="A1:Z5"/>
  <sheetViews>
    <sheetView showGridLines="0" tabSelected="1" zoomScaleNormal="100" workbookViewId="0">
      <pane ySplit="5" topLeftCell="A6" activePane="bottomLeft" state="frozen"/>
      <selection pane="bottomLeft" activeCell="AB19" sqref="AB19"/>
    </sheetView>
  </sheetViews>
  <sheetFormatPr defaultColWidth="12.7109375" defaultRowHeight="15" x14ac:dyDescent="0.25"/>
  <cols>
    <col min="1" max="1" width="7.42578125" style="18" customWidth="1"/>
    <col min="2" max="2" width="9.42578125" style="17" customWidth="1"/>
    <col min="3" max="3" width="12" style="30" customWidth="1"/>
    <col min="4" max="4" width="15.85546875" style="21" customWidth="1"/>
    <col min="5" max="5" width="14.7109375" style="17" customWidth="1"/>
    <col min="6" max="6" width="24" style="17" customWidth="1"/>
    <col min="7" max="7" width="4.28515625" style="21" customWidth="1"/>
    <col min="8" max="9" width="5.42578125" style="17" customWidth="1"/>
    <col min="10" max="11" width="5.5703125" style="17" customWidth="1"/>
    <col min="12" max="12" width="8.140625" style="17" customWidth="1"/>
    <col min="13" max="13" width="8.28515625" style="30" customWidth="1"/>
    <col min="14" max="14" width="19.28515625" style="30" customWidth="1"/>
    <col min="15" max="15" width="11.140625" hidden="1" customWidth="1"/>
    <col min="16" max="16" width="12.85546875" style="30" hidden="1" customWidth="1"/>
    <col min="17" max="17" width="11.7109375" style="30" hidden="1" customWidth="1"/>
    <col min="18" max="18" width="8" style="30" hidden="1" customWidth="1"/>
    <col min="19" max="19" width="11.140625" style="30" hidden="1" customWidth="1"/>
    <col min="20" max="20" width="4.140625" style="30" hidden="1" customWidth="1"/>
    <col min="21" max="21" width="29.42578125" style="50" hidden="1" customWidth="1"/>
    <col min="22" max="22" width="36.28515625" style="17" customWidth="1"/>
    <col min="23" max="23" width="12.7109375" style="17" customWidth="1"/>
    <col min="24" max="24" width="12.7109375" style="18" customWidth="1"/>
    <col min="25" max="25" width="11.5703125" style="18" customWidth="1"/>
    <col min="26" max="16384" width="12.7109375" style="18"/>
  </cols>
  <sheetData>
    <row r="1" spans="1:26" s="35" customFormat="1" ht="15" customHeight="1" x14ac:dyDescent="0.25">
      <c r="A1" s="38"/>
      <c r="B1" s="39"/>
      <c r="C1" s="39"/>
      <c r="D1" s="39"/>
      <c r="E1" s="105" t="s">
        <v>910</v>
      </c>
      <c r="F1" s="105"/>
      <c r="G1" s="58"/>
      <c r="H1" s="39"/>
      <c r="I1" s="39"/>
      <c r="J1" s="39"/>
      <c r="K1" s="39"/>
      <c r="L1" s="39"/>
      <c r="M1" s="39"/>
      <c r="N1" s="39"/>
      <c r="O1" s="39"/>
      <c r="P1" s="39"/>
      <c r="Q1" s="39"/>
      <c r="R1" s="39"/>
      <c r="S1" s="39"/>
      <c r="T1" s="39"/>
      <c r="U1" s="38"/>
      <c r="V1" s="38"/>
      <c r="W1" s="38"/>
    </row>
    <row r="2" spans="1:26" s="35" customFormat="1" ht="15" customHeight="1" x14ac:dyDescent="0.25">
      <c r="A2" s="38"/>
      <c r="B2" s="39"/>
      <c r="C2" s="39"/>
      <c r="D2" s="39"/>
      <c r="E2" s="105"/>
      <c r="F2" s="105"/>
      <c r="G2" s="57"/>
      <c r="H2" s="39"/>
      <c r="I2" s="39"/>
      <c r="J2" s="39"/>
      <c r="K2" s="39"/>
      <c r="L2" s="39"/>
      <c r="M2" s="39"/>
      <c r="N2" s="39"/>
      <c r="O2" s="39"/>
      <c r="P2" s="39"/>
      <c r="Q2" s="39"/>
      <c r="R2" s="39"/>
      <c r="S2" s="39"/>
      <c r="T2" s="39"/>
      <c r="U2" s="38"/>
      <c r="V2" s="38"/>
      <c r="W2" s="38"/>
    </row>
    <row r="3" spans="1:26" s="35" customFormat="1" ht="15" customHeight="1" x14ac:dyDescent="0.25">
      <c r="A3" s="38"/>
      <c r="B3" s="39"/>
      <c r="C3" s="39"/>
      <c r="D3" s="39"/>
      <c r="E3" s="105"/>
      <c r="F3" s="105"/>
      <c r="G3" s="57"/>
      <c r="H3" s="39"/>
      <c r="I3" s="39"/>
      <c r="J3" s="39"/>
      <c r="K3" s="39"/>
      <c r="L3" s="39"/>
      <c r="M3" s="39"/>
      <c r="N3" s="39"/>
      <c r="O3" s="39"/>
      <c r="P3" s="39"/>
      <c r="Q3" s="39"/>
      <c r="R3" s="39"/>
      <c r="S3" s="39"/>
      <c r="T3" s="39"/>
      <c r="U3" s="38"/>
      <c r="V3" s="38"/>
      <c r="W3" s="38"/>
    </row>
    <row r="4" spans="1:26" s="35" customFormat="1" ht="15" customHeight="1" x14ac:dyDescent="0.25">
      <c r="A4" s="38"/>
      <c r="B4" s="39"/>
      <c r="C4" s="39"/>
      <c r="D4" s="39"/>
      <c r="E4" s="106" t="s">
        <v>2580</v>
      </c>
      <c r="F4" s="106"/>
      <c r="G4" s="57"/>
      <c r="H4" s="39"/>
      <c r="I4" s="39"/>
      <c r="J4" s="39"/>
      <c r="K4" s="39"/>
      <c r="L4" s="39"/>
      <c r="M4" s="39"/>
      <c r="N4" s="39"/>
      <c r="O4" s="39"/>
      <c r="P4" s="39"/>
      <c r="Q4" s="39"/>
      <c r="R4" s="39"/>
      <c r="S4" s="39"/>
      <c r="T4" s="39"/>
      <c r="U4" s="38"/>
      <c r="V4" s="38"/>
    </row>
    <row r="5" spans="1:26" s="36" customFormat="1" ht="16.5" x14ac:dyDescent="0.3">
      <c r="A5" s="40" t="s">
        <v>126</v>
      </c>
      <c r="B5" s="40" t="s">
        <v>113</v>
      </c>
      <c r="C5" s="40" t="s">
        <v>118</v>
      </c>
      <c r="D5" s="40" t="s">
        <v>0</v>
      </c>
      <c r="E5" s="40" t="s">
        <v>865</v>
      </c>
      <c r="F5" s="40" t="s">
        <v>866</v>
      </c>
      <c r="G5" s="42" t="s">
        <v>148</v>
      </c>
      <c r="H5" s="42" t="s">
        <v>149</v>
      </c>
      <c r="I5" s="42" t="s">
        <v>150</v>
      </c>
      <c r="J5" s="42" t="s">
        <v>884</v>
      </c>
      <c r="K5" s="42" t="s">
        <v>885</v>
      </c>
      <c r="L5" s="42" t="s">
        <v>151</v>
      </c>
      <c r="M5" s="42" t="s">
        <v>152</v>
      </c>
      <c r="N5" s="40" t="s">
        <v>1</v>
      </c>
      <c r="O5" s="40" t="s">
        <v>167</v>
      </c>
      <c r="P5" s="40" t="s">
        <v>2</v>
      </c>
      <c r="Q5" s="40" t="s">
        <v>3</v>
      </c>
      <c r="R5" s="40" t="s">
        <v>4</v>
      </c>
      <c r="S5" s="40" t="s">
        <v>5</v>
      </c>
      <c r="T5" s="40" t="s">
        <v>6</v>
      </c>
      <c r="U5" s="40" t="s">
        <v>166</v>
      </c>
      <c r="V5" s="36" t="s">
        <v>913</v>
      </c>
      <c r="W5" s="27" t="s">
        <v>153</v>
      </c>
      <c r="X5" s="40" t="s">
        <v>119</v>
      </c>
      <c r="Y5" s="36" t="s">
        <v>889</v>
      </c>
      <c r="Z5" s="36" t="s">
        <v>2570</v>
      </c>
    </row>
  </sheetData>
  <dataConsolidate/>
  <mergeCells count="2">
    <mergeCell ref="E1:F3"/>
    <mergeCell ref="E4:F4"/>
  </mergeCells>
  <conditionalFormatting sqref="Q5">
    <cfRule type="containsText" dxfId="2444" priority="19699" operator="containsText" text="Water">
      <formula>NOT(ISERROR(SEARCH("Water",Q5)))</formula>
    </cfRule>
    <cfRule type="containsText" dxfId="2443" priority="19700" operator="containsText" text="Steel">
      <formula>NOT(ISERROR(SEARCH("Steel",Q5)))</formula>
    </cfRule>
    <cfRule type="containsText" dxfId="2442" priority="19701" operator="containsText" text="Rock">
      <formula>NOT(ISERROR(SEARCH("Rock",Q5)))</formula>
    </cfRule>
    <cfRule type="containsText" dxfId="2441" priority="19702" operator="containsText" text="Ice">
      <formula>NOT(ISERROR(SEARCH("Ice",Q5)))</formula>
    </cfRule>
    <cfRule type="containsText" dxfId="2440" priority="19703" operator="containsText" text="Ground">
      <formula>NOT(ISERROR(SEARCH("Ground",Q5)))</formula>
    </cfRule>
    <cfRule type="containsText" dxfId="2439" priority="19704" operator="containsText" text="Grass">
      <formula>NOT(ISERROR(SEARCH("Grass",Q5)))</formula>
    </cfRule>
    <cfRule type="containsText" dxfId="2438" priority="19705" operator="containsText" text="Poison">
      <formula>NOT(ISERROR(SEARCH("Poison",Q5)))</formula>
    </cfRule>
    <cfRule type="containsText" dxfId="2437" priority="19706" operator="containsText" text="Flying">
      <formula>NOT(ISERROR(SEARCH("Flying",Q5)))</formula>
    </cfRule>
    <cfRule type="containsText" dxfId="2436" priority="19707" operator="containsText" text="Fighting">
      <formula>NOT(ISERROR(SEARCH("Fighting",Q5)))</formula>
    </cfRule>
    <cfRule type="containsText" dxfId="2435" priority="19708" operator="containsText" text="Electric">
      <formula>NOT(ISERROR(SEARCH("Electric",Q5)))</formula>
    </cfRule>
    <cfRule type="containsText" dxfId="2434" priority="19709" operator="containsText" text="Dragon">
      <formula>NOT(ISERROR(SEARCH("Dragon",Q5)))</formula>
    </cfRule>
    <cfRule type="containsText" dxfId="2433" priority="19710" operator="containsText" text="Dark">
      <formula>NOT(ISERROR(SEARCH("Dark",Q5)))</formula>
    </cfRule>
    <cfRule type="containsText" dxfId="2432" priority="19711" operator="containsText" text="Bug">
      <formula>NOT(ISERROR(SEARCH("Bug",Q5)))</formula>
    </cfRule>
    <cfRule type="containsText" dxfId="2431" priority="19712" operator="containsText" text="Fire">
      <formula>NOT(ISERROR(SEARCH("Fire",Q5)))</formula>
    </cfRule>
    <cfRule type="containsText" dxfId="2430" priority="19713" operator="containsText" text="Normal">
      <formula>NOT(ISERROR(SEARCH("Normal",Q5)))</formula>
    </cfRule>
    <cfRule type="containsText" dxfId="2429" priority="19714" operator="containsText" text="Psychic">
      <formula>NOT(ISERROR(SEARCH("Psychic",Q5)))</formula>
    </cfRule>
    <cfRule type="containsText" dxfId="2428" priority="19715" operator="containsText" text="Ghost">
      <formula>NOT(ISERROR(SEARCH("Ghost",Q5)))</formula>
    </cfRule>
  </conditionalFormatting>
  <dataValidations count="7">
    <dataValidation allowBlank="1" showInputMessage="1" showErrorMessage="1" sqref="E8 E5:E6 F5 F9"/>
    <dataValidation type="list" allowBlank="1" showInputMessage="1" showErrorMessage="1" sqref="G2:L2 H3:L3">
      <formula1>$J$2:$J$5</formula1>
    </dataValidation>
    <dataValidation type="list" allowBlank="1" showInputMessage="1" showErrorMessage="1" sqref="D6:D9">
      <formula1>INDIRECT("PokedexTable[Name]")</formula1>
    </dataValidation>
    <dataValidation type="list" allowBlank="1" showInputMessage="1" showErrorMessage="1" sqref="N6:N9">
      <formula1>INDIRECT(INDIRECT("$W"&amp;ROW()))</formula1>
    </dataValidation>
    <dataValidation type="list" allowBlank="1" showInputMessage="1" showErrorMessage="1" sqref="F6">
      <formula1>INDIRECT("NaturesTable[Name]")</formula1>
    </dataValidation>
    <dataValidation type="list" allowBlank="1" showInputMessage="1" showErrorMessage="1" sqref="F7">
      <formula1>INDIRECT(INDIRECT("$Z"&amp;ROW()))</formula1>
    </dataValidation>
    <dataValidation type="list" allowBlank="1" showInputMessage="1" showErrorMessage="1" sqref="F8">
      <formula1>INDIRECT("ItemdexTable[Name]")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PartyPkmSheet.InsertNewPokemonRow" altText="Insert New Pokemon">
                <anchor>
                  <from>
                    <xdr:col>6</xdr:col>
                    <xdr:colOff>9525</xdr:colOff>
                    <xdr:row>0</xdr:row>
                    <xdr:rowOff>142875</xdr:rowOff>
                  </from>
                  <to>
                    <xdr:col>8</xdr:col>
                    <xdr:colOff>47625</xdr:colOff>
                    <xdr:row>3</xdr:row>
                    <xdr:rowOff>19050</xdr:rowOff>
                  </to>
                </anchor>
              </controlPr>
            </control>
          </mc:Choice>
        </mc:AlternateContent>
        <mc:AlternateContent xmlns:mc="http://schemas.openxmlformats.org/markup-compatibility/2006">
          <mc:Choice Requires="x14">
            <control shapeId="2055" r:id="rId5" name="Button 7">
              <controlPr defaultSize="0" print="0" autoFill="0" autoPict="0" macro="[0]!PartyPkmSheet.RemovePokemon" altText="Insert New Pokemon">
                <anchor>
                  <from>
                    <xdr:col>8</xdr:col>
                    <xdr:colOff>123825</xdr:colOff>
                    <xdr:row>0</xdr:row>
                    <xdr:rowOff>142875</xdr:rowOff>
                  </from>
                  <to>
                    <xdr:col>10</xdr:col>
                    <xdr:colOff>76200</xdr:colOff>
                    <xdr:row>3</xdr:row>
                    <xdr:rowOff>9525</xdr:rowOff>
                  </to>
                </anchor>
              </controlPr>
            </control>
          </mc:Choice>
        </mc:AlternateContent>
        <mc:AlternateContent xmlns:mc="http://schemas.openxmlformats.org/markup-compatibility/2006">
          <mc:Choice Requires="x14">
            <control shapeId="2059" r:id="rId6" name="Button 11">
              <controlPr defaultSize="0" print="0" autoFill="0" autoPict="0" macro="[0]!PartyPkmSheet.OpenParty" altText="Insert New Pokemon">
                <anchor>
                  <from>
                    <xdr:col>0</xdr:col>
                    <xdr:colOff>114300</xdr:colOff>
                    <xdr:row>0</xdr:row>
                    <xdr:rowOff>142875</xdr:rowOff>
                  </from>
                  <to>
                    <xdr:col>1</xdr:col>
                    <xdr:colOff>276225</xdr:colOff>
                    <xdr:row>3</xdr:row>
                    <xdr:rowOff>19050</xdr:rowOff>
                  </to>
                </anchor>
              </controlPr>
            </control>
          </mc:Choice>
        </mc:AlternateContent>
        <mc:AlternateContent xmlns:mc="http://schemas.openxmlformats.org/markup-compatibility/2006">
          <mc:Choice Requires="x14">
            <control shapeId="2060" r:id="rId7" name="Button 12">
              <controlPr defaultSize="0" print="0" autoFill="0" autoPict="0" macro="[0]!PartyPkmSheet.SaveParty" altText="Insert New Pokemon">
                <anchor>
                  <from>
                    <xdr:col>1</xdr:col>
                    <xdr:colOff>352425</xdr:colOff>
                    <xdr:row>0</xdr:row>
                    <xdr:rowOff>142875</xdr:rowOff>
                  </from>
                  <to>
                    <xdr:col>2</xdr:col>
                    <xdr:colOff>381000</xdr:colOff>
                    <xdr:row>3</xdr:row>
                    <xdr:rowOff>19050</xdr:rowOff>
                  </to>
                </anchor>
              </controlPr>
            </control>
          </mc:Choice>
        </mc:AlternateContent>
        <mc:AlternateContent xmlns:mc="http://schemas.openxmlformats.org/markup-compatibility/2006">
          <mc:Choice Requires="x14">
            <control shapeId="2061" r:id="rId8" name="Button 13">
              <controlPr defaultSize="0" print="0" autoFill="0" autoPict="0" macro="[0]!PartyPkmSheet.DeleteParty" altText="Insert New Pokemon">
                <anchor>
                  <from>
                    <xdr:col>2</xdr:col>
                    <xdr:colOff>447675</xdr:colOff>
                    <xdr:row>0</xdr:row>
                    <xdr:rowOff>142875</xdr:rowOff>
                  </from>
                  <to>
                    <xdr:col>3</xdr:col>
                    <xdr:colOff>304800</xdr:colOff>
                    <xdr:row>3</xdr:row>
                    <xdr:rowOff>19050</xdr:rowOff>
                  </to>
                </anchor>
              </controlPr>
            </control>
          </mc:Choice>
        </mc:AlternateContent>
        <mc:AlternateContent xmlns:mc="http://schemas.openxmlformats.org/markup-compatibility/2006">
          <mc:Choice Requires="x14">
            <control shapeId="2065" r:id="rId9" name="Button 17">
              <controlPr defaultSize="0" print="0" autoFill="0" autoPict="0" macro="[0]!PartyPkmSheet.ClearScreen" altText="Insert New Pokemon">
                <anchor>
                  <from>
                    <xdr:col>13</xdr:col>
                    <xdr:colOff>952500</xdr:colOff>
                    <xdr:row>0</xdr:row>
                    <xdr:rowOff>133350</xdr:rowOff>
                  </from>
                  <to>
                    <xdr:col>21</xdr:col>
                    <xdr:colOff>323850</xdr:colOff>
                    <xdr:row>3</xdr:row>
                    <xdr:rowOff>9525</xdr:rowOff>
                  </to>
                </anchor>
              </controlPr>
            </control>
          </mc:Choice>
        </mc:AlternateContent>
        <mc:AlternateContent xmlns:mc="http://schemas.openxmlformats.org/markup-compatibility/2006">
          <mc:Choice Requires="x14">
            <control shapeId="2066" r:id="rId10" name="Button 18">
              <controlPr defaultSize="0" print="0" autoFill="0" autoPict="0" macro="[0]!PartyPkmSheet.LoadSprite" altText="Insert New Pokemon">
                <anchor>
                  <from>
                    <xdr:col>10</xdr:col>
                    <xdr:colOff>152400</xdr:colOff>
                    <xdr:row>0</xdr:row>
                    <xdr:rowOff>142875</xdr:rowOff>
                  </from>
                  <to>
                    <xdr:col>11</xdr:col>
                    <xdr:colOff>466725</xdr:colOff>
                    <xdr:row>3</xdr:row>
                    <xdr:rowOff>9525</xdr:rowOff>
                  </to>
                </anchor>
              </controlPr>
            </control>
          </mc:Choice>
        </mc:AlternateContent>
        <mc:AlternateContent xmlns:mc="http://schemas.openxmlformats.org/markup-compatibility/2006">
          <mc:Choice Requires="x14">
            <control shapeId="2068" r:id="rId11" name="Button 20">
              <controlPr defaultSize="0" print="0" autoFill="0" autoPict="0" macro="[0]!PartyPkmSheet.ToggleStatsVisibility" altText="Insert New Pokemon">
                <anchor>
                  <from>
                    <xdr:col>11</xdr:col>
                    <xdr:colOff>523875</xdr:colOff>
                    <xdr:row>0</xdr:row>
                    <xdr:rowOff>142875</xdr:rowOff>
                  </from>
                  <to>
                    <xdr:col>13</xdr:col>
                    <xdr:colOff>123825</xdr:colOff>
                    <xdr:row>3</xdr:row>
                    <xdr:rowOff>9525</xdr:rowOff>
                  </to>
                </anchor>
              </controlPr>
            </control>
          </mc:Choice>
        </mc:AlternateContent>
        <mc:AlternateContent xmlns:mc="http://schemas.openxmlformats.org/markup-compatibility/2006">
          <mc:Choice Requires="x14">
            <control shapeId="2073" r:id="rId12" name="Button 25">
              <controlPr defaultSize="0" print="0" autoFill="0" autoPict="0" macro="[0]!PartyPkmSheet.importParty" altText="Insert New Pokemon">
                <anchor>
                  <from>
                    <xdr:col>3</xdr:col>
                    <xdr:colOff>381000</xdr:colOff>
                    <xdr:row>0</xdr:row>
                    <xdr:rowOff>142875</xdr:rowOff>
                  </from>
                  <to>
                    <xdr:col>3</xdr:col>
                    <xdr:colOff>1038225</xdr:colOff>
                    <xdr:row>1</xdr:row>
                    <xdr:rowOff>161925</xdr:rowOff>
                  </to>
                </anchor>
              </controlPr>
            </control>
          </mc:Choice>
        </mc:AlternateContent>
        <mc:AlternateContent xmlns:mc="http://schemas.openxmlformats.org/markup-compatibility/2006">
          <mc:Choice Requires="x14">
            <control shapeId="2074" r:id="rId13" name="Button 26">
              <controlPr defaultSize="0" print="0" autoFill="0" autoPict="0" macro="[0]!PartyPkmSheet.exportCurrentParty" altText="Insert New Pokemon">
                <anchor>
                  <from>
                    <xdr:col>3</xdr:col>
                    <xdr:colOff>381000</xdr:colOff>
                    <xdr:row>2</xdr:row>
                    <xdr:rowOff>9525</xdr:rowOff>
                  </from>
                  <to>
                    <xdr:col>3</xdr:col>
                    <xdr:colOff>1038225</xdr:colOff>
                    <xdr:row>3</xdr:row>
                    <xdr:rowOff>19050</xdr:rowOff>
                  </to>
                </anchor>
              </controlPr>
            </control>
          </mc:Choice>
        </mc:AlternateContent>
        <mc:AlternateContent xmlns:mc="http://schemas.openxmlformats.org/markup-compatibility/2006">
          <mc:Choice Requires="x14">
            <control shapeId="2086" r:id="rId14" name="Button 38">
              <controlPr defaultSize="0" print="0" autoFill="0" autoPict="0" macro="[0]!PartyPkmSheet.ToggleMovesVisibility" altText="Insert New Pokemon">
                <anchor>
                  <from>
                    <xdr:col>13</xdr:col>
                    <xdr:colOff>190500</xdr:colOff>
                    <xdr:row>0</xdr:row>
                    <xdr:rowOff>142875</xdr:rowOff>
                  </from>
                  <to>
                    <xdr:col>13</xdr:col>
                    <xdr:colOff>885825</xdr:colOff>
                    <xdr:row>3</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14:formula1>
            <xm:f>'Hidden Nature Chart'!$J$2:$J$257</xm:f>
          </x14:formula1>
          <xm:sqref>G3</xm:sqref>
        </x14:dataValidation>
        <x14:dataValidation type="list" allowBlank="1" showInputMessage="1" showErrorMessage="1">
          <x14:formula1>
            <xm:f>OFFSET('Hidden Nature Chart'!J:J,0,0, 33)</xm:f>
          </x14:formula1>
          <xm:sqref>G7</xm:sqref>
        </x14:dataValidation>
        <x14:dataValidation type="list" allowBlank="1" showInputMessage="1" showErrorMessage="1">
          <x14:formula1>
            <xm:f>OFFSET('Hidden Nature Chart'!J:J,0,0, 33)</xm:f>
          </x14:formula1>
          <xm:sqref>H7</xm:sqref>
        </x14:dataValidation>
        <x14:dataValidation type="list" allowBlank="1" showInputMessage="1" showErrorMessage="1">
          <x14:formula1>
            <xm:f>OFFSET('Hidden Nature Chart'!J:J,0,0, 33)</xm:f>
          </x14:formula1>
          <xm:sqref>I7</xm:sqref>
        </x14:dataValidation>
        <x14:dataValidation type="list" allowBlank="1" showInputMessage="1" showErrorMessage="1">
          <x14:formula1>
            <xm:f>OFFSET('Hidden Nature Chart'!J:J,0,0, 33)</xm:f>
          </x14:formula1>
          <xm:sqref>J7</xm:sqref>
        </x14:dataValidation>
        <x14:dataValidation type="list" allowBlank="1" showInputMessage="1" showErrorMessage="1">
          <x14:formula1>
            <xm:f>OFFSET('Hidden Nature Chart'!J:J,0,0, 33)</xm:f>
          </x14:formula1>
          <xm:sqref>K7</xm:sqref>
        </x14:dataValidation>
        <x14:dataValidation type="list" allowBlank="1" showInputMessage="1" showErrorMessage="1">
          <x14:formula1>
            <xm:f>OFFSET('Hidden Nature Chart'!J:J,0,0, 33)</xm:f>
          </x14:formula1>
          <xm:sqref>L7</xm:sqref>
        </x14:dataValidation>
        <x14:dataValidation type="list" allowBlank="1" showInputMessage="1" showErrorMessage="1">
          <x14:formula1>
            <xm:f>OFFSET('Hidden Nature Chart'!J:J,0,0, INDIRECT("Y" &amp; ROW()) + 1)</xm:f>
          </x14:formula1>
          <xm:sqref>G8</xm:sqref>
        </x14:dataValidation>
        <x14:dataValidation type="list" allowBlank="1" showInputMessage="1" showErrorMessage="1">
          <x14:formula1>
            <xm:f>OFFSET('Hidden Nature Chart'!J:J,0,0, INDIRECT("Y" &amp; ROW()) + 1)</xm:f>
          </x14:formula1>
          <xm:sqref>H8</xm:sqref>
        </x14:dataValidation>
        <x14:dataValidation type="list" allowBlank="1" showInputMessage="1" showErrorMessage="1">
          <x14:formula1>
            <xm:f>OFFSET('Hidden Nature Chart'!J:J,0,0, INDIRECT("Y" &amp; ROW()) + 1)</xm:f>
          </x14:formula1>
          <xm:sqref>I8</xm:sqref>
        </x14:dataValidation>
        <x14:dataValidation type="list" allowBlank="1" showInputMessage="1" showErrorMessage="1">
          <x14:formula1>
            <xm:f>OFFSET('Hidden Nature Chart'!J:J,0,0, INDIRECT("Y" &amp; ROW()) + 1)</xm:f>
          </x14:formula1>
          <xm:sqref>J8</xm:sqref>
        </x14:dataValidation>
        <x14:dataValidation type="list" allowBlank="1" showInputMessage="1" showErrorMessage="1">
          <x14:formula1>
            <xm:f>OFFSET('Hidden Nature Chart'!J:J,0,0, INDIRECT("Y" &amp; ROW()) + 1)</xm:f>
          </x14:formula1>
          <xm:sqref>K8</xm:sqref>
        </x14:dataValidation>
        <x14:dataValidation type="list" allowBlank="1" showInputMessage="1" showErrorMessage="1">
          <x14:formula1>
            <xm:f>OFFSET('Hidden Nature Chart'!J:J,0,0, INDIRECT("Y" &amp; ROW()) + 1)</xm:f>
          </x14:formula1>
          <xm:sqref>L8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ypeTableSheet"/>
  <dimension ref="A1:T34"/>
  <sheetViews>
    <sheetView zoomScaleNormal="100" workbookViewId="0">
      <selection activeCell="C30" sqref="C30:G34"/>
    </sheetView>
  </sheetViews>
  <sheetFormatPr defaultRowHeight="15" x14ac:dyDescent="0.25"/>
  <cols>
    <col min="1" max="1" width="9.7109375" customWidth="1"/>
    <col min="24" max="24" width="32.140625" bestFit="1" customWidth="1"/>
    <col min="25" max="25" width="40" bestFit="1" customWidth="1"/>
    <col min="26" max="26" width="7.85546875" customWidth="1"/>
  </cols>
  <sheetData>
    <row r="1" spans="1:20" x14ac:dyDescent="0.25">
      <c r="B1" s="55" t="s">
        <v>29</v>
      </c>
      <c r="C1" s="1">
        <f t="shared" ref="C1:T1" si="0">(COUNTIF(C$3:C$20, "0")*$K$26 + COUNTIF(C$3:C$20, "1/2")*$K$25 + COUNTIF(C$3:C$20, "2")*$K$24)</f>
        <v>-3</v>
      </c>
      <c r="D1" s="1">
        <f t="shared" si="0"/>
        <v>-2</v>
      </c>
      <c r="E1" s="1">
        <f t="shared" si="0"/>
        <v>-2</v>
      </c>
      <c r="F1" s="1">
        <f t="shared" si="0"/>
        <v>1</v>
      </c>
      <c r="G1" s="4">
        <f t="shared" si="0"/>
        <v>1</v>
      </c>
      <c r="H1" s="1">
        <f t="shared" si="0"/>
        <v>-2</v>
      </c>
      <c r="I1" s="1">
        <f t="shared" si="0"/>
        <v>0</v>
      </c>
      <c r="J1" s="1">
        <f t="shared" si="0"/>
        <v>-1</v>
      </c>
      <c r="K1" s="1">
        <f t="shared" si="0"/>
        <v>2</v>
      </c>
      <c r="L1" s="1">
        <f t="shared" si="0"/>
        <v>-6</v>
      </c>
      <c r="M1" s="1">
        <f t="shared" si="0"/>
        <v>-2</v>
      </c>
      <c r="N1" s="1">
        <f t="shared" si="0"/>
        <v>-7</v>
      </c>
      <c r="O1" s="1">
        <f t="shared" si="0"/>
        <v>0</v>
      </c>
      <c r="P1" s="1">
        <f t="shared" si="0"/>
        <v>1</v>
      </c>
      <c r="Q1" s="1">
        <f t="shared" si="0"/>
        <v>-4</v>
      </c>
      <c r="R1" s="1">
        <f t="shared" si="0"/>
        <v>-6</v>
      </c>
      <c r="S1" s="1">
        <f t="shared" si="0"/>
        <v>7</v>
      </c>
      <c r="T1" s="1">
        <f t="shared" si="0"/>
        <v>0</v>
      </c>
    </row>
    <row r="2" spans="1:20" x14ac:dyDescent="0.25">
      <c r="A2" s="54" t="s">
        <v>28</v>
      </c>
      <c r="B2" s="2" t="s">
        <v>10</v>
      </c>
      <c r="C2" s="3" t="str">
        <f>'Hidden Type Chart'!$A2</f>
        <v>Bug</v>
      </c>
      <c r="D2" s="3" t="str">
        <f>'Hidden Type Chart'!$A3</f>
        <v>Dark</v>
      </c>
      <c r="E2" s="3" t="str">
        <f>'Hidden Type Chart'!$A4</f>
        <v>Dragon</v>
      </c>
      <c r="F2" s="3" t="str">
        <f>'Hidden Type Chart'!$A5</f>
        <v>Electric</v>
      </c>
      <c r="G2" s="3" t="s">
        <v>672</v>
      </c>
      <c r="H2" s="3" t="str">
        <f>'Hidden Type Chart'!$A7</f>
        <v>Fighting</v>
      </c>
      <c r="I2" s="3" t="str">
        <f>'Hidden Type Chart'!$A8</f>
        <v>Fire</v>
      </c>
      <c r="J2" s="3" t="str">
        <f>'Hidden Type Chart'!$A9</f>
        <v>Flying</v>
      </c>
      <c r="K2" s="3" t="str">
        <f>'Hidden Type Chart'!$A10</f>
        <v>Ghost</v>
      </c>
      <c r="L2" s="3" t="str">
        <f>'Hidden Type Chart'!$A11</f>
        <v>Grass</v>
      </c>
      <c r="M2" s="3" t="str">
        <f>'Hidden Type Chart'!$A12</f>
        <v>Ground</v>
      </c>
      <c r="N2" s="3" t="str">
        <f>'Hidden Type Chart'!$A13</f>
        <v>Ice</v>
      </c>
      <c r="O2" s="3" t="str">
        <f>'Hidden Type Chart'!$A14</f>
        <v>Normal</v>
      </c>
      <c r="P2" s="3" t="str">
        <f>'Hidden Type Chart'!$A15</f>
        <v>Poison</v>
      </c>
      <c r="Q2" s="3" t="str">
        <f>'Hidden Type Chart'!$A16</f>
        <v>Psychic</v>
      </c>
      <c r="R2" s="3" t="str">
        <f>'Hidden Type Chart'!$A17</f>
        <v>Rock</v>
      </c>
      <c r="S2" s="3" t="str">
        <f>'Hidden Type Chart'!$A18</f>
        <v>Steel</v>
      </c>
      <c r="T2" s="3" t="str">
        <f>'Hidden Type Chart'!$A19</f>
        <v>Water</v>
      </c>
    </row>
    <row r="3" spans="1:20" x14ac:dyDescent="0.25">
      <c r="A3" s="1">
        <f>(COUNTIF($C3:$T3, "2")*$E$24 + COUNTIF($C3:$T3, "1/2")*$E$25 + COUNTIF($C3:$T3, "0")*$E$26)</f>
        <v>-1</v>
      </c>
      <c r="B3" s="3" t="str">
        <f>'Hidden Type Chart'!$A2</f>
        <v>Bug</v>
      </c>
      <c r="C3" s="1" t="str">
        <f>IF(ISERR(FIND(C$2, 'Hidden Type Chart'!$B2)), IF(ISERR(FIND(C$2, 'Hidden Type Chart'!$C2)), IF(ISERR(FIND(C$2, 'Hidden Type Chart'!$D2)), "", $P$26), $P$25), $P$24)</f>
        <v/>
      </c>
      <c r="D3" s="4" t="str">
        <f>IF(ISERR(FIND(D$2, 'Hidden Type Chart'!$B2)), IF(ISERR(FIND(D$2, 'Hidden Type Chart'!$C2)), IF(ISERR(FIND(D$2, 'Hidden Type Chart'!$D2)), "", $P$26), $P$25), $P$24)</f>
        <v>2</v>
      </c>
      <c r="E3" s="4" t="str">
        <f>IF(ISERR(FIND(E$2, 'Hidden Type Chart'!$B2)), IF(ISERR(FIND(E$2, 'Hidden Type Chart'!$C2)), IF(ISERR(FIND(E$2, 'Hidden Type Chart'!$D2)), "", $P$26), $P$25), $P$24)</f>
        <v/>
      </c>
      <c r="F3" s="4" t="str">
        <f>IF(ISERR(FIND(F$2, 'Hidden Type Chart'!$B2)), IF(ISERR(FIND(F$2, 'Hidden Type Chart'!$C2)), IF(ISERR(FIND(F$2, 'Hidden Type Chart'!$D2)), "", $P$26), $P$25), $P$24)</f>
        <v/>
      </c>
      <c r="G3" s="4" t="str">
        <f>IF(ISERR(FIND(G$2, 'Hidden Type Chart'!$B2)), IF(ISERR(FIND(G$2, 'Hidden Type Chart'!$C2)), IF(ISERR(FIND(G$2, 'Hidden Type Chart'!$D2)), "", $P$26), $P$25), $P$24)</f>
        <v>1/2</v>
      </c>
      <c r="H3" s="4" t="str">
        <f>IF(ISERR(FIND(H$2, 'Hidden Type Chart'!$B2)), IF(ISERR(FIND(H$2, 'Hidden Type Chart'!$C2)), IF(ISERR(FIND(H$2, 'Hidden Type Chart'!$D2)), "", $P$26), $P$25), $P$24)</f>
        <v>1/2</v>
      </c>
      <c r="I3" s="4" t="str">
        <f>IF(ISERR(FIND(I$2, 'Hidden Type Chart'!$B2)), IF(ISERR(FIND(I$2, 'Hidden Type Chart'!$C2)), IF(ISERR(FIND(I$2, 'Hidden Type Chart'!$D2)), "", $P$26), $P$25), $P$24)</f>
        <v>1/2</v>
      </c>
      <c r="J3" s="4" t="str">
        <f>IF(ISERR(FIND(J$2, 'Hidden Type Chart'!$B2)), IF(ISERR(FIND(J$2, 'Hidden Type Chart'!$C2)), IF(ISERR(FIND(J$2, 'Hidden Type Chart'!$D2)), "", $P$26), $P$25), $P$24)</f>
        <v>1/2</v>
      </c>
      <c r="K3" s="4" t="str">
        <f>IF(ISERR(FIND(K$2, 'Hidden Type Chart'!$B2)), IF(ISERR(FIND(K$2, 'Hidden Type Chart'!$C2)), IF(ISERR(FIND(K$2, 'Hidden Type Chart'!$D2)), "", $P$26), $P$25), $P$24)</f>
        <v>1/2</v>
      </c>
      <c r="L3" s="4" t="str">
        <f>IF(ISERR(FIND(L$2, 'Hidden Type Chart'!$B2)), IF(ISERR(FIND(L$2, 'Hidden Type Chart'!$C2)), IF(ISERR(FIND(L$2, 'Hidden Type Chart'!$D2)), "", $P$26), $P$25), $P$24)</f>
        <v>2</v>
      </c>
      <c r="M3" s="4" t="str">
        <f>IF(ISERR(FIND(M$2, 'Hidden Type Chart'!$B2)), IF(ISERR(FIND(M$2, 'Hidden Type Chart'!$C2)), IF(ISERR(FIND(M$2, 'Hidden Type Chart'!$D2)), "", $P$26), $P$25), $P$24)</f>
        <v/>
      </c>
      <c r="N3" s="4" t="str">
        <f>IF(ISERR(FIND(N$2, 'Hidden Type Chart'!$B2)), IF(ISERR(FIND(N$2, 'Hidden Type Chart'!$C2)), IF(ISERR(FIND(N$2, 'Hidden Type Chart'!$D2)), "", $P$26), $P$25), $P$24)</f>
        <v/>
      </c>
      <c r="O3" s="4" t="str">
        <f>IF(ISERR(FIND(O$2, 'Hidden Type Chart'!$B2)), IF(ISERR(FIND(O$2, 'Hidden Type Chart'!$C2)), IF(ISERR(FIND(O$2, 'Hidden Type Chart'!$D2)), "", $P$26), $P$25), $P$24)</f>
        <v/>
      </c>
      <c r="P3" s="4" t="str">
        <f>IF(ISERR(FIND(P$2, 'Hidden Type Chart'!$B2)), IF(ISERR(FIND(P$2, 'Hidden Type Chart'!$C2)), IF(ISERR(FIND(P$2, 'Hidden Type Chart'!$D2)), "", $P$26), $P$25), $P$24)</f>
        <v>1/2</v>
      </c>
      <c r="Q3" s="4" t="str">
        <f>IF(ISERR(FIND(Q$2, 'Hidden Type Chart'!$B2)), IF(ISERR(FIND(Q$2, 'Hidden Type Chart'!$C2)), IF(ISERR(FIND(Q$2, 'Hidden Type Chart'!$D2)), "", $P$26), $P$25), $P$24)</f>
        <v>2</v>
      </c>
      <c r="R3" s="4" t="str">
        <f>IF(ISERR(FIND(R$2, 'Hidden Type Chart'!$B2)), IF(ISERR(FIND(R$2, 'Hidden Type Chart'!$C2)), IF(ISERR(FIND(R$2, 'Hidden Type Chart'!$D2)), "", $P$26), $P$25), $P$24)</f>
        <v/>
      </c>
      <c r="S3" s="4" t="str">
        <f>IF(ISERR(FIND(S$2, 'Hidden Type Chart'!$B2)), IF(ISERR(FIND(S$2, 'Hidden Type Chart'!$C2)), IF(ISERR(FIND(S$2, 'Hidden Type Chart'!$D2)), "", $P$26), $P$25), $P$24)</f>
        <v>1/2</v>
      </c>
      <c r="T3" s="4" t="str">
        <f>IF(ISERR(FIND(T$2, 'Hidden Type Chart'!$B2)), IF(ISERR(FIND(T$2, 'Hidden Type Chart'!$C2)), IF(ISERR(FIND(T$2, 'Hidden Type Chart'!$D2)), "", $P$26), $P$25), $P$24)</f>
        <v/>
      </c>
    </row>
    <row r="4" spans="1:20" x14ac:dyDescent="0.25">
      <c r="A4" s="4">
        <f t="shared" ref="A4:A20" si="1">(COUNTIF($C4:$T4, "2")*$E$24 + COUNTIF($C4:$T4, "1/2")*$E$25 + COUNTIF($C4:$T4, "0")*$E$26)</f>
        <v>0</v>
      </c>
      <c r="B4" s="3" t="str">
        <f>'Hidden Type Chart'!$A3</f>
        <v>Dark</v>
      </c>
      <c r="C4" s="4" t="str">
        <f>IF(ISERR(FIND(C$2, 'Hidden Type Chart'!$B3)), IF(ISERR(FIND(C$2, 'Hidden Type Chart'!$C3)), IF(ISERR(FIND(C$2, 'Hidden Type Chart'!$D3)), "", $P$26), $P$25), $P$24)</f>
        <v/>
      </c>
      <c r="D4" s="4" t="str">
        <f>IF(ISERR(FIND(D$2, 'Hidden Type Chart'!$B3)), IF(ISERR(FIND(D$2, 'Hidden Type Chart'!$C3)), IF(ISERR(FIND(D$2, 'Hidden Type Chart'!$D3)), "", $P$26), $P$25), $P$24)</f>
        <v>1/2</v>
      </c>
      <c r="E4" s="4" t="str">
        <f>IF(ISERR(FIND(E$2, 'Hidden Type Chart'!$B3)), IF(ISERR(FIND(E$2, 'Hidden Type Chart'!$C3)), IF(ISERR(FIND(E$2, 'Hidden Type Chart'!$D3)), "", $P$26), $P$25), $P$24)</f>
        <v/>
      </c>
      <c r="F4" s="4" t="str">
        <f>IF(ISERR(FIND(F$2, 'Hidden Type Chart'!$B3)), IF(ISERR(FIND(F$2, 'Hidden Type Chart'!$C3)), IF(ISERR(FIND(F$2, 'Hidden Type Chart'!$D3)), "", $P$26), $P$25), $P$24)</f>
        <v/>
      </c>
      <c r="G4" s="4" t="str">
        <f>IF(ISERR(FIND(G$2, 'Hidden Type Chart'!$B3)), IF(ISERR(FIND(G$2, 'Hidden Type Chart'!$C3)), IF(ISERR(FIND(G$2, 'Hidden Type Chart'!$D3)), "", $P$26), $P$25), $P$24)</f>
        <v>1/2</v>
      </c>
      <c r="H4" s="4" t="str">
        <f>IF(ISERR(FIND(H$2, 'Hidden Type Chart'!$B3)), IF(ISERR(FIND(H$2, 'Hidden Type Chart'!$C3)), IF(ISERR(FIND(H$2, 'Hidden Type Chart'!$D3)), "", $P$26), $P$25), $P$24)</f>
        <v>1/2</v>
      </c>
      <c r="I4" s="4" t="str">
        <f>IF(ISERR(FIND(I$2, 'Hidden Type Chart'!$B3)), IF(ISERR(FIND(I$2, 'Hidden Type Chart'!$C3)), IF(ISERR(FIND(I$2, 'Hidden Type Chart'!$D3)), "", $P$26), $P$25), $P$24)</f>
        <v/>
      </c>
      <c r="J4" s="4" t="str">
        <f>IF(ISERR(FIND(J$2, 'Hidden Type Chart'!$B3)), IF(ISERR(FIND(J$2, 'Hidden Type Chart'!$C3)), IF(ISERR(FIND(J$2, 'Hidden Type Chart'!$D3)), "", $P$26), $P$25), $P$24)</f>
        <v/>
      </c>
      <c r="K4" s="4" t="str">
        <f>IF(ISERR(FIND(K$2, 'Hidden Type Chart'!$B3)), IF(ISERR(FIND(K$2, 'Hidden Type Chart'!$C3)), IF(ISERR(FIND(K$2, 'Hidden Type Chart'!$D3)), "", $P$26), $P$25), $P$24)</f>
        <v>2</v>
      </c>
      <c r="L4" s="4" t="str">
        <f>IF(ISERR(FIND(L$2, 'Hidden Type Chart'!$B3)), IF(ISERR(FIND(L$2, 'Hidden Type Chart'!$C3)), IF(ISERR(FIND(L$2, 'Hidden Type Chart'!$D3)), "", $P$26), $P$25), $P$24)</f>
        <v/>
      </c>
      <c r="M4" s="4" t="str">
        <f>IF(ISERR(FIND(M$2, 'Hidden Type Chart'!$B3)), IF(ISERR(FIND(M$2, 'Hidden Type Chart'!$C3)), IF(ISERR(FIND(M$2, 'Hidden Type Chart'!$D3)), "", $P$26), $P$25), $P$24)</f>
        <v/>
      </c>
      <c r="N4" s="4" t="str">
        <f>IF(ISERR(FIND(N$2, 'Hidden Type Chart'!$B3)), IF(ISERR(FIND(N$2, 'Hidden Type Chart'!$C3)), IF(ISERR(FIND(N$2, 'Hidden Type Chart'!$D3)), "", $P$26), $P$25), $P$24)</f>
        <v/>
      </c>
      <c r="O4" s="4" t="str">
        <f>IF(ISERR(FIND(O$2, 'Hidden Type Chart'!$B3)), IF(ISERR(FIND(O$2, 'Hidden Type Chart'!$C3)), IF(ISERR(FIND(O$2, 'Hidden Type Chart'!$D3)), "", $P$26), $P$25), $P$24)</f>
        <v/>
      </c>
      <c r="P4" s="4" t="str">
        <f>IF(ISERR(FIND(P$2, 'Hidden Type Chart'!$B3)), IF(ISERR(FIND(P$2, 'Hidden Type Chart'!$C3)), IF(ISERR(FIND(P$2, 'Hidden Type Chart'!$D3)), "", $P$26), $P$25), $P$24)</f>
        <v/>
      </c>
      <c r="Q4" s="4" t="str">
        <f>IF(ISERR(FIND(Q$2, 'Hidden Type Chart'!$B3)), IF(ISERR(FIND(Q$2, 'Hidden Type Chart'!$C3)), IF(ISERR(FIND(Q$2, 'Hidden Type Chart'!$D3)), "", $P$26), $P$25), $P$24)</f>
        <v>2</v>
      </c>
      <c r="R4" s="4" t="str">
        <f>IF(ISERR(FIND(R$2, 'Hidden Type Chart'!$B3)), IF(ISERR(FIND(R$2, 'Hidden Type Chart'!$C3)), IF(ISERR(FIND(R$2, 'Hidden Type Chart'!$D3)), "", $P$26), $P$25), $P$24)</f>
        <v/>
      </c>
      <c r="S4" s="4" t="str">
        <f>IF(ISERR(FIND(S$2, 'Hidden Type Chart'!$B3)), IF(ISERR(FIND(S$2, 'Hidden Type Chart'!$C3)), IF(ISERR(FIND(S$2, 'Hidden Type Chart'!$D3)), "", $P$26), $P$25), $P$24)</f>
        <v>1/2</v>
      </c>
      <c r="T4" s="4" t="str">
        <f>IF(ISERR(FIND(T$2, 'Hidden Type Chart'!$B3)), IF(ISERR(FIND(T$2, 'Hidden Type Chart'!$C3)), IF(ISERR(FIND(T$2, 'Hidden Type Chart'!$D3)), "", $P$26), $P$25), $P$24)</f>
        <v/>
      </c>
    </row>
    <row r="5" spans="1:20" x14ac:dyDescent="0.25">
      <c r="A5" s="4">
        <f t="shared" si="1"/>
        <v>-1</v>
      </c>
      <c r="B5" s="3" t="str">
        <f>'Hidden Type Chart'!$A4</f>
        <v>Dragon</v>
      </c>
      <c r="C5" s="4" t="str">
        <f>IF(ISERR(FIND(C$2, 'Hidden Type Chart'!$B4)), IF(ISERR(FIND(C$2, 'Hidden Type Chart'!$C4)), IF(ISERR(FIND(C$2, 'Hidden Type Chart'!$D4)), "", $P$26), $P$25), $P$24)</f>
        <v/>
      </c>
      <c r="D5" s="4" t="str">
        <f>IF(ISERR(FIND(D$2, 'Hidden Type Chart'!$B4)), IF(ISERR(FIND(D$2, 'Hidden Type Chart'!$C4)), IF(ISERR(FIND(D$2, 'Hidden Type Chart'!$D4)), "", $P$26), $P$25), $P$24)</f>
        <v/>
      </c>
      <c r="E5" s="4" t="str">
        <f>IF(ISERR(FIND(E$2, 'Hidden Type Chart'!$B4)), IF(ISERR(FIND(E$2, 'Hidden Type Chart'!$C4)), IF(ISERR(FIND(E$2, 'Hidden Type Chart'!$D4)), "", $P$26), $P$25), $P$24)</f>
        <v>2</v>
      </c>
      <c r="F5" s="4" t="str">
        <f>IF(ISERR(FIND(F$2, 'Hidden Type Chart'!$B4)), IF(ISERR(FIND(F$2, 'Hidden Type Chart'!$C4)), IF(ISERR(FIND(F$2, 'Hidden Type Chart'!$D4)), "", $P$26), $P$25), $P$24)</f>
        <v/>
      </c>
      <c r="G5" s="4" t="str">
        <f>IF(ISERR(FIND(G$2, 'Hidden Type Chart'!$B4)), IF(ISERR(FIND(G$2, 'Hidden Type Chart'!$C4)), IF(ISERR(FIND(G$2, 'Hidden Type Chart'!$D4)), "", $P$26), $P$25), $P$24)</f>
        <v>0</v>
      </c>
      <c r="H5" s="4" t="str">
        <f>IF(ISERR(FIND(H$2, 'Hidden Type Chart'!$B4)), IF(ISERR(FIND(H$2, 'Hidden Type Chart'!$C4)), IF(ISERR(FIND(H$2, 'Hidden Type Chart'!$D4)), "", $P$26), $P$25), $P$24)</f>
        <v/>
      </c>
      <c r="I5" s="4" t="str">
        <f>IF(ISERR(FIND(I$2, 'Hidden Type Chart'!$B4)), IF(ISERR(FIND(I$2, 'Hidden Type Chart'!$C4)), IF(ISERR(FIND(I$2, 'Hidden Type Chart'!$D4)), "", $P$26), $P$25), $P$24)</f>
        <v/>
      </c>
      <c r="J5" s="4" t="str">
        <f>IF(ISERR(FIND(J$2, 'Hidden Type Chart'!$B4)), IF(ISERR(FIND(J$2, 'Hidden Type Chart'!$C4)), IF(ISERR(FIND(J$2, 'Hidden Type Chart'!$D4)), "", $P$26), $P$25), $P$24)</f>
        <v/>
      </c>
      <c r="K5" s="4" t="str">
        <f>IF(ISERR(FIND(K$2, 'Hidden Type Chart'!$B4)), IF(ISERR(FIND(K$2, 'Hidden Type Chart'!$C4)), IF(ISERR(FIND(K$2, 'Hidden Type Chart'!$D4)), "", $P$26), $P$25), $P$24)</f>
        <v/>
      </c>
      <c r="L5" s="4" t="str">
        <f>IF(ISERR(FIND(L$2, 'Hidden Type Chart'!$B4)), IF(ISERR(FIND(L$2, 'Hidden Type Chart'!$C4)), IF(ISERR(FIND(L$2, 'Hidden Type Chart'!$D4)), "", $P$26), $P$25), $P$24)</f>
        <v/>
      </c>
      <c r="M5" s="4" t="str">
        <f>IF(ISERR(FIND(M$2, 'Hidden Type Chart'!$B4)), IF(ISERR(FIND(M$2, 'Hidden Type Chart'!$C4)), IF(ISERR(FIND(M$2, 'Hidden Type Chart'!$D4)), "", $P$26), $P$25), $P$24)</f>
        <v/>
      </c>
      <c r="N5" s="4" t="str">
        <f>IF(ISERR(FIND(N$2, 'Hidden Type Chart'!$B4)), IF(ISERR(FIND(N$2, 'Hidden Type Chart'!$C4)), IF(ISERR(FIND(N$2, 'Hidden Type Chart'!$D4)), "", $P$26), $P$25), $P$24)</f>
        <v/>
      </c>
      <c r="O5" s="4" t="str">
        <f>IF(ISERR(FIND(O$2, 'Hidden Type Chart'!$B4)), IF(ISERR(FIND(O$2, 'Hidden Type Chart'!$C4)), IF(ISERR(FIND(O$2, 'Hidden Type Chart'!$D4)), "", $P$26), $P$25), $P$24)</f>
        <v/>
      </c>
      <c r="P5" s="4" t="str">
        <f>IF(ISERR(FIND(P$2, 'Hidden Type Chart'!$B4)), IF(ISERR(FIND(P$2, 'Hidden Type Chart'!$C4)), IF(ISERR(FIND(P$2, 'Hidden Type Chart'!$D4)), "", $P$26), $P$25), $P$24)</f>
        <v/>
      </c>
      <c r="Q5" s="4" t="str">
        <f>IF(ISERR(FIND(Q$2, 'Hidden Type Chart'!$B4)), IF(ISERR(FIND(Q$2, 'Hidden Type Chart'!$C4)), IF(ISERR(FIND(Q$2, 'Hidden Type Chart'!$D4)), "", $P$26), $P$25), $P$24)</f>
        <v/>
      </c>
      <c r="R5" s="4" t="str">
        <f>IF(ISERR(FIND(R$2, 'Hidden Type Chart'!$B4)), IF(ISERR(FIND(R$2, 'Hidden Type Chart'!$C4)), IF(ISERR(FIND(R$2, 'Hidden Type Chart'!$D4)), "", $P$26), $P$25), $P$24)</f>
        <v/>
      </c>
      <c r="S5" s="4" t="str">
        <f>IF(ISERR(FIND(S$2, 'Hidden Type Chart'!$B4)), IF(ISERR(FIND(S$2, 'Hidden Type Chart'!$C4)), IF(ISERR(FIND(S$2, 'Hidden Type Chart'!$D4)), "", $P$26), $P$25), $P$24)</f>
        <v>1/2</v>
      </c>
      <c r="T5" s="4" t="str">
        <f>IF(ISERR(FIND(T$2, 'Hidden Type Chart'!$B4)), IF(ISERR(FIND(T$2, 'Hidden Type Chart'!$C4)), IF(ISERR(FIND(T$2, 'Hidden Type Chart'!$D4)), "", $P$26), $P$25), $P$24)</f>
        <v/>
      </c>
    </row>
    <row r="6" spans="1:20" x14ac:dyDescent="0.25">
      <c r="A6" s="4">
        <f t="shared" si="1"/>
        <v>-1</v>
      </c>
      <c r="B6" s="3" t="str">
        <f>'Hidden Type Chart'!$A5</f>
        <v>Electric</v>
      </c>
      <c r="C6" s="4" t="str">
        <f>IF(ISERR(FIND(C$2, 'Hidden Type Chart'!$B5)), IF(ISERR(FIND(C$2, 'Hidden Type Chart'!$C5)), IF(ISERR(FIND(C$2, 'Hidden Type Chart'!$D5)), "", $P$26), $P$25), $P$24)</f>
        <v/>
      </c>
      <c r="D6" s="4" t="str">
        <f>IF(ISERR(FIND(D$2, 'Hidden Type Chart'!$B5)), IF(ISERR(FIND(D$2, 'Hidden Type Chart'!$C5)), IF(ISERR(FIND(D$2, 'Hidden Type Chart'!$D5)), "", $P$26), $P$25), $P$24)</f>
        <v/>
      </c>
      <c r="E6" s="4" t="str">
        <f>IF(ISERR(FIND(E$2, 'Hidden Type Chart'!$B5)), IF(ISERR(FIND(E$2, 'Hidden Type Chart'!$C5)), IF(ISERR(FIND(E$2, 'Hidden Type Chart'!$D5)), "", $P$26), $P$25), $P$24)</f>
        <v>1/2</v>
      </c>
      <c r="F6" s="4" t="str">
        <f>IF(ISERR(FIND(F$2, 'Hidden Type Chart'!$B5)), IF(ISERR(FIND(F$2, 'Hidden Type Chart'!$C5)), IF(ISERR(FIND(F$2, 'Hidden Type Chart'!$D5)), "", $P$26), $P$25), $P$24)</f>
        <v>1/2</v>
      </c>
      <c r="G6" s="4" t="str">
        <f>IF(ISERR(FIND(G$2, 'Hidden Type Chart'!$B5)), IF(ISERR(FIND(G$2, 'Hidden Type Chart'!$C5)), IF(ISERR(FIND(G$2, 'Hidden Type Chart'!$D5)), "", $P$26), $P$25), $P$24)</f>
        <v/>
      </c>
      <c r="H6" s="4" t="str">
        <f>IF(ISERR(FIND(H$2, 'Hidden Type Chart'!$B5)), IF(ISERR(FIND(H$2, 'Hidden Type Chart'!$C5)), IF(ISERR(FIND(H$2, 'Hidden Type Chart'!$D5)), "", $P$26), $P$25), $P$24)</f>
        <v/>
      </c>
      <c r="I6" s="4" t="str">
        <f>IF(ISERR(FIND(I$2, 'Hidden Type Chart'!$B5)), IF(ISERR(FIND(I$2, 'Hidden Type Chart'!$C5)), IF(ISERR(FIND(I$2, 'Hidden Type Chart'!$D5)), "", $P$26), $P$25), $P$24)</f>
        <v/>
      </c>
      <c r="J6" s="4" t="str">
        <f>IF(ISERR(FIND(J$2, 'Hidden Type Chart'!$B5)), IF(ISERR(FIND(J$2, 'Hidden Type Chart'!$C5)), IF(ISERR(FIND(J$2, 'Hidden Type Chart'!$D5)), "", $P$26), $P$25), $P$24)</f>
        <v>2</v>
      </c>
      <c r="K6" s="4" t="str">
        <f>IF(ISERR(FIND(K$2, 'Hidden Type Chart'!$B5)), IF(ISERR(FIND(K$2, 'Hidden Type Chart'!$C5)), IF(ISERR(FIND(K$2, 'Hidden Type Chart'!$D5)), "", $P$26), $P$25), $P$24)</f>
        <v/>
      </c>
      <c r="L6" s="4" t="str">
        <f>IF(ISERR(FIND(L$2, 'Hidden Type Chart'!$B5)), IF(ISERR(FIND(L$2, 'Hidden Type Chart'!$C5)), IF(ISERR(FIND(L$2, 'Hidden Type Chart'!$D5)), "", $P$26), $P$25), $P$24)</f>
        <v>1/2</v>
      </c>
      <c r="M6" s="4" t="str">
        <f>IF(ISERR(FIND(M$2, 'Hidden Type Chart'!$B5)), IF(ISERR(FIND(M$2, 'Hidden Type Chart'!$C5)), IF(ISERR(FIND(M$2, 'Hidden Type Chart'!$D5)), "", $P$26), $P$25), $P$24)</f>
        <v>0</v>
      </c>
      <c r="N6" s="4" t="str">
        <f>IF(ISERR(FIND(N$2, 'Hidden Type Chart'!$B5)), IF(ISERR(FIND(N$2, 'Hidden Type Chart'!$C5)), IF(ISERR(FIND(N$2, 'Hidden Type Chart'!$D5)), "", $P$26), $P$25), $P$24)</f>
        <v/>
      </c>
      <c r="O6" s="4" t="str">
        <f>IF(ISERR(FIND(O$2, 'Hidden Type Chart'!$B5)), IF(ISERR(FIND(O$2, 'Hidden Type Chart'!$C5)), IF(ISERR(FIND(O$2, 'Hidden Type Chart'!$D5)), "", $P$26), $P$25), $P$24)</f>
        <v/>
      </c>
      <c r="P6" s="4" t="str">
        <f>IF(ISERR(FIND(P$2, 'Hidden Type Chart'!$B5)), IF(ISERR(FIND(P$2, 'Hidden Type Chart'!$C5)), IF(ISERR(FIND(P$2, 'Hidden Type Chart'!$D5)), "", $P$26), $P$25), $P$24)</f>
        <v/>
      </c>
      <c r="Q6" s="4" t="str">
        <f>IF(ISERR(FIND(Q$2, 'Hidden Type Chart'!$B5)), IF(ISERR(FIND(Q$2, 'Hidden Type Chart'!$C5)), IF(ISERR(FIND(Q$2, 'Hidden Type Chart'!$D5)), "", $P$26), $P$25), $P$24)</f>
        <v/>
      </c>
      <c r="R6" s="4" t="str">
        <f>IF(ISERR(FIND(R$2, 'Hidden Type Chart'!$B5)), IF(ISERR(FIND(R$2, 'Hidden Type Chart'!$C5)), IF(ISERR(FIND(R$2, 'Hidden Type Chart'!$D5)), "", $P$26), $P$25), $P$24)</f>
        <v/>
      </c>
      <c r="S6" s="4" t="str">
        <f>IF(ISERR(FIND(S$2, 'Hidden Type Chart'!$B5)), IF(ISERR(FIND(S$2, 'Hidden Type Chart'!$C5)), IF(ISERR(FIND(S$2, 'Hidden Type Chart'!$D5)), "", $P$26), $P$25), $P$24)</f>
        <v/>
      </c>
      <c r="T6" s="4" t="str">
        <f>IF(ISERR(FIND(T$2, 'Hidden Type Chart'!$B5)), IF(ISERR(FIND(T$2, 'Hidden Type Chart'!$C5)), IF(ISERR(FIND(T$2, 'Hidden Type Chart'!$D5)), "", $P$26), $P$25), $P$24)</f>
        <v>2</v>
      </c>
    </row>
    <row r="7" spans="1:20" x14ac:dyDescent="0.25">
      <c r="A7" s="4">
        <f t="shared" si="1"/>
        <v>3</v>
      </c>
      <c r="B7" s="3" t="s">
        <v>672</v>
      </c>
      <c r="C7" s="4" t="str">
        <f>IF(ISERR(FIND(C$2, 'Hidden Type Chart'!$B6)), IF(ISERR(FIND(C$2, 'Hidden Type Chart'!$C6)), IF(ISERR(FIND(C$2, 'Hidden Type Chart'!$D6)), "", $P$26), $P$25), $P$24)</f>
        <v/>
      </c>
      <c r="D7" s="4" t="str">
        <f>IF(ISERR(FIND(D$2, 'Hidden Type Chart'!$B6)), IF(ISERR(FIND(D$2, 'Hidden Type Chart'!$C6)), IF(ISERR(FIND(D$2, 'Hidden Type Chart'!$D6)), "", $P$26), $P$25), $P$24)</f>
        <v>2</v>
      </c>
      <c r="E7" s="4" t="str">
        <f>IF(ISERR(FIND(E$2, 'Hidden Type Chart'!$B6)), IF(ISERR(FIND(E$2, 'Hidden Type Chart'!$C6)), IF(ISERR(FIND(E$2, 'Hidden Type Chart'!$D6)), "", $P$26), $P$25), $P$24)</f>
        <v>2</v>
      </c>
      <c r="F7" s="4" t="str">
        <f>IF(ISERR(FIND(F$2, 'Hidden Type Chart'!$B6)), IF(ISERR(FIND(F$2, 'Hidden Type Chart'!$C6)), IF(ISERR(FIND(F$2, 'Hidden Type Chart'!$D6)), "", $P$26), $P$25), $P$24)</f>
        <v/>
      </c>
      <c r="G7" s="4" t="str">
        <f>IF(ISERR(FIND(G$2, 'Hidden Type Chart'!$B6)), IF(ISERR(FIND(G$2, 'Hidden Type Chart'!$C6)), IF(ISERR(FIND(G$2, 'Hidden Type Chart'!$D6)), "", $P$26), $P$25), $P$24)</f>
        <v/>
      </c>
      <c r="H7" s="4" t="str">
        <f>IF(ISERR(FIND(H$2, 'Hidden Type Chart'!$B6)), IF(ISERR(FIND(H$2, 'Hidden Type Chart'!$C6)), IF(ISERR(FIND(H$2, 'Hidden Type Chart'!$D6)), "", $P$26), $P$25), $P$24)</f>
        <v>2</v>
      </c>
      <c r="I7" s="4" t="str">
        <f>IF(ISERR(FIND(I$2, 'Hidden Type Chart'!$B6)), IF(ISERR(FIND(I$2, 'Hidden Type Chart'!$C6)), IF(ISERR(FIND(I$2, 'Hidden Type Chart'!$D6)), "", $P$26), $P$25), $P$24)</f>
        <v>1/2</v>
      </c>
      <c r="J7" s="4" t="str">
        <f>IF(ISERR(FIND(J$2, 'Hidden Type Chart'!$B6)), IF(ISERR(FIND(J$2, 'Hidden Type Chart'!$C6)), IF(ISERR(FIND(J$2, 'Hidden Type Chart'!$D6)), "", $P$26), $P$25), $P$24)</f>
        <v/>
      </c>
      <c r="K7" s="4" t="str">
        <f>IF(ISERR(FIND(K$2, 'Hidden Type Chart'!$B6)), IF(ISERR(FIND(K$2, 'Hidden Type Chart'!$C6)), IF(ISERR(FIND(K$2, 'Hidden Type Chart'!$D6)), "", $P$26), $P$25), $P$24)</f>
        <v/>
      </c>
      <c r="L7" s="4" t="str">
        <f>IF(ISERR(FIND(L$2, 'Hidden Type Chart'!$B6)), IF(ISERR(FIND(L$2, 'Hidden Type Chart'!$C6)), IF(ISERR(FIND(L$2, 'Hidden Type Chart'!$D6)), "", $P$26), $P$25), $P$24)</f>
        <v/>
      </c>
      <c r="M7" s="4" t="str">
        <f>IF(ISERR(FIND(M$2, 'Hidden Type Chart'!$B6)), IF(ISERR(FIND(M$2, 'Hidden Type Chart'!$C6)), IF(ISERR(FIND(M$2, 'Hidden Type Chart'!$D6)), "", $P$26), $P$25), $P$24)</f>
        <v/>
      </c>
      <c r="N7" s="4" t="str">
        <f>IF(ISERR(FIND(N$2, 'Hidden Type Chart'!$B6)), IF(ISERR(FIND(N$2, 'Hidden Type Chart'!$C6)), IF(ISERR(FIND(N$2, 'Hidden Type Chart'!$D6)), "", $P$26), $P$25), $P$24)</f>
        <v/>
      </c>
      <c r="O7" s="4" t="str">
        <f>IF(ISERR(FIND(O$2, 'Hidden Type Chart'!$B6)), IF(ISERR(FIND(O$2, 'Hidden Type Chart'!$C6)), IF(ISERR(FIND(O$2, 'Hidden Type Chart'!$D6)), "", $P$26), $P$25), $P$24)</f>
        <v/>
      </c>
      <c r="P7" s="4" t="str">
        <f>IF(ISERR(FIND(P$2, 'Hidden Type Chart'!$B6)), IF(ISERR(FIND(P$2, 'Hidden Type Chart'!$C6)), IF(ISERR(FIND(P$2, 'Hidden Type Chart'!$D6)), "", $P$26), $P$25), $P$24)</f>
        <v>1/2</v>
      </c>
      <c r="Q7" s="4" t="str">
        <f>IF(ISERR(FIND(Q$2, 'Hidden Type Chart'!$B6)), IF(ISERR(FIND(Q$2, 'Hidden Type Chart'!$C6)), IF(ISERR(FIND(Q$2, 'Hidden Type Chart'!$D6)), "", $P$26), $P$25), $P$24)</f>
        <v/>
      </c>
      <c r="R7" s="4" t="str">
        <f>IF(ISERR(FIND(R$2, 'Hidden Type Chart'!$B6)), IF(ISERR(FIND(R$2, 'Hidden Type Chart'!$C6)), IF(ISERR(FIND(R$2, 'Hidden Type Chart'!$D6)), "", $P$26), $P$25), $P$24)</f>
        <v/>
      </c>
      <c r="S7" s="4" t="str">
        <f>IF(ISERR(FIND(S$2, 'Hidden Type Chart'!$B6)), IF(ISERR(FIND(S$2, 'Hidden Type Chart'!$C6)), IF(ISERR(FIND(S$2, 'Hidden Type Chart'!$D6)), "", $P$26), $P$25), $P$24)</f>
        <v>1/2</v>
      </c>
      <c r="T7" s="4" t="str">
        <f>IF(ISERR(FIND(T$2, 'Hidden Type Chart'!$B6)), IF(ISERR(FIND(T$2, 'Hidden Type Chart'!$C6)), IF(ISERR(FIND(T$2, 'Hidden Type Chart'!$D6)), "", $P$26), $P$25), $P$24)</f>
        <v/>
      </c>
    </row>
    <row r="8" spans="1:20" x14ac:dyDescent="0.25">
      <c r="A8" s="4">
        <f t="shared" si="1"/>
        <v>2</v>
      </c>
      <c r="B8" s="3" t="str">
        <f>'Hidden Type Chart'!$A7</f>
        <v>Fighting</v>
      </c>
      <c r="C8" s="4" t="str">
        <f>IF(ISERR(FIND(C$2, 'Hidden Type Chart'!$B7)), IF(ISERR(FIND(C$2, 'Hidden Type Chart'!$C7)), IF(ISERR(FIND(C$2, 'Hidden Type Chart'!$D7)), "", $P$26), $P$25), $P$24)</f>
        <v>1/2</v>
      </c>
      <c r="D8" s="4" t="str">
        <f>IF(ISERR(FIND(D$2, 'Hidden Type Chart'!$B7)), IF(ISERR(FIND(D$2, 'Hidden Type Chart'!$C7)), IF(ISERR(FIND(D$2, 'Hidden Type Chart'!$D7)), "", $P$26), $P$25), $P$24)</f>
        <v>2</v>
      </c>
      <c r="E8" s="4" t="str">
        <f>IF(ISERR(FIND(E$2, 'Hidden Type Chart'!$B7)), IF(ISERR(FIND(E$2, 'Hidden Type Chart'!$C7)), IF(ISERR(FIND(E$2, 'Hidden Type Chart'!$D7)), "", $P$26), $P$25), $P$24)</f>
        <v/>
      </c>
      <c r="F8" s="4" t="str">
        <f>IF(ISERR(FIND(F$2, 'Hidden Type Chart'!$B7)), IF(ISERR(FIND(F$2, 'Hidden Type Chart'!$C7)), IF(ISERR(FIND(F$2, 'Hidden Type Chart'!$D7)), "", $P$26), $P$25), $P$24)</f>
        <v/>
      </c>
      <c r="G8" s="4" t="str">
        <f>IF(ISERR(FIND(G$2, 'Hidden Type Chart'!$B7)), IF(ISERR(FIND(G$2, 'Hidden Type Chart'!$C7)), IF(ISERR(FIND(G$2, 'Hidden Type Chart'!$D7)), "", $P$26), $P$25), $P$24)</f>
        <v>1/2</v>
      </c>
      <c r="H8" s="4" t="str">
        <f>IF(ISERR(FIND(H$2, 'Hidden Type Chart'!$B7)), IF(ISERR(FIND(H$2, 'Hidden Type Chart'!$C7)), IF(ISERR(FIND(H$2, 'Hidden Type Chart'!$D7)), "", $P$26), $P$25), $P$24)</f>
        <v>1/2</v>
      </c>
      <c r="I8" s="4" t="str">
        <f>IF(ISERR(FIND(I$2, 'Hidden Type Chart'!$B7)), IF(ISERR(FIND(I$2, 'Hidden Type Chart'!$C7)), IF(ISERR(FIND(I$2, 'Hidden Type Chart'!$D7)), "", $P$26), $P$25), $P$24)</f>
        <v/>
      </c>
      <c r="J8" s="4" t="str">
        <f>IF(ISERR(FIND(J$2, 'Hidden Type Chart'!$B7)), IF(ISERR(FIND(J$2, 'Hidden Type Chart'!$C7)), IF(ISERR(FIND(J$2, 'Hidden Type Chart'!$D7)), "", $P$26), $P$25), $P$24)</f>
        <v>1/2</v>
      </c>
      <c r="K8" s="4" t="str">
        <f>IF(ISERR(FIND(K$2, 'Hidden Type Chart'!$B7)), IF(ISERR(FIND(K$2, 'Hidden Type Chart'!$C7)), IF(ISERR(FIND(K$2, 'Hidden Type Chart'!$D7)), "", $P$26), $P$25), $P$24)</f>
        <v>0</v>
      </c>
      <c r="L8" s="4" t="str">
        <f>IF(ISERR(FIND(L$2, 'Hidden Type Chart'!$B7)), IF(ISERR(FIND(L$2, 'Hidden Type Chart'!$C7)), IF(ISERR(FIND(L$2, 'Hidden Type Chart'!$D7)), "", $P$26), $P$25), $P$24)</f>
        <v/>
      </c>
      <c r="M8" s="4" t="str">
        <f>IF(ISERR(FIND(M$2, 'Hidden Type Chart'!$B7)), IF(ISERR(FIND(M$2, 'Hidden Type Chart'!$C7)), IF(ISERR(FIND(M$2, 'Hidden Type Chart'!$D7)), "", $P$26), $P$25), $P$24)</f>
        <v/>
      </c>
      <c r="N8" s="4" t="str">
        <f>IF(ISERR(FIND(N$2, 'Hidden Type Chart'!$B7)), IF(ISERR(FIND(N$2, 'Hidden Type Chart'!$C7)), IF(ISERR(FIND(N$2, 'Hidden Type Chart'!$D7)), "", $P$26), $P$25), $P$24)</f>
        <v>2</v>
      </c>
      <c r="O8" s="4" t="str">
        <f>IF(ISERR(FIND(O$2, 'Hidden Type Chart'!$B7)), IF(ISERR(FIND(O$2, 'Hidden Type Chart'!$C7)), IF(ISERR(FIND(O$2, 'Hidden Type Chart'!$D7)), "", $P$26), $P$25), $P$24)</f>
        <v>2</v>
      </c>
      <c r="P8" s="4" t="str">
        <f>IF(ISERR(FIND(P$2, 'Hidden Type Chart'!$B7)), IF(ISERR(FIND(P$2, 'Hidden Type Chart'!$C7)), IF(ISERR(FIND(P$2, 'Hidden Type Chart'!$D7)), "", $P$26), $P$25), $P$24)</f>
        <v>1/2</v>
      </c>
      <c r="Q8" s="4" t="str">
        <f>IF(ISERR(FIND(Q$2, 'Hidden Type Chart'!$B7)), IF(ISERR(FIND(Q$2, 'Hidden Type Chart'!$C7)), IF(ISERR(FIND(Q$2, 'Hidden Type Chart'!$D7)), "", $P$26), $P$25), $P$24)</f>
        <v>1/2</v>
      </c>
      <c r="R8" s="4" t="str">
        <f>IF(ISERR(FIND(R$2, 'Hidden Type Chart'!$B7)), IF(ISERR(FIND(R$2, 'Hidden Type Chart'!$C7)), IF(ISERR(FIND(R$2, 'Hidden Type Chart'!$D7)), "", $P$26), $P$25), $P$24)</f>
        <v>2</v>
      </c>
      <c r="S8" s="4" t="str">
        <f>IF(ISERR(FIND(S$2, 'Hidden Type Chart'!$B7)), IF(ISERR(FIND(S$2, 'Hidden Type Chart'!$C7)), IF(ISERR(FIND(S$2, 'Hidden Type Chart'!$D7)), "", $P$26), $P$25), $P$24)</f>
        <v>2</v>
      </c>
      <c r="T8" s="4" t="str">
        <f>IF(ISERR(FIND(T$2, 'Hidden Type Chart'!$B7)), IF(ISERR(FIND(T$2, 'Hidden Type Chart'!$C7)), IF(ISERR(FIND(T$2, 'Hidden Type Chart'!$D7)), "", $P$26), $P$25), $P$24)</f>
        <v/>
      </c>
    </row>
    <row r="9" spans="1:20" x14ac:dyDescent="0.25">
      <c r="A9" s="4">
        <f t="shared" si="1"/>
        <v>4</v>
      </c>
      <c r="B9" s="3" t="str">
        <f>'Hidden Type Chart'!$A8</f>
        <v>Fire</v>
      </c>
      <c r="C9" s="4" t="str">
        <f>IF(ISERR(FIND(C$2, 'Hidden Type Chart'!$B8)), IF(ISERR(FIND(C$2, 'Hidden Type Chart'!$C8)), IF(ISERR(FIND(C$2, 'Hidden Type Chart'!$D8)), "", $P$26), $P$25), $P$24)</f>
        <v>2</v>
      </c>
      <c r="D9" s="4" t="str">
        <f>IF(ISERR(FIND(D$2, 'Hidden Type Chart'!$B8)), IF(ISERR(FIND(D$2, 'Hidden Type Chart'!$C8)), IF(ISERR(FIND(D$2, 'Hidden Type Chart'!$D8)), "", $P$26), $P$25), $P$24)</f>
        <v/>
      </c>
      <c r="E9" s="4" t="str">
        <f>IF(ISERR(FIND(E$2, 'Hidden Type Chart'!$B8)), IF(ISERR(FIND(E$2, 'Hidden Type Chart'!$C8)), IF(ISERR(FIND(E$2, 'Hidden Type Chart'!$D8)), "", $P$26), $P$25), $P$24)</f>
        <v>1/2</v>
      </c>
      <c r="F9" s="4" t="str">
        <f>IF(ISERR(FIND(F$2, 'Hidden Type Chart'!$B8)), IF(ISERR(FIND(F$2, 'Hidden Type Chart'!$C8)), IF(ISERR(FIND(F$2, 'Hidden Type Chart'!$D8)), "", $P$26), $P$25), $P$24)</f>
        <v/>
      </c>
      <c r="G9" s="4" t="str">
        <f>IF(ISERR(FIND(G$2, 'Hidden Type Chart'!$B8)), IF(ISERR(FIND(G$2, 'Hidden Type Chart'!$C8)), IF(ISERR(FIND(G$2, 'Hidden Type Chart'!$D8)), "", $P$26), $P$25), $P$24)</f>
        <v/>
      </c>
      <c r="H9" s="4" t="str">
        <f>IF(ISERR(FIND(H$2, 'Hidden Type Chart'!$B8)), IF(ISERR(FIND(H$2, 'Hidden Type Chart'!$C8)), IF(ISERR(FIND(H$2, 'Hidden Type Chart'!$D8)), "", $P$26), $P$25), $P$24)</f>
        <v/>
      </c>
      <c r="I9" s="4" t="str">
        <f>IF(ISERR(FIND(I$2, 'Hidden Type Chart'!$B8)), IF(ISERR(FIND(I$2, 'Hidden Type Chart'!$C8)), IF(ISERR(FIND(I$2, 'Hidden Type Chart'!$D8)), "", $P$26), $P$25), $P$24)</f>
        <v>1/2</v>
      </c>
      <c r="J9" s="4" t="str">
        <f>IF(ISERR(FIND(J$2, 'Hidden Type Chart'!$B8)), IF(ISERR(FIND(J$2, 'Hidden Type Chart'!$C8)), IF(ISERR(FIND(J$2, 'Hidden Type Chart'!$D8)), "", $P$26), $P$25), $P$24)</f>
        <v/>
      </c>
      <c r="K9" s="4" t="str">
        <f>IF(ISERR(FIND(K$2, 'Hidden Type Chart'!$B8)), IF(ISERR(FIND(K$2, 'Hidden Type Chart'!$C8)), IF(ISERR(FIND(K$2, 'Hidden Type Chart'!$D8)), "", $P$26), $P$25), $P$24)</f>
        <v/>
      </c>
      <c r="L9" s="4" t="str">
        <f>IF(ISERR(FIND(L$2, 'Hidden Type Chart'!$B8)), IF(ISERR(FIND(L$2, 'Hidden Type Chart'!$C8)), IF(ISERR(FIND(L$2, 'Hidden Type Chart'!$D8)), "", $P$26), $P$25), $P$24)</f>
        <v>2</v>
      </c>
      <c r="M9" s="4" t="str">
        <f>IF(ISERR(FIND(M$2, 'Hidden Type Chart'!$B8)), IF(ISERR(FIND(M$2, 'Hidden Type Chart'!$C8)), IF(ISERR(FIND(M$2, 'Hidden Type Chart'!$D8)), "", $P$26), $P$25), $P$24)</f>
        <v/>
      </c>
      <c r="N9" s="4" t="str">
        <f>IF(ISERR(FIND(N$2, 'Hidden Type Chart'!$B8)), IF(ISERR(FIND(N$2, 'Hidden Type Chart'!$C8)), IF(ISERR(FIND(N$2, 'Hidden Type Chart'!$D8)), "", $P$26), $P$25), $P$24)</f>
        <v>2</v>
      </c>
      <c r="O9" s="4" t="str">
        <f>IF(ISERR(FIND(O$2, 'Hidden Type Chart'!$B8)), IF(ISERR(FIND(O$2, 'Hidden Type Chart'!$C8)), IF(ISERR(FIND(O$2, 'Hidden Type Chart'!$D8)), "", $P$26), $P$25), $P$24)</f>
        <v/>
      </c>
      <c r="P9" s="4" t="str">
        <f>IF(ISERR(FIND(P$2, 'Hidden Type Chart'!$B8)), IF(ISERR(FIND(P$2, 'Hidden Type Chart'!$C8)), IF(ISERR(FIND(P$2, 'Hidden Type Chart'!$D8)), "", $P$26), $P$25), $P$24)</f>
        <v/>
      </c>
      <c r="Q9" s="4" t="str">
        <f>IF(ISERR(FIND(Q$2, 'Hidden Type Chart'!$B8)), IF(ISERR(FIND(Q$2, 'Hidden Type Chart'!$C8)), IF(ISERR(FIND(Q$2, 'Hidden Type Chart'!$D8)), "", $P$26), $P$25), $P$24)</f>
        <v/>
      </c>
      <c r="R9" s="4" t="str">
        <f>IF(ISERR(FIND(R$2, 'Hidden Type Chart'!$B8)), IF(ISERR(FIND(R$2, 'Hidden Type Chart'!$C8)), IF(ISERR(FIND(R$2, 'Hidden Type Chart'!$D8)), "", $P$26), $P$25), $P$24)</f>
        <v>1/2</v>
      </c>
      <c r="S9" s="4" t="str">
        <f>IF(ISERR(FIND(S$2, 'Hidden Type Chart'!$B8)), IF(ISERR(FIND(S$2, 'Hidden Type Chart'!$C8)), IF(ISERR(FIND(S$2, 'Hidden Type Chart'!$D8)), "", $P$26), $P$25), $P$24)</f>
        <v>2</v>
      </c>
      <c r="T9" s="4" t="str">
        <f>IF(ISERR(FIND(T$2, 'Hidden Type Chart'!$B8)), IF(ISERR(FIND(T$2, 'Hidden Type Chart'!$C8)), IF(ISERR(FIND(T$2, 'Hidden Type Chart'!$D8)), "", $P$26), $P$25), $P$24)</f>
        <v>1/2</v>
      </c>
    </row>
    <row r="10" spans="1:20" x14ac:dyDescent="0.25">
      <c r="A10" s="4">
        <f t="shared" si="1"/>
        <v>3</v>
      </c>
      <c r="B10" s="3" t="str">
        <f>'Hidden Type Chart'!$A9</f>
        <v>Flying</v>
      </c>
      <c r="C10" s="4" t="str">
        <f>IF(ISERR(FIND(C$2, 'Hidden Type Chart'!$B9)), IF(ISERR(FIND(C$2, 'Hidden Type Chart'!$C9)), IF(ISERR(FIND(C$2, 'Hidden Type Chart'!$D9)), "", $P$26), $P$25), $P$24)</f>
        <v>2</v>
      </c>
      <c r="D10" s="4" t="str">
        <f>IF(ISERR(FIND(D$2, 'Hidden Type Chart'!$B9)), IF(ISERR(FIND(D$2, 'Hidden Type Chart'!$C9)), IF(ISERR(FIND(D$2, 'Hidden Type Chart'!$D9)), "", $P$26), $P$25), $P$24)</f>
        <v/>
      </c>
      <c r="E10" s="4" t="str">
        <f>IF(ISERR(FIND(E$2, 'Hidden Type Chart'!$B9)), IF(ISERR(FIND(E$2, 'Hidden Type Chart'!$C9)), IF(ISERR(FIND(E$2, 'Hidden Type Chart'!$D9)), "", $P$26), $P$25), $P$24)</f>
        <v/>
      </c>
      <c r="F10" s="4" t="str">
        <f>IF(ISERR(FIND(F$2, 'Hidden Type Chart'!$B9)), IF(ISERR(FIND(F$2, 'Hidden Type Chart'!$C9)), IF(ISERR(FIND(F$2, 'Hidden Type Chart'!$D9)), "", $P$26), $P$25), $P$24)</f>
        <v>1/2</v>
      </c>
      <c r="G10" s="4" t="str">
        <f>IF(ISERR(FIND(G$2, 'Hidden Type Chart'!$B9)), IF(ISERR(FIND(G$2, 'Hidden Type Chart'!$C9)), IF(ISERR(FIND(G$2, 'Hidden Type Chart'!$D9)), "", $P$26), $P$25), $P$24)</f>
        <v/>
      </c>
      <c r="H10" s="4" t="str">
        <f>IF(ISERR(FIND(H$2, 'Hidden Type Chart'!$B9)), IF(ISERR(FIND(H$2, 'Hidden Type Chart'!$C9)), IF(ISERR(FIND(H$2, 'Hidden Type Chart'!$D9)), "", $P$26), $P$25), $P$24)</f>
        <v>2</v>
      </c>
      <c r="I10" s="4" t="str">
        <f>IF(ISERR(FIND(I$2, 'Hidden Type Chart'!$B9)), IF(ISERR(FIND(I$2, 'Hidden Type Chart'!$C9)), IF(ISERR(FIND(I$2, 'Hidden Type Chart'!$D9)), "", $P$26), $P$25), $P$24)</f>
        <v/>
      </c>
      <c r="J10" s="4" t="str">
        <f>IF(ISERR(FIND(J$2, 'Hidden Type Chart'!$B9)), IF(ISERR(FIND(J$2, 'Hidden Type Chart'!$C9)), IF(ISERR(FIND(J$2, 'Hidden Type Chart'!$D9)), "", $P$26), $P$25), $P$24)</f>
        <v/>
      </c>
      <c r="K10" s="4" t="str">
        <f>IF(ISERR(FIND(K$2, 'Hidden Type Chart'!$B9)), IF(ISERR(FIND(K$2, 'Hidden Type Chart'!$C9)), IF(ISERR(FIND(K$2, 'Hidden Type Chart'!$D9)), "", $P$26), $P$25), $P$24)</f>
        <v/>
      </c>
      <c r="L10" s="4" t="str">
        <f>IF(ISERR(FIND(L$2, 'Hidden Type Chart'!$B9)), IF(ISERR(FIND(L$2, 'Hidden Type Chart'!$C9)), IF(ISERR(FIND(L$2, 'Hidden Type Chart'!$D9)), "", $P$26), $P$25), $P$24)</f>
        <v>2</v>
      </c>
      <c r="M10" s="4" t="str">
        <f>IF(ISERR(FIND(M$2, 'Hidden Type Chart'!$B9)), IF(ISERR(FIND(M$2, 'Hidden Type Chart'!$C9)), IF(ISERR(FIND(M$2, 'Hidden Type Chart'!$D9)), "", $P$26), $P$25), $P$24)</f>
        <v/>
      </c>
      <c r="N10" s="4" t="str">
        <f>IF(ISERR(FIND(N$2, 'Hidden Type Chart'!$B9)), IF(ISERR(FIND(N$2, 'Hidden Type Chart'!$C9)), IF(ISERR(FIND(N$2, 'Hidden Type Chart'!$D9)), "", $P$26), $P$25), $P$24)</f>
        <v/>
      </c>
      <c r="O10" s="4" t="str">
        <f>IF(ISERR(FIND(O$2, 'Hidden Type Chart'!$B9)), IF(ISERR(FIND(O$2, 'Hidden Type Chart'!$C9)), IF(ISERR(FIND(O$2, 'Hidden Type Chart'!$D9)), "", $P$26), $P$25), $P$24)</f>
        <v/>
      </c>
      <c r="P10" s="4" t="str">
        <f>IF(ISERR(FIND(P$2, 'Hidden Type Chart'!$B9)), IF(ISERR(FIND(P$2, 'Hidden Type Chart'!$C9)), IF(ISERR(FIND(P$2, 'Hidden Type Chart'!$D9)), "", $P$26), $P$25), $P$24)</f>
        <v/>
      </c>
      <c r="Q10" s="4" t="str">
        <f>IF(ISERR(FIND(Q$2, 'Hidden Type Chart'!$B9)), IF(ISERR(FIND(Q$2, 'Hidden Type Chart'!$C9)), IF(ISERR(FIND(Q$2, 'Hidden Type Chart'!$D9)), "", $P$26), $P$25), $P$24)</f>
        <v/>
      </c>
      <c r="R10" s="4" t="str">
        <f>IF(ISERR(FIND(R$2, 'Hidden Type Chart'!$B9)), IF(ISERR(FIND(R$2, 'Hidden Type Chart'!$C9)), IF(ISERR(FIND(R$2, 'Hidden Type Chart'!$D9)), "", $P$26), $P$25), $P$24)</f>
        <v>1/2</v>
      </c>
      <c r="S10" s="4" t="str">
        <f>IF(ISERR(FIND(S$2, 'Hidden Type Chart'!$B9)), IF(ISERR(FIND(S$2, 'Hidden Type Chart'!$C9)), IF(ISERR(FIND(S$2, 'Hidden Type Chart'!$D9)), "", $P$26), $P$25), $P$24)</f>
        <v>1/2</v>
      </c>
      <c r="T10" s="4" t="str">
        <f>IF(ISERR(FIND(T$2, 'Hidden Type Chart'!$B9)), IF(ISERR(FIND(T$2, 'Hidden Type Chart'!$C9)), IF(ISERR(FIND(T$2, 'Hidden Type Chart'!$D9)), "", $P$26), $P$25), $P$24)</f>
        <v/>
      </c>
    </row>
    <row r="11" spans="1:20" x14ac:dyDescent="0.25">
      <c r="A11" s="4">
        <f t="shared" si="1"/>
        <v>0</v>
      </c>
      <c r="B11" s="3" t="str">
        <f>'Hidden Type Chart'!$A10</f>
        <v>Ghost</v>
      </c>
      <c r="C11" s="4" t="str">
        <f>IF(ISERR(FIND(C$2, 'Hidden Type Chart'!$B10)), IF(ISERR(FIND(C$2, 'Hidden Type Chart'!$C10)), IF(ISERR(FIND(C$2, 'Hidden Type Chart'!$D10)), "", $P$26), $P$25), $P$24)</f>
        <v/>
      </c>
      <c r="D11" s="4" t="str">
        <f>IF(ISERR(FIND(D$2, 'Hidden Type Chart'!$B10)), IF(ISERR(FIND(D$2, 'Hidden Type Chart'!$C10)), IF(ISERR(FIND(D$2, 'Hidden Type Chart'!$D10)), "", $P$26), $P$25), $P$24)</f>
        <v>1/2</v>
      </c>
      <c r="E11" s="4" t="str">
        <f>IF(ISERR(FIND(E$2, 'Hidden Type Chart'!$B10)), IF(ISERR(FIND(E$2, 'Hidden Type Chart'!$C10)), IF(ISERR(FIND(E$2, 'Hidden Type Chart'!$D10)), "", $P$26), $P$25), $P$24)</f>
        <v/>
      </c>
      <c r="F11" s="4" t="str">
        <f>IF(ISERR(FIND(F$2, 'Hidden Type Chart'!$B10)), IF(ISERR(FIND(F$2, 'Hidden Type Chart'!$C10)), IF(ISERR(FIND(F$2, 'Hidden Type Chart'!$D10)), "", $P$26), $P$25), $P$24)</f>
        <v/>
      </c>
      <c r="G11" s="4" t="str">
        <f>IF(ISERR(FIND(G$2, 'Hidden Type Chart'!$B10)), IF(ISERR(FIND(G$2, 'Hidden Type Chart'!$C10)), IF(ISERR(FIND(G$2, 'Hidden Type Chart'!$D10)), "", $P$26), $P$25), $P$24)</f>
        <v/>
      </c>
      <c r="H11" s="4" t="str">
        <f>IF(ISERR(FIND(H$2, 'Hidden Type Chart'!$B10)), IF(ISERR(FIND(H$2, 'Hidden Type Chart'!$C10)), IF(ISERR(FIND(H$2, 'Hidden Type Chart'!$D10)), "", $P$26), $P$25), $P$24)</f>
        <v/>
      </c>
      <c r="I11" s="4" t="str">
        <f>IF(ISERR(FIND(I$2, 'Hidden Type Chart'!$B10)), IF(ISERR(FIND(I$2, 'Hidden Type Chart'!$C10)), IF(ISERR(FIND(I$2, 'Hidden Type Chart'!$D10)), "", $P$26), $P$25), $P$24)</f>
        <v/>
      </c>
      <c r="J11" s="4" t="str">
        <f>IF(ISERR(FIND(J$2, 'Hidden Type Chart'!$B10)), IF(ISERR(FIND(J$2, 'Hidden Type Chart'!$C10)), IF(ISERR(FIND(J$2, 'Hidden Type Chart'!$D10)), "", $P$26), $P$25), $P$24)</f>
        <v/>
      </c>
      <c r="K11" s="4" t="str">
        <f>IF(ISERR(FIND(K$2, 'Hidden Type Chart'!$B10)), IF(ISERR(FIND(K$2, 'Hidden Type Chart'!$C10)), IF(ISERR(FIND(K$2, 'Hidden Type Chart'!$D10)), "", $P$26), $P$25), $P$24)</f>
        <v>2</v>
      </c>
      <c r="L11" s="4" t="str">
        <f>IF(ISERR(FIND(L$2, 'Hidden Type Chart'!$B10)), IF(ISERR(FIND(L$2, 'Hidden Type Chart'!$C10)), IF(ISERR(FIND(L$2, 'Hidden Type Chart'!$D10)), "", $P$26), $P$25), $P$24)</f>
        <v/>
      </c>
      <c r="M11" s="4" t="str">
        <f>IF(ISERR(FIND(M$2, 'Hidden Type Chart'!$B10)), IF(ISERR(FIND(M$2, 'Hidden Type Chart'!$C10)), IF(ISERR(FIND(M$2, 'Hidden Type Chart'!$D10)), "", $P$26), $P$25), $P$24)</f>
        <v/>
      </c>
      <c r="N11" s="4" t="str">
        <f>IF(ISERR(FIND(N$2, 'Hidden Type Chart'!$B10)), IF(ISERR(FIND(N$2, 'Hidden Type Chart'!$C10)), IF(ISERR(FIND(N$2, 'Hidden Type Chart'!$D10)), "", $P$26), $P$25), $P$24)</f>
        <v/>
      </c>
      <c r="O11" s="4" t="str">
        <f>IF(ISERR(FIND(O$2, 'Hidden Type Chart'!$B10)), IF(ISERR(FIND(O$2, 'Hidden Type Chart'!$C10)), IF(ISERR(FIND(O$2, 'Hidden Type Chart'!$D10)), "", $P$26), $P$25), $P$24)</f>
        <v>0</v>
      </c>
      <c r="P11" s="4" t="str">
        <f>IF(ISERR(FIND(P$2, 'Hidden Type Chart'!$B10)), IF(ISERR(FIND(P$2, 'Hidden Type Chart'!$C10)), IF(ISERR(FIND(P$2, 'Hidden Type Chart'!$D10)), "", $P$26), $P$25), $P$24)</f>
        <v/>
      </c>
      <c r="Q11" s="4" t="str">
        <f>IF(ISERR(FIND(Q$2, 'Hidden Type Chart'!$B10)), IF(ISERR(FIND(Q$2, 'Hidden Type Chart'!$C10)), IF(ISERR(FIND(Q$2, 'Hidden Type Chart'!$D10)), "", $P$26), $P$25), $P$24)</f>
        <v>2</v>
      </c>
      <c r="R11" s="4" t="str">
        <f>IF(ISERR(FIND(R$2, 'Hidden Type Chart'!$B10)), IF(ISERR(FIND(R$2, 'Hidden Type Chart'!$C10)), IF(ISERR(FIND(R$2, 'Hidden Type Chart'!$D10)), "", $P$26), $P$25), $P$24)</f>
        <v/>
      </c>
      <c r="S11" s="4" t="str">
        <f>IF(ISERR(FIND(S$2, 'Hidden Type Chart'!$B10)), IF(ISERR(FIND(S$2, 'Hidden Type Chart'!$C10)), IF(ISERR(FIND(S$2, 'Hidden Type Chart'!$D10)), "", $P$26), $P$25), $P$24)</f>
        <v>1/2</v>
      </c>
      <c r="T11" s="4" t="str">
        <f>IF(ISERR(FIND(T$2, 'Hidden Type Chart'!$B10)), IF(ISERR(FIND(T$2, 'Hidden Type Chart'!$C10)), IF(ISERR(FIND(T$2, 'Hidden Type Chart'!$D10)), "", $P$26), $P$25), $P$24)</f>
        <v/>
      </c>
    </row>
    <row r="12" spans="1:20" x14ac:dyDescent="0.25">
      <c r="A12" s="4">
        <f t="shared" si="1"/>
        <v>0</v>
      </c>
      <c r="B12" s="3" t="str">
        <f>'Hidden Type Chart'!$A11</f>
        <v>Grass</v>
      </c>
      <c r="C12" s="4" t="str">
        <f>IF(ISERR(FIND(C$2, 'Hidden Type Chart'!$B11)), IF(ISERR(FIND(C$2, 'Hidden Type Chart'!$C11)), IF(ISERR(FIND(C$2, 'Hidden Type Chart'!$D11)), "", $P$26), $P$25), $P$24)</f>
        <v>1/2</v>
      </c>
      <c r="D12" s="4" t="str">
        <f>IF(ISERR(FIND(D$2, 'Hidden Type Chart'!$B11)), IF(ISERR(FIND(D$2, 'Hidden Type Chart'!$C11)), IF(ISERR(FIND(D$2, 'Hidden Type Chart'!$D11)), "", $P$26), $P$25), $P$24)</f>
        <v/>
      </c>
      <c r="E12" s="4" t="str">
        <f>IF(ISERR(FIND(E$2, 'Hidden Type Chart'!$B11)), IF(ISERR(FIND(E$2, 'Hidden Type Chart'!$C11)), IF(ISERR(FIND(E$2, 'Hidden Type Chart'!$D11)), "", $P$26), $P$25), $P$24)</f>
        <v>1/2</v>
      </c>
      <c r="F12" s="4" t="str">
        <f>IF(ISERR(FIND(F$2, 'Hidden Type Chart'!$B11)), IF(ISERR(FIND(F$2, 'Hidden Type Chart'!$C11)), IF(ISERR(FIND(F$2, 'Hidden Type Chart'!$D11)), "", $P$26), $P$25), $P$24)</f>
        <v/>
      </c>
      <c r="G12" s="4" t="str">
        <f>IF(ISERR(FIND(G$2, 'Hidden Type Chart'!$B11)), IF(ISERR(FIND(G$2, 'Hidden Type Chart'!$C11)), IF(ISERR(FIND(G$2, 'Hidden Type Chart'!$D11)), "", $P$26), $P$25), $P$24)</f>
        <v/>
      </c>
      <c r="H12" s="4" t="str">
        <f>IF(ISERR(FIND(H$2, 'Hidden Type Chart'!$B11)), IF(ISERR(FIND(H$2, 'Hidden Type Chart'!$C11)), IF(ISERR(FIND(H$2, 'Hidden Type Chart'!$D11)), "", $P$26), $P$25), $P$24)</f>
        <v/>
      </c>
      <c r="I12" s="4" t="str">
        <f>IF(ISERR(FIND(I$2, 'Hidden Type Chart'!$B11)), IF(ISERR(FIND(I$2, 'Hidden Type Chart'!$C11)), IF(ISERR(FIND(I$2, 'Hidden Type Chart'!$D11)), "", $P$26), $P$25), $P$24)</f>
        <v>1/2</v>
      </c>
      <c r="J12" s="4" t="str">
        <f>IF(ISERR(FIND(J$2, 'Hidden Type Chart'!$B11)), IF(ISERR(FIND(J$2, 'Hidden Type Chart'!$C11)), IF(ISERR(FIND(J$2, 'Hidden Type Chart'!$D11)), "", $P$26), $P$25), $P$24)</f>
        <v>1/2</v>
      </c>
      <c r="K12" s="4" t="str">
        <f>IF(ISERR(FIND(K$2, 'Hidden Type Chart'!$B11)), IF(ISERR(FIND(K$2, 'Hidden Type Chart'!$C11)), IF(ISERR(FIND(K$2, 'Hidden Type Chart'!$D11)), "", $P$26), $P$25), $P$24)</f>
        <v/>
      </c>
      <c r="L12" s="4" t="str">
        <f>IF(ISERR(FIND(L$2, 'Hidden Type Chart'!$B11)), IF(ISERR(FIND(L$2, 'Hidden Type Chart'!$C11)), IF(ISERR(FIND(L$2, 'Hidden Type Chart'!$D11)), "", $P$26), $P$25), $P$24)</f>
        <v>1/2</v>
      </c>
      <c r="M12" s="4" t="str">
        <f>IF(ISERR(FIND(M$2, 'Hidden Type Chart'!$B11)), IF(ISERR(FIND(M$2, 'Hidden Type Chart'!$C11)), IF(ISERR(FIND(M$2, 'Hidden Type Chart'!$D11)), "", $P$26), $P$25), $P$24)</f>
        <v>2</v>
      </c>
      <c r="N12" s="4" t="str">
        <f>IF(ISERR(FIND(N$2, 'Hidden Type Chart'!$B11)), IF(ISERR(FIND(N$2, 'Hidden Type Chart'!$C11)), IF(ISERR(FIND(N$2, 'Hidden Type Chart'!$D11)), "", $P$26), $P$25), $P$24)</f>
        <v/>
      </c>
      <c r="O12" s="4" t="str">
        <f>IF(ISERR(FIND(O$2, 'Hidden Type Chart'!$B11)), IF(ISERR(FIND(O$2, 'Hidden Type Chart'!$C11)), IF(ISERR(FIND(O$2, 'Hidden Type Chart'!$D11)), "", $P$26), $P$25), $P$24)</f>
        <v/>
      </c>
      <c r="P12" s="4" t="str">
        <f>IF(ISERR(FIND(P$2, 'Hidden Type Chart'!$B11)), IF(ISERR(FIND(P$2, 'Hidden Type Chart'!$C11)), IF(ISERR(FIND(P$2, 'Hidden Type Chart'!$D11)), "", $P$26), $P$25), $P$24)</f>
        <v>1/2</v>
      </c>
      <c r="Q12" s="4" t="str">
        <f>IF(ISERR(FIND(Q$2, 'Hidden Type Chart'!$B11)), IF(ISERR(FIND(Q$2, 'Hidden Type Chart'!$C11)), IF(ISERR(FIND(Q$2, 'Hidden Type Chart'!$D11)), "", $P$26), $P$25), $P$24)</f>
        <v/>
      </c>
      <c r="R12" s="4" t="str">
        <f>IF(ISERR(FIND(R$2, 'Hidden Type Chart'!$B11)), IF(ISERR(FIND(R$2, 'Hidden Type Chart'!$C11)), IF(ISERR(FIND(R$2, 'Hidden Type Chart'!$D11)), "", $P$26), $P$25), $P$24)</f>
        <v>2</v>
      </c>
      <c r="S12" s="4" t="str">
        <f>IF(ISERR(FIND(S$2, 'Hidden Type Chart'!$B11)), IF(ISERR(FIND(S$2, 'Hidden Type Chart'!$C11)), IF(ISERR(FIND(S$2, 'Hidden Type Chart'!$D11)), "", $P$26), $P$25), $P$24)</f>
        <v/>
      </c>
      <c r="T12" s="4" t="str">
        <f>IF(ISERR(FIND(T$2, 'Hidden Type Chart'!$B11)), IF(ISERR(FIND(T$2, 'Hidden Type Chart'!$C11)), IF(ISERR(FIND(T$2, 'Hidden Type Chart'!$D11)), "", $P$26), $P$25), $P$24)</f>
        <v>2</v>
      </c>
    </row>
    <row r="13" spans="1:20" x14ac:dyDescent="0.25">
      <c r="A13" s="4">
        <f t="shared" si="1"/>
        <v>6</v>
      </c>
      <c r="B13" s="3" t="str">
        <f>'Hidden Type Chart'!$A12</f>
        <v>Ground</v>
      </c>
      <c r="C13" s="4" t="str">
        <f>IF(ISERR(FIND(C$2, 'Hidden Type Chart'!$B12)), IF(ISERR(FIND(C$2, 'Hidden Type Chart'!$C12)), IF(ISERR(FIND(C$2, 'Hidden Type Chart'!$D12)), "", $P$26), $P$25), $P$24)</f>
        <v>1/2</v>
      </c>
      <c r="D13" s="4" t="str">
        <f>IF(ISERR(FIND(D$2, 'Hidden Type Chart'!$B12)), IF(ISERR(FIND(D$2, 'Hidden Type Chart'!$C12)), IF(ISERR(FIND(D$2, 'Hidden Type Chart'!$D12)), "", $P$26), $P$25), $P$24)</f>
        <v/>
      </c>
      <c r="E13" s="4" t="str">
        <f>IF(ISERR(FIND(E$2, 'Hidden Type Chart'!$B12)), IF(ISERR(FIND(E$2, 'Hidden Type Chart'!$C12)), IF(ISERR(FIND(E$2, 'Hidden Type Chart'!$D12)), "", $P$26), $P$25), $P$24)</f>
        <v/>
      </c>
      <c r="F13" s="4" t="str">
        <f>IF(ISERR(FIND(F$2, 'Hidden Type Chart'!$B12)), IF(ISERR(FIND(F$2, 'Hidden Type Chart'!$C12)), IF(ISERR(FIND(F$2, 'Hidden Type Chart'!$D12)), "", $P$26), $P$25), $P$24)</f>
        <v>2</v>
      </c>
      <c r="G13" s="4" t="str">
        <f>IF(ISERR(FIND(G$2, 'Hidden Type Chart'!$B12)), IF(ISERR(FIND(G$2, 'Hidden Type Chart'!$C12)), IF(ISERR(FIND(G$2, 'Hidden Type Chart'!$D12)), "", $P$26), $P$25), $P$24)</f>
        <v/>
      </c>
      <c r="H13" s="4" t="str">
        <f>IF(ISERR(FIND(H$2, 'Hidden Type Chart'!$B12)), IF(ISERR(FIND(H$2, 'Hidden Type Chart'!$C12)), IF(ISERR(FIND(H$2, 'Hidden Type Chart'!$D12)), "", $P$26), $P$25), $P$24)</f>
        <v/>
      </c>
      <c r="I13" s="4" t="str">
        <f>IF(ISERR(FIND(I$2, 'Hidden Type Chart'!$B12)), IF(ISERR(FIND(I$2, 'Hidden Type Chart'!$C12)), IF(ISERR(FIND(I$2, 'Hidden Type Chart'!$D12)), "", $P$26), $P$25), $P$24)</f>
        <v>2</v>
      </c>
      <c r="J13" s="4" t="str">
        <f>IF(ISERR(FIND(J$2, 'Hidden Type Chart'!$B12)), IF(ISERR(FIND(J$2, 'Hidden Type Chart'!$C12)), IF(ISERR(FIND(J$2, 'Hidden Type Chart'!$D12)), "", $P$26), $P$25), $P$24)</f>
        <v>0</v>
      </c>
      <c r="K13" s="4" t="str">
        <f>IF(ISERR(FIND(K$2, 'Hidden Type Chart'!$B12)), IF(ISERR(FIND(K$2, 'Hidden Type Chart'!$C12)), IF(ISERR(FIND(K$2, 'Hidden Type Chart'!$D12)), "", $P$26), $P$25), $P$24)</f>
        <v/>
      </c>
      <c r="L13" s="4" t="str">
        <f>IF(ISERR(FIND(L$2, 'Hidden Type Chart'!$B12)), IF(ISERR(FIND(L$2, 'Hidden Type Chart'!$C12)), IF(ISERR(FIND(L$2, 'Hidden Type Chart'!$D12)), "", $P$26), $P$25), $P$24)</f>
        <v>1/2</v>
      </c>
      <c r="M13" s="4" t="str">
        <f>IF(ISERR(FIND(M$2, 'Hidden Type Chart'!$B12)), IF(ISERR(FIND(M$2, 'Hidden Type Chart'!$C12)), IF(ISERR(FIND(M$2, 'Hidden Type Chart'!$D12)), "", $P$26), $P$25), $P$24)</f>
        <v/>
      </c>
      <c r="N13" s="4" t="str">
        <f>IF(ISERR(FIND(N$2, 'Hidden Type Chart'!$B12)), IF(ISERR(FIND(N$2, 'Hidden Type Chart'!$C12)), IF(ISERR(FIND(N$2, 'Hidden Type Chart'!$D12)), "", $P$26), $P$25), $P$24)</f>
        <v/>
      </c>
      <c r="O13" s="4" t="str">
        <f>IF(ISERR(FIND(O$2, 'Hidden Type Chart'!$B12)), IF(ISERR(FIND(O$2, 'Hidden Type Chart'!$C12)), IF(ISERR(FIND(O$2, 'Hidden Type Chart'!$D12)), "", $P$26), $P$25), $P$24)</f>
        <v/>
      </c>
      <c r="P13" s="4" t="str">
        <f>IF(ISERR(FIND(P$2, 'Hidden Type Chart'!$B12)), IF(ISERR(FIND(P$2, 'Hidden Type Chart'!$C12)), IF(ISERR(FIND(P$2, 'Hidden Type Chart'!$D12)), "", $P$26), $P$25), $P$24)</f>
        <v>2</v>
      </c>
      <c r="Q13" s="4" t="str">
        <f>IF(ISERR(FIND(Q$2, 'Hidden Type Chart'!$B12)), IF(ISERR(FIND(Q$2, 'Hidden Type Chart'!$C12)), IF(ISERR(FIND(Q$2, 'Hidden Type Chart'!$D12)), "", $P$26), $P$25), $P$24)</f>
        <v/>
      </c>
      <c r="R13" s="4" t="str">
        <f>IF(ISERR(FIND(R$2, 'Hidden Type Chart'!$B12)), IF(ISERR(FIND(R$2, 'Hidden Type Chart'!$C12)), IF(ISERR(FIND(R$2, 'Hidden Type Chart'!$D12)), "", $P$26), $P$25), $P$24)</f>
        <v>2</v>
      </c>
      <c r="S13" s="4" t="str">
        <f>IF(ISERR(FIND(S$2, 'Hidden Type Chart'!$B12)), IF(ISERR(FIND(S$2, 'Hidden Type Chart'!$C12)), IF(ISERR(FIND(S$2, 'Hidden Type Chart'!$D12)), "", $P$26), $P$25), $P$24)</f>
        <v>2</v>
      </c>
      <c r="T13" s="4" t="str">
        <f>IF(ISERR(FIND(T$2, 'Hidden Type Chart'!$B12)), IF(ISERR(FIND(T$2, 'Hidden Type Chart'!$C12)), IF(ISERR(FIND(T$2, 'Hidden Type Chart'!$D12)), "", $P$26), $P$25), $P$24)</f>
        <v/>
      </c>
    </row>
    <row r="14" spans="1:20" x14ac:dyDescent="0.25">
      <c r="A14" s="4">
        <f t="shared" si="1"/>
        <v>4</v>
      </c>
      <c r="B14" s="3" t="str">
        <f>'Hidden Type Chart'!$A13</f>
        <v>Ice</v>
      </c>
      <c r="C14" s="4" t="str">
        <f>IF(ISERR(FIND(C$2, 'Hidden Type Chart'!$B13)), IF(ISERR(FIND(C$2, 'Hidden Type Chart'!$C13)), IF(ISERR(FIND(C$2, 'Hidden Type Chart'!$D13)), "", $P$26), $P$25), $P$24)</f>
        <v/>
      </c>
      <c r="D14" s="4" t="str">
        <f>IF(ISERR(FIND(D$2, 'Hidden Type Chart'!$B13)), IF(ISERR(FIND(D$2, 'Hidden Type Chart'!$C13)), IF(ISERR(FIND(D$2, 'Hidden Type Chart'!$D13)), "", $P$26), $P$25), $P$24)</f>
        <v/>
      </c>
      <c r="E14" s="4" t="str">
        <f>IF(ISERR(FIND(E$2, 'Hidden Type Chart'!$B13)), IF(ISERR(FIND(E$2, 'Hidden Type Chart'!$C13)), IF(ISERR(FIND(E$2, 'Hidden Type Chart'!$D13)), "", $P$26), $P$25), $P$24)</f>
        <v>2</v>
      </c>
      <c r="F14" s="4" t="str">
        <f>IF(ISERR(FIND(F$2, 'Hidden Type Chart'!$B13)), IF(ISERR(FIND(F$2, 'Hidden Type Chart'!$C13)), IF(ISERR(FIND(F$2, 'Hidden Type Chart'!$D13)), "", $P$26), $P$25), $P$24)</f>
        <v/>
      </c>
      <c r="G14" s="4" t="str">
        <f>IF(ISERR(FIND(G$2, 'Hidden Type Chart'!$B13)), IF(ISERR(FIND(G$2, 'Hidden Type Chart'!$C13)), IF(ISERR(FIND(G$2, 'Hidden Type Chart'!$D13)), "", $P$26), $P$25), $P$24)</f>
        <v/>
      </c>
      <c r="H14" s="4" t="str">
        <f>IF(ISERR(FIND(H$2, 'Hidden Type Chart'!$B13)), IF(ISERR(FIND(H$2, 'Hidden Type Chart'!$C13)), IF(ISERR(FIND(H$2, 'Hidden Type Chart'!$D13)), "", $P$26), $P$25), $P$24)</f>
        <v/>
      </c>
      <c r="I14" s="4" t="str">
        <f>IF(ISERR(FIND(I$2, 'Hidden Type Chart'!$B13)), IF(ISERR(FIND(I$2, 'Hidden Type Chart'!$C13)), IF(ISERR(FIND(I$2, 'Hidden Type Chart'!$D13)), "", $P$26), $P$25), $P$24)</f>
        <v>1/2</v>
      </c>
      <c r="J14" s="4" t="str">
        <f>IF(ISERR(FIND(J$2, 'Hidden Type Chart'!$B13)), IF(ISERR(FIND(J$2, 'Hidden Type Chart'!$C13)), IF(ISERR(FIND(J$2, 'Hidden Type Chart'!$D13)), "", $P$26), $P$25), $P$24)</f>
        <v>2</v>
      </c>
      <c r="K14" s="4" t="str">
        <f>IF(ISERR(FIND(K$2, 'Hidden Type Chart'!$B13)), IF(ISERR(FIND(K$2, 'Hidden Type Chart'!$C13)), IF(ISERR(FIND(K$2, 'Hidden Type Chart'!$D13)), "", $P$26), $P$25), $P$24)</f>
        <v/>
      </c>
      <c r="L14" s="4" t="str">
        <f>IF(ISERR(FIND(L$2, 'Hidden Type Chart'!$B13)), IF(ISERR(FIND(L$2, 'Hidden Type Chart'!$C13)), IF(ISERR(FIND(L$2, 'Hidden Type Chart'!$D13)), "", $P$26), $P$25), $P$24)</f>
        <v>2</v>
      </c>
      <c r="M14" s="4" t="str">
        <f>IF(ISERR(FIND(M$2, 'Hidden Type Chart'!$B13)), IF(ISERR(FIND(M$2, 'Hidden Type Chart'!$C13)), IF(ISERR(FIND(M$2, 'Hidden Type Chart'!$D13)), "", $P$26), $P$25), $P$24)</f>
        <v>2</v>
      </c>
      <c r="N14" s="4" t="str">
        <f>IF(ISERR(FIND(N$2, 'Hidden Type Chart'!$B13)), IF(ISERR(FIND(N$2, 'Hidden Type Chart'!$C13)), IF(ISERR(FIND(N$2, 'Hidden Type Chart'!$D13)), "", $P$26), $P$25), $P$24)</f>
        <v>1/2</v>
      </c>
      <c r="O14" s="4" t="str">
        <f>IF(ISERR(FIND(O$2, 'Hidden Type Chart'!$B13)), IF(ISERR(FIND(O$2, 'Hidden Type Chart'!$C13)), IF(ISERR(FIND(O$2, 'Hidden Type Chart'!$D13)), "", $P$26), $P$25), $P$24)</f>
        <v/>
      </c>
      <c r="P14" s="4" t="str">
        <f>IF(ISERR(FIND(P$2, 'Hidden Type Chart'!$B13)), IF(ISERR(FIND(P$2, 'Hidden Type Chart'!$C13)), IF(ISERR(FIND(P$2, 'Hidden Type Chart'!$D13)), "", $P$26), $P$25), $P$24)</f>
        <v/>
      </c>
      <c r="Q14" s="4" t="str">
        <f>IF(ISERR(FIND(Q$2, 'Hidden Type Chart'!$B13)), IF(ISERR(FIND(Q$2, 'Hidden Type Chart'!$C13)), IF(ISERR(FIND(Q$2, 'Hidden Type Chart'!$D13)), "", $P$26), $P$25), $P$24)</f>
        <v/>
      </c>
      <c r="R14" s="4" t="str">
        <f>IF(ISERR(FIND(R$2, 'Hidden Type Chart'!$B13)), IF(ISERR(FIND(R$2, 'Hidden Type Chart'!$C13)), IF(ISERR(FIND(R$2, 'Hidden Type Chart'!$D13)), "", $P$26), $P$25), $P$24)</f>
        <v/>
      </c>
      <c r="S14" s="4" t="str">
        <f>IF(ISERR(FIND(S$2, 'Hidden Type Chart'!$B13)), IF(ISERR(FIND(S$2, 'Hidden Type Chart'!$C13)), IF(ISERR(FIND(S$2, 'Hidden Type Chart'!$D13)), "", $P$26), $P$25), $P$24)</f>
        <v>1/2</v>
      </c>
      <c r="T14" s="4" t="str">
        <f>IF(ISERR(FIND(T$2, 'Hidden Type Chart'!$B13)), IF(ISERR(FIND(T$2, 'Hidden Type Chart'!$C13)), IF(ISERR(FIND(T$2, 'Hidden Type Chart'!$D13)), "", $P$26), $P$25), $P$24)</f>
        <v>1/2</v>
      </c>
    </row>
    <row r="15" spans="1:20" x14ac:dyDescent="0.25">
      <c r="A15" s="4">
        <f>(COUNTIF($C15:$T15, "2")*$E$24 + COUNTIF($C15:$T15, "1/2")*$E$25 + COUNTIF($C15:$T15, "0")*$E$26)</f>
        <v>-4</v>
      </c>
      <c r="B15" s="3" t="str">
        <f>'Hidden Type Chart'!$A14</f>
        <v>Normal</v>
      </c>
      <c r="C15" s="4" t="str">
        <f>IF(ISERR(FIND(C$2, 'Hidden Type Chart'!$B14)), IF(ISERR(FIND(C$2, 'Hidden Type Chart'!$C14)), IF(ISERR(FIND(C$2, 'Hidden Type Chart'!$D14)), "", $P$26), $P$25), $P$24)</f>
        <v/>
      </c>
      <c r="D15" s="4" t="str">
        <f>IF(ISERR(FIND(D$2, 'Hidden Type Chart'!$B14)), IF(ISERR(FIND(D$2, 'Hidden Type Chart'!$C14)), IF(ISERR(FIND(D$2, 'Hidden Type Chart'!$D14)), "", $P$26), $P$25), $P$24)</f>
        <v/>
      </c>
      <c r="E15" s="4" t="str">
        <f>IF(ISERR(FIND(E$2, 'Hidden Type Chart'!$B14)), IF(ISERR(FIND(E$2, 'Hidden Type Chart'!$C14)), IF(ISERR(FIND(E$2, 'Hidden Type Chart'!$D14)), "", $P$26), $P$25), $P$24)</f>
        <v/>
      </c>
      <c r="F15" s="4" t="str">
        <f>IF(ISERR(FIND(F$2, 'Hidden Type Chart'!$B14)), IF(ISERR(FIND(F$2, 'Hidden Type Chart'!$C14)), IF(ISERR(FIND(F$2, 'Hidden Type Chart'!$D14)), "", $P$26), $P$25), $P$24)</f>
        <v/>
      </c>
      <c r="G15" s="4" t="str">
        <f>IF(ISERR(FIND(G$2, 'Hidden Type Chart'!$B14)), IF(ISERR(FIND(G$2, 'Hidden Type Chart'!$C14)), IF(ISERR(FIND(G$2, 'Hidden Type Chart'!$D14)), "", $P$26), $P$25), $P$24)</f>
        <v/>
      </c>
      <c r="H15" s="4" t="str">
        <f>IF(ISERR(FIND(H$2, 'Hidden Type Chart'!$B14)), IF(ISERR(FIND(H$2, 'Hidden Type Chart'!$C14)), IF(ISERR(FIND(H$2, 'Hidden Type Chart'!$D14)), "", $P$26), $P$25), $P$24)</f>
        <v/>
      </c>
      <c r="I15" s="4" t="str">
        <f>IF(ISERR(FIND(I$2, 'Hidden Type Chart'!$B14)), IF(ISERR(FIND(I$2, 'Hidden Type Chart'!$C14)), IF(ISERR(FIND(I$2, 'Hidden Type Chart'!$D14)), "", $P$26), $P$25), $P$24)</f>
        <v/>
      </c>
      <c r="J15" s="4" t="str">
        <f>IF(ISERR(FIND(J$2, 'Hidden Type Chart'!$B14)), IF(ISERR(FIND(J$2, 'Hidden Type Chart'!$C14)), IF(ISERR(FIND(J$2, 'Hidden Type Chart'!$D14)), "", $P$26), $P$25), $P$24)</f>
        <v/>
      </c>
      <c r="K15" s="4" t="str">
        <f>IF(ISERR(FIND(K$2, 'Hidden Type Chart'!$B14)), IF(ISERR(FIND(K$2, 'Hidden Type Chart'!$C14)), IF(ISERR(FIND(K$2, 'Hidden Type Chart'!$D14)), "", $P$26), $P$25), $P$24)</f>
        <v>0</v>
      </c>
      <c r="L15" s="4" t="str">
        <f>IF(ISERR(FIND(L$2, 'Hidden Type Chart'!$B14)), IF(ISERR(FIND(L$2, 'Hidden Type Chart'!$C14)), IF(ISERR(FIND(L$2, 'Hidden Type Chart'!$D14)), "", $P$26), $P$25), $P$24)</f>
        <v/>
      </c>
      <c r="M15" s="4" t="str">
        <f>IF(ISERR(FIND(M$2, 'Hidden Type Chart'!$B14)), IF(ISERR(FIND(M$2, 'Hidden Type Chart'!$C14)), IF(ISERR(FIND(M$2, 'Hidden Type Chart'!$D14)), "", $P$26), $P$25), $P$24)</f>
        <v/>
      </c>
      <c r="N15" s="4" t="str">
        <f>IF(ISERR(FIND(N$2, 'Hidden Type Chart'!$B14)), IF(ISERR(FIND(N$2, 'Hidden Type Chart'!$C14)), IF(ISERR(FIND(N$2, 'Hidden Type Chart'!$D14)), "", $P$26), $P$25), $P$24)</f>
        <v/>
      </c>
      <c r="O15" s="4" t="str">
        <f>IF(ISERR(FIND(O$2, 'Hidden Type Chart'!$B14)), IF(ISERR(FIND(O$2, 'Hidden Type Chart'!$C14)), IF(ISERR(FIND(O$2, 'Hidden Type Chart'!$D14)), "", $P$26), $P$25), $P$24)</f>
        <v/>
      </c>
      <c r="P15" s="4" t="str">
        <f>IF(ISERR(FIND(P$2, 'Hidden Type Chart'!$B14)), IF(ISERR(FIND(P$2, 'Hidden Type Chart'!$C14)), IF(ISERR(FIND(P$2, 'Hidden Type Chart'!$D14)), "", $P$26), $P$25), $P$24)</f>
        <v/>
      </c>
      <c r="Q15" s="4" t="str">
        <f>IF(ISERR(FIND(Q$2, 'Hidden Type Chart'!$B14)), IF(ISERR(FIND(Q$2, 'Hidden Type Chart'!$C14)), IF(ISERR(FIND(Q$2, 'Hidden Type Chart'!$D14)), "", $P$26), $P$25), $P$24)</f>
        <v/>
      </c>
      <c r="R15" s="4" t="str">
        <f>IF(ISERR(FIND(R$2, 'Hidden Type Chart'!$B14)), IF(ISERR(FIND(R$2, 'Hidden Type Chart'!$C14)), IF(ISERR(FIND(R$2, 'Hidden Type Chart'!$D14)), "", $P$26), $P$25), $P$24)</f>
        <v>1/2</v>
      </c>
      <c r="S15" s="4" t="str">
        <f>IF(ISERR(FIND(S$2, 'Hidden Type Chart'!$B14)), IF(ISERR(FIND(S$2, 'Hidden Type Chart'!$C14)), IF(ISERR(FIND(S$2, 'Hidden Type Chart'!$D14)), "", $P$26), $P$25), $P$24)</f>
        <v>1/2</v>
      </c>
      <c r="T15" s="4" t="str">
        <f>IF(ISERR(FIND(T$2, 'Hidden Type Chart'!$B14)), IF(ISERR(FIND(T$2, 'Hidden Type Chart'!$C14)), IF(ISERR(FIND(T$2, 'Hidden Type Chart'!$D14)), "", $P$26), $P$25), $P$24)</f>
        <v/>
      </c>
    </row>
    <row r="16" spans="1:20" x14ac:dyDescent="0.25">
      <c r="A16" s="4">
        <f t="shared" si="1"/>
        <v>-2</v>
      </c>
      <c r="B16" s="3" t="str">
        <f>'Hidden Type Chart'!$A15</f>
        <v>Poison</v>
      </c>
      <c r="C16" s="4" t="str">
        <f>IF(ISERR(FIND(C$2, 'Hidden Type Chart'!$B15)), IF(ISERR(FIND(C$2, 'Hidden Type Chart'!$C15)), IF(ISERR(FIND(C$2, 'Hidden Type Chart'!$D15)), "", $P$26), $P$25), $P$24)</f>
        <v/>
      </c>
      <c r="D16" s="4" t="str">
        <f>IF(ISERR(FIND(D$2, 'Hidden Type Chart'!$B15)), IF(ISERR(FIND(D$2, 'Hidden Type Chart'!$C15)), IF(ISERR(FIND(D$2, 'Hidden Type Chart'!$D15)), "", $P$26), $P$25), $P$24)</f>
        <v/>
      </c>
      <c r="E16" s="4" t="str">
        <f>IF(ISERR(FIND(E$2, 'Hidden Type Chart'!$B15)), IF(ISERR(FIND(E$2, 'Hidden Type Chart'!$C15)), IF(ISERR(FIND(E$2, 'Hidden Type Chart'!$D15)), "", $P$26), $P$25), $P$24)</f>
        <v/>
      </c>
      <c r="F16" s="4" t="str">
        <f>IF(ISERR(FIND(F$2, 'Hidden Type Chart'!$B15)), IF(ISERR(FIND(F$2, 'Hidden Type Chart'!$C15)), IF(ISERR(FIND(F$2, 'Hidden Type Chart'!$D15)), "", $P$26), $P$25), $P$24)</f>
        <v/>
      </c>
      <c r="G16" s="4" t="str">
        <f>IF(ISERR(FIND(G$2, 'Hidden Type Chart'!$B15)), IF(ISERR(FIND(G$2, 'Hidden Type Chart'!$C15)), IF(ISERR(FIND(G$2, 'Hidden Type Chart'!$D15)), "", $P$26), $P$25), $P$24)</f>
        <v>2</v>
      </c>
      <c r="H16" s="4" t="str">
        <f>IF(ISERR(FIND(H$2, 'Hidden Type Chart'!$B15)), IF(ISERR(FIND(H$2, 'Hidden Type Chart'!$C15)), IF(ISERR(FIND(H$2, 'Hidden Type Chart'!$D15)), "", $P$26), $P$25), $P$24)</f>
        <v/>
      </c>
      <c r="I16" s="4" t="str">
        <f>IF(ISERR(FIND(I$2, 'Hidden Type Chart'!$B15)), IF(ISERR(FIND(I$2, 'Hidden Type Chart'!$C15)), IF(ISERR(FIND(I$2, 'Hidden Type Chart'!$D15)), "", $P$26), $P$25), $P$24)</f>
        <v/>
      </c>
      <c r="J16" s="4" t="str">
        <f>IF(ISERR(FIND(J$2, 'Hidden Type Chart'!$B15)), IF(ISERR(FIND(J$2, 'Hidden Type Chart'!$C15)), IF(ISERR(FIND(J$2, 'Hidden Type Chart'!$D15)), "", $P$26), $P$25), $P$24)</f>
        <v/>
      </c>
      <c r="K16" s="4" t="str">
        <f>IF(ISERR(FIND(K$2, 'Hidden Type Chart'!$B15)), IF(ISERR(FIND(K$2, 'Hidden Type Chart'!$C15)), IF(ISERR(FIND(K$2, 'Hidden Type Chart'!$D15)), "", $P$26), $P$25), $P$24)</f>
        <v>1/2</v>
      </c>
      <c r="L16" s="4" t="str">
        <f>IF(ISERR(FIND(L$2, 'Hidden Type Chart'!$B15)), IF(ISERR(FIND(L$2, 'Hidden Type Chart'!$C15)), IF(ISERR(FIND(L$2, 'Hidden Type Chart'!$D15)), "", $P$26), $P$25), $P$24)</f>
        <v>2</v>
      </c>
      <c r="M16" s="4" t="str">
        <f>IF(ISERR(FIND(M$2, 'Hidden Type Chart'!$B15)), IF(ISERR(FIND(M$2, 'Hidden Type Chart'!$C15)), IF(ISERR(FIND(M$2, 'Hidden Type Chart'!$D15)), "", $P$26), $P$25), $P$24)</f>
        <v>1/2</v>
      </c>
      <c r="N16" s="4" t="str">
        <f>IF(ISERR(FIND(N$2, 'Hidden Type Chart'!$B15)), IF(ISERR(FIND(N$2, 'Hidden Type Chart'!$C15)), IF(ISERR(FIND(N$2, 'Hidden Type Chart'!$D15)), "", $P$26), $P$25), $P$24)</f>
        <v/>
      </c>
      <c r="O16" s="4" t="str">
        <f>IF(ISERR(FIND(O$2, 'Hidden Type Chart'!$B15)), IF(ISERR(FIND(O$2, 'Hidden Type Chart'!$C15)), IF(ISERR(FIND(O$2, 'Hidden Type Chart'!$D15)), "", $P$26), $P$25), $P$24)</f>
        <v/>
      </c>
      <c r="P16" s="4" t="str">
        <f>IF(ISERR(FIND(P$2, 'Hidden Type Chart'!$B15)), IF(ISERR(FIND(P$2, 'Hidden Type Chart'!$C15)), IF(ISERR(FIND(P$2, 'Hidden Type Chart'!$D15)), "", $P$26), $P$25), $P$24)</f>
        <v>1/2</v>
      </c>
      <c r="Q16" s="4" t="str">
        <f>IF(ISERR(FIND(Q$2, 'Hidden Type Chart'!$B15)), IF(ISERR(FIND(Q$2, 'Hidden Type Chart'!$C15)), IF(ISERR(FIND(Q$2, 'Hidden Type Chart'!$D15)), "", $P$26), $P$25), $P$24)</f>
        <v/>
      </c>
      <c r="R16" s="4" t="str">
        <f>IF(ISERR(FIND(R$2, 'Hidden Type Chart'!$B15)), IF(ISERR(FIND(R$2, 'Hidden Type Chart'!$C15)), IF(ISERR(FIND(R$2, 'Hidden Type Chart'!$D15)), "", $P$26), $P$25), $P$24)</f>
        <v>1/2</v>
      </c>
      <c r="S16" s="4" t="str">
        <f>IF(ISERR(FIND(S$2, 'Hidden Type Chart'!$B15)), IF(ISERR(FIND(S$2, 'Hidden Type Chart'!$C15)), IF(ISERR(FIND(S$2, 'Hidden Type Chart'!$D15)), "", $P$26), $P$25), $P$24)</f>
        <v>0</v>
      </c>
      <c r="T16" s="4" t="str">
        <f>IF(ISERR(FIND(T$2, 'Hidden Type Chart'!$B15)), IF(ISERR(FIND(T$2, 'Hidden Type Chart'!$C15)), IF(ISERR(FIND(T$2, 'Hidden Type Chart'!$D15)), "", $P$26), $P$25), $P$24)</f>
        <v/>
      </c>
    </row>
    <row r="17" spans="1:20" x14ac:dyDescent="0.25">
      <c r="A17" s="4">
        <f t="shared" si="1"/>
        <v>0</v>
      </c>
      <c r="B17" s="3" t="str">
        <f>'Hidden Type Chart'!$A16</f>
        <v>Psychic</v>
      </c>
      <c r="C17" s="4" t="str">
        <f>IF(ISERR(FIND(C$2, 'Hidden Type Chart'!$B16)), IF(ISERR(FIND(C$2, 'Hidden Type Chart'!$C16)), IF(ISERR(FIND(C$2, 'Hidden Type Chart'!$D16)), "", $P$26), $P$25), $P$24)</f>
        <v/>
      </c>
      <c r="D17" s="4" t="str">
        <f>IF(ISERR(FIND(D$2, 'Hidden Type Chart'!$B16)), IF(ISERR(FIND(D$2, 'Hidden Type Chart'!$C16)), IF(ISERR(FIND(D$2, 'Hidden Type Chart'!$D16)), "", $P$26), $P$25), $P$24)</f>
        <v>0</v>
      </c>
      <c r="E17" s="4" t="str">
        <f>IF(ISERR(FIND(E$2, 'Hidden Type Chart'!$B16)), IF(ISERR(FIND(E$2, 'Hidden Type Chart'!$C16)), IF(ISERR(FIND(E$2, 'Hidden Type Chart'!$D16)), "", $P$26), $P$25), $P$24)</f>
        <v/>
      </c>
      <c r="F17" s="4" t="str">
        <f>IF(ISERR(FIND(F$2, 'Hidden Type Chart'!$B16)), IF(ISERR(FIND(F$2, 'Hidden Type Chart'!$C16)), IF(ISERR(FIND(F$2, 'Hidden Type Chart'!$D16)), "", $P$26), $P$25), $P$24)</f>
        <v/>
      </c>
      <c r="G17" s="4" t="str">
        <f>IF(ISERR(FIND(G$2, 'Hidden Type Chart'!$B16)), IF(ISERR(FIND(G$2, 'Hidden Type Chart'!$C16)), IF(ISERR(FIND(G$2, 'Hidden Type Chart'!$D16)), "", $P$26), $P$25), $P$24)</f>
        <v/>
      </c>
      <c r="H17" s="4" t="str">
        <f>IF(ISERR(FIND(H$2, 'Hidden Type Chart'!$B16)), IF(ISERR(FIND(H$2, 'Hidden Type Chart'!$C16)), IF(ISERR(FIND(H$2, 'Hidden Type Chart'!$D16)), "", $P$26), $P$25), $P$24)</f>
        <v>2</v>
      </c>
      <c r="I17" s="4" t="str">
        <f>IF(ISERR(FIND(I$2, 'Hidden Type Chart'!$B16)), IF(ISERR(FIND(I$2, 'Hidden Type Chart'!$C16)), IF(ISERR(FIND(I$2, 'Hidden Type Chart'!$D16)), "", $P$26), $P$25), $P$24)</f>
        <v/>
      </c>
      <c r="J17" s="4" t="str">
        <f>IF(ISERR(FIND(J$2, 'Hidden Type Chart'!$B16)), IF(ISERR(FIND(J$2, 'Hidden Type Chart'!$C16)), IF(ISERR(FIND(J$2, 'Hidden Type Chart'!$D16)), "", $P$26), $P$25), $P$24)</f>
        <v/>
      </c>
      <c r="K17" s="4" t="str">
        <f>IF(ISERR(FIND(K$2, 'Hidden Type Chart'!$B16)), IF(ISERR(FIND(K$2, 'Hidden Type Chart'!$C16)), IF(ISERR(FIND(K$2, 'Hidden Type Chart'!$D16)), "", $P$26), $P$25), $P$24)</f>
        <v/>
      </c>
      <c r="L17" s="4" t="str">
        <f>IF(ISERR(FIND(L$2, 'Hidden Type Chart'!$B16)), IF(ISERR(FIND(L$2, 'Hidden Type Chart'!$C16)), IF(ISERR(FIND(L$2, 'Hidden Type Chart'!$D16)), "", $P$26), $P$25), $P$24)</f>
        <v/>
      </c>
      <c r="M17" s="4" t="str">
        <f>IF(ISERR(FIND(M$2, 'Hidden Type Chart'!$B16)), IF(ISERR(FIND(M$2, 'Hidden Type Chart'!$C16)), IF(ISERR(FIND(M$2, 'Hidden Type Chart'!$D16)), "", $P$26), $P$25), $P$24)</f>
        <v/>
      </c>
      <c r="N17" s="4" t="str">
        <f>IF(ISERR(FIND(N$2, 'Hidden Type Chart'!$B16)), IF(ISERR(FIND(N$2, 'Hidden Type Chart'!$C16)), IF(ISERR(FIND(N$2, 'Hidden Type Chart'!$D16)), "", $P$26), $P$25), $P$24)</f>
        <v/>
      </c>
      <c r="O17" s="4" t="str">
        <f>IF(ISERR(FIND(O$2, 'Hidden Type Chart'!$B16)), IF(ISERR(FIND(O$2, 'Hidden Type Chart'!$C16)), IF(ISERR(FIND(O$2, 'Hidden Type Chart'!$D16)), "", $P$26), $P$25), $P$24)</f>
        <v/>
      </c>
      <c r="P17" s="4" t="str">
        <f>IF(ISERR(FIND(P$2, 'Hidden Type Chart'!$B16)), IF(ISERR(FIND(P$2, 'Hidden Type Chart'!$C16)), IF(ISERR(FIND(P$2, 'Hidden Type Chart'!$D16)), "", $P$26), $P$25), $P$24)</f>
        <v>2</v>
      </c>
      <c r="Q17" s="4" t="str">
        <f>IF(ISERR(FIND(Q$2, 'Hidden Type Chart'!$B16)), IF(ISERR(FIND(Q$2, 'Hidden Type Chart'!$C16)), IF(ISERR(FIND(Q$2, 'Hidden Type Chart'!$D16)), "", $P$26), $P$25), $P$24)</f>
        <v>1/2</v>
      </c>
      <c r="R17" s="4" t="str">
        <f>IF(ISERR(FIND(R$2, 'Hidden Type Chart'!$B16)), IF(ISERR(FIND(R$2, 'Hidden Type Chart'!$C16)), IF(ISERR(FIND(R$2, 'Hidden Type Chart'!$D16)), "", $P$26), $P$25), $P$24)</f>
        <v/>
      </c>
      <c r="S17" s="4" t="str">
        <f>IF(ISERR(FIND(S$2, 'Hidden Type Chart'!$B16)), IF(ISERR(FIND(S$2, 'Hidden Type Chart'!$C16)), IF(ISERR(FIND(S$2, 'Hidden Type Chart'!$D16)), "", $P$26), $P$25), $P$24)</f>
        <v>1/2</v>
      </c>
      <c r="T17" s="4" t="str">
        <f>IF(ISERR(FIND(T$2, 'Hidden Type Chart'!$B16)), IF(ISERR(FIND(T$2, 'Hidden Type Chart'!$C16)), IF(ISERR(FIND(T$2, 'Hidden Type Chart'!$D16)), "", $P$26), $P$25), $P$24)</f>
        <v/>
      </c>
    </row>
    <row r="18" spans="1:20" x14ac:dyDescent="0.25">
      <c r="A18" s="4">
        <f t="shared" si="1"/>
        <v>5</v>
      </c>
      <c r="B18" s="3" t="str">
        <f>'Hidden Type Chart'!$A17</f>
        <v>Rock</v>
      </c>
      <c r="C18" s="4" t="str">
        <f>IF(ISERR(FIND(C$2, 'Hidden Type Chart'!$B17)), IF(ISERR(FIND(C$2, 'Hidden Type Chart'!$C17)), IF(ISERR(FIND(C$2, 'Hidden Type Chart'!$D17)), "", $P$26), $P$25), $P$24)</f>
        <v>2</v>
      </c>
      <c r="D18" s="4" t="str">
        <f>IF(ISERR(FIND(D$2, 'Hidden Type Chart'!$B17)), IF(ISERR(FIND(D$2, 'Hidden Type Chart'!$C17)), IF(ISERR(FIND(D$2, 'Hidden Type Chart'!$D17)), "", $P$26), $P$25), $P$24)</f>
        <v/>
      </c>
      <c r="E18" s="4" t="str">
        <f>IF(ISERR(FIND(E$2, 'Hidden Type Chart'!$B17)), IF(ISERR(FIND(E$2, 'Hidden Type Chart'!$C17)), IF(ISERR(FIND(E$2, 'Hidden Type Chart'!$D17)), "", $P$26), $P$25), $P$24)</f>
        <v/>
      </c>
      <c r="F18" s="4" t="str">
        <f>IF(ISERR(FIND(F$2, 'Hidden Type Chart'!$B17)), IF(ISERR(FIND(F$2, 'Hidden Type Chart'!$C17)), IF(ISERR(FIND(F$2, 'Hidden Type Chart'!$D17)), "", $P$26), $P$25), $P$24)</f>
        <v/>
      </c>
      <c r="G18" s="4" t="str">
        <f>IF(ISERR(FIND(G$2, 'Hidden Type Chart'!$B17)), IF(ISERR(FIND(G$2, 'Hidden Type Chart'!$C17)), IF(ISERR(FIND(G$2, 'Hidden Type Chart'!$D17)), "", $P$26), $P$25), $P$24)</f>
        <v/>
      </c>
      <c r="H18" s="4" t="str">
        <f>IF(ISERR(FIND(H$2, 'Hidden Type Chart'!$B17)), IF(ISERR(FIND(H$2, 'Hidden Type Chart'!$C17)), IF(ISERR(FIND(H$2, 'Hidden Type Chart'!$D17)), "", $P$26), $P$25), $P$24)</f>
        <v>1/2</v>
      </c>
      <c r="I18" s="4" t="str">
        <f>IF(ISERR(FIND(I$2, 'Hidden Type Chart'!$B17)), IF(ISERR(FIND(I$2, 'Hidden Type Chart'!$C17)), IF(ISERR(FIND(I$2, 'Hidden Type Chart'!$D17)), "", $P$26), $P$25), $P$24)</f>
        <v>2</v>
      </c>
      <c r="J18" s="4" t="str">
        <f>IF(ISERR(FIND(J$2, 'Hidden Type Chart'!$B17)), IF(ISERR(FIND(J$2, 'Hidden Type Chart'!$C17)), IF(ISERR(FIND(J$2, 'Hidden Type Chart'!$D17)), "", $P$26), $P$25), $P$24)</f>
        <v>2</v>
      </c>
      <c r="K18" s="4" t="str">
        <f>IF(ISERR(FIND(K$2, 'Hidden Type Chart'!$B17)), IF(ISERR(FIND(K$2, 'Hidden Type Chart'!$C17)), IF(ISERR(FIND(K$2, 'Hidden Type Chart'!$D17)), "", $P$26), $P$25), $P$24)</f>
        <v/>
      </c>
      <c r="L18" s="4" t="str">
        <f>IF(ISERR(FIND(L$2, 'Hidden Type Chart'!$B17)), IF(ISERR(FIND(L$2, 'Hidden Type Chart'!$C17)), IF(ISERR(FIND(L$2, 'Hidden Type Chart'!$D17)), "", $P$26), $P$25), $P$24)</f>
        <v/>
      </c>
      <c r="M18" s="4" t="str">
        <f>IF(ISERR(FIND(M$2, 'Hidden Type Chart'!$B17)), IF(ISERR(FIND(M$2, 'Hidden Type Chart'!$C17)), IF(ISERR(FIND(M$2, 'Hidden Type Chart'!$D17)), "", $P$26), $P$25), $P$24)</f>
        <v>1/2</v>
      </c>
      <c r="N18" s="4" t="str">
        <f>IF(ISERR(FIND(N$2, 'Hidden Type Chart'!$B17)), IF(ISERR(FIND(N$2, 'Hidden Type Chart'!$C17)), IF(ISERR(FIND(N$2, 'Hidden Type Chart'!$D17)), "", $P$26), $P$25), $P$24)</f>
        <v>2</v>
      </c>
      <c r="O18" s="4" t="str">
        <f>IF(ISERR(FIND(O$2, 'Hidden Type Chart'!$B17)), IF(ISERR(FIND(O$2, 'Hidden Type Chart'!$C17)), IF(ISERR(FIND(O$2, 'Hidden Type Chart'!$D17)), "", $P$26), $P$25), $P$24)</f>
        <v/>
      </c>
      <c r="P18" s="4" t="str">
        <f>IF(ISERR(FIND(P$2, 'Hidden Type Chart'!$B17)), IF(ISERR(FIND(P$2, 'Hidden Type Chart'!$C17)), IF(ISERR(FIND(P$2, 'Hidden Type Chart'!$D17)), "", $P$26), $P$25), $P$24)</f>
        <v/>
      </c>
      <c r="Q18" s="4" t="str">
        <f>IF(ISERR(FIND(Q$2, 'Hidden Type Chart'!$B17)), IF(ISERR(FIND(Q$2, 'Hidden Type Chart'!$C17)), IF(ISERR(FIND(Q$2, 'Hidden Type Chart'!$D17)), "", $P$26), $P$25), $P$24)</f>
        <v/>
      </c>
      <c r="R18" s="4" t="str">
        <f>IF(ISERR(FIND(R$2, 'Hidden Type Chart'!$B17)), IF(ISERR(FIND(R$2, 'Hidden Type Chart'!$C17)), IF(ISERR(FIND(R$2, 'Hidden Type Chart'!$D17)), "", $P$26), $P$25), $P$24)</f>
        <v/>
      </c>
      <c r="S18" s="4" t="str">
        <f>IF(ISERR(FIND(S$2, 'Hidden Type Chart'!$B17)), IF(ISERR(FIND(S$2, 'Hidden Type Chart'!$C17)), IF(ISERR(FIND(S$2, 'Hidden Type Chart'!$D17)), "", $P$26), $P$25), $P$24)</f>
        <v>1/2</v>
      </c>
      <c r="T18" s="4" t="str">
        <f>IF(ISERR(FIND(T$2, 'Hidden Type Chart'!$B17)), IF(ISERR(FIND(T$2, 'Hidden Type Chart'!$C17)), IF(ISERR(FIND(T$2, 'Hidden Type Chart'!$D17)), "", $P$26), $P$25), $P$24)</f>
        <v/>
      </c>
    </row>
    <row r="19" spans="1:20" x14ac:dyDescent="0.25">
      <c r="A19" s="4">
        <f t="shared" si="1"/>
        <v>2</v>
      </c>
      <c r="B19" s="3" t="str">
        <f>'Hidden Type Chart'!$A18</f>
        <v>Steel</v>
      </c>
      <c r="C19" s="4" t="str">
        <f>IF(ISERR(FIND(C$2, 'Hidden Type Chart'!$B18)), IF(ISERR(FIND(C$2, 'Hidden Type Chart'!$C18)), IF(ISERR(FIND(C$2, 'Hidden Type Chart'!$D18)), "", $P$26), $P$25), $P$24)</f>
        <v/>
      </c>
      <c r="D19" s="4" t="str">
        <f>IF(ISERR(FIND(D$2, 'Hidden Type Chart'!$B18)), IF(ISERR(FIND(D$2, 'Hidden Type Chart'!$C18)), IF(ISERR(FIND(D$2, 'Hidden Type Chart'!$D18)), "", $P$26), $P$25), $P$24)</f>
        <v/>
      </c>
      <c r="E19" s="4" t="str">
        <f>IF(ISERR(FIND(E$2, 'Hidden Type Chart'!$B18)), IF(ISERR(FIND(E$2, 'Hidden Type Chart'!$C18)), IF(ISERR(FIND(E$2, 'Hidden Type Chart'!$D18)), "", $P$26), $P$25), $P$24)</f>
        <v/>
      </c>
      <c r="F19" s="4" t="str">
        <f>IF(ISERR(FIND(F$2, 'Hidden Type Chart'!$B18)), IF(ISERR(FIND(F$2, 'Hidden Type Chart'!$C18)), IF(ISERR(FIND(F$2, 'Hidden Type Chart'!$D18)), "", $P$26), $P$25), $P$24)</f>
        <v>1/2</v>
      </c>
      <c r="G19" s="4" t="str">
        <f>IF(ISERR(FIND(G$2, 'Hidden Type Chart'!$B18)), IF(ISERR(FIND(G$2, 'Hidden Type Chart'!$C18)), IF(ISERR(FIND(G$2, 'Hidden Type Chart'!$D18)), "", $P$26), $P$25), $P$24)</f>
        <v>2</v>
      </c>
      <c r="H19" s="4" t="str">
        <f>IF(ISERR(FIND(H$2, 'Hidden Type Chart'!$B18)), IF(ISERR(FIND(H$2, 'Hidden Type Chart'!$C18)), IF(ISERR(FIND(H$2, 'Hidden Type Chart'!$D18)), "", $P$26), $P$25), $P$24)</f>
        <v/>
      </c>
      <c r="I19" s="4" t="str">
        <f>IF(ISERR(FIND(I$2, 'Hidden Type Chart'!$B18)), IF(ISERR(FIND(I$2, 'Hidden Type Chart'!$C18)), IF(ISERR(FIND(I$2, 'Hidden Type Chart'!$D18)), "", $P$26), $P$25), $P$24)</f>
        <v>1/2</v>
      </c>
      <c r="J19" s="4" t="str">
        <f>IF(ISERR(FIND(J$2, 'Hidden Type Chart'!$B18)), IF(ISERR(FIND(J$2, 'Hidden Type Chart'!$C18)), IF(ISERR(FIND(J$2, 'Hidden Type Chart'!$D18)), "", $P$26), $P$25), $P$24)</f>
        <v/>
      </c>
      <c r="K19" s="4" t="str">
        <f>IF(ISERR(FIND(K$2, 'Hidden Type Chart'!$B18)), IF(ISERR(FIND(K$2, 'Hidden Type Chart'!$C18)), IF(ISERR(FIND(K$2, 'Hidden Type Chart'!$D18)), "", $P$26), $P$25), $P$24)</f>
        <v/>
      </c>
      <c r="L19" s="4" t="str">
        <f>IF(ISERR(FIND(L$2, 'Hidden Type Chart'!$B18)), IF(ISERR(FIND(L$2, 'Hidden Type Chart'!$C18)), IF(ISERR(FIND(L$2, 'Hidden Type Chart'!$D18)), "", $P$26), $P$25), $P$24)</f>
        <v/>
      </c>
      <c r="M19" s="4" t="str">
        <f>IF(ISERR(FIND(M$2, 'Hidden Type Chart'!$B18)), IF(ISERR(FIND(M$2, 'Hidden Type Chart'!$C18)), IF(ISERR(FIND(M$2, 'Hidden Type Chart'!$D18)), "", $P$26), $P$25), $P$24)</f>
        <v/>
      </c>
      <c r="N19" s="4" t="str">
        <f>IF(ISERR(FIND(N$2, 'Hidden Type Chart'!$B18)), IF(ISERR(FIND(N$2, 'Hidden Type Chart'!$C18)), IF(ISERR(FIND(N$2, 'Hidden Type Chart'!$D18)), "", $P$26), $P$25), $P$24)</f>
        <v>2</v>
      </c>
      <c r="O19" s="4" t="str">
        <f>IF(ISERR(FIND(O$2, 'Hidden Type Chart'!$B18)), IF(ISERR(FIND(O$2, 'Hidden Type Chart'!$C18)), IF(ISERR(FIND(O$2, 'Hidden Type Chart'!$D18)), "", $P$26), $P$25), $P$24)</f>
        <v/>
      </c>
      <c r="P19" s="4" t="str">
        <f>IF(ISERR(FIND(P$2, 'Hidden Type Chart'!$B18)), IF(ISERR(FIND(P$2, 'Hidden Type Chart'!$C18)), IF(ISERR(FIND(P$2, 'Hidden Type Chart'!$D18)), "", $P$26), $P$25), $P$24)</f>
        <v/>
      </c>
      <c r="Q19" s="4" t="str">
        <f>IF(ISERR(FIND(Q$2, 'Hidden Type Chart'!$B18)), IF(ISERR(FIND(Q$2, 'Hidden Type Chart'!$C18)), IF(ISERR(FIND(Q$2, 'Hidden Type Chart'!$D18)), "", $P$26), $P$25), $P$24)</f>
        <v/>
      </c>
      <c r="R19" s="4" t="str">
        <f>IF(ISERR(FIND(R$2, 'Hidden Type Chart'!$B18)), IF(ISERR(FIND(R$2, 'Hidden Type Chart'!$C18)), IF(ISERR(FIND(R$2, 'Hidden Type Chart'!$D18)), "", $P$26), $P$25), $P$24)</f>
        <v>2</v>
      </c>
      <c r="S19" s="4" t="str">
        <f>IF(ISERR(FIND(S$2, 'Hidden Type Chart'!$B18)), IF(ISERR(FIND(S$2, 'Hidden Type Chart'!$C18)), IF(ISERR(FIND(S$2, 'Hidden Type Chart'!$D18)), "", $P$26), $P$25), $P$24)</f>
        <v>1/2</v>
      </c>
      <c r="T19" s="4" t="str">
        <f>IF(ISERR(FIND(T$2, 'Hidden Type Chart'!$B18)), IF(ISERR(FIND(T$2, 'Hidden Type Chart'!$C18)), IF(ISERR(FIND(T$2, 'Hidden Type Chart'!$D18)), "", $P$26), $P$25), $P$24)</f>
        <v>1/2</v>
      </c>
    </row>
    <row r="20" spans="1:20" x14ac:dyDescent="0.25">
      <c r="A20" s="4">
        <f t="shared" si="1"/>
        <v>3</v>
      </c>
      <c r="B20" s="3" t="str">
        <f>'Hidden Type Chart'!$A19</f>
        <v>Water</v>
      </c>
      <c r="C20" s="4" t="str">
        <f>IF(ISERR(FIND(C$2, 'Hidden Type Chart'!$B19)), IF(ISERR(FIND(C$2, 'Hidden Type Chart'!$C19)), IF(ISERR(FIND(C$2, 'Hidden Type Chart'!$D19)), "", $P$26), $P$25), $P$24)</f>
        <v/>
      </c>
      <c r="D20" s="4" t="str">
        <f>IF(ISERR(FIND(D$2, 'Hidden Type Chart'!$B19)), IF(ISERR(FIND(D$2, 'Hidden Type Chart'!$C19)), IF(ISERR(FIND(D$2, 'Hidden Type Chart'!$D19)), "", $P$26), $P$25), $P$24)</f>
        <v/>
      </c>
      <c r="E20" s="4" t="str">
        <f>IF(ISERR(FIND(E$2, 'Hidden Type Chart'!$B19)), IF(ISERR(FIND(E$2, 'Hidden Type Chart'!$C19)), IF(ISERR(FIND(E$2, 'Hidden Type Chart'!$D19)), "", $P$26), $P$25), $P$24)</f>
        <v>1/2</v>
      </c>
      <c r="F20" s="4" t="str">
        <f>IF(ISERR(FIND(F$2, 'Hidden Type Chart'!$B19)), IF(ISERR(FIND(F$2, 'Hidden Type Chart'!$C19)), IF(ISERR(FIND(F$2, 'Hidden Type Chart'!$D19)), "", $P$26), $P$25), $P$24)</f>
        <v/>
      </c>
      <c r="G20" s="4" t="str">
        <f>IF(ISERR(FIND(G$2, 'Hidden Type Chart'!$B19)), IF(ISERR(FIND(G$2, 'Hidden Type Chart'!$C19)), IF(ISERR(FIND(G$2, 'Hidden Type Chart'!$D19)), "", $P$26), $P$25), $P$24)</f>
        <v/>
      </c>
      <c r="H20" s="4" t="str">
        <f>IF(ISERR(FIND(H$2, 'Hidden Type Chart'!$B19)), IF(ISERR(FIND(H$2, 'Hidden Type Chart'!$C19)), IF(ISERR(FIND(H$2, 'Hidden Type Chart'!$D19)), "", $P$26), $P$25), $P$24)</f>
        <v/>
      </c>
      <c r="I20" s="4" t="str">
        <f>IF(ISERR(FIND(I$2, 'Hidden Type Chart'!$B19)), IF(ISERR(FIND(I$2, 'Hidden Type Chart'!$C19)), IF(ISERR(FIND(I$2, 'Hidden Type Chart'!$D19)), "", $P$26), $P$25), $P$24)</f>
        <v>2</v>
      </c>
      <c r="J20" s="4" t="str">
        <f>IF(ISERR(FIND(J$2, 'Hidden Type Chart'!$B19)), IF(ISERR(FIND(J$2, 'Hidden Type Chart'!$C19)), IF(ISERR(FIND(J$2, 'Hidden Type Chart'!$D19)), "", $P$26), $P$25), $P$24)</f>
        <v/>
      </c>
      <c r="K20" s="4" t="str">
        <f>IF(ISERR(FIND(K$2, 'Hidden Type Chart'!$B19)), IF(ISERR(FIND(K$2, 'Hidden Type Chart'!$C19)), IF(ISERR(FIND(K$2, 'Hidden Type Chart'!$D19)), "", $P$26), $P$25), $P$24)</f>
        <v/>
      </c>
      <c r="L20" s="4" t="str">
        <f>IF(ISERR(FIND(L$2, 'Hidden Type Chart'!$B19)), IF(ISERR(FIND(L$2, 'Hidden Type Chart'!$C19)), IF(ISERR(FIND(L$2, 'Hidden Type Chart'!$D19)), "", $P$26), $P$25), $P$24)</f>
        <v>1/2</v>
      </c>
      <c r="M20" s="4" t="str">
        <f>IF(ISERR(FIND(M$2, 'Hidden Type Chart'!$B19)), IF(ISERR(FIND(M$2, 'Hidden Type Chart'!$C19)), IF(ISERR(FIND(M$2, 'Hidden Type Chart'!$D19)), "", $P$26), $P$25), $P$24)</f>
        <v>2</v>
      </c>
      <c r="N20" s="4" t="str">
        <f>IF(ISERR(FIND(N$2, 'Hidden Type Chart'!$B19)), IF(ISERR(FIND(N$2, 'Hidden Type Chart'!$C19)), IF(ISERR(FIND(N$2, 'Hidden Type Chart'!$D19)), "", $P$26), $P$25), $P$24)</f>
        <v/>
      </c>
      <c r="O20" s="4" t="str">
        <f>IF(ISERR(FIND(O$2, 'Hidden Type Chart'!$B19)), IF(ISERR(FIND(O$2, 'Hidden Type Chart'!$C19)), IF(ISERR(FIND(O$2, 'Hidden Type Chart'!$D19)), "", $P$26), $P$25), $P$24)</f>
        <v/>
      </c>
      <c r="P20" s="4" t="str">
        <f>IF(ISERR(FIND(P$2, 'Hidden Type Chart'!$B19)), IF(ISERR(FIND(P$2, 'Hidden Type Chart'!$C19)), IF(ISERR(FIND(P$2, 'Hidden Type Chart'!$D19)), "", $P$26), $P$25), $P$24)</f>
        <v/>
      </c>
      <c r="Q20" s="4" t="str">
        <f>IF(ISERR(FIND(Q$2, 'Hidden Type Chart'!$B19)), IF(ISERR(FIND(Q$2, 'Hidden Type Chart'!$C19)), IF(ISERR(FIND(Q$2, 'Hidden Type Chart'!$D19)), "", $P$26), $P$25), $P$24)</f>
        <v/>
      </c>
      <c r="R20" s="4" t="str">
        <f>IF(ISERR(FIND(R$2, 'Hidden Type Chart'!$B19)), IF(ISERR(FIND(R$2, 'Hidden Type Chart'!$C19)), IF(ISERR(FIND(R$2, 'Hidden Type Chart'!$D19)), "", $P$26), $P$25), $P$24)</f>
        <v>2</v>
      </c>
      <c r="S20" s="4" t="str">
        <f>IF(ISERR(FIND(S$2, 'Hidden Type Chart'!$B19)), IF(ISERR(FIND(S$2, 'Hidden Type Chart'!$C19)), IF(ISERR(FIND(S$2, 'Hidden Type Chart'!$D19)), "", $P$26), $P$25), $P$24)</f>
        <v/>
      </c>
      <c r="T20" s="4" t="str">
        <f>IF(ISERR(FIND(T$2, 'Hidden Type Chart'!$B19)), IF(ISERR(FIND(T$2, 'Hidden Type Chart'!$C19)), IF(ISERR(FIND(T$2, 'Hidden Type Chart'!$D19)), "", $P$26), $P$25), $P$24)</f>
        <v>1/2</v>
      </c>
    </row>
    <row r="22" spans="1:20" ht="15" customHeight="1" x14ac:dyDescent="0.25">
      <c r="B22" s="13" t="s">
        <v>64</v>
      </c>
      <c r="C22" s="6"/>
      <c r="D22" s="6"/>
      <c r="E22" s="6"/>
      <c r="F22" s="6"/>
      <c r="G22" s="6"/>
      <c r="H22" s="6"/>
      <c r="I22" s="6"/>
      <c r="J22" s="6"/>
      <c r="K22" s="7"/>
      <c r="M22" s="5" t="s">
        <v>37</v>
      </c>
      <c r="N22" s="6"/>
      <c r="O22" s="6"/>
      <c r="P22" s="7"/>
      <c r="R22" s="107" t="s">
        <v>63</v>
      </c>
      <c r="S22" s="108"/>
      <c r="T22" s="109"/>
    </row>
    <row r="23" spans="1:20" x14ac:dyDescent="0.25">
      <c r="B23" s="14" t="s">
        <v>30</v>
      </c>
      <c r="C23" s="9"/>
      <c r="D23" s="9"/>
      <c r="E23" s="9"/>
      <c r="F23" s="9"/>
      <c r="G23" s="9"/>
      <c r="H23" s="9" t="s">
        <v>33</v>
      </c>
      <c r="I23" s="9"/>
      <c r="J23" s="9"/>
      <c r="K23" s="10"/>
      <c r="M23" s="8"/>
      <c r="N23" s="9"/>
      <c r="O23" s="9"/>
      <c r="P23" s="10"/>
      <c r="R23" s="110"/>
      <c r="S23" s="111"/>
      <c r="T23" s="112"/>
    </row>
    <row r="24" spans="1:20" x14ac:dyDescent="0.25">
      <c r="B24" s="15"/>
      <c r="C24" s="9" t="s">
        <v>31</v>
      </c>
      <c r="D24" s="9"/>
      <c r="E24" s="22">
        <v>2</v>
      </c>
      <c r="F24" s="9"/>
      <c r="G24" s="9"/>
      <c r="H24" s="9"/>
      <c r="I24" s="9" t="s">
        <v>31</v>
      </c>
      <c r="J24" s="9"/>
      <c r="K24" s="22">
        <v>-2</v>
      </c>
      <c r="M24" s="8"/>
      <c r="N24" s="9" t="s">
        <v>38</v>
      </c>
      <c r="O24" s="9"/>
      <c r="P24" s="23" t="s">
        <v>26</v>
      </c>
      <c r="R24" s="110"/>
      <c r="S24" s="111"/>
      <c r="T24" s="112"/>
    </row>
    <row r="25" spans="1:20" x14ac:dyDescent="0.25">
      <c r="B25" s="8"/>
      <c r="C25" s="9" t="s">
        <v>32</v>
      </c>
      <c r="D25" s="9"/>
      <c r="E25" s="22">
        <v>-1</v>
      </c>
      <c r="F25" s="9"/>
      <c r="G25" s="9"/>
      <c r="H25" s="9"/>
      <c r="I25" s="9" t="s">
        <v>32</v>
      </c>
      <c r="J25" s="9"/>
      <c r="K25" s="22">
        <v>1</v>
      </c>
      <c r="M25" s="8"/>
      <c r="N25" s="9" t="s">
        <v>39</v>
      </c>
      <c r="O25" s="9"/>
      <c r="P25" s="24" t="s">
        <v>11</v>
      </c>
      <c r="R25" s="110"/>
      <c r="S25" s="111"/>
      <c r="T25" s="112"/>
    </row>
    <row r="26" spans="1:20" x14ac:dyDescent="0.25">
      <c r="B26" s="11"/>
      <c r="C26" s="12" t="s">
        <v>34</v>
      </c>
      <c r="D26" s="12"/>
      <c r="E26" s="22">
        <v>-2</v>
      </c>
      <c r="F26" s="12"/>
      <c r="G26" s="12"/>
      <c r="H26" s="12"/>
      <c r="I26" s="12" t="s">
        <v>34</v>
      </c>
      <c r="J26" s="12"/>
      <c r="K26" s="22">
        <v>2</v>
      </c>
      <c r="M26" s="11"/>
      <c r="N26" s="12" t="s">
        <v>34</v>
      </c>
      <c r="O26" s="12"/>
      <c r="P26" s="25" t="s">
        <v>27</v>
      </c>
      <c r="R26" s="113"/>
      <c r="S26" s="114"/>
      <c r="T26" s="115"/>
    </row>
    <row r="29" spans="1:20" x14ac:dyDescent="0.25">
      <c r="B29" s="53"/>
      <c r="C29" s="59" t="s">
        <v>864</v>
      </c>
      <c r="D29" s="61" t="s">
        <v>830</v>
      </c>
      <c r="E29" s="59" t="s">
        <v>831</v>
      </c>
      <c r="F29" s="59" t="s">
        <v>832</v>
      </c>
      <c r="G29" s="59" t="s">
        <v>833</v>
      </c>
      <c r="H29" s="53"/>
      <c r="L29" s="18"/>
    </row>
    <row r="30" spans="1:20" x14ac:dyDescent="0.25">
      <c r="B30" s="60" t="s">
        <v>834</v>
      </c>
      <c r="C30" s="63" t="s">
        <v>839</v>
      </c>
      <c r="D30" s="64" t="s">
        <v>840</v>
      </c>
      <c r="E30" s="65" t="s">
        <v>841</v>
      </c>
      <c r="F30" s="64" t="s">
        <v>842</v>
      </c>
      <c r="G30" s="66" t="s">
        <v>843</v>
      </c>
      <c r="H30" s="62"/>
    </row>
    <row r="31" spans="1:20" x14ac:dyDescent="0.25">
      <c r="B31" s="60" t="s">
        <v>835</v>
      </c>
      <c r="C31" s="67" t="s">
        <v>844</v>
      </c>
      <c r="D31" s="68" t="s">
        <v>845</v>
      </c>
      <c r="E31" s="67" t="s">
        <v>846</v>
      </c>
      <c r="F31" s="69" t="s">
        <v>847</v>
      </c>
      <c r="G31" s="70" t="s">
        <v>848</v>
      </c>
    </row>
    <row r="32" spans="1:20" x14ac:dyDescent="0.25">
      <c r="B32" s="60" t="s">
        <v>836</v>
      </c>
      <c r="C32" s="67" t="s">
        <v>849</v>
      </c>
      <c r="D32" s="69" t="s">
        <v>850</v>
      </c>
      <c r="E32" s="71" t="s">
        <v>852</v>
      </c>
      <c r="F32" s="69" t="s">
        <v>851</v>
      </c>
      <c r="G32" s="70" t="s">
        <v>853</v>
      </c>
    </row>
    <row r="33" spans="2:7" x14ac:dyDescent="0.25">
      <c r="B33" s="60" t="s">
        <v>837</v>
      </c>
      <c r="C33" s="67" t="s">
        <v>854</v>
      </c>
      <c r="D33" s="69" t="s">
        <v>855</v>
      </c>
      <c r="E33" s="67" t="s">
        <v>856</v>
      </c>
      <c r="F33" s="68" t="s">
        <v>857</v>
      </c>
      <c r="G33" s="70" t="s">
        <v>858</v>
      </c>
    </row>
    <row r="34" spans="2:7" x14ac:dyDescent="0.25">
      <c r="B34" s="60" t="s">
        <v>838</v>
      </c>
      <c r="C34" s="67" t="s">
        <v>859</v>
      </c>
      <c r="D34" s="69" t="s">
        <v>860</v>
      </c>
      <c r="E34" s="67" t="s">
        <v>861</v>
      </c>
      <c r="F34" s="69" t="s">
        <v>862</v>
      </c>
      <c r="G34" s="72" t="s">
        <v>863</v>
      </c>
    </row>
  </sheetData>
  <mergeCells count="1">
    <mergeCell ref="R22:T26"/>
  </mergeCells>
  <conditionalFormatting sqref="B22:B23 B2:B6 B8:B20 B1:T1">
    <cfRule type="containsText" dxfId="2427" priority="98" operator="containsText" text="Water">
      <formula>NOT(ISERROR(SEARCH("Water",B1)))</formula>
    </cfRule>
    <cfRule type="containsText" dxfId="2426" priority="99" operator="containsText" text="Steel">
      <formula>NOT(ISERROR(SEARCH("Steel",B1)))</formula>
    </cfRule>
    <cfRule type="containsText" dxfId="2425" priority="100" operator="containsText" text="Rock">
      <formula>NOT(ISERROR(SEARCH("Rock",B1)))</formula>
    </cfRule>
    <cfRule type="containsText" dxfId="2424" priority="101" operator="containsText" text="Poison">
      <formula>NOT(ISERROR(SEARCH("Poison",B1)))</formula>
    </cfRule>
    <cfRule type="containsText" dxfId="2423" priority="102" operator="containsText" text="Ice">
      <formula>NOT(ISERROR(SEARCH("Ice",B1)))</formula>
    </cfRule>
    <cfRule type="containsText" dxfId="2422" priority="103" operator="containsText" text="Ground">
      <formula>NOT(ISERROR(SEARCH("Ground",B1)))</formula>
    </cfRule>
    <cfRule type="containsText" dxfId="2421" priority="104" operator="containsText" text="Grass">
      <formula>NOT(ISERROR(SEARCH("Grass",B1)))</formula>
    </cfRule>
    <cfRule type="containsText" dxfId="2420" priority="105" operator="containsText" text="Flying">
      <formula>NOT(ISERROR(SEARCH("Flying",B1)))</formula>
    </cfRule>
    <cfRule type="containsText" dxfId="2419" priority="106" operator="containsText" text="Fighting">
      <formula>NOT(ISERROR(SEARCH("Fighting",B1)))</formula>
    </cfRule>
    <cfRule type="containsText" dxfId="2418" priority="107" operator="containsText" text="Electric">
      <formula>NOT(ISERROR(SEARCH("Electric",B1)))</formula>
    </cfRule>
    <cfRule type="containsText" dxfId="2417" priority="108" operator="containsText" text="Dragon">
      <formula>NOT(ISERROR(SEARCH("Dragon",B1)))</formula>
    </cfRule>
    <cfRule type="containsText" dxfId="2416" priority="109" operator="containsText" text="Dark">
      <formula>NOT(ISERROR(SEARCH("Dark",B1)))</formula>
    </cfRule>
    <cfRule type="containsText" dxfId="2415" priority="110" operator="containsText" text="Bug">
      <formula>NOT(ISERROR(SEARCH("Bug",B1)))</formula>
    </cfRule>
    <cfRule type="containsText" dxfId="2414" priority="111" operator="containsText" text="Fire">
      <formula>NOT(ISERROR(SEARCH("Fire",B1)))</formula>
    </cfRule>
    <cfRule type="containsText" dxfId="2413" priority="112" operator="containsText" text="Normal">
      <formula>NOT(ISERROR(SEARCH("Normal",B1)))</formula>
    </cfRule>
    <cfRule type="containsText" dxfId="2412" priority="113" operator="containsText" text="Psychic">
      <formula>NOT(ISERROR(SEARCH("Psychic",B1)))</formula>
    </cfRule>
    <cfRule type="containsText" dxfId="2411" priority="114" operator="containsText" text="Ghost">
      <formula>NOT(ISERROR(SEARCH("Ghost",B1)))</formula>
    </cfRule>
  </conditionalFormatting>
  <conditionalFormatting sqref="C2:F2 H2:T2">
    <cfRule type="containsText" dxfId="2410" priority="45" operator="containsText" text="Water">
      <formula>NOT(ISERROR(SEARCH("Water",C2)))</formula>
    </cfRule>
    <cfRule type="containsText" dxfId="2409" priority="46" operator="containsText" text="Steel">
      <formula>NOT(ISERROR(SEARCH("Steel",C2)))</formula>
    </cfRule>
    <cfRule type="containsText" dxfId="2408" priority="47" operator="containsText" text="Rock">
      <formula>NOT(ISERROR(SEARCH("Rock",C2)))</formula>
    </cfRule>
    <cfRule type="containsText" dxfId="2407" priority="48" operator="containsText" text="Poison">
      <formula>NOT(ISERROR(SEARCH("Poison",C2)))</formula>
    </cfRule>
    <cfRule type="containsText" dxfId="2406" priority="49" operator="containsText" text="Ice">
      <formula>NOT(ISERROR(SEARCH("Ice",C2)))</formula>
    </cfRule>
    <cfRule type="containsText" dxfId="2405" priority="50" operator="containsText" text="Ground">
      <formula>NOT(ISERROR(SEARCH("Ground",C2)))</formula>
    </cfRule>
    <cfRule type="containsText" dxfId="2404" priority="51" operator="containsText" text="Grass">
      <formula>NOT(ISERROR(SEARCH("Grass",C2)))</formula>
    </cfRule>
    <cfRule type="containsText" dxfId="2403" priority="52" operator="containsText" text="Flying">
      <formula>NOT(ISERROR(SEARCH("Flying",C2)))</formula>
    </cfRule>
    <cfRule type="containsText" dxfId="2402" priority="53" operator="containsText" text="Fighting">
      <formula>NOT(ISERROR(SEARCH("Fighting",C2)))</formula>
    </cfRule>
    <cfRule type="containsText" dxfId="2401" priority="54" operator="containsText" text="Electric">
      <formula>NOT(ISERROR(SEARCH("Electric",C2)))</formula>
    </cfRule>
    <cfRule type="containsText" dxfId="2400" priority="55" operator="containsText" text="Dragon">
      <formula>NOT(ISERROR(SEARCH("Dragon",C2)))</formula>
    </cfRule>
    <cfRule type="containsText" dxfId="2399" priority="56" operator="containsText" text="Dark">
      <formula>NOT(ISERROR(SEARCH("Dark",C2)))</formula>
    </cfRule>
    <cfRule type="containsText" dxfId="2398" priority="57" operator="containsText" text="Bug">
      <formula>NOT(ISERROR(SEARCH("Bug",C2)))</formula>
    </cfRule>
    <cfRule type="containsText" dxfId="2397" priority="58" operator="containsText" text="Fire">
      <formula>NOT(ISERROR(SEARCH("Fire",C2)))</formula>
    </cfRule>
    <cfRule type="containsText" dxfId="2396" priority="59" operator="containsText" text="Normal">
      <formula>NOT(ISERROR(SEARCH("Normal",C2)))</formula>
    </cfRule>
    <cfRule type="containsText" dxfId="2395" priority="60" operator="containsText" text="Psychic">
      <formula>NOT(ISERROR(SEARCH("Psychic",C2)))</formula>
    </cfRule>
    <cfRule type="containsText" dxfId="2394" priority="61" operator="containsText" text="Ghost">
      <formula>NOT(ISERROR(SEARCH("Ghost",C2)))</formula>
    </cfRule>
  </conditionalFormatting>
  <conditionalFormatting sqref="P24:P26 C3:T20">
    <cfRule type="containsText" dxfId="2393" priority="44" operator="containsText" text="2">
      <formula>NOT(ISERROR(SEARCH("2",C3)))</formula>
    </cfRule>
  </conditionalFormatting>
  <conditionalFormatting sqref="P24:P26 C3:T20">
    <cfRule type="containsText" dxfId="2392" priority="43" operator="containsText" text="1/2">
      <formula>NOT(ISERROR(SEARCH("1/2",C3)))</formula>
    </cfRule>
  </conditionalFormatting>
  <conditionalFormatting sqref="P24:P26 C3:T20">
    <cfRule type="containsText" dxfId="2391" priority="42" operator="containsText" text="0">
      <formula>NOT(ISERROR(SEARCH("0",C3)))</formula>
    </cfRule>
  </conditionalFormatting>
  <conditionalFormatting sqref="A3:A20">
    <cfRule type="colorScale" priority="40">
      <colorScale>
        <cfvo type="min"/>
        <cfvo type="max"/>
        <color theme="0"/>
        <color rgb="FF92D050"/>
      </colorScale>
    </cfRule>
  </conditionalFormatting>
  <conditionalFormatting sqref="C1:T1">
    <cfRule type="colorScale" priority="39">
      <colorScale>
        <cfvo type="min"/>
        <cfvo type="max"/>
        <color theme="0"/>
        <color rgb="FF92D050"/>
      </colorScale>
    </cfRule>
  </conditionalFormatting>
  <conditionalFormatting sqref="B7">
    <cfRule type="containsText" dxfId="2390" priority="20" operator="containsText" text="Water">
      <formula>NOT(ISERROR(SEARCH("Water",B7)))</formula>
    </cfRule>
    <cfRule type="containsText" dxfId="2389" priority="21" operator="containsText" text="Steel">
      <formula>NOT(ISERROR(SEARCH("Steel",B7)))</formula>
    </cfRule>
    <cfRule type="containsText" dxfId="2388" priority="22" operator="containsText" text="Rock">
      <formula>NOT(ISERROR(SEARCH("Rock",B7)))</formula>
    </cfRule>
    <cfRule type="containsText" dxfId="2387" priority="23" operator="containsText" text="Poison">
      <formula>NOT(ISERROR(SEARCH("Poison",B7)))</formula>
    </cfRule>
    <cfRule type="containsText" dxfId="2386" priority="24" operator="containsText" text="Ice">
      <formula>NOT(ISERROR(SEARCH("Ice",B7)))</formula>
    </cfRule>
    <cfRule type="containsText" dxfId="2385" priority="25" operator="containsText" text="Ground">
      <formula>NOT(ISERROR(SEARCH("Ground",B7)))</formula>
    </cfRule>
    <cfRule type="containsText" dxfId="2384" priority="26" operator="containsText" text="Grass">
      <formula>NOT(ISERROR(SEARCH("Grass",B7)))</formula>
    </cfRule>
    <cfRule type="containsText" dxfId="2383" priority="27" operator="containsText" text="Flying">
      <formula>NOT(ISERROR(SEARCH("Flying",B7)))</formula>
    </cfRule>
    <cfRule type="containsText" dxfId="2382" priority="28" operator="containsText" text="Fighting">
      <formula>NOT(ISERROR(SEARCH("Fighting",B7)))</formula>
    </cfRule>
    <cfRule type="containsText" dxfId="2381" priority="29" operator="containsText" text="Electric">
      <formula>NOT(ISERROR(SEARCH("Electric",B7)))</formula>
    </cfRule>
    <cfRule type="containsText" dxfId="2380" priority="30" operator="containsText" text="Dragon">
      <formula>NOT(ISERROR(SEARCH("Dragon",B7)))</formula>
    </cfRule>
    <cfRule type="containsText" dxfId="2379" priority="31" operator="containsText" text="Dark">
      <formula>NOT(ISERROR(SEARCH("Dark",B7)))</formula>
    </cfRule>
    <cfRule type="containsText" dxfId="2378" priority="32" operator="containsText" text="Bug">
      <formula>NOT(ISERROR(SEARCH("Bug",B7)))</formula>
    </cfRule>
    <cfRule type="containsText" dxfId="2377" priority="33" operator="containsText" text="Fire">
      <formula>NOT(ISERROR(SEARCH("Fire",B7)))</formula>
    </cfRule>
    <cfRule type="containsText" dxfId="2376" priority="34" operator="containsText" text="Normal">
      <formula>NOT(ISERROR(SEARCH("Normal",B7)))</formula>
    </cfRule>
    <cfRule type="containsText" dxfId="2375" priority="35" operator="containsText" text="Psychic">
      <formula>NOT(ISERROR(SEARCH("Psychic",B7)))</formula>
    </cfRule>
    <cfRule type="containsText" dxfId="2374" priority="36" operator="containsText" text="Ghost">
      <formula>NOT(ISERROR(SEARCH("Ghost",B7)))</formula>
    </cfRule>
  </conditionalFormatting>
  <conditionalFormatting sqref="B7">
    <cfRule type="containsText" dxfId="2373" priority="19" operator="containsText" text="Fairy">
      <formula>NOT(ISERROR(SEARCH("Fairy",B7)))</formula>
    </cfRule>
  </conditionalFormatting>
  <conditionalFormatting sqref="G2">
    <cfRule type="containsText" dxfId="2372" priority="2" operator="containsText" text="Water">
      <formula>NOT(ISERROR(SEARCH("Water",G2)))</formula>
    </cfRule>
    <cfRule type="containsText" dxfId="2371" priority="3" operator="containsText" text="Steel">
      <formula>NOT(ISERROR(SEARCH("Steel",G2)))</formula>
    </cfRule>
    <cfRule type="containsText" dxfId="2370" priority="4" operator="containsText" text="Rock">
      <formula>NOT(ISERROR(SEARCH("Rock",G2)))</formula>
    </cfRule>
    <cfRule type="containsText" dxfId="2369" priority="5" operator="containsText" text="Poison">
      <formula>NOT(ISERROR(SEARCH("Poison",G2)))</formula>
    </cfRule>
    <cfRule type="containsText" dxfId="2368" priority="6" operator="containsText" text="Ice">
      <formula>NOT(ISERROR(SEARCH("Ice",G2)))</formula>
    </cfRule>
    <cfRule type="containsText" dxfId="2367" priority="7" operator="containsText" text="Ground">
      <formula>NOT(ISERROR(SEARCH("Ground",G2)))</formula>
    </cfRule>
    <cfRule type="containsText" dxfId="2366" priority="8" operator="containsText" text="Grass">
      <formula>NOT(ISERROR(SEARCH("Grass",G2)))</formula>
    </cfRule>
    <cfRule type="containsText" dxfId="2365" priority="9" operator="containsText" text="Flying">
      <formula>NOT(ISERROR(SEARCH("Flying",G2)))</formula>
    </cfRule>
    <cfRule type="containsText" dxfId="2364" priority="10" operator="containsText" text="Fighting">
      <formula>NOT(ISERROR(SEARCH("Fighting",G2)))</formula>
    </cfRule>
    <cfRule type="containsText" dxfId="2363" priority="11" operator="containsText" text="Electric">
      <formula>NOT(ISERROR(SEARCH("Electric",G2)))</formula>
    </cfRule>
    <cfRule type="containsText" dxfId="2362" priority="12" operator="containsText" text="Dragon">
      <formula>NOT(ISERROR(SEARCH("Dragon",G2)))</formula>
    </cfRule>
    <cfRule type="containsText" dxfId="2361" priority="13" operator="containsText" text="Dark">
      <formula>NOT(ISERROR(SEARCH("Dark",G2)))</formula>
    </cfRule>
    <cfRule type="containsText" dxfId="2360" priority="14" operator="containsText" text="Bug">
      <formula>NOT(ISERROR(SEARCH("Bug",G2)))</formula>
    </cfRule>
    <cfRule type="containsText" dxfId="2359" priority="15" operator="containsText" text="Fire">
      <formula>NOT(ISERROR(SEARCH("Fire",G2)))</formula>
    </cfRule>
    <cfRule type="containsText" dxfId="2358" priority="16" operator="containsText" text="Normal">
      <formula>NOT(ISERROR(SEARCH("Normal",G2)))</formula>
    </cfRule>
    <cfRule type="containsText" dxfId="2357" priority="17" operator="containsText" text="Psychic">
      <formula>NOT(ISERROR(SEARCH("Psychic",G2)))</formula>
    </cfRule>
    <cfRule type="containsText" dxfId="2356" priority="18" operator="containsText" text="Ghost">
      <formula>NOT(ISERROR(SEARCH("Ghost",G2)))</formula>
    </cfRule>
  </conditionalFormatting>
  <conditionalFormatting sqref="G2">
    <cfRule type="containsText" dxfId="2355" priority="1" operator="containsText" text="Fairy">
      <formula>NOT(ISERROR(SEARCH("Fairy",G2)))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80" id="{3780A7DC-349B-4F65-96AF-20E995566A37}">
            <x14:iconSet iconSet="3Triangles">
              <x14:cfvo type="percent">
                <xm:f>0</xm:f>
              </x14:cfvo>
              <x14:cfvo type="percentile">
                <xm:f>33</xm:f>
              </x14:cfvo>
              <x14:cfvo type="percentile">
                <xm:f>67</xm:f>
              </x14:cfvo>
            </x14:iconSet>
          </x14:cfRule>
          <xm:sqref>A3:A20</xm:sqref>
        </x14:conditionalFormatting>
        <x14:conditionalFormatting xmlns:xm="http://schemas.microsoft.com/office/excel/2006/main">
          <x14:cfRule type="iconSet" priority="79" id="{A98075AF-0099-493F-A291-D77E3412664E}">
            <x14:iconSet iconSet="3Triangles">
              <x14:cfvo type="percent">
                <xm:f>0</xm:f>
              </x14:cfvo>
              <x14:cfvo type="percentile" gte="0">
                <xm:f>33</xm:f>
              </x14:cfvo>
              <x14:cfvo type="percentile" gte="0">
                <xm:f>67</xm:f>
              </x14:cfvo>
            </x14:iconSet>
          </x14:cfRule>
          <xm:sqref>C1:T1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nalysisSheet"/>
  <dimension ref="B2:AC23"/>
  <sheetViews>
    <sheetView topLeftCell="F1" workbookViewId="0">
      <selection activeCell="W9" sqref="W9"/>
    </sheetView>
  </sheetViews>
  <sheetFormatPr defaultRowHeight="15" x14ac:dyDescent="0.25"/>
  <cols>
    <col min="13" max="13" width="18.28515625" customWidth="1"/>
    <col min="14" max="14" width="18" customWidth="1"/>
    <col min="15" max="16" width="16.28515625" customWidth="1"/>
    <col min="17" max="17" width="10.140625" customWidth="1"/>
    <col min="18" max="18" width="12" bestFit="1" customWidth="1"/>
    <col min="19" max="19" width="11.5703125" bestFit="1" customWidth="1"/>
    <col min="20" max="20" width="8.85546875" customWidth="1"/>
    <col min="21" max="21" width="10.28515625" customWidth="1"/>
    <col min="22" max="22" width="8.85546875" customWidth="1"/>
    <col min="23" max="23" width="12.140625" bestFit="1" customWidth="1"/>
    <col min="24" max="24" width="12.5703125" bestFit="1" customWidth="1"/>
    <col min="26" max="29" width="9.140625" hidden="1" customWidth="1"/>
  </cols>
  <sheetData>
    <row r="2" spans="2:29" ht="18.75" x14ac:dyDescent="0.25">
      <c r="B2" s="117" t="s">
        <v>168</v>
      </c>
      <c r="C2" s="118"/>
      <c r="D2" s="118"/>
      <c r="E2" s="119"/>
      <c r="F2" s="17"/>
      <c r="G2" s="116" t="s">
        <v>156</v>
      </c>
      <c r="H2" s="116"/>
      <c r="I2" s="116"/>
      <c r="J2" s="116"/>
      <c r="K2" s="116"/>
      <c r="L2" s="18"/>
      <c r="M2" s="128" t="s">
        <v>582</v>
      </c>
      <c r="N2" s="128"/>
      <c r="O2" s="128"/>
      <c r="P2" s="128"/>
      <c r="R2" s="116" t="s">
        <v>163</v>
      </c>
      <c r="S2" s="116"/>
      <c r="T2" s="116"/>
      <c r="U2" s="116"/>
      <c r="V2" s="116"/>
      <c r="W2" s="116"/>
      <c r="X2" s="116"/>
    </row>
    <row r="3" spans="2:29" ht="16.5" x14ac:dyDescent="0.25">
      <c r="B3" s="120"/>
      <c r="C3" s="121"/>
      <c r="D3" s="121"/>
      <c r="E3" s="122"/>
      <c r="F3" s="17"/>
      <c r="G3" s="127" t="s">
        <v>0</v>
      </c>
      <c r="H3" s="127"/>
      <c r="I3" s="45" t="s">
        <v>35</v>
      </c>
      <c r="J3" s="126" t="s">
        <v>1</v>
      </c>
      <c r="K3" s="126"/>
      <c r="L3" s="18"/>
      <c r="M3" s="45" t="s">
        <v>35</v>
      </c>
      <c r="N3" s="51" t="s">
        <v>170</v>
      </c>
      <c r="O3" s="51" t="s">
        <v>171</v>
      </c>
      <c r="P3" s="51" t="s">
        <v>581</v>
      </c>
      <c r="R3" s="47" t="s">
        <v>158</v>
      </c>
      <c r="S3" s="47" t="s">
        <v>159</v>
      </c>
      <c r="T3" s="47" t="s">
        <v>160</v>
      </c>
      <c r="U3" s="45" t="s">
        <v>35</v>
      </c>
      <c r="V3" s="47" t="s">
        <v>160</v>
      </c>
      <c r="W3" s="47" t="s">
        <v>161</v>
      </c>
      <c r="X3" s="47" t="s">
        <v>162</v>
      </c>
      <c r="Z3" t="s">
        <v>693</v>
      </c>
      <c r="AA3" t="s">
        <v>695</v>
      </c>
      <c r="AB3" t="s">
        <v>694</v>
      </c>
      <c r="AC3" t="s">
        <v>696</v>
      </c>
    </row>
    <row r="4" spans="2:29" x14ac:dyDescent="0.25">
      <c r="B4" s="120"/>
      <c r="C4" s="121"/>
      <c r="D4" s="121"/>
      <c r="E4" s="122"/>
      <c r="F4" s="17"/>
      <c r="G4" s="18"/>
      <c r="H4" s="41">
        <f>COUNTIF('Party Pkm'!$E:$E, Analysis!I4)</f>
        <v>0</v>
      </c>
      <c r="I4" s="44" t="str">
        <f>'Hidden Type Chart'!$A2</f>
        <v>Bug</v>
      </c>
      <c r="J4" s="43">
        <f>COUNTIFS('Party Pkm'!$P:$P, Analysis!I4, 'Party Pkm'!$Q:$Q, "&lt;&gt;Status")</f>
        <v>0</v>
      </c>
      <c r="K4" s="18"/>
      <c r="L4" s="18"/>
      <c r="M4" s="44" t="str">
        <f>'Hidden Type Chart'!$A2</f>
        <v>Bug</v>
      </c>
      <c r="N4" s="52">
        <f t="shared" ref="N4:N21" ca="1" si="0">V4-R4</f>
        <v>0</v>
      </c>
      <c r="O4" s="41">
        <f>COUNTIF(PokedexTable[Type One], M4) + COUNTIF(PokedexTable[Type Two], M4)</f>
        <v>0</v>
      </c>
      <c r="P4" s="41">
        <f>COUNTIF(MovedexTable[Type], M4)</f>
        <v>25</v>
      </c>
      <c r="Q4" s="18"/>
      <c r="R4" s="43">
        <f ca="1">INDIRECT("$H"&amp;MATCH(INDIRECT("'Hidden Type Chart'!$B"&amp;Z4),  $I$4:$I$22,0)+3)+INDIRECT("$H"&amp;MATCH(INDIRECT("'Hidden Type Chart'!$C"&amp;Z4), $I$4:$I$22,0)+3)+INDIRECT("$H"&amp;MATCH(INDIRECT("'Hidden Type Chart'!$D"&amp;Z4),  $I$4:$I$22,0)+3)+INDIRECT("$H"&amp;MATCH(INDIRECT("'Hidden Type Chart'!$E"&amp;Z4), $I$4:$I$22,0)+3)+INDIRECT("$H"&amp;MATCH(INDIRECT("'Hidden Type Chart'!$F"&amp;Z4),  $I$4:$I$22,0)+3)+INDIRECT("$H"&amp;MATCH(INDIRECT("'Hidden Type Chart'!$G"&amp;Z4), $I$4:$I$22,0)+3)+INDIRECT("$H"&amp;MATCH(INDIRECT("'Hidden Type Chart'!$H"&amp;Z4), $I$4:$I$22,0)+3)+INDIRECT("$H"&amp;MATCH(INDIRECT("'Hidden Type Chart'!$I"&amp;Z4),  $I$4:$I$22,0)+3)+INDIRECT("$H"&amp;MATCH(INDIRECT("'Hidden Type Chart'!$J"&amp;Z4), $I$4:$I$22,0)+3)+INDIRECT("$H"&amp;MATCH(INDIRECT("'Hidden Type Chart'!$K"&amp;Z4),  $I$4:$I$22,0)+3)+INDIRECT("$H"&amp;MATCH(INDIRECT("'Hidden Type Chart'!$L"&amp;Z4),  $I$4:$I$22,0)+3)</f>
        <v>0</v>
      </c>
      <c r="S4" s="43">
        <f t="shared" ref="S4:S19" ca="1" si="1">INDIRECT("$J"&amp;MATCH(INDIRECT("'Hidden Type Chart'!$B"&amp;AB4),  $I$4:$I$22,0)+3)+INDIRECT("$J"&amp;MATCH(INDIRECT("'Hidden Type Chart'!$C"&amp;AB4), $I$4:$I$22,0)+3)+INDIRECT("$J"&amp;MATCH(INDIRECT("'Hidden Type Chart'!$D"&amp;AB4),  $I$4:$I$22,0)+3)+INDIRECT("$J"&amp;MATCH(INDIRECT("'Hidden Type Chart'!$E"&amp;AB4), $I$4:$I$22,0)+3)+INDIRECT("$J"&amp;MATCH(INDIRECT("'Hidden Type Chart'!$F"&amp;AB4),  $I$4:$I$22,0)+3)+INDIRECT("$J"&amp;MATCH(INDIRECT("'Hidden Type Chart'!$G"&amp;AB4), $I$4:$I$22,0)+3)+INDIRECT("$J"&amp;MATCH(INDIRECT("'Hidden Type Chart'!$H"&amp;AB4), $I$4:$I$22,0)+3)+INDIRECT("$J"&amp;MATCH(INDIRECT("'Hidden Type Chart'!$I"&amp;AB4),  $I$4:$I$22,0)+3)+INDIRECT("$J"&amp;MATCH(INDIRECT("'Hidden Type Chart'!$J"&amp;AB4), $I$4:$I$22,0)+3)+INDIRECT("$J"&amp;MATCH(INDIRECT("'Hidden Type Chart'!$K"&amp;AB4),  $I$4:$I$22,0)+3)+INDIRECT("$J"&amp;MATCH(INDIRECT("'Hidden Type Chart'!$L"&amp;AB4),  $I$4:$I$22,0)+3)</f>
        <v>0</v>
      </c>
      <c r="T4" s="43">
        <f ca="1">R4+S4</f>
        <v>0</v>
      </c>
      <c r="U4" s="44" t="str">
        <f>'Hidden Type Chart'!$A2</f>
        <v>Bug</v>
      </c>
      <c r="V4" s="43">
        <f ca="1">W4+X4</f>
        <v>0</v>
      </c>
      <c r="W4" s="43">
        <f ca="1">INDIRECT("$J"&amp;MATCH(INDIRECT("'Hidden Type Chart'!$B"&amp;AA4), $I$4:$I$22,0)+3)+INDIRECT("$J"&amp;MATCH(INDIRECT("'Hidden Type Chart'!$C"&amp;AA4), $I$4:$I$22,0)+3)+INDIRECT("$J"&amp;MATCH(INDIRECT("'Hidden Type Chart'!$D"&amp;AA4),  $I$4:$I$22,0)+3)+INDIRECT("$J"&amp;MATCH(INDIRECT("'Hidden Type Chart'!$E"&amp;AA4), $I$4:$I$22,0)+3)+INDIRECT("$J"&amp;MATCH(INDIRECT("'Hidden Type Chart'!$F"&amp;AA4),  $I$4:$I$22,0)+3)+INDIRECT("$J"&amp;MATCH(INDIRECT("'Hidden Type Chart'!$G"&amp;AA4), $I$4:$I$22,0)+3)+INDIRECT("$J"&amp;MATCH(INDIRECT("'Hidden Type Chart'!$H"&amp;AA4), $I$4:$I$22,0)+3)+INDIRECT("$J"&amp;MATCH(INDIRECT("'Hidden Type Chart'!$I"&amp;AA4),  $I$4:$I$22,0)+3)+INDIRECT("$J"&amp;MATCH(INDIRECT("'Hidden Type Chart'!$J"&amp;AA4), $I$4:$I$22,0)+3)+INDIRECT("$J"&amp;MATCH(INDIRECT("'Hidden Type Chart'!$K"&amp;AA4),  $I$4:$I$22,0)+3)+INDIRECT("$J"&amp;MATCH(INDIRECT("'Hidden Type Chart'!$L"&amp;AA4),  $I$4:$I$22,0)+3)</f>
        <v>0</v>
      </c>
      <c r="X4" s="43">
        <f ca="1">INDIRECT("$H"&amp;MATCH(INDIRECT("'Hidden Type Chart'!$B"&amp;AC4),  $I$4:$I$22,0)+3)+INDIRECT("$H"&amp;MATCH(INDIRECT("'Hidden Type Chart'!$C"&amp;AC4), $I$4:$I$22,0)+3)+INDIRECT("$H"&amp;MATCH(INDIRECT("'Hidden Type Chart'!$D"&amp;AC4),  $I$4:$I$22,0)+3)+INDIRECT("$H"&amp;MATCH(INDIRECT("'Hidden Type Chart'!$E"&amp;AC4), $I$4:$I$22,0)+3)+INDIRECT("$H"&amp;MATCH(INDIRECT("'Hidden Type Chart'!$F"&amp;AC4),  $I$4:$I$22,0)+3)+INDIRECT("$H"&amp;MATCH(INDIRECT("'Hidden Type Chart'!$G"&amp;AC4), $I$4:$I$22,0)+3)+INDIRECT("$H"&amp;MATCH(INDIRECT("'Hidden Type Chart'!$H"&amp;AC4), $I$4:$I$22,0)+3)+INDIRECT("$H"&amp;MATCH(INDIRECT("'Hidden Type Chart'!$I"&amp;AC4),  $I$4:$I$22,0)+3)+INDIRECT("$H"&amp;MATCH(INDIRECT("'Hidden Type Chart'!$J"&amp;AC4), $I$4:$I$22,0)+3)+INDIRECT("$H"&amp;MATCH(INDIRECT("'Hidden Type Chart'!$K"&amp;AC4),  $I$4:$I$22,0)+3)+INDIRECT("$H"&amp;MATCH(INDIRECT("'Hidden Type Chart'!$L"&amp;AC4),  $I$4:$I$22,0)+3)</f>
        <v>0</v>
      </c>
      <c r="Z4">
        <v>22</v>
      </c>
      <c r="AA4">
        <v>42</v>
      </c>
      <c r="AB4">
        <v>62</v>
      </c>
      <c r="AC4">
        <v>82</v>
      </c>
    </row>
    <row r="5" spans="2:29" x14ac:dyDescent="0.25">
      <c r="B5" s="123"/>
      <c r="C5" s="124"/>
      <c r="D5" s="124"/>
      <c r="E5" s="125"/>
      <c r="F5" s="17"/>
      <c r="G5" s="18"/>
      <c r="H5" s="41">
        <f>COUNTIF('Party Pkm'!$E:$E, Analysis!I5)</f>
        <v>0</v>
      </c>
      <c r="I5" s="19" t="str">
        <f>'Hidden Type Chart'!$A3</f>
        <v>Dark</v>
      </c>
      <c r="J5" s="43">
        <f>COUNTIFS('Party Pkm'!$P:$P, Analysis!I5, 'Party Pkm'!$Q:$Q, "&lt;&gt;Status")</f>
        <v>0</v>
      </c>
      <c r="K5" s="18"/>
      <c r="L5" s="18"/>
      <c r="M5" s="19" t="str">
        <f>'Hidden Type Chart'!$A3</f>
        <v>Dark</v>
      </c>
      <c r="N5" s="52">
        <f t="shared" ca="1" si="0"/>
        <v>0</v>
      </c>
      <c r="O5" s="41">
        <f>COUNTIF(PokedexTable[Type One], M5) + COUNTIF(PokedexTable[Type Two], M5)</f>
        <v>0</v>
      </c>
      <c r="P5" s="41">
        <f>COUNTIF(MovedexTable[Type], M5)</f>
        <v>30</v>
      </c>
      <c r="Q5" s="18"/>
      <c r="R5" s="43">
        <f ca="1">INDIRECT("$H"&amp;MATCH(INDIRECT("'Hidden Type Chart'!$B"&amp;Z5),  $I$4:$I$22,0)+3)+INDIRECT("$H"&amp;MATCH(INDIRECT("'Hidden Type Chart'!$C"&amp;Z5), $I$4:$I$22,0)+3)+INDIRECT("$H"&amp;MATCH(INDIRECT("'Hidden Type Chart'!$D"&amp;Z5),  $I$4:$I$22,0)+3)+INDIRECT("$H"&amp;MATCH(INDIRECT("'Hidden Type Chart'!$E"&amp;Z5), $I$4:$I$22,0)+3)+INDIRECT("$H"&amp;MATCH(INDIRECT("'Hidden Type Chart'!$F"&amp;Z5),  $I$4:$I$22,0)+3)+INDIRECT("$H"&amp;MATCH(INDIRECT("'Hidden Type Chart'!$G"&amp;Z5), $I$4:$I$22,0)+3)+INDIRECT("$H"&amp;MATCH(INDIRECT("'Hidden Type Chart'!$H"&amp;Z5), $I$4:$I$22,0)+3)+INDIRECT("$H"&amp;MATCH(INDIRECT("'Hidden Type Chart'!$I"&amp;Z5),  $I$4:$I$22,0)+3)+INDIRECT("$H"&amp;MATCH(INDIRECT("'Hidden Type Chart'!$J"&amp;Z5), $I$4:$I$22,0)+3)+INDIRECT("$H"&amp;MATCH(INDIRECT("'Hidden Type Chart'!$K"&amp;Z5),  $I$4:$I$22,0)+3)+INDIRECT("$H"&amp;MATCH(INDIRECT("'Hidden Type Chart'!$L"&amp;Z5),  $I$4:$I$22,0)+3)</f>
        <v>0</v>
      </c>
      <c r="S5" s="43">
        <f t="shared" ca="1" si="1"/>
        <v>0</v>
      </c>
      <c r="T5" s="43">
        <f ca="1">R5+S5</f>
        <v>0</v>
      </c>
      <c r="U5" s="19" t="str">
        <f>'Hidden Type Chart'!$A3</f>
        <v>Dark</v>
      </c>
      <c r="V5" s="43">
        <f ca="1">W5+X5</f>
        <v>0</v>
      </c>
      <c r="W5" s="43">
        <f t="shared" ref="W5:W21" ca="1" si="2">INDIRECT("$J"&amp;MATCH(INDIRECT("'Hidden Type Chart'!$B"&amp;AA5), $I$4:$I$22,0)+3)+INDIRECT("$J"&amp;MATCH(INDIRECT("'Hidden Type Chart'!$C"&amp;AA5), $I$4:$I$22,0)+3)+INDIRECT("$J"&amp;MATCH(INDIRECT("'Hidden Type Chart'!$D"&amp;AA5),  $I$4:$I$22,0)+3)+INDIRECT("$J"&amp;MATCH(INDIRECT("'Hidden Type Chart'!$E"&amp;AA5), $I$4:$I$22,0)+3)+INDIRECT("$J"&amp;MATCH(INDIRECT("'Hidden Type Chart'!$F"&amp;AA5),  $I$4:$I$22,0)+3)+INDIRECT("$J"&amp;MATCH(INDIRECT("'Hidden Type Chart'!$G"&amp;AA5), $I$4:$I$22,0)+3)+INDIRECT("$J"&amp;MATCH(INDIRECT("'Hidden Type Chart'!$H"&amp;AA5), $I$4:$I$22,0)+3)+INDIRECT("$J"&amp;MATCH(INDIRECT("'Hidden Type Chart'!$I"&amp;AA5),  $I$4:$I$22,0)+3)+INDIRECT("$J"&amp;MATCH(INDIRECT("'Hidden Type Chart'!$J"&amp;AA5), $I$4:$I$22,0)+3)+INDIRECT("$J"&amp;MATCH(INDIRECT("'Hidden Type Chart'!$K"&amp;AA5),  $I$4:$I$22,0)+3)+INDIRECT("$J"&amp;MATCH(INDIRECT("'Hidden Type Chart'!$L"&amp;AA5),  $I$4:$I$22,0)+3)</f>
        <v>0</v>
      </c>
      <c r="X5" s="43">
        <f t="shared" ref="X5:X21" ca="1" si="3">INDIRECT("$H"&amp;MATCH(INDIRECT("'Hidden Type Chart'!$B"&amp;AC5),  $I$4:$I$22,0)+3)+INDIRECT("$H"&amp;MATCH(INDIRECT("'Hidden Type Chart'!$C"&amp;AC5), $I$4:$I$22,0)+3)+INDIRECT("$H"&amp;MATCH(INDIRECT("'Hidden Type Chart'!$D"&amp;AC5),  $I$4:$I$22,0)+3)+INDIRECT("$H"&amp;MATCH(INDIRECT("'Hidden Type Chart'!$E"&amp;AC5), $I$4:$I$22,0)+3)+INDIRECT("$H"&amp;MATCH(INDIRECT("'Hidden Type Chart'!$F"&amp;AC5),  $I$4:$I$22,0)+3)+INDIRECT("$H"&amp;MATCH(INDIRECT("'Hidden Type Chart'!$G"&amp;AC5), $I$4:$I$22,0)+3)+INDIRECT("$H"&amp;MATCH(INDIRECT("'Hidden Type Chart'!$H"&amp;AC5), $I$4:$I$22,0)+3)+INDIRECT("$H"&amp;MATCH(INDIRECT("'Hidden Type Chart'!$I"&amp;AC5),  $I$4:$I$22,0)+3)+INDIRECT("$H"&amp;MATCH(INDIRECT("'Hidden Type Chart'!$J"&amp;AC5), $I$4:$I$22,0)+3)+INDIRECT("$H"&amp;MATCH(INDIRECT("'Hidden Type Chart'!$K"&amp;AC5),  $I$4:$I$22,0)+3)+INDIRECT("$H"&amp;MATCH(INDIRECT("'Hidden Type Chart'!$L"&amp;AC5),  $I$4:$I$22,0)+3)</f>
        <v>0</v>
      </c>
      <c r="Z5">
        <v>23</v>
      </c>
      <c r="AA5">
        <v>43</v>
      </c>
      <c r="AB5">
        <v>63</v>
      </c>
      <c r="AC5">
        <v>83</v>
      </c>
    </row>
    <row r="6" spans="2:29" x14ac:dyDescent="0.25">
      <c r="B6" s="20"/>
      <c r="C6" s="20"/>
      <c r="D6" s="20"/>
      <c r="E6" s="20"/>
      <c r="F6" s="17"/>
      <c r="G6" s="18"/>
      <c r="H6" s="41">
        <f>COUNTIF('Party Pkm'!$E:$E, Analysis!I6)</f>
        <v>0</v>
      </c>
      <c r="I6" s="19" t="str">
        <f>'Hidden Type Chart'!$A4</f>
        <v>Dragon</v>
      </c>
      <c r="J6" s="43">
        <f>COUNTIFS('Party Pkm'!$P:$P, Analysis!I6, 'Party Pkm'!$Q:$Q, "&lt;&gt;Status")</f>
        <v>0</v>
      </c>
      <c r="K6" s="18"/>
      <c r="L6" s="18"/>
      <c r="M6" s="19" t="str">
        <f>'Hidden Type Chart'!$A4</f>
        <v>Dragon</v>
      </c>
      <c r="N6" s="52">
        <f t="shared" ca="1" si="0"/>
        <v>0</v>
      </c>
      <c r="O6" s="41">
        <f>COUNTIF(PokedexTable[Type One], M6) + COUNTIF(PokedexTable[Type Two], M6)</f>
        <v>0</v>
      </c>
      <c r="P6" s="41">
        <f>COUNTIF(MovedexTable[Type], M6)</f>
        <v>13</v>
      </c>
      <c r="Q6" s="18"/>
      <c r="R6" s="43">
        <f ca="1">INDIRECT("$H"&amp;MATCH(INDIRECT("'Hidden Type Chart'!$B"&amp;Z6),  $I$4:$I$22,0)+3)+INDIRECT("$H"&amp;MATCH(INDIRECT("'Hidden Type Chart'!$C"&amp;Z6), $I$4:$I$22,0)+3)+INDIRECT("$H"&amp;MATCH(INDIRECT("'Hidden Type Chart'!$D"&amp;Z6),  $I$4:$I$22,0)+3)+INDIRECT("$H"&amp;MATCH(INDIRECT("'Hidden Type Chart'!$E"&amp;Z6), $I$4:$I$22,0)+3)+INDIRECT("$H"&amp;MATCH(INDIRECT("'Hidden Type Chart'!$F"&amp;Z6),  $I$4:$I$22,0)+3)+INDIRECT("$H"&amp;MATCH(INDIRECT("'Hidden Type Chart'!$G"&amp;Z6), $I$4:$I$22,0)+3)+INDIRECT("$H"&amp;MATCH(INDIRECT("'Hidden Type Chart'!$H"&amp;Z6), $I$4:$I$22,0)+3)+INDIRECT("$H"&amp;MATCH(INDIRECT("'Hidden Type Chart'!$I"&amp;Z6),  $I$4:$I$22,0)+3)+INDIRECT("$H"&amp;MATCH(INDIRECT("'Hidden Type Chart'!$J"&amp;Z6), $I$4:$I$22,0)+3)+INDIRECT("$H"&amp;MATCH(INDIRECT("'Hidden Type Chart'!$K"&amp;Z6),  $I$4:$I$22,0)+3)+INDIRECT("$H"&amp;MATCH(INDIRECT("'Hidden Type Chart'!$L"&amp;Z6),  $I$4:$I$22,0)+3)</f>
        <v>0</v>
      </c>
      <c r="S6" s="43">
        <f t="shared" ca="1" si="1"/>
        <v>0</v>
      </c>
      <c r="T6" s="43">
        <f ca="1">R6+S6</f>
        <v>0</v>
      </c>
      <c r="U6" s="19" t="str">
        <f>'Hidden Type Chart'!$A4</f>
        <v>Dragon</v>
      </c>
      <c r="V6" s="43">
        <f ca="1">W6+X6</f>
        <v>0</v>
      </c>
      <c r="W6" s="43">
        <f t="shared" ca="1" si="2"/>
        <v>0</v>
      </c>
      <c r="X6" s="43">
        <f t="shared" ca="1" si="3"/>
        <v>0</v>
      </c>
      <c r="Z6">
        <v>24</v>
      </c>
      <c r="AA6">
        <v>44</v>
      </c>
      <c r="AB6">
        <v>64</v>
      </c>
      <c r="AC6">
        <v>84</v>
      </c>
    </row>
    <row r="7" spans="2:29" x14ac:dyDescent="0.25">
      <c r="B7" s="117" t="s">
        <v>36</v>
      </c>
      <c r="C7" s="118"/>
      <c r="D7" s="118"/>
      <c r="E7" s="119"/>
      <c r="F7" s="17"/>
      <c r="G7" s="18"/>
      <c r="H7" s="41">
        <f>COUNTIF('Party Pkm'!$E:$E, Analysis!I7)</f>
        <v>0</v>
      </c>
      <c r="I7" s="19" t="str">
        <f>'Hidden Type Chart'!$A5</f>
        <v>Electric</v>
      </c>
      <c r="J7" s="43">
        <f>COUNTIFS('Party Pkm'!$P:$P, Analysis!I7, 'Party Pkm'!$Q:$Q, "&lt;&gt;Status")</f>
        <v>0</v>
      </c>
      <c r="K7" s="18"/>
      <c r="L7" s="18"/>
      <c r="M7" s="19" t="str">
        <f>'Hidden Type Chart'!$A5</f>
        <v>Electric</v>
      </c>
      <c r="N7" s="52">
        <f t="shared" ca="1" si="0"/>
        <v>0</v>
      </c>
      <c r="O7" s="41">
        <f>COUNTIF(PokedexTable[Type One], M7) + COUNTIF(PokedexTable[Type Two], M7)</f>
        <v>0</v>
      </c>
      <c r="P7" s="41">
        <f>COUNTIF(MovedexTable[Type], M7)</f>
        <v>28</v>
      </c>
      <c r="Q7" s="18"/>
      <c r="R7" s="43">
        <f t="shared" ref="R7:R21" ca="1" si="4">INDIRECT("$H"&amp;MATCH(INDIRECT("'Hidden Type Chart'!$B"&amp;Z7),  $I$4:$I$22,0)+3)+INDIRECT("$H"&amp;MATCH(INDIRECT("'Hidden Type Chart'!$C"&amp;Z7), $I$4:$I$22,0)+3)+INDIRECT("$H"&amp;MATCH(INDIRECT("'Hidden Type Chart'!$D"&amp;Z7),  $I$4:$I$22,0)+3)+INDIRECT("$H"&amp;MATCH(INDIRECT("'Hidden Type Chart'!$E"&amp;Z7), $I$4:$I$22,0)+3)+INDIRECT("$H"&amp;MATCH(INDIRECT("'Hidden Type Chart'!$F"&amp;Z7),  $I$4:$I$22,0)+3)+INDIRECT("$H"&amp;MATCH(INDIRECT("'Hidden Type Chart'!$G"&amp;Z7), $I$4:$I$22,0)+3)+INDIRECT("$H"&amp;MATCH(INDIRECT("'Hidden Type Chart'!$H"&amp;Z7), $I$4:$I$22,0)+3)+INDIRECT("$H"&amp;MATCH(INDIRECT("'Hidden Type Chart'!$I"&amp;Z7),  $I$4:$I$22,0)+3)+INDIRECT("$H"&amp;MATCH(INDIRECT("'Hidden Type Chart'!$J"&amp;Z7), $I$4:$I$22,0)+3)+INDIRECT("$H"&amp;MATCH(INDIRECT("'Hidden Type Chart'!$K"&amp;Z7),  $I$4:$I$22,0)+3)+INDIRECT("$H"&amp;MATCH(INDIRECT("'Hidden Type Chart'!$L"&amp;Z7),  $I$4:$I$22,0)+3)</f>
        <v>0</v>
      </c>
      <c r="S7" s="43">
        <f t="shared" ca="1" si="1"/>
        <v>0</v>
      </c>
      <c r="T7" s="43">
        <f ca="1">R7+S7</f>
        <v>0</v>
      </c>
      <c r="U7" s="19" t="str">
        <f>'Hidden Type Chart'!$A5</f>
        <v>Electric</v>
      </c>
      <c r="V7" s="43">
        <f ca="1">W7+X7</f>
        <v>0</v>
      </c>
      <c r="W7" s="43">
        <f t="shared" ca="1" si="2"/>
        <v>0</v>
      </c>
      <c r="X7" s="43">
        <f t="shared" ca="1" si="3"/>
        <v>0</v>
      </c>
      <c r="Z7">
        <v>25</v>
      </c>
      <c r="AA7">
        <v>45</v>
      </c>
      <c r="AB7">
        <v>65</v>
      </c>
      <c r="AC7">
        <v>85</v>
      </c>
    </row>
    <row r="8" spans="2:29" x14ac:dyDescent="0.25">
      <c r="B8" s="120"/>
      <c r="C8" s="121"/>
      <c r="D8" s="121"/>
      <c r="E8" s="122"/>
      <c r="F8" s="30"/>
      <c r="G8" s="18"/>
      <c r="H8" s="41">
        <f>COUNTIF('Party Pkm'!$E:$E, Analysis!I8)</f>
        <v>0</v>
      </c>
      <c r="I8" s="3" t="s">
        <v>672</v>
      </c>
      <c r="J8" s="43">
        <f>COUNTIFS('Party Pkm'!$P:$P, Analysis!I8, 'Party Pkm'!$Q:$Q, "&lt;&gt;Status")</f>
        <v>0</v>
      </c>
      <c r="K8" s="18"/>
      <c r="L8" s="18"/>
      <c r="M8" s="3" t="s">
        <v>672</v>
      </c>
      <c r="N8" s="52">
        <f t="shared" ca="1" si="0"/>
        <v>0</v>
      </c>
      <c r="O8" s="41">
        <f>COUNTIF(PokedexTable[Type One], M8) + COUNTIF(PokedexTable[Type Two], M8)</f>
        <v>0</v>
      </c>
      <c r="P8" s="41">
        <f>COUNTIF(MovedexTable[Type], M8)</f>
        <v>16</v>
      </c>
      <c r="Q8" s="18"/>
      <c r="R8" s="43">
        <f t="shared" ca="1" si="4"/>
        <v>0</v>
      </c>
      <c r="S8" s="43">
        <f t="shared" ca="1" si="1"/>
        <v>0</v>
      </c>
      <c r="T8" s="43">
        <f ca="1">R8+S8</f>
        <v>0</v>
      </c>
      <c r="U8" s="3" t="s">
        <v>672</v>
      </c>
      <c r="V8" s="43">
        <f ca="1">W8+X8</f>
        <v>0</v>
      </c>
      <c r="W8" s="43">
        <f t="shared" ca="1" si="2"/>
        <v>0</v>
      </c>
      <c r="X8" s="43">
        <f t="shared" ca="1" si="3"/>
        <v>0</v>
      </c>
      <c r="Z8">
        <v>26</v>
      </c>
      <c r="AA8">
        <v>46</v>
      </c>
      <c r="AB8">
        <v>66</v>
      </c>
      <c r="AC8">
        <v>86</v>
      </c>
    </row>
    <row r="9" spans="2:29" x14ac:dyDescent="0.25">
      <c r="B9" s="120"/>
      <c r="C9" s="121"/>
      <c r="D9" s="121"/>
      <c r="E9" s="122"/>
      <c r="F9" s="17"/>
      <c r="G9" s="18"/>
      <c r="H9" s="41">
        <f>COUNTIF('Party Pkm'!$E:$E, Analysis!I9)</f>
        <v>0</v>
      </c>
      <c r="I9" s="19" t="str">
        <f>'Hidden Type Chart'!$A7</f>
        <v>Fighting</v>
      </c>
      <c r="J9" s="43">
        <f>COUNTIFS('Party Pkm'!$P:$P, Analysis!I9, 'Party Pkm'!$Q:$Q, "&lt;&gt;Status")</f>
        <v>0</v>
      </c>
      <c r="K9" s="18"/>
      <c r="L9" s="18"/>
      <c r="M9" s="19" t="str">
        <f>'Hidden Type Chart'!$A7</f>
        <v>Fighting</v>
      </c>
      <c r="N9" s="52">
        <f t="shared" ca="1" si="0"/>
        <v>0</v>
      </c>
      <c r="O9" s="41">
        <f>COUNTIF(PokedexTable[Type One], M9) + COUNTIF(PokedexTable[Type Two], M9)</f>
        <v>0</v>
      </c>
      <c r="P9" s="41">
        <f>COUNTIF(MovedexTable[Type], M9)</f>
        <v>41</v>
      </c>
      <c r="Q9" s="18"/>
      <c r="R9" s="43">
        <f t="shared" ca="1" si="4"/>
        <v>0</v>
      </c>
      <c r="S9" s="43">
        <f t="shared" ca="1" si="1"/>
        <v>0</v>
      </c>
      <c r="T9" s="43">
        <f t="shared" ref="T9:T21" ca="1" si="5">R9+S9</f>
        <v>0</v>
      </c>
      <c r="U9" s="19" t="str">
        <f>'Hidden Type Chart'!$A7</f>
        <v>Fighting</v>
      </c>
      <c r="V9" s="43">
        <f t="shared" ref="V9:V21" ca="1" si="6">W9+X9</f>
        <v>0</v>
      </c>
      <c r="W9" s="43">
        <f t="shared" ca="1" si="2"/>
        <v>0</v>
      </c>
      <c r="X9" s="43">
        <f t="shared" ca="1" si="3"/>
        <v>0</v>
      </c>
      <c r="Z9">
        <v>27</v>
      </c>
      <c r="AA9">
        <v>47</v>
      </c>
      <c r="AB9">
        <v>67</v>
      </c>
      <c r="AC9">
        <v>87</v>
      </c>
    </row>
    <row r="10" spans="2:29" x14ac:dyDescent="0.25">
      <c r="B10" s="120"/>
      <c r="C10" s="121"/>
      <c r="D10" s="121"/>
      <c r="E10" s="122"/>
      <c r="F10" s="17"/>
      <c r="G10" s="18"/>
      <c r="H10" s="41">
        <f>COUNTIF('Party Pkm'!$E:$E, Analysis!I10)</f>
        <v>0</v>
      </c>
      <c r="I10" s="19" t="str">
        <f>'Hidden Type Chart'!$A8</f>
        <v>Fire</v>
      </c>
      <c r="J10" s="43">
        <f>COUNTIFS('Party Pkm'!$P:$P, Analysis!I10, 'Party Pkm'!$Q:$Q, "&lt;&gt;Status")</f>
        <v>0</v>
      </c>
      <c r="K10" s="18"/>
      <c r="L10" s="18"/>
      <c r="M10" s="19" t="str">
        <f>'Hidden Type Chart'!$A8</f>
        <v>Fire</v>
      </c>
      <c r="N10" s="52">
        <f t="shared" ca="1" si="0"/>
        <v>0</v>
      </c>
      <c r="O10" s="41">
        <f>COUNTIF(PokedexTable[Type One], M10) + COUNTIF(PokedexTable[Type Two], M10)</f>
        <v>0</v>
      </c>
      <c r="P10" s="41">
        <f>COUNTIF(MovedexTable[Type], M10)</f>
        <v>30</v>
      </c>
      <c r="Q10" s="18"/>
      <c r="R10" s="43">
        <f t="shared" ca="1" si="4"/>
        <v>0</v>
      </c>
      <c r="S10" s="43">
        <f t="shared" ca="1" si="1"/>
        <v>0</v>
      </c>
      <c r="T10" s="43">
        <f t="shared" ca="1" si="5"/>
        <v>0</v>
      </c>
      <c r="U10" s="19" t="str">
        <f>'Hidden Type Chart'!$A8</f>
        <v>Fire</v>
      </c>
      <c r="V10" s="43">
        <f t="shared" ca="1" si="6"/>
        <v>0</v>
      </c>
      <c r="W10" s="43">
        <f t="shared" ca="1" si="2"/>
        <v>0</v>
      </c>
      <c r="X10" s="43">
        <f t="shared" ca="1" si="3"/>
        <v>0</v>
      </c>
      <c r="Z10">
        <v>28</v>
      </c>
      <c r="AA10">
        <v>48</v>
      </c>
      <c r="AB10">
        <v>68</v>
      </c>
      <c r="AC10">
        <v>88</v>
      </c>
    </row>
    <row r="11" spans="2:29" x14ac:dyDescent="0.25">
      <c r="B11" s="120"/>
      <c r="C11" s="121"/>
      <c r="D11" s="121"/>
      <c r="E11" s="122"/>
      <c r="F11" s="17"/>
      <c r="G11" s="18"/>
      <c r="H11" s="41">
        <f>COUNTIF('Party Pkm'!$E:$E, Analysis!I11)</f>
        <v>0</v>
      </c>
      <c r="I11" s="19" t="str">
        <f>'Hidden Type Chart'!$A9</f>
        <v>Flying</v>
      </c>
      <c r="J11" s="43">
        <f>COUNTIFS('Party Pkm'!$P:$P, Analysis!I11, 'Party Pkm'!$Q:$Q, "&lt;&gt;Status")</f>
        <v>0</v>
      </c>
      <c r="K11" s="18"/>
      <c r="L11" s="18"/>
      <c r="M11" s="19" t="str">
        <f>'Hidden Type Chart'!$A9</f>
        <v>Flying</v>
      </c>
      <c r="N11" s="52">
        <f t="shared" ca="1" si="0"/>
        <v>0</v>
      </c>
      <c r="O11" s="41">
        <f>COUNTIF(PokedexTable[Type One], M11) + COUNTIF(PokedexTable[Type Two], M11)</f>
        <v>0</v>
      </c>
      <c r="P11" s="41">
        <f>COUNTIF(MovedexTable[Type], M11)</f>
        <v>21</v>
      </c>
      <c r="Q11" s="18"/>
      <c r="R11" s="43">
        <f t="shared" ca="1" si="4"/>
        <v>0</v>
      </c>
      <c r="S11" s="43">
        <f t="shared" ca="1" si="1"/>
        <v>0</v>
      </c>
      <c r="T11" s="43">
        <f t="shared" ca="1" si="5"/>
        <v>0</v>
      </c>
      <c r="U11" s="19" t="str">
        <f>'Hidden Type Chart'!$A9</f>
        <v>Flying</v>
      </c>
      <c r="V11" s="43">
        <f t="shared" ca="1" si="6"/>
        <v>0</v>
      </c>
      <c r="W11" s="43">
        <f t="shared" ca="1" si="2"/>
        <v>0</v>
      </c>
      <c r="X11" s="43">
        <f t="shared" ca="1" si="3"/>
        <v>0</v>
      </c>
      <c r="Z11">
        <v>29</v>
      </c>
      <c r="AA11">
        <v>49</v>
      </c>
      <c r="AB11">
        <v>69</v>
      </c>
      <c r="AC11">
        <v>89</v>
      </c>
    </row>
    <row r="12" spans="2:29" x14ac:dyDescent="0.25">
      <c r="B12" s="120"/>
      <c r="C12" s="121"/>
      <c r="D12" s="121"/>
      <c r="E12" s="122"/>
      <c r="F12" s="17"/>
      <c r="G12" s="18"/>
      <c r="H12" s="41">
        <f>COUNTIF('Party Pkm'!$E:$E, Analysis!I12)</f>
        <v>0</v>
      </c>
      <c r="I12" s="19" t="str">
        <f>'Hidden Type Chart'!$A10</f>
        <v>Ghost</v>
      </c>
      <c r="J12" s="43">
        <f>COUNTIFS('Party Pkm'!$P:$P, Analysis!I12, 'Party Pkm'!$Q:$Q, "&lt;&gt;Status")</f>
        <v>0</v>
      </c>
      <c r="K12" s="18"/>
      <c r="L12" s="18"/>
      <c r="M12" s="19" t="str">
        <f>'Hidden Type Chart'!$A10</f>
        <v>Ghost</v>
      </c>
      <c r="N12" s="52">
        <f t="shared" ca="1" si="0"/>
        <v>0</v>
      </c>
      <c r="O12" s="41">
        <f>COUNTIF(PokedexTable[Type One], M12) + COUNTIF(PokedexTable[Type Two], M12)</f>
        <v>0</v>
      </c>
      <c r="P12" s="41">
        <f>COUNTIF(MovedexTable[Type], M12)</f>
        <v>18</v>
      </c>
      <c r="Q12" s="18"/>
      <c r="R12" s="43">
        <f t="shared" ca="1" si="4"/>
        <v>0</v>
      </c>
      <c r="S12" s="43">
        <f t="shared" ca="1" si="1"/>
        <v>0</v>
      </c>
      <c r="T12" s="43">
        <f t="shared" ca="1" si="5"/>
        <v>0</v>
      </c>
      <c r="U12" s="19" t="str">
        <f>'Hidden Type Chart'!$A10</f>
        <v>Ghost</v>
      </c>
      <c r="V12" s="43">
        <f t="shared" ca="1" si="6"/>
        <v>0</v>
      </c>
      <c r="W12" s="43">
        <f t="shared" ca="1" si="2"/>
        <v>0</v>
      </c>
      <c r="X12" s="43">
        <f t="shared" ca="1" si="3"/>
        <v>0</v>
      </c>
      <c r="Z12">
        <v>30</v>
      </c>
      <c r="AA12">
        <v>50</v>
      </c>
      <c r="AB12">
        <v>70</v>
      </c>
      <c r="AC12">
        <v>90</v>
      </c>
    </row>
    <row r="13" spans="2:29" x14ac:dyDescent="0.25">
      <c r="B13" s="120"/>
      <c r="C13" s="121"/>
      <c r="D13" s="121"/>
      <c r="E13" s="122"/>
      <c r="F13" s="17"/>
      <c r="G13" s="18"/>
      <c r="H13" s="41">
        <f>COUNTIF('Party Pkm'!$E:$E, Analysis!I13)</f>
        <v>0</v>
      </c>
      <c r="I13" s="19" t="str">
        <f>'Hidden Type Chart'!$A11</f>
        <v>Grass</v>
      </c>
      <c r="J13" s="43">
        <f>COUNTIFS('Party Pkm'!$P:$P, Analysis!I13, 'Party Pkm'!$Q:$Q, "&lt;&gt;Status")</f>
        <v>0</v>
      </c>
      <c r="K13" s="18"/>
      <c r="L13" s="18"/>
      <c r="M13" s="19" t="str">
        <f>'Hidden Type Chart'!$A11</f>
        <v>Grass</v>
      </c>
      <c r="N13" s="52">
        <f t="shared" ca="1" si="0"/>
        <v>0</v>
      </c>
      <c r="O13" s="41">
        <f>COUNTIF(PokedexTable[Type One], M13) + COUNTIF(PokedexTable[Type Two], M13)</f>
        <v>1</v>
      </c>
      <c r="P13" s="41">
        <f>COUNTIF(MovedexTable[Type], M13)</f>
        <v>37</v>
      </c>
      <c r="Q13" s="18"/>
      <c r="R13" s="43">
        <f t="shared" ca="1" si="4"/>
        <v>0</v>
      </c>
      <c r="S13" s="43">
        <f t="shared" ca="1" si="1"/>
        <v>0</v>
      </c>
      <c r="T13" s="43">
        <f t="shared" ca="1" si="5"/>
        <v>0</v>
      </c>
      <c r="U13" s="19" t="str">
        <f>'Hidden Type Chart'!$A11</f>
        <v>Grass</v>
      </c>
      <c r="V13" s="43">
        <f t="shared" ca="1" si="6"/>
        <v>0</v>
      </c>
      <c r="W13" s="43">
        <f t="shared" ca="1" si="2"/>
        <v>0</v>
      </c>
      <c r="X13" s="43">
        <f t="shared" ca="1" si="3"/>
        <v>0</v>
      </c>
      <c r="Z13">
        <v>31</v>
      </c>
      <c r="AA13">
        <v>51</v>
      </c>
      <c r="AB13">
        <v>71</v>
      </c>
      <c r="AC13">
        <v>91</v>
      </c>
    </row>
    <row r="14" spans="2:29" x14ac:dyDescent="0.25">
      <c r="B14" s="123"/>
      <c r="C14" s="124"/>
      <c r="D14" s="124"/>
      <c r="E14" s="125"/>
      <c r="F14" s="17"/>
      <c r="G14" s="18"/>
      <c r="H14" s="41">
        <f>COUNTIF('Party Pkm'!$E:$E, Analysis!I14)</f>
        <v>0</v>
      </c>
      <c r="I14" s="19" t="str">
        <f>'Hidden Type Chart'!$A12</f>
        <v>Ground</v>
      </c>
      <c r="J14" s="43">
        <f>COUNTIFS('Party Pkm'!$P:$P, Analysis!I14, 'Party Pkm'!$Q:$Q, "&lt;&gt;Status")</f>
        <v>0</v>
      </c>
      <c r="K14" s="18"/>
      <c r="L14" s="18"/>
      <c r="M14" s="19" t="str">
        <f>'Hidden Type Chart'!$A12</f>
        <v>Ground</v>
      </c>
      <c r="N14" s="52">
        <f t="shared" ca="1" si="0"/>
        <v>0</v>
      </c>
      <c r="O14" s="41">
        <f>COUNTIF(PokedexTable[Type One], M14) + COUNTIF(PokedexTable[Type Two], M14)</f>
        <v>0</v>
      </c>
      <c r="P14" s="41">
        <f>COUNTIF(MovedexTable[Type], M14)</f>
        <v>19</v>
      </c>
      <c r="Q14" s="18"/>
      <c r="R14" s="43">
        <f t="shared" ca="1" si="4"/>
        <v>0</v>
      </c>
      <c r="S14" s="43">
        <f t="shared" ca="1" si="1"/>
        <v>0</v>
      </c>
      <c r="T14" s="43">
        <f t="shared" ca="1" si="5"/>
        <v>0</v>
      </c>
      <c r="U14" s="19" t="str">
        <f>'Hidden Type Chart'!$A12</f>
        <v>Ground</v>
      </c>
      <c r="V14" s="43">
        <f t="shared" ca="1" si="6"/>
        <v>0</v>
      </c>
      <c r="W14" s="43">
        <f t="shared" ca="1" si="2"/>
        <v>0</v>
      </c>
      <c r="X14" s="43">
        <f t="shared" ca="1" si="3"/>
        <v>0</v>
      </c>
      <c r="Z14">
        <v>32</v>
      </c>
      <c r="AA14">
        <v>52</v>
      </c>
      <c r="AB14">
        <v>72</v>
      </c>
      <c r="AC14">
        <v>92</v>
      </c>
    </row>
    <row r="15" spans="2:29" x14ac:dyDescent="0.25">
      <c r="B15" s="18"/>
      <c r="C15" s="18"/>
      <c r="D15" s="18"/>
      <c r="E15" s="18"/>
      <c r="F15" s="17"/>
      <c r="G15" s="18"/>
      <c r="H15" s="41">
        <f>COUNTIF('Party Pkm'!$E:$E, Analysis!I15)</f>
        <v>0</v>
      </c>
      <c r="I15" s="19" t="str">
        <f>'Hidden Type Chart'!$A13</f>
        <v>Ice</v>
      </c>
      <c r="J15" s="43">
        <f>COUNTIFS('Party Pkm'!$P:$P, Analysis!I15, 'Party Pkm'!$Q:$Q, "&lt;&gt;Status")</f>
        <v>0</v>
      </c>
      <c r="K15" s="18"/>
      <c r="L15" s="18"/>
      <c r="M15" s="19" t="str">
        <f>'Hidden Type Chart'!$A13</f>
        <v>Ice</v>
      </c>
      <c r="N15" s="52">
        <f t="shared" ca="1" si="0"/>
        <v>0</v>
      </c>
      <c r="O15" s="41">
        <f>COUNTIF(PokedexTable[Type One], M15) + COUNTIF(PokedexTable[Type Two], M15)</f>
        <v>0</v>
      </c>
      <c r="P15" s="41">
        <f>COUNTIF(MovedexTable[Type], M15)</f>
        <v>21</v>
      </c>
      <c r="Q15" s="18"/>
      <c r="R15" s="43">
        <f t="shared" ca="1" si="4"/>
        <v>0</v>
      </c>
      <c r="S15" s="43">
        <f t="shared" ca="1" si="1"/>
        <v>0</v>
      </c>
      <c r="T15" s="43">
        <f t="shared" ca="1" si="5"/>
        <v>0</v>
      </c>
      <c r="U15" s="19" t="str">
        <f>'Hidden Type Chart'!$A13</f>
        <v>Ice</v>
      </c>
      <c r="V15" s="43">
        <f t="shared" ca="1" si="6"/>
        <v>0</v>
      </c>
      <c r="W15" s="43">
        <f t="shared" ca="1" si="2"/>
        <v>0</v>
      </c>
      <c r="X15" s="43">
        <f t="shared" ca="1" si="3"/>
        <v>0</v>
      </c>
      <c r="Z15">
        <v>33</v>
      </c>
      <c r="AA15">
        <v>53</v>
      </c>
      <c r="AB15">
        <v>73</v>
      </c>
      <c r="AC15">
        <v>93</v>
      </c>
    </row>
    <row r="16" spans="2:29" ht="15" customHeight="1" x14ac:dyDescent="0.25">
      <c r="B16" s="117" t="s">
        <v>169</v>
      </c>
      <c r="C16" s="118"/>
      <c r="D16" s="118"/>
      <c r="E16" s="119"/>
      <c r="F16" s="17"/>
      <c r="G16" s="18"/>
      <c r="H16" s="41">
        <f>COUNTIF('Party Pkm'!$E:$E, Analysis!I16)</f>
        <v>0</v>
      </c>
      <c r="I16" s="19" t="str">
        <f>'Hidden Type Chart'!$A14</f>
        <v>Normal</v>
      </c>
      <c r="J16" s="43">
        <f>COUNTIFS('Party Pkm'!$P:$P, Analysis!I16, 'Party Pkm'!$Q:$Q, "&lt;&gt;Status")</f>
        <v>0</v>
      </c>
      <c r="K16" s="18"/>
      <c r="L16" s="18"/>
      <c r="M16" s="19" t="str">
        <f>'Hidden Type Chart'!$A14</f>
        <v>Normal</v>
      </c>
      <c r="N16" s="52">
        <f t="shared" ca="1" si="0"/>
        <v>0</v>
      </c>
      <c r="O16" s="41">
        <f>COUNTIF(PokedexTable[Type One], M16) + COUNTIF(PokedexTable[Type Two], M16)</f>
        <v>0</v>
      </c>
      <c r="P16" s="41">
        <f>COUNTIF(MovedexTable[Type], M16)</f>
        <v>170</v>
      </c>
      <c r="Q16" s="18"/>
      <c r="R16" s="43">
        <f t="shared" ca="1" si="4"/>
        <v>0</v>
      </c>
      <c r="S16" s="43">
        <f t="shared" ca="1" si="1"/>
        <v>0</v>
      </c>
      <c r="T16" s="43">
        <f t="shared" ca="1" si="5"/>
        <v>0</v>
      </c>
      <c r="U16" s="19" t="str">
        <f>'Hidden Type Chart'!$A14</f>
        <v>Normal</v>
      </c>
      <c r="V16" s="43">
        <f t="shared" ca="1" si="6"/>
        <v>0</v>
      </c>
      <c r="W16" s="43">
        <f t="shared" ca="1" si="2"/>
        <v>0</v>
      </c>
      <c r="X16" s="43">
        <f t="shared" ca="1" si="3"/>
        <v>0</v>
      </c>
      <c r="Z16">
        <v>34</v>
      </c>
      <c r="AA16">
        <v>54</v>
      </c>
      <c r="AB16">
        <v>74</v>
      </c>
      <c r="AC16">
        <v>94</v>
      </c>
    </row>
    <row r="17" spans="2:29" x14ac:dyDescent="0.25">
      <c r="B17" s="120"/>
      <c r="C17" s="121"/>
      <c r="D17" s="121"/>
      <c r="E17" s="122"/>
      <c r="F17" s="17"/>
      <c r="G17" s="18"/>
      <c r="H17" s="41">
        <f>COUNTIF('Party Pkm'!$E:$E, Analysis!I17)</f>
        <v>0</v>
      </c>
      <c r="I17" s="19" t="str">
        <f>'Hidden Type Chart'!$A15</f>
        <v>Poison</v>
      </c>
      <c r="J17" s="43">
        <f>COUNTIFS('Party Pkm'!$P:$P, Analysis!I17, 'Party Pkm'!$Q:$Q, "&lt;&gt;Status")</f>
        <v>0</v>
      </c>
      <c r="K17" s="18"/>
      <c r="L17" s="18"/>
      <c r="M17" s="19" t="str">
        <f>'Hidden Type Chart'!$A15</f>
        <v>Poison</v>
      </c>
      <c r="N17" s="52">
        <f t="shared" ca="1" si="0"/>
        <v>0</v>
      </c>
      <c r="O17" s="41">
        <f>COUNTIF(PokedexTable[Type One], M17) + COUNTIF(PokedexTable[Type Two], M17)</f>
        <v>0</v>
      </c>
      <c r="P17" s="41">
        <f>COUNTIF(MovedexTable[Type], M17)</f>
        <v>23</v>
      </c>
      <c r="Q17" s="18"/>
      <c r="R17" s="43">
        <f t="shared" ca="1" si="4"/>
        <v>0</v>
      </c>
      <c r="S17" s="43">
        <f t="shared" ca="1" si="1"/>
        <v>0</v>
      </c>
      <c r="T17" s="43">
        <f t="shared" ca="1" si="5"/>
        <v>0</v>
      </c>
      <c r="U17" s="19" t="str">
        <f>'Hidden Type Chart'!$A15</f>
        <v>Poison</v>
      </c>
      <c r="V17" s="43">
        <f t="shared" ca="1" si="6"/>
        <v>0</v>
      </c>
      <c r="W17" s="43">
        <f t="shared" ca="1" si="2"/>
        <v>0</v>
      </c>
      <c r="X17" s="43">
        <f t="shared" ca="1" si="3"/>
        <v>0</v>
      </c>
      <c r="Z17">
        <v>35</v>
      </c>
      <c r="AA17">
        <v>55</v>
      </c>
      <c r="AB17">
        <v>75</v>
      </c>
      <c r="AC17">
        <v>95</v>
      </c>
    </row>
    <row r="18" spans="2:29" x14ac:dyDescent="0.25">
      <c r="B18" s="120"/>
      <c r="C18" s="121"/>
      <c r="D18" s="121"/>
      <c r="E18" s="122"/>
      <c r="F18" s="17"/>
      <c r="G18" s="18"/>
      <c r="H18" s="41">
        <f>COUNTIF('Party Pkm'!$E:$E, Analysis!I18)</f>
        <v>0</v>
      </c>
      <c r="I18" s="19" t="str">
        <f>'Hidden Type Chart'!$A16</f>
        <v>Psychic</v>
      </c>
      <c r="J18" s="43">
        <f>COUNTIFS('Party Pkm'!$P:$P, Analysis!I18, 'Party Pkm'!$Q:$Q, "&lt;&gt;Status")</f>
        <v>0</v>
      </c>
      <c r="K18" s="18"/>
      <c r="L18" s="18"/>
      <c r="M18" s="19" t="str">
        <f>'Hidden Type Chart'!$A16</f>
        <v>Psychic</v>
      </c>
      <c r="N18" s="52">
        <f t="shared" ca="1" si="0"/>
        <v>0</v>
      </c>
      <c r="O18" s="41">
        <f>COUNTIF(PokedexTable[Type One], M18) + COUNTIF(PokedexTable[Type Two], M18)</f>
        <v>0</v>
      </c>
      <c r="P18" s="41">
        <f>COUNTIF(MovedexTable[Type], M18)</f>
        <v>53</v>
      </c>
      <c r="Q18" s="18"/>
      <c r="R18" s="43">
        <f t="shared" ca="1" si="4"/>
        <v>0</v>
      </c>
      <c r="S18" s="43">
        <f t="shared" ca="1" si="1"/>
        <v>0</v>
      </c>
      <c r="T18" s="43">
        <f t="shared" ca="1" si="5"/>
        <v>0</v>
      </c>
      <c r="U18" s="19" t="str">
        <f>'Hidden Type Chart'!$A16</f>
        <v>Psychic</v>
      </c>
      <c r="V18" s="43">
        <f t="shared" ca="1" si="6"/>
        <v>0</v>
      </c>
      <c r="W18" s="43">
        <f t="shared" ca="1" si="2"/>
        <v>0</v>
      </c>
      <c r="X18" s="43">
        <f t="shared" ca="1" si="3"/>
        <v>0</v>
      </c>
      <c r="Z18">
        <v>36</v>
      </c>
      <c r="AA18">
        <v>56</v>
      </c>
      <c r="AB18">
        <v>76</v>
      </c>
      <c r="AC18">
        <v>96</v>
      </c>
    </row>
    <row r="19" spans="2:29" x14ac:dyDescent="0.25">
      <c r="B19" s="120"/>
      <c r="C19" s="121"/>
      <c r="D19" s="121"/>
      <c r="E19" s="122"/>
      <c r="F19" s="17"/>
      <c r="G19" s="18"/>
      <c r="H19" s="41">
        <f>COUNTIF('Party Pkm'!$E:$E, Analysis!I19)</f>
        <v>0</v>
      </c>
      <c r="I19" s="19" t="str">
        <f>'Hidden Type Chart'!$A17</f>
        <v>Rock</v>
      </c>
      <c r="J19" s="43">
        <f>COUNTIFS('Party Pkm'!$P:$P, Analysis!I19, 'Party Pkm'!$Q:$Q, "&lt;&gt;Status")</f>
        <v>0</v>
      </c>
      <c r="K19" s="18"/>
      <c r="L19" s="18"/>
      <c r="M19" s="19" t="str">
        <f>'Hidden Type Chart'!$A17</f>
        <v>Rock</v>
      </c>
      <c r="N19" s="52">
        <f t="shared" ca="1" si="0"/>
        <v>0</v>
      </c>
      <c r="O19" s="41">
        <f>COUNTIF(PokedexTable[Type One], M19) + COUNTIF(PokedexTable[Type Two], M19)</f>
        <v>0</v>
      </c>
      <c r="P19" s="41">
        <f>COUNTIF(MovedexTable[Type], M19)</f>
        <v>15</v>
      </c>
      <c r="Q19" s="18"/>
      <c r="R19" s="43">
        <f t="shared" ca="1" si="4"/>
        <v>0</v>
      </c>
      <c r="S19" s="43">
        <f t="shared" ca="1" si="1"/>
        <v>0</v>
      </c>
      <c r="T19" s="43">
        <f t="shared" ca="1" si="5"/>
        <v>0</v>
      </c>
      <c r="U19" s="19" t="str">
        <f>'Hidden Type Chart'!$A17</f>
        <v>Rock</v>
      </c>
      <c r="V19" s="43">
        <f t="shared" ca="1" si="6"/>
        <v>0</v>
      </c>
      <c r="W19" s="43">
        <f t="shared" ca="1" si="2"/>
        <v>0</v>
      </c>
      <c r="X19" s="43">
        <f t="shared" ca="1" si="3"/>
        <v>0</v>
      </c>
      <c r="Z19">
        <v>37</v>
      </c>
      <c r="AA19">
        <v>57</v>
      </c>
      <c r="AB19">
        <v>77</v>
      </c>
      <c r="AC19">
        <v>97</v>
      </c>
    </row>
    <row r="20" spans="2:29" x14ac:dyDescent="0.25">
      <c r="B20" s="120"/>
      <c r="C20" s="121"/>
      <c r="D20" s="121"/>
      <c r="E20" s="122"/>
      <c r="F20" s="17"/>
      <c r="G20" s="18"/>
      <c r="H20" s="41">
        <f>COUNTIF('Party Pkm'!$E:$E, Analysis!I20)</f>
        <v>0</v>
      </c>
      <c r="I20" s="19" t="str">
        <f>'Hidden Type Chart'!$A18</f>
        <v>Steel</v>
      </c>
      <c r="J20" s="43">
        <f>COUNTIFS('Party Pkm'!$P:$P, Analysis!I20, 'Party Pkm'!$Q:$Q, "&lt;&gt;Status")</f>
        <v>0</v>
      </c>
      <c r="K20" s="18"/>
      <c r="L20" s="18"/>
      <c r="M20" s="19" t="str">
        <f>'Hidden Type Chart'!$A18</f>
        <v>Steel</v>
      </c>
      <c r="N20" s="52">
        <f t="shared" ca="1" si="0"/>
        <v>0</v>
      </c>
      <c r="O20" s="41">
        <f>COUNTIF(PokedexTable[Type One], M20) + COUNTIF(PokedexTable[Type Two], M20)</f>
        <v>0</v>
      </c>
      <c r="P20" s="41">
        <f>COUNTIF(MovedexTable[Type], M20)</f>
        <v>19</v>
      </c>
      <c r="Q20" s="18"/>
      <c r="R20" s="43">
        <f t="shared" ca="1" si="4"/>
        <v>0</v>
      </c>
      <c r="S20" s="43">
        <f ca="1">INDIRECT("$J"&amp;MATCH(INDIRECT("'Hidden Type Chart'!$B"&amp;AB20),  $I$4:$I$22,0)+3)+INDIRECT("$J"&amp;MATCH(INDIRECT("'Hidden Type Chart'!$C"&amp;AB20), $I$4:$I$22,0)+3)+INDIRECT("$J"&amp;MATCH(INDIRECT("'Hidden Type Chart'!$D"&amp;AB20),  $I$4:$I$22,0)+3)+INDIRECT("$J"&amp;MATCH(INDIRECT("'Hidden Type Chart'!$E"&amp;AB20), $I$4:$I$22,0)+3)+INDIRECT("$J"&amp;MATCH(INDIRECT("'Hidden Type Chart'!$F"&amp;AB20),  $I$4:$I$22,0)+3)+INDIRECT("$J"&amp;MATCH(INDIRECT("'Hidden Type Chart'!$G"&amp;AB20), $I$4:$I$22,0)+3)+INDIRECT("$J"&amp;MATCH(INDIRECT("'Hidden Type Chart'!$H"&amp;AB20), $I$4:$I$22,0)+3)+INDIRECT("$J"&amp;MATCH(INDIRECT("'Hidden Type Chart'!$I"&amp;AB20),  $I$4:$I$22,0)+3)+INDIRECT("$J"&amp;MATCH(INDIRECT("'Hidden Type Chart'!$J"&amp;AB20), $I$4:$I$22,0)+3)+INDIRECT("$J"&amp;MATCH(INDIRECT("'Hidden Type Chart'!$K"&amp;AB20),  $I$4:$I$22,0)+3)+INDIRECT("$J"&amp;MATCH(INDIRECT("'Hidden Type Chart'!$L"&amp;AB20),  $I$4:$I$22,0)+3)</f>
        <v>0</v>
      </c>
      <c r="T20" s="43">
        <f t="shared" ca="1" si="5"/>
        <v>0</v>
      </c>
      <c r="U20" s="19" t="str">
        <f>'Hidden Type Chart'!$A18</f>
        <v>Steel</v>
      </c>
      <c r="V20" s="43">
        <f t="shared" ca="1" si="6"/>
        <v>0</v>
      </c>
      <c r="W20" s="43">
        <f t="shared" ca="1" si="2"/>
        <v>0</v>
      </c>
      <c r="X20" s="43">
        <f t="shared" ca="1" si="3"/>
        <v>0</v>
      </c>
      <c r="Z20">
        <v>38</v>
      </c>
      <c r="AA20">
        <v>58</v>
      </c>
      <c r="AB20">
        <v>78</v>
      </c>
      <c r="AC20">
        <v>98</v>
      </c>
    </row>
    <row r="21" spans="2:29" x14ac:dyDescent="0.25">
      <c r="B21" s="123"/>
      <c r="C21" s="124"/>
      <c r="D21" s="124"/>
      <c r="E21" s="125"/>
      <c r="F21" s="17"/>
      <c r="G21" s="18"/>
      <c r="H21" s="41">
        <f>COUNTIF('Party Pkm'!$E:$E, Analysis!I21)</f>
        <v>0</v>
      </c>
      <c r="I21" s="19" t="str">
        <f>'Hidden Type Chart'!$A19</f>
        <v>Water</v>
      </c>
      <c r="J21" s="43">
        <f>COUNTIFS('Party Pkm'!$P:$P, Analysis!I21, 'Party Pkm'!$Q:$Q, "&lt;&gt;Status")</f>
        <v>0</v>
      </c>
      <c r="K21" s="18"/>
      <c r="L21" s="18"/>
      <c r="M21" s="19" t="str">
        <f>'Hidden Type Chart'!$A19</f>
        <v>Water</v>
      </c>
      <c r="N21" s="52">
        <f t="shared" ca="1" si="0"/>
        <v>0</v>
      </c>
      <c r="O21" s="41">
        <f>COUNTIF(PokedexTable[Type One], M21) + COUNTIF(PokedexTable[Type Two], M21)</f>
        <v>0</v>
      </c>
      <c r="P21" s="41">
        <f>COUNTIF(MovedexTable[Type], M21)</f>
        <v>27</v>
      </c>
      <c r="Q21" s="18"/>
      <c r="R21" s="43">
        <f t="shared" ca="1" si="4"/>
        <v>0</v>
      </c>
      <c r="S21" s="43">
        <f ca="1">INDIRECT("$J"&amp;MATCH(INDIRECT("'Hidden Type Chart'!$B"&amp;AB21),  $I$4:$I$22,0)+3)+INDIRECT("$J"&amp;MATCH(INDIRECT("'Hidden Type Chart'!$C"&amp;AB21), $I$4:$I$22,0)+3)+INDIRECT("$J"&amp;MATCH(INDIRECT("'Hidden Type Chart'!$D"&amp;AB21),  $I$4:$I$22,0)+3)+INDIRECT("$J"&amp;MATCH(INDIRECT("'Hidden Type Chart'!$E"&amp;AB21), $I$4:$I$22,0)+3)+INDIRECT("$J"&amp;MATCH(INDIRECT("'Hidden Type Chart'!$F"&amp;AB21),  $I$4:$I$22,0)+3)+INDIRECT("$J"&amp;MATCH(INDIRECT("'Hidden Type Chart'!$G"&amp;AB21), $I$4:$I$22,0)+3)+INDIRECT("$J"&amp;MATCH(INDIRECT("'Hidden Type Chart'!$H"&amp;AB21), $I$4:$I$22,0)+3)+INDIRECT("$J"&amp;MATCH(INDIRECT("'Hidden Type Chart'!$I"&amp;AB21),  $I$4:$I$22,0)+3)+INDIRECT("$J"&amp;MATCH(INDIRECT("'Hidden Type Chart'!$J"&amp;AB21), $I$4:$I$22,0)+3)+INDIRECT("$J"&amp;MATCH(INDIRECT("'Hidden Type Chart'!$K"&amp;AB21),  $I$4:$I$22,0)+3)+INDIRECT("$J"&amp;MATCH(INDIRECT("'Hidden Type Chart'!$L"&amp;AB21),  $I$4:$I$22,0)+3)</f>
        <v>0</v>
      </c>
      <c r="T21" s="43">
        <f t="shared" ca="1" si="5"/>
        <v>0</v>
      </c>
      <c r="U21" s="19" t="str">
        <f>'Hidden Type Chart'!$A19</f>
        <v>Water</v>
      </c>
      <c r="V21" s="43">
        <f t="shared" ca="1" si="6"/>
        <v>0</v>
      </c>
      <c r="W21" s="43">
        <f t="shared" ca="1" si="2"/>
        <v>0</v>
      </c>
      <c r="X21" s="43">
        <f t="shared" ca="1" si="3"/>
        <v>0</v>
      </c>
      <c r="Z21">
        <v>39</v>
      </c>
      <c r="AA21">
        <v>59</v>
      </c>
      <c r="AB21">
        <v>79</v>
      </c>
      <c r="AC21">
        <v>99</v>
      </c>
    </row>
    <row r="22" spans="2:29" x14ac:dyDescent="0.25">
      <c r="F22" s="17"/>
      <c r="G22" s="18"/>
      <c r="H22" s="41">
        <f>COUNTIF('Party Pkm'!$E:$E, Analysis!I22)</f>
        <v>0</v>
      </c>
      <c r="I22" s="19" t="s">
        <v>157</v>
      </c>
      <c r="J22" s="43">
        <f>COUNTIFS('Party Pkm'!$P:$P, Analysis!I22, 'Party Pkm'!$Q:$Q, "&lt;&gt;Status")</f>
        <v>0</v>
      </c>
      <c r="K22" s="18"/>
      <c r="L22" s="18"/>
      <c r="M22" s="49" t="s">
        <v>160</v>
      </c>
      <c r="N22" s="52">
        <f ca="1">SUM(N4:N21)</f>
        <v>0</v>
      </c>
      <c r="O22" s="48"/>
      <c r="P22" s="48"/>
      <c r="Q22" s="18"/>
      <c r="R22" s="18"/>
      <c r="U22" s="19" t="str">
        <f>'Hidden Type Chart'!$A20</f>
        <v>--</v>
      </c>
      <c r="V22" s="18"/>
      <c r="W22" s="18"/>
    </row>
    <row r="23" spans="2:29" x14ac:dyDescent="0.25">
      <c r="F23" s="17"/>
      <c r="G23" s="18"/>
      <c r="I23" s="18"/>
      <c r="J23" s="18"/>
      <c r="K23" s="18"/>
      <c r="L23" s="18"/>
      <c r="M23" s="18"/>
      <c r="N23" s="18"/>
      <c r="O23" s="18"/>
      <c r="P23" s="18"/>
      <c r="Q23" s="18"/>
      <c r="R23" s="18"/>
      <c r="S23" s="18"/>
      <c r="T23" s="18"/>
      <c r="U23" s="18"/>
      <c r="V23" s="18"/>
    </row>
  </sheetData>
  <sortState ref="M4:N20">
    <sortCondition ref="M4"/>
  </sortState>
  <mergeCells count="8">
    <mergeCell ref="R2:X2"/>
    <mergeCell ref="B2:E5"/>
    <mergeCell ref="B7:E14"/>
    <mergeCell ref="B16:E21"/>
    <mergeCell ref="G2:K2"/>
    <mergeCell ref="J3:K3"/>
    <mergeCell ref="G3:H3"/>
    <mergeCell ref="M2:P2"/>
  </mergeCells>
  <conditionalFormatting sqref="J3 G3 I4:I7 I9:I22">
    <cfRule type="containsText" dxfId="2354" priority="168" operator="containsText" text="Water">
      <formula>NOT(ISERROR(SEARCH("Water",G3)))</formula>
    </cfRule>
    <cfRule type="containsText" dxfId="2353" priority="169" operator="containsText" text="Steel">
      <formula>NOT(ISERROR(SEARCH("Steel",G3)))</formula>
    </cfRule>
    <cfRule type="containsText" dxfId="2352" priority="170" operator="containsText" text="Rock">
      <formula>NOT(ISERROR(SEARCH("Rock",G3)))</formula>
    </cfRule>
    <cfRule type="containsText" dxfId="2351" priority="171" operator="containsText" text="Ice">
      <formula>NOT(ISERROR(SEARCH("Ice",G3)))</formula>
    </cfRule>
    <cfRule type="containsText" dxfId="2350" priority="172" operator="containsText" text="Ground">
      <formula>NOT(ISERROR(SEARCH("Ground",G3)))</formula>
    </cfRule>
    <cfRule type="containsText" dxfId="2349" priority="173" operator="containsText" text="Grass">
      <formula>NOT(ISERROR(SEARCH("Grass",G3)))</formula>
    </cfRule>
    <cfRule type="containsText" dxfId="2348" priority="174" operator="containsText" text="Poison">
      <formula>NOT(ISERROR(SEARCH("Poison",G3)))</formula>
    </cfRule>
    <cfRule type="containsText" dxfId="2347" priority="175" operator="containsText" text="Flying">
      <formula>NOT(ISERROR(SEARCH("Flying",G3)))</formula>
    </cfRule>
    <cfRule type="containsText" dxfId="2346" priority="176" operator="containsText" text="Fighting">
      <formula>NOT(ISERROR(SEARCH("Fighting",G3)))</formula>
    </cfRule>
    <cfRule type="containsText" dxfId="2345" priority="177" operator="containsText" text="Electric">
      <formula>NOT(ISERROR(SEARCH("Electric",G3)))</formula>
    </cfRule>
    <cfRule type="containsText" dxfId="2344" priority="178" operator="containsText" text="Dragon">
      <formula>NOT(ISERROR(SEARCH("Dragon",G3)))</formula>
    </cfRule>
    <cfRule type="containsText" dxfId="2343" priority="179" operator="containsText" text="Dark">
      <formula>NOT(ISERROR(SEARCH("Dark",G3)))</formula>
    </cfRule>
    <cfRule type="containsText" dxfId="2342" priority="180" operator="containsText" text="Bug">
      <formula>NOT(ISERROR(SEARCH("Bug",G3)))</formula>
    </cfRule>
    <cfRule type="containsText" dxfId="2341" priority="181" operator="containsText" text="Fire">
      <formula>NOT(ISERROR(SEARCH("Fire",G3)))</formula>
    </cfRule>
    <cfRule type="containsText" dxfId="2340" priority="182" operator="containsText" text="Normal">
      <formula>NOT(ISERROR(SEARCH("Normal",G3)))</formula>
    </cfRule>
    <cfRule type="containsText" dxfId="2339" priority="183" operator="containsText" text="Psychic">
      <formula>NOT(ISERROR(SEARCH("Psychic",G3)))</formula>
    </cfRule>
    <cfRule type="containsText" dxfId="2338" priority="184" operator="containsText" text="Ghost">
      <formula>NOT(ISERROR(SEARCH("Ghost",G3)))</formula>
    </cfRule>
  </conditionalFormatting>
  <conditionalFormatting sqref="J4:J22">
    <cfRule type="colorScale" priority="167">
      <colorScale>
        <cfvo type="min"/>
        <cfvo type="max"/>
        <color rgb="FFFCFCFF"/>
        <color rgb="FF63BE7B"/>
      </colorScale>
    </cfRule>
  </conditionalFormatting>
  <conditionalFormatting sqref="V3 R3 U4:U7 U9:U22">
    <cfRule type="containsText" dxfId="2337" priority="150" operator="containsText" text="Water">
      <formula>NOT(ISERROR(SEARCH("Water",R3)))</formula>
    </cfRule>
    <cfRule type="containsText" dxfId="2336" priority="151" operator="containsText" text="Steel">
      <formula>NOT(ISERROR(SEARCH("Steel",R3)))</formula>
    </cfRule>
    <cfRule type="containsText" dxfId="2335" priority="152" operator="containsText" text="Rock">
      <formula>NOT(ISERROR(SEARCH("Rock",R3)))</formula>
    </cfRule>
    <cfRule type="containsText" dxfId="2334" priority="153" operator="containsText" text="Ice">
      <formula>NOT(ISERROR(SEARCH("Ice",R3)))</formula>
    </cfRule>
    <cfRule type="containsText" dxfId="2333" priority="154" operator="containsText" text="Ground">
      <formula>NOT(ISERROR(SEARCH("Ground",R3)))</formula>
    </cfRule>
    <cfRule type="containsText" dxfId="2332" priority="155" operator="containsText" text="Grass">
      <formula>NOT(ISERROR(SEARCH("Grass",R3)))</formula>
    </cfRule>
    <cfRule type="containsText" dxfId="2331" priority="156" operator="containsText" text="Poison">
      <formula>NOT(ISERROR(SEARCH("Poison",R3)))</formula>
    </cfRule>
    <cfRule type="containsText" dxfId="2330" priority="157" operator="containsText" text="Flying">
      <formula>NOT(ISERROR(SEARCH("Flying",R3)))</formula>
    </cfRule>
    <cfRule type="containsText" dxfId="2329" priority="158" operator="containsText" text="Fighting">
      <formula>NOT(ISERROR(SEARCH("Fighting",R3)))</formula>
    </cfRule>
    <cfRule type="containsText" dxfId="2328" priority="159" operator="containsText" text="Electric">
      <formula>NOT(ISERROR(SEARCH("Electric",R3)))</formula>
    </cfRule>
    <cfRule type="containsText" dxfId="2327" priority="160" operator="containsText" text="Dragon">
      <formula>NOT(ISERROR(SEARCH("Dragon",R3)))</formula>
    </cfRule>
    <cfRule type="containsText" dxfId="2326" priority="161" operator="containsText" text="Dark">
      <formula>NOT(ISERROR(SEARCH("Dark",R3)))</formula>
    </cfRule>
    <cfRule type="containsText" dxfId="2325" priority="162" operator="containsText" text="Bug">
      <formula>NOT(ISERROR(SEARCH("Bug",R3)))</formula>
    </cfRule>
    <cfRule type="containsText" dxfId="2324" priority="163" operator="containsText" text="Fire">
      <formula>NOT(ISERROR(SEARCH("Fire",R3)))</formula>
    </cfRule>
    <cfRule type="containsText" dxfId="2323" priority="164" operator="containsText" text="Normal">
      <formula>NOT(ISERROR(SEARCH("Normal",R3)))</formula>
    </cfRule>
    <cfRule type="containsText" dxfId="2322" priority="165" operator="containsText" text="Psychic">
      <formula>NOT(ISERROR(SEARCH("Psychic",R3)))</formula>
    </cfRule>
    <cfRule type="containsText" dxfId="2321" priority="166" operator="containsText" text="Ghost">
      <formula>NOT(ISERROR(SEARCH("Ghost",R3)))</formula>
    </cfRule>
  </conditionalFormatting>
  <conditionalFormatting sqref="H4:H22">
    <cfRule type="colorScale" priority="148">
      <colorScale>
        <cfvo type="min"/>
        <cfvo type="max"/>
        <color rgb="FFFCFCFF"/>
        <color rgb="FF63BE7B"/>
      </colorScale>
    </cfRule>
  </conditionalFormatting>
  <conditionalFormatting sqref="V4:V21 R4:R21">
    <cfRule type="colorScale" priority="6834">
      <colorScale>
        <cfvo type="min"/>
        <cfvo type="max"/>
        <color rgb="FFFCFCFF"/>
        <color rgb="FF63BE7B"/>
      </colorScale>
    </cfRule>
  </conditionalFormatting>
  <conditionalFormatting sqref="S4:S21">
    <cfRule type="colorScale" priority="145">
      <colorScale>
        <cfvo type="min"/>
        <cfvo type="max"/>
        <color rgb="FFFCFCFF"/>
        <color rgb="FF63BE7B"/>
      </colorScale>
    </cfRule>
  </conditionalFormatting>
  <conditionalFormatting sqref="W4:W21">
    <cfRule type="colorScale" priority="143">
      <colorScale>
        <cfvo type="min"/>
        <cfvo type="max"/>
        <color rgb="FFFCFCFF"/>
        <color rgb="FF63BE7B"/>
      </colorScale>
    </cfRule>
  </conditionalFormatting>
  <conditionalFormatting sqref="T4:T21">
    <cfRule type="colorScale" priority="142">
      <colorScale>
        <cfvo type="min"/>
        <cfvo type="max"/>
        <color rgb="FFFCFCFF"/>
        <color rgb="FF63BE7B"/>
      </colorScale>
    </cfRule>
  </conditionalFormatting>
  <conditionalFormatting sqref="R4:T21">
    <cfRule type="colorScale" priority="141">
      <colorScale>
        <cfvo type="min"/>
        <cfvo type="max"/>
        <color rgb="FFFCFCFF"/>
        <color rgb="FF63BE7B"/>
      </colorScale>
    </cfRule>
  </conditionalFormatting>
  <conditionalFormatting sqref="X4:X21">
    <cfRule type="colorScale" priority="140">
      <colorScale>
        <cfvo type="min"/>
        <cfvo type="max"/>
        <color rgb="FFFCFCFF"/>
        <color rgb="FF63BE7B"/>
      </colorScale>
    </cfRule>
  </conditionalFormatting>
  <conditionalFormatting sqref="V4:X21">
    <cfRule type="colorScale" priority="139">
      <colorScale>
        <cfvo type="min"/>
        <cfvo type="max"/>
        <color rgb="FFFCFCFF"/>
        <color rgb="FF63BE7B"/>
      </colorScale>
    </cfRule>
  </conditionalFormatting>
  <conditionalFormatting sqref="M4:M7 M9:M21">
    <cfRule type="containsText" dxfId="2320" priority="122" operator="containsText" text="Water">
      <formula>NOT(ISERROR(SEARCH("Water",M4)))</formula>
    </cfRule>
    <cfRule type="containsText" dxfId="2319" priority="123" operator="containsText" text="Steel">
      <formula>NOT(ISERROR(SEARCH("Steel",M4)))</formula>
    </cfRule>
    <cfRule type="containsText" dxfId="2318" priority="124" operator="containsText" text="Rock">
      <formula>NOT(ISERROR(SEARCH("Rock",M4)))</formula>
    </cfRule>
    <cfRule type="containsText" dxfId="2317" priority="125" operator="containsText" text="Ice">
      <formula>NOT(ISERROR(SEARCH("Ice",M4)))</formula>
    </cfRule>
    <cfRule type="containsText" dxfId="2316" priority="126" operator="containsText" text="Ground">
      <formula>NOT(ISERROR(SEARCH("Ground",M4)))</formula>
    </cfRule>
    <cfRule type="containsText" dxfId="2315" priority="127" operator="containsText" text="Grass">
      <formula>NOT(ISERROR(SEARCH("Grass",M4)))</formula>
    </cfRule>
    <cfRule type="containsText" dxfId="2314" priority="128" operator="containsText" text="Poison">
      <formula>NOT(ISERROR(SEARCH("Poison",M4)))</formula>
    </cfRule>
    <cfRule type="containsText" dxfId="2313" priority="129" operator="containsText" text="Flying">
      <formula>NOT(ISERROR(SEARCH("Flying",M4)))</formula>
    </cfRule>
    <cfRule type="containsText" dxfId="2312" priority="130" operator="containsText" text="Fighting">
      <formula>NOT(ISERROR(SEARCH("Fighting",M4)))</formula>
    </cfRule>
    <cfRule type="containsText" dxfId="2311" priority="131" operator="containsText" text="Electric">
      <formula>NOT(ISERROR(SEARCH("Electric",M4)))</formula>
    </cfRule>
    <cfRule type="containsText" dxfId="2310" priority="132" operator="containsText" text="Dragon">
      <formula>NOT(ISERROR(SEARCH("Dragon",M4)))</formula>
    </cfRule>
    <cfRule type="containsText" dxfId="2309" priority="133" operator="containsText" text="Dark">
      <formula>NOT(ISERROR(SEARCH("Dark",M4)))</formula>
    </cfRule>
    <cfRule type="containsText" dxfId="2308" priority="134" operator="containsText" text="Bug">
      <formula>NOT(ISERROR(SEARCH("Bug",M4)))</formula>
    </cfRule>
    <cfRule type="containsText" dxfId="2307" priority="135" operator="containsText" text="Fire">
      <formula>NOT(ISERROR(SEARCH("Fire",M4)))</formula>
    </cfRule>
    <cfRule type="containsText" dxfId="2306" priority="136" operator="containsText" text="Normal">
      <formula>NOT(ISERROR(SEARCH("Normal",M4)))</formula>
    </cfRule>
    <cfRule type="containsText" dxfId="2305" priority="137" operator="containsText" text="Psychic">
      <formula>NOT(ISERROR(SEARCH("Psychic",M4)))</formula>
    </cfRule>
    <cfRule type="containsText" dxfId="2304" priority="138" operator="containsText" text="Ghost">
      <formula>NOT(ISERROR(SEARCH("Ghost",M4)))</formula>
    </cfRule>
  </conditionalFormatting>
  <conditionalFormatting sqref="J4:J22">
    <cfRule type="colorScale" priority="113">
      <colorScale>
        <cfvo type="num" val="0"/>
        <cfvo type="max"/>
        <color theme="0"/>
        <color rgb="FF17A517"/>
      </colorScale>
    </cfRule>
  </conditionalFormatting>
  <conditionalFormatting sqref="H4:H22">
    <cfRule type="colorScale" priority="112">
      <colorScale>
        <cfvo type="num" val="0"/>
        <cfvo type="max"/>
        <color theme="0"/>
        <color rgb="FF17A517"/>
      </colorScale>
    </cfRule>
  </conditionalFormatting>
  <conditionalFormatting sqref="M22">
    <cfRule type="containsText" dxfId="2303" priority="95" operator="containsText" text="Water">
      <formula>NOT(ISERROR(SEARCH("Water",M22)))</formula>
    </cfRule>
    <cfRule type="containsText" dxfId="2302" priority="96" operator="containsText" text="Steel">
      <formula>NOT(ISERROR(SEARCH("Steel",M22)))</formula>
    </cfRule>
    <cfRule type="containsText" dxfId="2301" priority="97" operator="containsText" text="Rock">
      <formula>NOT(ISERROR(SEARCH("Rock",M22)))</formula>
    </cfRule>
    <cfRule type="containsText" dxfId="2300" priority="98" operator="containsText" text="Ice">
      <formula>NOT(ISERROR(SEARCH("Ice",M22)))</formula>
    </cfRule>
    <cfRule type="containsText" dxfId="2299" priority="99" operator="containsText" text="Ground">
      <formula>NOT(ISERROR(SEARCH("Ground",M22)))</formula>
    </cfRule>
    <cfRule type="containsText" dxfId="2298" priority="100" operator="containsText" text="Grass">
      <formula>NOT(ISERROR(SEARCH("Grass",M22)))</formula>
    </cfRule>
    <cfRule type="containsText" dxfId="2297" priority="101" operator="containsText" text="Poison">
      <formula>NOT(ISERROR(SEARCH("Poison",M22)))</formula>
    </cfRule>
    <cfRule type="containsText" dxfId="2296" priority="102" operator="containsText" text="Flying">
      <formula>NOT(ISERROR(SEARCH("Flying",M22)))</formula>
    </cfRule>
    <cfRule type="containsText" dxfId="2295" priority="103" operator="containsText" text="Fighting">
      <formula>NOT(ISERROR(SEARCH("Fighting",M22)))</formula>
    </cfRule>
    <cfRule type="containsText" dxfId="2294" priority="104" operator="containsText" text="Electric">
      <formula>NOT(ISERROR(SEARCH("Electric",M22)))</formula>
    </cfRule>
    <cfRule type="containsText" dxfId="2293" priority="105" operator="containsText" text="Dragon">
      <formula>NOT(ISERROR(SEARCH("Dragon",M22)))</formula>
    </cfRule>
    <cfRule type="containsText" dxfId="2292" priority="106" operator="containsText" text="Dark">
      <formula>NOT(ISERROR(SEARCH("Dark",M22)))</formula>
    </cfRule>
    <cfRule type="containsText" dxfId="2291" priority="107" operator="containsText" text="Bug">
      <formula>NOT(ISERROR(SEARCH("Bug",M22)))</formula>
    </cfRule>
    <cfRule type="containsText" dxfId="2290" priority="108" operator="containsText" text="Fire">
      <formula>NOT(ISERROR(SEARCH("Fire",M22)))</formula>
    </cfRule>
    <cfRule type="containsText" dxfId="2289" priority="109" operator="containsText" text="Normal">
      <formula>NOT(ISERROR(SEARCH("Normal",M22)))</formula>
    </cfRule>
    <cfRule type="containsText" dxfId="2288" priority="110" operator="containsText" text="Psychic">
      <formula>NOT(ISERROR(SEARCH("Psychic",M22)))</formula>
    </cfRule>
    <cfRule type="containsText" dxfId="2287" priority="111" operator="containsText" text="Ghost">
      <formula>NOT(ISERROR(SEARCH("Ghost",M22)))</formula>
    </cfRule>
  </conditionalFormatting>
  <conditionalFormatting sqref="O3:P3">
    <cfRule type="containsText" dxfId="2286" priority="77" operator="containsText" text="Water">
      <formula>NOT(ISERROR(SEARCH("Water",O3)))</formula>
    </cfRule>
    <cfRule type="containsText" dxfId="2285" priority="78" operator="containsText" text="Steel">
      <formula>NOT(ISERROR(SEARCH("Steel",O3)))</formula>
    </cfRule>
    <cfRule type="containsText" dxfId="2284" priority="79" operator="containsText" text="Rock">
      <formula>NOT(ISERROR(SEARCH("Rock",O3)))</formula>
    </cfRule>
    <cfRule type="containsText" dxfId="2283" priority="80" operator="containsText" text="Ice">
      <formula>NOT(ISERROR(SEARCH("Ice",O3)))</formula>
    </cfRule>
    <cfRule type="containsText" dxfId="2282" priority="81" operator="containsText" text="Ground">
      <formula>NOT(ISERROR(SEARCH("Ground",O3)))</formula>
    </cfRule>
    <cfRule type="containsText" dxfId="2281" priority="82" operator="containsText" text="Grass">
      <formula>NOT(ISERROR(SEARCH("Grass",O3)))</formula>
    </cfRule>
    <cfRule type="containsText" dxfId="2280" priority="83" operator="containsText" text="Poison">
      <formula>NOT(ISERROR(SEARCH("Poison",O3)))</formula>
    </cfRule>
    <cfRule type="containsText" dxfId="2279" priority="84" operator="containsText" text="Flying">
      <formula>NOT(ISERROR(SEARCH("Flying",O3)))</formula>
    </cfRule>
    <cfRule type="containsText" dxfId="2278" priority="85" operator="containsText" text="Fighting">
      <formula>NOT(ISERROR(SEARCH("Fighting",O3)))</formula>
    </cfRule>
    <cfRule type="containsText" dxfId="2277" priority="86" operator="containsText" text="Electric">
      <formula>NOT(ISERROR(SEARCH("Electric",O3)))</formula>
    </cfRule>
    <cfRule type="containsText" dxfId="2276" priority="87" operator="containsText" text="Dragon">
      <formula>NOT(ISERROR(SEARCH("Dragon",O3)))</formula>
    </cfRule>
    <cfRule type="containsText" dxfId="2275" priority="88" operator="containsText" text="Dark">
      <formula>NOT(ISERROR(SEARCH("Dark",O3)))</formula>
    </cfRule>
    <cfRule type="containsText" dxfId="2274" priority="89" operator="containsText" text="Bug">
      <formula>NOT(ISERROR(SEARCH("Bug",O3)))</formula>
    </cfRule>
    <cfRule type="containsText" dxfId="2273" priority="90" operator="containsText" text="Fire">
      <formula>NOT(ISERROR(SEARCH("Fire",O3)))</formula>
    </cfRule>
    <cfRule type="containsText" dxfId="2272" priority="91" operator="containsText" text="Normal">
      <formula>NOT(ISERROR(SEARCH("Normal",O3)))</formula>
    </cfRule>
    <cfRule type="containsText" dxfId="2271" priority="92" operator="containsText" text="Psychic">
      <formula>NOT(ISERROR(SEARCH("Psychic",O3)))</formula>
    </cfRule>
    <cfRule type="containsText" dxfId="2270" priority="93" operator="containsText" text="Ghost">
      <formula>NOT(ISERROR(SEARCH("Ghost",O3)))</formula>
    </cfRule>
  </conditionalFormatting>
  <conditionalFormatting sqref="O4:O21">
    <cfRule type="colorScale" priority="76">
      <colorScale>
        <cfvo type="min"/>
        <cfvo type="max"/>
        <color rgb="FFFCFCFF"/>
        <color rgb="FF63BE7B"/>
      </colorScale>
    </cfRule>
  </conditionalFormatting>
  <conditionalFormatting sqref="N4:N21">
    <cfRule type="colorScale" priority="74">
      <colorScale>
        <cfvo type="min"/>
        <cfvo type="num" val="0"/>
        <cfvo type="max"/>
        <color rgb="FFF8696B"/>
        <color theme="0"/>
        <color rgb="FF63BE7B"/>
      </colorScale>
    </cfRule>
  </conditionalFormatting>
  <conditionalFormatting sqref="N3">
    <cfRule type="containsText" dxfId="2269" priority="56" operator="containsText" text="Water">
      <formula>NOT(ISERROR(SEARCH("Water",N3)))</formula>
    </cfRule>
    <cfRule type="containsText" dxfId="2268" priority="57" operator="containsText" text="Steel">
      <formula>NOT(ISERROR(SEARCH("Steel",N3)))</formula>
    </cfRule>
    <cfRule type="containsText" dxfId="2267" priority="58" operator="containsText" text="Rock">
      <formula>NOT(ISERROR(SEARCH("Rock",N3)))</formula>
    </cfRule>
    <cfRule type="containsText" dxfId="2266" priority="59" operator="containsText" text="Ice">
      <formula>NOT(ISERROR(SEARCH("Ice",N3)))</formula>
    </cfRule>
    <cfRule type="containsText" dxfId="2265" priority="60" operator="containsText" text="Ground">
      <formula>NOT(ISERROR(SEARCH("Ground",N3)))</formula>
    </cfRule>
    <cfRule type="containsText" dxfId="2264" priority="61" operator="containsText" text="Grass">
      <formula>NOT(ISERROR(SEARCH("Grass",N3)))</formula>
    </cfRule>
    <cfRule type="containsText" dxfId="2263" priority="62" operator="containsText" text="Poison">
      <formula>NOT(ISERROR(SEARCH("Poison",N3)))</formula>
    </cfRule>
    <cfRule type="containsText" dxfId="2262" priority="63" operator="containsText" text="Flying">
      <formula>NOT(ISERROR(SEARCH("Flying",N3)))</formula>
    </cfRule>
    <cfRule type="containsText" dxfId="2261" priority="64" operator="containsText" text="Fighting">
      <formula>NOT(ISERROR(SEARCH("Fighting",N3)))</formula>
    </cfRule>
    <cfRule type="containsText" dxfId="2260" priority="65" operator="containsText" text="Electric">
      <formula>NOT(ISERROR(SEARCH("Electric",N3)))</formula>
    </cfRule>
    <cfRule type="containsText" dxfId="2259" priority="66" operator="containsText" text="Dragon">
      <formula>NOT(ISERROR(SEARCH("Dragon",N3)))</formula>
    </cfRule>
    <cfRule type="containsText" dxfId="2258" priority="67" operator="containsText" text="Dark">
      <formula>NOT(ISERROR(SEARCH("Dark",N3)))</formula>
    </cfRule>
    <cfRule type="containsText" dxfId="2257" priority="68" operator="containsText" text="Bug">
      <formula>NOT(ISERROR(SEARCH("Bug",N3)))</formula>
    </cfRule>
    <cfRule type="containsText" dxfId="2256" priority="69" operator="containsText" text="Fire">
      <formula>NOT(ISERROR(SEARCH("Fire",N3)))</formula>
    </cfRule>
    <cfRule type="containsText" dxfId="2255" priority="70" operator="containsText" text="Normal">
      <formula>NOT(ISERROR(SEARCH("Normal",N3)))</formula>
    </cfRule>
    <cfRule type="containsText" dxfId="2254" priority="71" operator="containsText" text="Psychic">
      <formula>NOT(ISERROR(SEARCH("Psychic",N3)))</formula>
    </cfRule>
    <cfRule type="containsText" dxfId="2253" priority="72" operator="containsText" text="Ghost">
      <formula>NOT(ISERROR(SEARCH("Ghost",N3)))</formula>
    </cfRule>
  </conditionalFormatting>
  <conditionalFormatting sqref="P4:P21">
    <cfRule type="colorScale" priority="55">
      <colorScale>
        <cfvo type="min"/>
        <cfvo type="max"/>
        <color theme="0"/>
        <color rgb="FF63BE7B"/>
      </colorScale>
    </cfRule>
  </conditionalFormatting>
  <conditionalFormatting sqref="I8">
    <cfRule type="containsText" dxfId="2252" priority="38" operator="containsText" text="Water">
      <formula>NOT(ISERROR(SEARCH("Water",I8)))</formula>
    </cfRule>
    <cfRule type="containsText" dxfId="2251" priority="39" operator="containsText" text="Steel">
      <formula>NOT(ISERROR(SEARCH("Steel",I8)))</formula>
    </cfRule>
    <cfRule type="containsText" dxfId="2250" priority="40" operator="containsText" text="Rock">
      <formula>NOT(ISERROR(SEARCH("Rock",I8)))</formula>
    </cfRule>
    <cfRule type="containsText" dxfId="2249" priority="41" operator="containsText" text="Poison">
      <formula>NOT(ISERROR(SEARCH("Poison",I8)))</formula>
    </cfRule>
    <cfRule type="containsText" dxfId="2248" priority="42" operator="containsText" text="Ice">
      <formula>NOT(ISERROR(SEARCH("Ice",I8)))</formula>
    </cfRule>
    <cfRule type="containsText" dxfId="2247" priority="43" operator="containsText" text="Ground">
      <formula>NOT(ISERROR(SEARCH("Ground",I8)))</formula>
    </cfRule>
    <cfRule type="containsText" dxfId="2246" priority="44" operator="containsText" text="Grass">
      <formula>NOT(ISERROR(SEARCH("Grass",I8)))</formula>
    </cfRule>
    <cfRule type="containsText" dxfId="2245" priority="45" operator="containsText" text="Flying">
      <formula>NOT(ISERROR(SEARCH("Flying",I8)))</formula>
    </cfRule>
    <cfRule type="containsText" dxfId="2244" priority="46" operator="containsText" text="Fighting">
      <formula>NOT(ISERROR(SEARCH("Fighting",I8)))</formula>
    </cfRule>
    <cfRule type="containsText" dxfId="2243" priority="47" operator="containsText" text="Electric">
      <formula>NOT(ISERROR(SEARCH("Electric",I8)))</formula>
    </cfRule>
    <cfRule type="containsText" dxfId="2242" priority="48" operator="containsText" text="Dragon">
      <formula>NOT(ISERROR(SEARCH("Dragon",I8)))</formula>
    </cfRule>
    <cfRule type="containsText" dxfId="2241" priority="49" operator="containsText" text="Dark">
      <formula>NOT(ISERROR(SEARCH("Dark",I8)))</formula>
    </cfRule>
    <cfRule type="containsText" dxfId="2240" priority="50" operator="containsText" text="Bug">
      <formula>NOT(ISERROR(SEARCH("Bug",I8)))</formula>
    </cfRule>
    <cfRule type="containsText" dxfId="2239" priority="51" operator="containsText" text="Fire">
      <formula>NOT(ISERROR(SEARCH("Fire",I8)))</formula>
    </cfRule>
    <cfRule type="containsText" dxfId="2238" priority="52" operator="containsText" text="Normal">
      <formula>NOT(ISERROR(SEARCH("Normal",I8)))</formula>
    </cfRule>
    <cfRule type="containsText" dxfId="2237" priority="53" operator="containsText" text="Psychic">
      <formula>NOT(ISERROR(SEARCH("Psychic",I8)))</formula>
    </cfRule>
    <cfRule type="containsText" dxfId="2236" priority="54" operator="containsText" text="Ghost">
      <formula>NOT(ISERROR(SEARCH("Ghost",I8)))</formula>
    </cfRule>
  </conditionalFormatting>
  <conditionalFormatting sqref="I8">
    <cfRule type="containsText" dxfId="2235" priority="37" operator="containsText" text="Fairy">
      <formula>NOT(ISERROR(SEARCH("Fairy",I8)))</formula>
    </cfRule>
  </conditionalFormatting>
  <conditionalFormatting sqref="M8">
    <cfRule type="containsText" dxfId="2234" priority="20" operator="containsText" text="Water">
      <formula>NOT(ISERROR(SEARCH("Water",M8)))</formula>
    </cfRule>
    <cfRule type="containsText" dxfId="2233" priority="21" operator="containsText" text="Steel">
      <formula>NOT(ISERROR(SEARCH("Steel",M8)))</formula>
    </cfRule>
    <cfRule type="containsText" dxfId="2232" priority="22" operator="containsText" text="Rock">
      <formula>NOT(ISERROR(SEARCH("Rock",M8)))</formula>
    </cfRule>
    <cfRule type="containsText" dxfId="2231" priority="23" operator="containsText" text="Poison">
      <formula>NOT(ISERROR(SEARCH("Poison",M8)))</formula>
    </cfRule>
    <cfRule type="containsText" dxfId="2230" priority="24" operator="containsText" text="Ice">
      <formula>NOT(ISERROR(SEARCH("Ice",M8)))</formula>
    </cfRule>
    <cfRule type="containsText" dxfId="2229" priority="25" operator="containsText" text="Ground">
      <formula>NOT(ISERROR(SEARCH("Ground",M8)))</formula>
    </cfRule>
    <cfRule type="containsText" dxfId="2228" priority="26" operator="containsText" text="Grass">
      <formula>NOT(ISERROR(SEARCH("Grass",M8)))</formula>
    </cfRule>
    <cfRule type="containsText" dxfId="2227" priority="27" operator="containsText" text="Flying">
      <formula>NOT(ISERROR(SEARCH("Flying",M8)))</formula>
    </cfRule>
    <cfRule type="containsText" dxfId="2226" priority="28" operator="containsText" text="Fighting">
      <formula>NOT(ISERROR(SEARCH("Fighting",M8)))</formula>
    </cfRule>
    <cfRule type="containsText" dxfId="2225" priority="29" operator="containsText" text="Electric">
      <formula>NOT(ISERROR(SEARCH("Electric",M8)))</formula>
    </cfRule>
    <cfRule type="containsText" dxfId="2224" priority="30" operator="containsText" text="Dragon">
      <formula>NOT(ISERROR(SEARCH("Dragon",M8)))</formula>
    </cfRule>
    <cfRule type="containsText" dxfId="2223" priority="31" operator="containsText" text="Dark">
      <formula>NOT(ISERROR(SEARCH("Dark",M8)))</formula>
    </cfRule>
    <cfRule type="containsText" dxfId="2222" priority="32" operator="containsText" text="Bug">
      <formula>NOT(ISERROR(SEARCH("Bug",M8)))</formula>
    </cfRule>
    <cfRule type="containsText" dxfId="2221" priority="33" operator="containsText" text="Fire">
      <formula>NOT(ISERROR(SEARCH("Fire",M8)))</formula>
    </cfRule>
    <cfRule type="containsText" dxfId="2220" priority="34" operator="containsText" text="Normal">
      <formula>NOT(ISERROR(SEARCH("Normal",M8)))</formula>
    </cfRule>
    <cfRule type="containsText" dxfId="2219" priority="35" operator="containsText" text="Psychic">
      <formula>NOT(ISERROR(SEARCH("Psychic",M8)))</formula>
    </cfRule>
    <cfRule type="containsText" dxfId="2218" priority="36" operator="containsText" text="Ghost">
      <formula>NOT(ISERROR(SEARCH("Ghost",M8)))</formula>
    </cfRule>
  </conditionalFormatting>
  <conditionalFormatting sqref="M8">
    <cfRule type="containsText" dxfId="2217" priority="19" operator="containsText" text="Fairy">
      <formula>NOT(ISERROR(SEARCH("Fairy",M8)))</formula>
    </cfRule>
  </conditionalFormatting>
  <conditionalFormatting sqref="U8">
    <cfRule type="containsText" dxfId="2216" priority="2" operator="containsText" text="Water">
      <formula>NOT(ISERROR(SEARCH("Water",U8)))</formula>
    </cfRule>
    <cfRule type="containsText" dxfId="2215" priority="3" operator="containsText" text="Steel">
      <formula>NOT(ISERROR(SEARCH("Steel",U8)))</formula>
    </cfRule>
    <cfRule type="containsText" dxfId="2214" priority="4" operator="containsText" text="Rock">
      <formula>NOT(ISERROR(SEARCH("Rock",U8)))</formula>
    </cfRule>
    <cfRule type="containsText" dxfId="2213" priority="5" operator="containsText" text="Poison">
      <formula>NOT(ISERROR(SEARCH("Poison",U8)))</formula>
    </cfRule>
    <cfRule type="containsText" dxfId="2212" priority="6" operator="containsText" text="Ice">
      <formula>NOT(ISERROR(SEARCH("Ice",U8)))</formula>
    </cfRule>
    <cfRule type="containsText" dxfId="2211" priority="7" operator="containsText" text="Ground">
      <formula>NOT(ISERROR(SEARCH("Ground",U8)))</formula>
    </cfRule>
    <cfRule type="containsText" dxfId="2210" priority="8" operator="containsText" text="Grass">
      <formula>NOT(ISERROR(SEARCH("Grass",U8)))</formula>
    </cfRule>
    <cfRule type="containsText" dxfId="2209" priority="9" operator="containsText" text="Flying">
      <formula>NOT(ISERROR(SEARCH("Flying",U8)))</formula>
    </cfRule>
    <cfRule type="containsText" dxfId="2208" priority="10" operator="containsText" text="Fighting">
      <formula>NOT(ISERROR(SEARCH("Fighting",U8)))</formula>
    </cfRule>
    <cfRule type="containsText" dxfId="2207" priority="11" operator="containsText" text="Electric">
      <formula>NOT(ISERROR(SEARCH("Electric",U8)))</formula>
    </cfRule>
    <cfRule type="containsText" dxfId="2206" priority="12" operator="containsText" text="Dragon">
      <formula>NOT(ISERROR(SEARCH("Dragon",U8)))</formula>
    </cfRule>
    <cfRule type="containsText" dxfId="2205" priority="13" operator="containsText" text="Dark">
      <formula>NOT(ISERROR(SEARCH("Dark",U8)))</formula>
    </cfRule>
    <cfRule type="containsText" dxfId="2204" priority="14" operator="containsText" text="Bug">
      <formula>NOT(ISERROR(SEARCH("Bug",U8)))</formula>
    </cfRule>
    <cfRule type="containsText" dxfId="2203" priority="15" operator="containsText" text="Fire">
      <formula>NOT(ISERROR(SEARCH("Fire",U8)))</formula>
    </cfRule>
    <cfRule type="containsText" dxfId="2202" priority="16" operator="containsText" text="Normal">
      <formula>NOT(ISERROR(SEARCH("Normal",U8)))</formula>
    </cfRule>
    <cfRule type="containsText" dxfId="2201" priority="17" operator="containsText" text="Psychic">
      <formula>NOT(ISERROR(SEARCH("Psychic",U8)))</formula>
    </cfRule>
    <cfRule type="containsText" dxfId="2200" priority="18" operator="containsText" text="Ghost">
      <formula>NOT(ISERROR(SEARCH("Ghost",U8)))</formula>
    </cfRule>
  </conditionalFormatting>
  <conditionalFormatting sqref="U8">
    <cfRule type="containsText" dxfId="2199" priority="1" operator="containsText" text="Fairy">
      <formula>NOT(ISERROR(SEARCH("Fairy",U8)))</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okemonSheet"/>
  <dimension ref="A1:GN2"/>
  <sheetViews>
    <sheetView workbookViewId="0">
      <pane ySplit="1" topLeftCell="A2" activePane="bottomLeft" state="frozen"/>
      <selection pane="bottomLeft" activeCell="A2" sqref="A2:GN774"/>
    </sheetView>
  </sheetViews>
  <sheetFormatPr defaultRowHeight="15" x14ac:dyDescent="0.25"/>
  <cols>
    <col min="1" max="1" width="13.42578125" customWidth="1"/>
    <col min="2" max="2" width="76" bestFit="1" customWidth="1"/>
    <col min="3" max="3" width="20.42578125" bestFit="1" customWidth="1"/>
    <col min="4" max="5" width="14" customWidth="1"/>
    <col min="6" max="6" width="8" customWidth="1"/>
    <col min="7" max="7" width="11.140625" bestFit="1" customWidth="1"/>
    <col min="8" max="8" width="8.7109375" customWidth="1"/>
    <col min="9" max="9" width="10.140625" bestFit="1" customWidth="1"/>
    <col min="10" max="10" width="10.7109375" bestFit="1" customWidth="1"/>
    <col min="11" max="11" width="11.140625" bestFit="1" customWidth="1"/>
    <col min="12" max="12" width="10" bestFit="1" customWidth="1"/>
    <col min="13" max="14" width="13.42578125" bestFit="1" customWidth="1"/>
    <col min="15" max="22" width="11" customWidth="1"/>
    <col min="23" max="87" width="12" customWidth="1"/>
  </cols>
  <sheetData>
    <row r="1" spans="1:196" x14ac:dyDescent="0.25">
      <c r="A1" s="37" t="s">
        <v>623</v>
      </c>
      <c r="B1" s="37" t="s">
        <v>624</v>
      </c>
      <c r="C1" s="2" t="s">
        <v>625</v>
      </c>
      <c r="D1" s="2" t="s">
        <v>626</v>
      </c>
      <c r="E1" s="2" t="s">
        <v>627</v>
      </c>
      <c r="F1" s="2" t="s">
        <v>148</v>
      </c>
      <c r="G1" s="2" t="s">
        <v>628</v>
      </c>
      <c r="H1" s="2" t="s">
        <v>629</v>
      </c>
      <c r="I1" s="2" t="s">
        <v>630</v>
      </c>
      <c r="J1" s="2" t="s">
        <v>631</v>
      </c>
      <c r="K1" s="2" t="s">
        <v>632</v>
      </c>
      <c r="L1" s="2" t="s">
        <v>633</v>
      </c>
      <c r="M1" s="2" t="s">
        <v>634</v>
      </c>
      <c r="N1" s="2" t="s">
        <v>585</v>
      </c>
      <c r="O1" t="s">
        <v>635</v>
      </c>
      <c r="P1" t="s">
        <v>636</v>
      </c>
      <c r="Q1" t="s">
        <v>637</v>
      </c>
      <c r="R1" t="s">
        <v>638</v>
      </c>
      <c r="S1" t="s">
        <v>586</v>
      </c>
      <c r="T1" t="s">
        <v>587</v>
      </c>
      <c r="U1" t="s">
        <v>588</v>
      </c>
      <c r="V1" t="s">
        <v>589</v>
      </c>
      <c r="W1" t="s">
        <v>590</v>
      </c>
      <c r="X1" t="s">
        <v>591</v>
      </c>
      <c r="Y1" t="s">
        <v>592</v>
      </c>
      <c r="Z1" t="s">
        <v>593</v>
      </c>
      <c r="AA1" t="s">
        <v>594</v>
      </c>
      <c r="AB1" t="s">
        <v>595</v>
      </c>
      <c r="AC1" t="s">
        <v>596</v>
      </c>
      <c r="AD1" t="s">
        <v>597</v>
      </c>
      <c r="AE1" t="s">
        <v>598</v>
      </c>
      <c r="AF1" t="s">
        <v>599</v>
      </c>
      <c r="AG1" t="s">
        <v>600</v>
      </c>
      <c r="AH1" t="s">
        <v>601</v>
      </c>
      <c r="AI1" t="s">
        <v>602</v>
      </c>
      <c r="AJ1" t="s">
        <v>603</v>
      </c>
      <c r="AK1" t="s">
        <v>604</v>
      </c>
      <c r="AL1" t="s">
        <v>605</v>
      </c>
      <c r="AM1" t="s">
        <v>606</v>
      </c>
      <c r="AN1" t="s">
        <v>607</v>
      </c>
      <c r="AO1" t="s">
        <v>608</v>
      </c>
      <c r="AP1" t="s">
        <v>609</v>
      </c>
      <c r="AQ1" t="s">
        <v>610</v>
      </c>
      <c r="AR1" t="s">
        <v>611</v>
      </c>
      <c r="AS1" t="s">
        <v>612</v>
      </c>
      <c r="AT1" t="s">
        <v>613</v>
      </c>
      <c r="AU1" t="s">
        <v>614</v>
      </c>
      <c r="AV1" t="s">
        <v>615</v>
      </c>
      <c r="AW1" t="s">
        <v>616</v>
      </c>
      <c r="AX1" t="s">
        <v>617</v>
      </c>
      <c r="AY1" t="s">
        <v>618</v>
      </c>
      <c r="AZ1" t="s">
        <v>619</v>
      </c>
      <c r="BA1" t="s">
        <v>620</v>
      </c>
      <c r="BB1" t="s">
        <v>621</v>
      </c>
      <c r="BC1" t="s">
        <v>622</v>
      </c>
      <c r="BD1" t="s">
        <v>639</v>
      </c>
      <c r="BE1" t="s">
        <v>640</v>
      </c>
      <c r="BF1" t="s">
        <v>641</v>
      </c>
      <c r="BG1" t="s">
        <v>642</v>
      </c>
      <c r="BH1" t="s">
        <v>643</v>
      </c>
      <c r="BI1" t="s">
        <v>644</v>
      </c>
      <c r="BJ1" t="s">
        <v>645</v>
      </c>
      <c r="BK1" t="s">
        <v>646</v>
      </c>
      <c r="BL1" t="s">
        <v>647</v>
      </c>
      <c r="BM1" t="s">
        <v>648</v>
      </c>
      <c r="BN1" t="s">
        <v>649</v>
      </c>
      <c r="BO1" t="s">
        <v>650</v>
      </c>
      <c r="BP1" t="s">
        <v>651</v>
      </c>
      <c r="BQ1" t="s">
        <v>652</v>
      </c>
      <c r="BR1" t="s">
        <v>653</v>
      </c>
      <c r="BS1" t="s">
        <v>654</v>
      </c>
      <c r="BT1" t="s">
        <v>655</v>
      </c>
      <c r="BU1" t="s">
        <v>656</v>
      </c>
      <c r="BV1" t="s">
        <v>657</v>
      </c>
      <c r="BW1" t="s">
        <v>658</v>
      </c>
      <c r="BX1" t="s">
        <v>659</v>
      </c>
      <c r="BY1" t="s">
        <v>660</v>
      </c>
      <c r="BZ1" t="s">
        <v>661</v>
      </c>
      <c r="CA1" t="s">
        <v>662</v>
      </c>
      <c r="CB1" t="s">
        <v>663</v>
      </c>
      <c r="CC1" t="s">
        <v>664</v>
      </c>
      <c r="CD1" t="s">
        <v>665</v>
      </c>
      <c r="CE1" t="s">
        <v>667</v>
      </c>
      <c r="CF1" t="s">
        <v>668</v>
      </c>
      <c r="CG1" t="s">
        <v>669</v>
      </c>
      <c r="CH1" t="s">
        <v>691</v>
      </c>
      <c r="CI1" t="s">
        <v>692</v>
      </c>
      <c r="CJ1" t="s">
        <v>721</v>
      </c>
      <c r="CK1" t="s">
        <v>722</v>
      </c>
      <c r="CL1" t="s">
        <v>723</v>
      </c>
      <c r="CM1" t="s">
        <v>724</v>
      </c>
      <c r="CN1" t="s">
        <v>725</v>
      </c>
      <c r="CO1" t="s">
        <v>726</v>
      </c>
      <c r="CP1" t="s">
        <v>727</v>
      </c>
      <c r="CQ1" t="s">
        <v>728</v>
      </c>
      <c r="CR1" t="s">
        <v>729</v>
      </c>
      <c r="CS1" t="s">
        <v>730</v>
      </c>
      <c r="CT1" t="s">
        <v>731</v>
      </c>
      <c r="CU1" t="s">
        <v>732</v>
      </c>
      <c r="CV1" t="s">
        <v>733</v>
      </c>
      <c r="CW1" t="s">
        <v>734</v>
      </c>
      <c r="CX1" t="s">
        <v>735</v>
      </c>
      <c r="CY1" t="s">
        <v>736</v>
      </c>
      <c r="CZ1" t="s">
        <v>737</v>
      </c>
      <c r="DA1" t="s">
        <v>738</v>
      </c>
      <c r="DB1" t="s">
        <v>739</v>
      </c>
      <c r="DC1" t="s">
        <v>740</v>
      </c>
      <c r="DD1" t="s">
        <v>741</v>
      </c>
      <c r="DE1" t="s">
        <v>742</v>
      </c>
      <c r="DF1" t="s">
        <v>743</v>
      </c>
      <c r="DG1" t="s">
        <v>744</v>
      </c>
      <c r="DH1" t="s">
        <v>745</v>
      </c>
      <c r="DI1" t="s">
        <v>746</v>
      </c>
      <c r="DJ1" t="s">
        <v>747</v>
      </c>
      <c r="DK1" t="s">
        <v>748</v>
      </c>
      <c r="DL1" t="s">
        <v>749</v>
      </c>
      <c r="DM1" t="s">
        <v>750</v>
      </c>
      <c r="DN1" t="s">
        <v>751</v>
      </c>
      <c r="DO1" t="s">
        <v>752</v>
      </c>
      <c r="DP1" t="s">
        <v>753</v>
      </c>
      <c r="DQ1" t="s">
        <v>754</v>
      </c>
      <c r="DR1" t="s">
        <v>755</v>
      </c>
      <c r="DS1" t="s">
        <v>756</v>
      </c>
      <c r="DT1" t="s">
        <v>757</v>
      </c>
      <c r="DU1" t="s">
        <v>758</v>
      </c>
      <c r="DV1" t="s">
        <v>759</v>
      </c>
      <c r="DW1" t="s">
        <v>760</v>
      </c>
      <c r="DX1" t="s">
        <v>761</v>
      </c>
      <c r="DY1" t="s">
        <v>762</v>
      </c>
      <c r="DZ1" t="s">
        <v>763</v>
      </c>
      <c r="EA1" t="s">
        <v>764</v>
      </c>
      <c r="EB1" t="s">
        <v>765</v>
      </c>
      <c r="EC1" t="s">
        <v>766</v>
      </c>
      <c r="ED1" t="s">
        <v>767</v>
      </c>
      <c r="EE1" t="s">
        <v>768</v>
      </c>
      <c r="EF1" t="s">
        <v>769</v>
      </c>
      <c r="EG1" t="s">
        <v>770</v>
      </c>
      <c r="EH1" t="s">
        <v>771</v>
      </c>
      <c r="EI1" t="s">
        <v>772</v>
      </c>
      <c r="EJ1" t="s">
        <v>773</v>
      </c>
      <c r="EK1" t="s">
        <v>774</v>
      </c>
      <c r="EL1" t="s">
        <v>775</v>
      </c>
      <c r="EM1" t="s">
        <v>776</v>
      </c>
      <c r="EN1" t="s">
        <v>777</v>
      </c>
      <c r="EO1" t="s">
        <v>778</v>
      </c>
      <c r="EP1" t="s">
        <v>779</v>
      </c>
      <c r="EQ1" t="s">
        <v>780</v>
      </c>
      <c r="ER1" t="s">
        <v>781</v>
      </c>
      <c r="ES1" t="s">
        <v>782</v>
      </c>
      <c r="ET1" t="s">
        <v>783</v>
      </c>
      <c r="EU1" t="s">
        <v>784</v>
      </c>
      <c r="EV1" t="s">
        <v>785</v>
      </c>
      <c r="EW1" t="s">
        <v>786</v>
      </c>
      <c r="EX1" t="s">
        <v>787</v>
      </c>
      <c r="EY1" t="s">
        <v>788</v>
      </c>
      <c r="EZ1" t="s">
        <v>789</v>
      </c>
      <c r="FA1" t="s">
        <v>790</v>
      </c>
      <c r="FB1" t="s">
        <v>791</v>
      </c>
      <c r="FC1" t="s">
        <v>792</v>
      </c>
      <c r="FD1" t="s">
        <v>793</v>
      </c>
      <c r="FE1" t="s">
        <v>794</v>
      </c>
      <c r="FF1" t="s">
        <v>795</v>
      </c>
      <c r="FG1" t="s">
        <v>796</v>
      </c>
      <c r="FH1" t="s">
        <v>797</v>
      </c>
      <c r="FI1" t="s">
        <v>798</v>
      </c>
      <c r="FJ1" t="s">
        <v>799</v>
      </c>
      <c r="FK1" t="s">
        <v>800</v>
      </c>
      <c r="FL1" t="s">
        <v>801</v>
      </c>
      <c r="FM1" t="s">
        <v>802</v>
      </c>
      <c r="FN1" t="s">
        <v>803</v>
      </c>
      <c r="FO1" t="s">
        <v>804</v>
      </c>
      <c r="FP1" t="s">
        <v>805</v>
      </c>
      <c r="FQ1" t="s">
        <v>806</v>
      </c>
      <c r="FR1" t="s">
        <v>807</v>
      </c>
      <c r="FS1" t="s">
        <v>808</v>
      </c>
      <c r="FT1" t="s">
        <v>809</v>
      </c>
      <c r="FU1" t="s">
        <v>810</v>
      </c>
      <c r="FV1" t="s">
        <v>811</v>
      </c>
      <c r="FW1" t="s">
        <v>812</v>
      </c>
      <c r="FX1" t="s">
        <v>813</v>
      </c>
      <c r="FY1" t="s">
        <v>814</v>
      </c>
      <c r="FZ1" t="s">
        <v>815</v>
      </c>
      <c r="GA1" t="s">
        <v>816</v>
      </c>
      <c r="GB1" t="s">
        <v>817</v>
      </c>
      <c r="GC1" t="s">
        <v>818</v>
      </c>
      <c r="GD1" t="s">
        <v>819</v>
      </c>
      <c r="GE1" t="s">
        <v>820</v>
      </c>
      <c r="GF1" t="s">
        <v>821</v>
      </c>
      <c r="GG1" t="s">
        <v>822</v>
      </c>
      <c r="GH1" t="s">
        <v>823</v>
      </c>
      <c r="GI1" t="s">
        <v>824</v>
      </c>
      <c r="GJ1" t="s">
        <v>825</v>
      </c>
      <c r="GK1" t="s">
        <v>826</v>
      </c>
      <c r="GL1" t="s">
        <v>827</v>
      </c>
      <c r="GM1" t="s">
        <v>828</v>
      </c>
      <c r="GN1" t="s">
        <v>829</v>
      </c>
    </row>
    <row r="2" spans="1:196" x14ac:dyDescent="0.25">
      <c r="A2" s="37">
        <v>1</v>
      </c>
      <c r="B2" s="37" t="s">
        <v>2571</v>
      </c>
      <c r="C2" s="2" t="s">
        <v>128</v>
      </c>
      <c r="D2" s="2" t="s">
        <v>19</v>
      </c>
      <c r="E2" s="2"/>
      <c r="F2" s="2">
        <v>45</v>
      </c>
      <c r="G2" s="2">
        <v>49</v>
      </c>
      <c r="H2" s="2">
        <v>49</v>
      </c>
      <c r="I2" s="2">
        <v>65</v>
      </c>
      <c r="J2" s="2">
        <v>65</v>
      </c>
      <c r="K2" s="2">
        <v>45</v>
      </c>
      <c r="L2" s="2">
        <v>318</v>
      </c>
      <c r="M2" s="2" t="s">
        <v>2581</v>
      </c>
      <c r="N2" s="2" t="s">
        <v>2572</v>
      </c>
      <c r="O2" t="s">
        <v>196</v>
      </c>
      <c r="P2" t="s">
        <v>197</v>
      </c>
      <c r="Q2" t="s">
        <v>140</v>
      </c>
      <c r="R2" t="s">
        <v>147</v>
      </c>
      <c r="S2" t="s">
        <v>198</v>
      </c>
      <c r="T2" t="s">
        <v>201</v>
      </c>
      <c r="U2" t="s">
        <v>194</v>
      </c>
      <c r="V2" t="s">
        <v>199</v>
      </c>
      <c r="W2" t="s">
        <v>206</v>
      </c>
      <c r="X2" t="s">
        <v>2573</v>
      </c>
      <c r="Y2" t="s">
        <v>203</v>
      </c>
      <c r="Z2" t="s">
        <v>2574</v>
      </c>
      <c r="AA2" t="s">
        <v>143</v>
      </c>
      <c r="AB2" t="s">
        <v>146</v>
      </c>
      <c r="AC2" t="s">
        <v>308</v>
      </c>
      <c r="AD2" t="s">
        <v>200</v>
      </c>
      <c r="AE2" t="s">
        <v>202</v>
      </c>
      <c r="AF2" t="s">
        <v>264</v>
      </c>
      <c r="AG2" t="s">
        <v>335</v>
      </c>
      <c r="AH2" t="s">
        <v>206</v>
      </c>
      <c r="AI2" t="s">
        <v>321</v>
      </c>
      <c r="AJ2" t="s">
        <v>207</v>
      </c>
      <c r="AK2" t="s">
        <v>320</v>
      </c>
      <c r="AL2" t="s">
        <v>297</v>
      </c>
      <c r="AM2" t="s">
        <v>208</v>
      </c>
      <c r="AN2" t="s">
        <v>210</v>
      </c>
      <c r="AO2" t="s">
        <v>2575</v>
      </c>
      <c r="AP2" t="s">
        <v>2576</v>
      </c>
      <c r="AQ2" t="s">
        <v>2577</v>
      </c>
      <c r="AR2" t="s">
        <v>2578</v>
      </c>
      <c r="AS2" t="s">
        <v>2579</v>
      </c>
    </row>
  </sheetData>
  <dataConsolidate/>
  <conditionalFormatting sqref="D775:E775">
    <cfRule type="containsText" dxfId="2198" priority="63" stopIfTrue="1" operator="containsText" text="Ghost">
      <formula>NOT(ISERROR(SEARCH("Ghost",D775)))</formula>
    </cfRule>
    <cfRule type="containsText" dxfId="2197" priority="64" stopIfTrue="1" operator="containsText" text="Psychic">
      <formula>NOT(ISERROR(SEARCH("Psychic",D775)))</formula>
    </cfRule>
    <cfRule type="containsText" dxfId="2196" priority="65" stopIfTrue="1" operator="containsText" text="Normal">
      <formula>NOT(ISERROR(SEARCH("Normal",D775)))</formula>
    </cfRule>
    <cfRule type="containsText" dxfId="2195" priority="66" stopIfTrue="1" operator="containsText" text="Fire">
      <formula>NOT(ISERROR(SEARCH("Fire",D775)))</formula>
    </cfRule>
    <cfRule type="containsText" dxfId="2194" priority="67" stopIfTrue="1" operator="containsText" text="Bug">
      <formula>NOT(ISERROR(SEARCH("Bug",D775)))</formula>
    </cfRule>
    <cfRule type="containsText" dxfId="2193" priority="68" stopIfTrue="1" operator="containsText" text="Dark">
      <formula>NOT(ISERROR(SEARCH("Dark",D775)))</formula>
    </cfRule>
    <cfRule type="containsText" dxfId="2192" priority="69" stopIfTrue="1" operator="containsText" text="Dragon">
      <formula>NOT(ISERROR(SEARCH("Dragon",D775)))</formula>
    </cfRule>
    <cfRule type="containsText" dxfId="2191" priority="70" stopIfTrue="1" operator="containsText" text="Electric">
      <formula>NOT(ISERROR(SEARCH("Electric",D775)))</formula>
    </cfRule>
    <cfRule type="containsText" dxfId="2190" priority="71" stopIfTrue="1" operator="containsText" text="Fairy">
      <formula>NOT(ISERROR(SEARCH("Fairy",D775)))</formula>
    </cfRule>
    <cfRule type="containsText" dxfId="2189" priority="72" stopIfTrue="1" operator="containsText" text="Fighting">
      <formula>NOT(ISERROR(SEARCH("Fighting",D775)))</formula>
    </cfRule>
    <cfRule type="containsText" dxfId="2188" priority="73" stopIfTrue="1" operator="containsText" text="Flying">
      <formula>NOT(ISERROR(SEARCH("Flying",D775)))</formula>
    </cfRule>
    <cfRule type="containsText" dxfId="2187" priority="74" stopIfTrue="1" operator="containsText" text="Grass">
      <formula>NOT(ISERROR(SEARCH("Grass",D775)))</formula>
    </cfRule>
    <cfRule type="containsText" dxfId="2186" priority="75" stopIfTrue="1" operator="containsText" text="Ground">
      <formula>NOT(ISERROR(SEARCH("Ground",D775)))</formula>
    </cfRule>
    <cfRule type="containsText" dxfId="2185" priority="76" stopIfTrue="1" operator="containsText" text="Ice">
      <formula>NOT(ISERROR(SEARCH("Ice",D775)))</formula>
    </cfRule>
    <cfRule type="containsText" dxfId="2184" priority="77" stopIfTrue="1" operator="containsText" text="Poison">
      <formula>NOT(ISERROR(SEARCH("Poison",D775)))</formula>
    </cfRule>
    <cfRule type="containsText" dxfId="2183" priority="78" stopIfTrue="1" operator="containsText" text="Rock">
      <formula>NOT(ISERROR(SEARCH("Rock",D775)))</formula>
    </cfRule>
    <cfRule type="containsText" dxfId="2182" priority="79" stopIfTrue="1" operator="containsText" text="Steel">
      <formula>NOT(ISERROR(SEARCH("Steel",D775)))</formula>
    </cfRule>
    <cfRule type="containsText" dxfId="2181" priority="80" stopIfTrue="1" operator="containsText" text="Water">
      <formula>NOT(ISERROR(SEARCH("Water",D775)))</formula>
    </cfRule>
    <cfRule type="containsText" dxfId="2180" priority="81" stopIfTrue="1" operator="containsText" text="Status">
      <formula>NOT(ISERROR(SEARCH("Status",D775)))</formula>
    </cfRule>
    <cfRule type="containsText" dxfId="2179" priority="82" stopIfTrue="1" operator="containsText" text="Physical">
      <formula>NOT(ISERROR(SEARCH("Physical",D775)))</formula>
    </cfRule>
    <cfRule type="containsText" dxfId="2178" priority="83" stopIfTrue="1" operator="containsText" text="Special">
      <formula>NOT(ISERROR(SEARCH("Special",D775)))</formula>
    </cfRule>
  </conditionalFormatting>
  <conditionalFormatting sqref="D2:E774">
    <cfRule type="containsText" dxfId="2177" priority="43" stopIfTrue="1" operator="containsText" text="Ghost">
      <formula>NOT(ISERROR(SEARCH("Ghost",D2)))</formula>
    </cfRule>
    <cfRule type="containsText" dxfId="2176" priority="44" stopIfTrue="1" operator="containsText" text="Psychic">
      <formula>NOT(ISERROR(SEARCH("Psychic",D2)))</formula>
    </cfRule>
    <cfRule type="containsText" dxfId="2175" priority="45" stopIfTrue="1" operator="containsText" text="Normal">
      <formula>NOT(ISERROR(SEARCH("Normal",D2)))</formula>
    </cfRule>
    <cfRule type="containsText" dxfId="2174" priority="46" stopIfTrue="1" operator="containsText" text="Fire">
      <formula>NOT(ISERROR(SEARCH("Fire",D2)))</formula>
    </cfRule>
    <cfRule type="containsText" dxfId="2173" priority="47" stopIfTrue="1" operator="containsText" text="Bug">
      <formula>NOT(ISERROR(SEARCH("Bug",D2)))</formula>
    </cfRule>
    <cfRule type="containsText" dxfId="2172" priority="48" stopIfTrue="1" operator="containsText" text="Dark">
      <formula>NOT(ISERROR(SEARCH("Dark",D2)))</formula>
    </cfRule>
    <cfRule type="containsText" dxfId="2171" priority="49" stopIfTrue="1" operator="containsText" text="Dragon">
      <formula>NOT(ISERROR(SEARCH("Dragon",D2)))</formula>
    </cfRule>
    <cfRule type="containsText" dxfId="2170" priority="50" stopIfTrue="1" operator="containsText" text="Electric">
      <formula>NOT(ISERROR(SEARCH("Electric",D2)))</formula>
    </cfRule>
    <cfRule type="containsText" dxfId="2169" priority="51" stopIfTrue="1" operator="containsText" text="Fighting">
      <formula>NOT(ISERROR(SEARCH("Fighting",D2)))</formula>
    </cfRule>
    <cfRule type="containsText" dxfId="2168" priority="52" stopIfTrue="1" operator="containsText" text="Flying">
      <formula>NOT(ISERROR(SEARCH("Flying",D2)))</formula>
    </cfRule>
    <cfRule type="containsText" dxfId="2167" priority="53" stopIfTrue="1" operator="containsText" text="Grass">
      <formula>NOT(ISERROR(SEARCH("Grass",D2)))</formula>
    </cfRule>
    <cfRule type="containsText" dxfId="2166" priority="54" stopIfTrue="1" operator="containsText" text="Ground">
      <formula>NOT(ISERROR(SEARCH("Ground",D2)))</formula>
    </cfRule>
    <cfRule type="containsText" dxfId="2165" priority="55" stopIfTrue="1" operator="containsText" text="Ice">
      <formula>NOT(ISERROR(SEARCH("Ice",D2)))</formula>
    </cfRule>
    <cfRule type="containsText" dxfId="2164" priority="56" stopIfTrue="1" operator="containsText" text="Poison">
      <formula>NOT(ISERROR(SEARCH("Poison",D2)))</formula>
    </cfRule>
    <cfRule type="containsText" dxfId="2163" priority="57" stopIfTrue="1" operator="containsText" text="Rock">
      <formula>NOT(ISERROR(SEARCH("Rock",D2)))</formula>
    </cfRule>
    <cfRule type="containsText" dxfId="2162" priority="58" stopIfTrue="1" operator="containsText" text="Steel">
      <formula>NOT(ISERROR(SEARCH("Steel",D2)))</formula>
    </cfRule>
    <cfRule type="containsText" dxfId="2161" priority="59" stopIfTrue="1" operator="containsText" text="Water">
      <formula>NOT(ISERROR(SEARCH("Water",D2)))</formula>
    </cfRule>
    <cfRule type="containsText" dxfId="2160" priority="60" stopIfTrue="1" operator="containsText" text="Status">
      <formula>NOT(ISERROR(SEARCH("Status",D2)))</formula>
    </cfRule>
    <cfRule type="containsText" dxfId="2159" priority="61" stopIfTrue="1" operator="containsText" text="Physical">
      <formula>NOT(ISERROR(SEARCH("Physical",D2)))</formula>
    </cfRule>
    <cfRule type="containsText" dxfId="2158" priority="62" stopIfTrue="1" operator="containsText" text="Special">
      <formula>NOT(ISERROR(SEARCH("Special",D2)))</formula>
    </cfRule>
  </conditionalFormatting>
  <conditionalFormatting sqref="D3:E3">
    <cfRule type="containsText" dxfId="2157" priority="22" stopIfTrue="1" operator="containsText" text="Ghost">
      <formula>NOT(ISERROR(SEARCH("Ghost",D3)))</formula>
    </cfRule>
    <cfRule type="containsText" dxfId="2156" priority="23" stopIfTrue="1" operator="containsText" text="Psychic">
      <formula>NOT(ISERROR(SEARCH("Psychic",D3)))</formula>
    </cfRule>
    <cfRule type="containsText" dxfId="2155" priority="24" stopIfTrue="1" operator="containsText" text="Normal">
      <formula>NOT(ISERROR(SEARCH("Normal",D3)))</formula>
    </cfRule>
    <cfRule type="containsText" dxfId="2154" priority="25" stopIfTrue="1" operator="containsText" text="Fire">
      <formula>NOT(ISERROR(SEARCH("Fire",D3)))</formula>
    </cfRule>
    <cfRule type="containsText" dxfId="2153" priority="26" stopIfTrue="1" operator="containsText" text="Bug">
      <formula>NOT(ISERROR(SEARCH("Bug",D3)))</formula>
    </cfRule>
    <cfRule type="containsText" dxfId="2152" priority="27" stopIfTrue="1" operator="containsText" text="Dark">
      <formula>NOT(ISERROR(SEARCH("Dark",D3)))</formula>
    </cfRule>
    <cfRule type="containsText" dxfId="2151" priority="28" stopIfTrue="1" operator="containsText" text="Dragon">
      <formula>NOT(ISERROR(SEARCH("Dragon",D3)))</formula>
    </cfRule>
    <cfRule type="containsText" dxfId="2150" priority="29" stopIfTrue="1" operator="containsText" text="Electric">
      <formula>NOT(ISERROR(SEARCH("Electric",D3)))</formula>
    </cfRule>
    <cfRule type="containsText" dxfId="2149" priority="30" stopIfTrue="1" operator="containsText" text="Fairy">
      <formula>NOT(ISERROR(SEARCH("Fairy",D3)))</formula>
    </cfRule>
    <cfRule type="containsText" dxfId="2148" priority="31" stopIfTrue="1" operator="containsText" text="Fighting">
      <formula>NOT(ISERROR(SEARCH("Fighting",D3)))</formula>
    </cfRule>
    <cfRule type="containsText" dxfId="2147" priority="32" stopIfTrue="1" operator="containsText" text="Flying">
      <formula>NOT(ISERROR(SEARCH("Flying",D3)))</formula>
    </cfRule>
    <cfRule type="containsText" dxfId="2146" priority="33" stopIfTrue="1" operator="containsText" text="Grass">
      <formula>NOT(ISERROR(SEARCH("Grass",D3)))</formula>
    </cfRule>
    <cfRule type="containsText" dxfId="2145" priority="34" stopIfTrue="1" operator="containsText" text="Ground">
      <formula>NOT(ISERROR(SEARCH("Ground",D3)))</formula>
    </cfRule>
    <cfRule type="containsText" dxfId="2144" priority="35" stopIfTrue="1" operator="containsText" text="Ice">
      <formula>NOT(ISERROR(SEARCH("Ice",D3)))</formula>
    </cfRule>
    <cfRule type="containsText" dxfId="2143" priority="36" stopIfTrue="1" operator="containsText" text="Poison">
      <formula>NOT(ISERROR(SEARCH("Poison",D3)))</formula>
    </cfRule>
    <cfRule type="containsText" dxfId="2142" priority="37" stopIfTrue="1" operator="containsText" text="Rock">
      <formula>NOT(ISERROR(SEARCH("Rock",D3)))</formula>
    </cfRule>
    <cfRule type="containsText" dxfId="2141" priority="38" stopIfTrue="1" operator="containsText" text="Steel">
      <formula>NOT(ISERROR(SEARCH("Steel",D3)))</formula>
    </cfRule>
    <cfRule type="containsText" dxfId="2140" priority="39" stopIfTrue="1" operator="containsText" text="Water">
      <formula>NOT(ISERROR(SEARCH("Water",D3)))</formula>
    </cfRule>
    <cfRule type="containsText" dxfId="2139" priority="40" stopIfTrue="1" operator="containsText" text="Status">
      <formula>NOT(ISERROR(SEARCH("Status",D3)))</formula>
    </cfRule>
    <cfRule type="containsText" dxfId="2138" priority="41" stopIfTrue="1" operator="containsText" text="Physical">
      <formula>NOT(ISERROR(SEARCH("Physical",D3)))</formula>
    </cfRule>
    <cfRule type="containsText" dxfId="2137" priority="42" stopIfTrue="1" operator="containsText" text="Special">
      <formula>NOT(ISERROR(SEARCH("Special",D3)))</formula>
    </cfRule>
  </conditionalFormatting>
  <conditionalFormatting sqref="D3:E774">
    <cfRule type="containsText" dxfId="2136" priority="1" stopIfTrue="1" operator="containsText" text="Ghost">
      <formula>NOT(ISERROR(SEARCH("Ghost",D3)))</formula>
    </cfRule>
    <cfRule type="containsText" dxfId="2135" priority="2" stopIfTrue="1" operator="containsText" text="Psychic">
      <formula>NOT(ISERROR(SEARCH("Psychic",D3)))</formula>
    </cfRule>
    <cfRule type="containsText" dxfId="2134" priority="3" stopIfTrue="1" operator="containsText" text="Normal">
      <formula>NOT(ISERROR(SEARCH("Normal",D3)))</formula>
    </cfRule>
    <cfRule type="containsText" dxfId="2133" priority="4" stopIfTrue="1" operator="containsText" text="Fire">
      <formula>NOT(ISERROR(SEARCH("Fire",D3)))</formula>
    </cfRule>
    <cfRule type="containsText" dxfId="2132" priority="5" stopIfTrue="1" operator="containsText" text="Bug">
      <formula>NOT(ISERROR(SEARCH("Bug",D3)))</formula>
    </cfRule>
    <cfRule type="containsText" dxfId="2131" priority="6" stopIfTrue="1" operator="containsText" text="Dark">
      <formula>NOT(ISERROR(SEARCH("Dark",D3)))</formula>
    </cfRule>
    <cfRule type="containsText" dxfId="2130" priority="7" stopIfTrue="1" operator="containsText" text="Dragon">
      <formula>NOT(ISERROR(SEARCH("Dragon",D3)))</formula>
    </cfRule>
    <cfRule type="containsText" dxfId="2129" priority="8" stopIfTrue="1" operator="containsText" text="Electric">
      <formula>NOT(ISERROR(SEARCH("Electric",D3)))</formula>
    </cfRule>
    <cfRule type="containsText" dxfId="2128" priority="9" stopIfTrue="1" operator="containsText" text="Fairy">
      <formula>NOT(ISERROR(SEARCH("Fairy",D3)))</formula>
    </cfRule>
    <cfRule type="containsText" dxfId="2127" priority="10" stopIfTrue="1" operator="containsText" text="Fighting">
      <formula>NOT(ISERROR(SEARCH("Fighting",D3)))</formula>
    </cfRule>
    <cfRule type="containsText" dxfId="2126" priority="11" stopIfTrue="1" operator="containsText" text="Flying">
      <formula>NOT(ISERROR(SEARCH("Flying",D3)))</formula>
    </cfRule>
    <cfRule type="containsText" dxfId="2125" priority="12" stopIfTrue="1" operator="containsText" text="Grass">
      <formula>NOT(ISERROR(SEARCH("Grass",D3)))</formula>
    </cfRule>
    <cfRule type="containsText" dxfId="2124" priority="13" stopIfTrue="1" operator="containsText" text="Ground">
      <formula>NOT(ISERROR(SEARCH("Ground",D3)))</formula>
    </cfRule>
    <cfRule type="containsText" dxfId="2123" priority="14" stopIfTrue="1" operator="containsText" text="Ice">
      <formula>NOT(ISERROR(SEARCH("Ice",D3)))</formula>
    </cfRule>
    <cfRule type="containsText" dxfId="2122" priority="15" stopIfTrue="1" operator="containsText" text="Poison">
      <formula>NOT(ISERROR(SEARCH("Poison",D3)))</formula>
    </cfRule>
    <cfRule type="containsText" dxfId="2121" priority="16" stopIfTrue="1" operator="containsText" text="Rock">
      <formula>NOT(ISERROR(SEARCH("Rock",D3)))</formula>
    </cfRule>
    <cfRule type="containsText" dxfId="2120" priority="17" stopIfTrue="1" operator="containsText" text="Steel">
      <formula>NOT(ISERROR(SEARCH("Steel",D3)))</formula>
    </cfRule>
    <cfRule type="containsText" dxfId="2119" priority="18" stopIfTrue="1" operator="containsText" text="Water">
      <formula>NOT(ISERROR(SEARCH("Water",D3)))</formula>
    </cfRule>
    <cfRule type="containsText" dxfId="2118" priority="19" stopIfTrue="1" operator="containsText" text="Status">
      <formula>NOT(ISERROR(SEARCH("Status",D3)))</formula>
    </cfRule>
    <cfRule type="containsText" dxfId="2117" priority="20" stopIfTrue="1" operator="containsText" text="Physical">
      <formula>NOT(ISERROR(SEARCH("Physical",D3)))</formula>
    </cfRule>
    <cfRule type="containsText" dxfId="2116" priority="21" stopIfTrue="1" operator="containsText" text="Special">
      <formula>NOT(ISERROR(SEARCH("Special",D3)))</formula>
    </cfRule>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vesSheet"/>
  <dimension ref="A1:G609"/>
  <sheetViews>
    <sheetView zoomScaleNormal="100" workbookViewId="0">
      <pane ySplit="1" topLeftCell="A575" activePane="bottomLeft" state="frozen"/>
      <selection pane="bottomLeft" activeCell="L24" sqref="L24"/>
    </sheetView>
  </sheetViews>
  <sheetFormatPr defaultRowHeight="15" x14ac:dyDescent="0.25"/>
  <cols>
    <col min="1" max="1" width="16" bestFit="1" customWidth="1"/>
    <col min="2" max="2" width="9.85546875" bestFit="1" customWidth="1"/>
    <col min="3" max="3" width="13.42578125" bestFit="1" customWidth="1"/>
    <col min="4" max="4" width="11.28515625" bestFit="1" customWidth="1"/>
    <col min="5" max="5" width="13.28515625" bestFit="1" customWidth="1"/>
    <col min="6" max="6" width="7.85546875" bestFit="1" customWidth="1"/>
    <col min="7" max="7" width="115.7109375" style="26" bestFit="1" customWidth="1"/>
  </cols>
  <sheetData>
    <row r="1" spans="1:7" x14ac:dyDescent="0.25">
      <c r="A1" s="2" t="s">
        <v>625</v>
      </c>
      <c r="B1" s="2" t="s">
        <v>35</v>
      </c>
      <c r="C1" s="2" t="s">
        <v>666</v>
      </c>
      <c r="D1" s="2" t="s">
        <v>4</v>
      </c>
      <c r="E1" s="2" t="s">
        <v>5</v>
      </c>
      <c r="F1" s="2" t="s">
        <v>6</v>
      </c>
      <c r="G1" s="2" t="s">
        <v>166</v>
      </c>
    </row>
    <row r="2" spans="1:7" x14ac:dyDescent="0.25">
      <c r="A2" s="2" t="s">
        <v>334</v>
      </c>
      <c r="B2" s="2" t="s">
        <v>19</v>
      </c>
      <c r="C2" s="2" t="s">
        <v>487</v>
      </c>
      <c r="D2" s="2">
        <v>20</v>
      </c>
      <c r="E2" s="2">
        <v>100</v>
      </c>
      <c r="F2" s="2">
        <v>20</v>
      </c>
      <c r="G2" s="2" t="s">
        <v>488</v>
      </c>
    </row>
    <row r="3" spans="1:7" x14ac:dyDescent="0.25">
      <c r="A3" s="2" t="s">
        <v>291</v>
      </c>
      <c r="B3" s="2" t="s">
        <v>9</v>
      </c>
      <c r="C3" s="2" t="s">
        <v>495</v>
      </c>
      <c r="D3" s="2">
        <v>40</v>
      </c>
      <c r="E3" s="2">
        <v>100</v>
      </c>
      <c r="F3" s="2">
        <v>30</v>
      </c>
      <c r="G3" s="2" t="s">
        <v>489</v>
      </c>
    </row>
    <row r="4" spans="1:7" x14ac:dyDescent="0.25">
      <c r="A4" s="2" t="s">
        <v>405</v>
      </c>
      <c r="B4" s="2" t="s">
        <v>9</v>
      </c>
      <c r="C4" s="2" t="s">
        <v>490</v>
      </c>
      <c r="D4" s="2" t="s">
        <v>100</v>
      </c>
      <c r="E4" s="2" t="s">
        <v>100</v>
      </c>
      <c r="F4" s="2">
        <v>40</v>
      </c>
      <c r="G4" s="2" t="s">
        <v>491</v>
      </c>
    </row>
    <row r="5" spans="1:7" x14ac:dyDescent="0.25">
      <c r="A5" s="2" t="s">
        <v>266</v>
      </c>
      <c r="B5" s="2" t="s">
        <v>7</v>
      </c>
      <c r="C5" s="2" t="s">
        <v>490</v>
      </c>
      <c r="D5" s="2" t="s">
        <v>100</v>
      </c>
      <c r="E5" s="2" t="s">
        <v>100</v>
      </c>
      <c r="F5" s="2">
        <v>30</v>
      </c>
      <c r="G5" s="2" t="s">
        <v>492</v>
      </c>
    </row>
    <row r="6" spans="1:7" x14ac:dyDescent="0.25">
      <c r="A6" s="2" t="s">
        <v>211</v>
      </c>
      <c r="B6" s="2" t="s">
        <v>7</v>
      </c>
      <c r="C6" s="2" t="s">
        <v>490</v>
      </c>
      <c r="D6" s="2" t="s">
        <v>100</v>
      </c>
      <c r="E6" s="2" t="s">
        <v>100</v>
      </c>
      <c r="F6" s="2">
        <v>20</v>
      </c>
      <c r="G6" s="2" t="s">
        <v>493</v>
      </c>
    </row>
    <row r="7" spans="1:7" x14ac:dyDescent="0.25">
      <c r="A7" s="2" t="s">
        <v>381</v>
      </c>
      <c r="B7" s="2" t="s">
        <v>21</v>
      </c>
      <c r="C7" s="2" t="s">
        <v>487</v>
      </c>
      <c r="D7" s="2">
        <v>65</v>
      </c>
      <c r="E7" s="2">
        <v>100</v>
      </c>
      <c r="F7" s="2">
        <v>20</v>
      </c>
      <c r="G7" s="2" t="s">
        <v>494</v>
      </c>
    </row>
    <row r="8" spans="1:7" x14ac:dyDescent="0.25">
      <c r="A8" s="2" t="s">
        <v>427</v>
      </c>
      <c r="B8" s="2" t="s">
        <v>22</v>
      </c>
      <c r="C8" s="2" t="s">
        <v>495</v>
      </c>
      <c r="D8" s="2">
        <v>15</v>
      </c>
      <c r="E8" s="2">
        <v>85</v>
      </c>
      <c r="F8" s="2">
        <v>20</v>
      </c>
      <c r="G8" s="2" t="s">
        <v>496</v>
      </c>
    </row>
    <row r="9" spans="1:7" x14ac:dyDescent="0.25">
      <c r="A9" s="2" t="s">
        <v>367</v>
      </c>
      <c r="B9" s="2" t="s">
        <v>7</v>
      </c>
      <c r="C9" s="2" t="s">
        <v>490</v>
      </c>
      <c r="D9" s="2" t="s">
        <v>100</v>
      </c>
      <c r="E9" s="2" t="s">
        <v>100</v>
      </c>
      <c r="F9" s="2">
        <v>30</v>
      </c>
      <c r="G9" s="2" t="s">
        <v>491</v>
      </c>
    </row>
    <row r="10" spans="1:7" x14ac:dyDescent="0.25">
      <c r="A10" s="2" t="s">
        <v>297</v>
      </c>
      <c r="B10" s="2" t="s">
        <v>22</v>
      </c>
      <c r="C10" s="2" t="s">
        <v>495</v>
      </c>
      <c r="D10" s="2" t="s">
        <v>100</v>
      </c>
      <c r="E10" s="2" t="s">
        <v>100</v>
      </c>
      <c r="F10" s="2">
        <v>10</v>
      </c>
      <c r="G10" s="2" t="s">
        <v>497</v>
      </c>
    </row>
    <row r="11" spans="1:7" x14ac:dyDescent="0.25">
      <c r="A11" s="2" t="s">
        <v>215</v>
      </c>
      <c r="B11" s="2" t="s">
        <v>22</v>
      </c>
      <c r="C11" s="2" t="s">
        <v>495</v>
      </c>
      <c r="D11" s="2">
        <v>15</v>
      </c>
      <c r="E11" s="2">
        <v>75</v>
      </c>
      <c r="F11" s="2">
        <v>20</v>
      </c>
      <c r="G11" s="2" t="s">
        <v>498</v>
      </c>
    </row>
    <row r="12" spans="1:7" x14ac:dyDescent="0.25">
      <c r="A12" s="2" t="s">
        <v>229</v>
      </c>
      <c r="B12" s="2" t="s">
        <v>22</v>
      </c>
      <c r="C12" s="2" t="s">
        <v>495</v>
      </c>
      <c r="D12" s="2">
        <v>60</v>
      </c>
      <c r="E12" s="2">
        <v>100</v>
      </c>
      <c r="F12" s="2">
        <v>25</v>
      </c>
      <c r="G12" s="2" t="s">
        <v>499</v>
      </c>
    </row>
    <row r="13" spans="1:7" x14ac:dyDescent="0.25">
      <c r="A13" s="2" t="s">
        <v>239</v>
      </c>
      <c r="B13" s="2" t="s">
        <v>21</v>
      </c>
      <c r="C13" s="2" t="s">
        <v>487</v>
      </c>
      <c r="D13" s="2">
        <v>120</v>
      </c>
      <c r="E13" s="2">
        <v>70</v>
      </c>
      <c r="F13" s="2">
        <v>5</v>
      </c>
      <c r="G13" s="2" t="s">
        <v>500</v>
      </c>
    </row>
    <row r="14" spans="1:7" x14ac:dyDescent="0.25">
      <c r="A14" s="2" t="s">
        <v>308</v>
      </c>
      <c r="B14" s="2" t="s">
        <v>22</v>
      </c>
      <c r="C14" s="2" t="s">
        <v>495</v>
      </c>
      <c r="D14" s="2">
        <v>85</v>
      </c>
      <c r="E14" s="2">
        <v>100</v>
      </c>
      <c r="F14" s="2">
        <v>15</v>
      </c>
      <c r="G14" s="2" t="s">
        <v>501</v>
      </c>
    </row>
    <row r="15" spans="1:7" x14ac:dyDescent="0.25">
      <c r="A15" s="2" t="s">
        <v>431</v>
      </c>
      <c r="B15" s="2" t="s">
        <v>20</v>
      </c>
      <c r="C15" s="2" t="s">
        <v>495</v>
      </c>
      <c r="D15" s="2">
        <v>65</v>
      </c>
      <c r="E15" s="2">
        <v>85</v>
      </c>
      <c r="F15" s="2">
        <v>20</v>
      </c>
      <c r="G15" s="2" t="s">
        <v>499</v>
      </c>
    </row>
    <row r="16" spans="1:7" x14ac:dyDescent="0.25">
      <c r="A16" s="2" t="s">
        <v>432</v>
      </c>
      <c r="B16" s="2" t="s">
        <v>20</v>
      </c>
      <c r="C16" s="2" t="s">
        <v>495</v>
      </c>
      <c r="D16" s="2">
        <v>50</v>
      </c>
      <c r="E16" s="2">
        <v>90</v>
      </c>
      <c r="F16" s="2">
        <v>10</v>
      </c>
      <c r="G16" s="2" t="s">
        <v>502</v>
      </c>
    </row>
    <row r="17" spans="1:7" x14ac:dyDescent="0.25">
      <c r="A17" s="2" t="s">
        <v>235</v>
      </c>
      <c r="B17" s="2" t="s">
        <v>25</v>
      </c>
      <c r="C17" s="2" t="s">
        <v>487</v>
      </c>
      <c r="D17" s="2">
        <v>20</v>
      </c>
      <c r="E17" s="2">
        <v>100</v>
      </c>
      <c r="F17" s="2">
        <v>30</v>
      </c>
      <c r="G17" s="2" t="s">
        <v>503</v>
      </c>
    </row>
    <row r="18" spans="1:7" x14ac:dyDescent="0.25">
      <c r="A18" s="2" t="s">
        <v>361</v>
      </c>
      <c r="B18" s="2" t="s">
        <v>25</v>
      </c>
      <c r="C18" s="2" t="s">
        <v>487</v>
      </c>
      <c r="D18" s="2">
        <v>65</v>
      </c>
      <c r="E18" s="2">
        <v>100</v>
      </c>
      <c r="F18" s="2">
        <v>20</v>
      </c>
      <c r="G18" s="2" t="s">
        <v>503</v>
      </c>
    </row>
    <row r="19" spans="1:7" x14ac:dyDescent="0.25">
      <c r="A19" s="2" t="s">
        <v>408</v>
      </c>
      <c r="B19" s="2" t="s">
        <v>25</v>
      </c>
      <c r="C19" s="2" t="s">
        <v>487</v>
      </c>
      <c r="D19" s="2">
        <v>35</v>
      </c>
      <c r="E19" s="2">
        <v>75</v>
      </c>
      <c r="F19" s="2">
        <v>10</v>
      </c>
      <c r="G19" s="2" t="s">
        <v>498</v>
      </c>
    </row>
    <row r="20" spans="1:7" x14ac:dyDescent="0.25">
      <c r="A20" s="2" t="s">
        <v>439</v>
      </c>
      <c r="B20" s="2" t="s">
        <v>22</v>
      </c>
      <c r="C20" s="2" t="s">
        <v>495</v>
      </c>
      <c r="D20" s="2">
        <v>18</v>
      </c>
      <c r="E20" s="2">
        <v>85</v>
      </c>
      <c r="F20" s="2">
        <v>15</v>
      </c>
      <c r="G20" s="2" t="s">
        <v>496</v>
      </c>
    </row>
    <row r="21" spans="1:7" x14ac:dyDescent="0.25">
      <c r="A21" s="2" t="s">
        <v>325</v>
      </c>
      <c r="B21" s="2" t="s">
        <v>8</v>
      </c>
      <c r="C21" s="2" t="s">
        <v>490</v>
      </c>
      <c r="D21" s="2" t="s">
        <v>100</v>
      </c>
      <c r="E21" s="2">
        <v>100</v>
      </c>
      <c r="F21" s="2">
        <v>10</v>
      </c>
      <c r="G21" s="2" t="s">
        <v>504</v>
      </c>
    </row>
    <row r="22" spans="1:7" x14ac:dyDescent="0.25">
      <c r="A22" s="2" t="s">
        <v>250</v>
      </c>
      <c r="B22" s="2" t="s">
        <v>7</v>
      </c>
      <c r="C22" s="2" t="s">
        <v>487</v>
      </c>
      <c r="D22" s="2">
        <v>50</v>
      </c>
      <c r="E22" s="2">
        <v>100</v>
      </c>
      <c r="F22" s="2">
        <v>25</v>
      </c>
      <c r="G22" s="2" t="s">
        <v>505</v>
      </c>
    </row>
    <row r="23" spans="1:7" x14ac:dyDescent="0.25">
      <c r="A23" s="2" t="s">
        <v>380</v>
      </c>
      <c r="B23" s="2" t="s">
        <v>22</v>
      </c>
      <c r="C23" s="2" t="s">
        <v>495</v>
      </c>
      <c r="D23" s="2">
        <v>10</v>
      </c>
      <c r="E23" s="2">
        <v>100</v>
      </c>
      <c r="F23" s="2">
        <v>35</v>
      </c>
      <c r="G23" s="2" t="s">
        <v>506</v>
      </c>
    </row>
    <row r="24" spans="1:7" x14ac:dyDescent="0.25">
      <c r="A24" s="2" t="s">
        <v>473</v>
      </c>
      <c r="B24" s="2" t="s">
        <v>22</v>
      </c>
      <c r="C24" s="2" t="s">
        <v>490</v>
      </c>
      <c r="D24" s="2" t="s">
        <v>100</v>
      </c>
      <c r="E24" s="2" t="s">
        <v>100</v>
      </c>
      <c r="F24" s="2">
        <v>30</v>
      </c>
      <c r="G24" s="2" t="s">
        <v>507</v>
      </c>
    </row>
    <row r="25" spans="1:7" x14ac:dyDescent="0.25">
      <c r="A25" s="2" t="s">
        <v>230</v>
      </c>
      <c r="B25" s="2" t="s">
        <v>16</v>
      </c>
      <c r="C25" s="2" t="s">
        <v>495</v>
      </c>
      <c r="D25" s="2" t="s">
        <v>100</v>
      </c>
      <c r="E25" s="2">
        <v>100</v>
      </c>
      <c r="F25" s="2">
        <v>20</v>
      </c>
      <c r="G25" s="2" t="s">
        <v>508</v>
      </c>
    </row>
    <row r="26" spans="1:7" x14ac:dyDescent="0.25">
      <c r="A26" s="2" t="s">
        <v>422</v>
      </c>
      <c r="B26" s="2" t="s">
        <v>25</v>
      </c>
      <c r="C26" s="2" t="s">
        <v>487</v>
      </c>
      <c r="D26" s="2">
        <v>90</v>
      </c>
      <c r="E26" s="2">
        <v>85</v>
      </c>
      <c r="F26" s="2">
        <v>10</v>
      </c>
      <c r="G26" s="2" t="s">
        <v>509</v>
      </c>
    </row>
    <row r="27" spans="1:7" x14ac:dyDescent="0.25">
      <c r="A27" s="2" t="s">
        <v>203</v>
      </c>
      <c r="B27" s="2" t="s">
        <v>22</v>
      </c>
      <c r="C27" s="2" t="s">
        <v>495</v>
      </c>
      <c r="D27" s="2">
        <v>50</v>
      </c>
      <c r="E27" s="2">
        <v>95</v>
      </c>
      <c r="F27" s="2">
        <v>30</v>
      </c>
      <c r="G27" s="2"/>
    </row>
    <row r="28" spans="1:7" x14ac:dyDescent="0.25">
      <c r="A28" s="2" t="s">
        <v>301</v>
      </c>
      <c r="B28" s="2" t="s">
        <v>22</v>
      </c>
      <c r="C28" s="2" t="s">
        <v>490</v>
      </c>
      <c r="D28" s="2" t="s">
        <v>100</v>
      </c>
      <c r="E28" s="2" t="s">
        <v>100</v>
      </c>
      <c r="F28" s="2">
        <v>40</v>
      </c>
      <c r="G28" s="2" t="s">
        <v>510</v>
      </c>
    </row>
    <row r="29" spans="1:7" x14ac:dyDescent="0.25">
      <c r="A29" s="2" t="s">
        <v>227</v>
      </c>
      <c r="B29" s="2" t="s">
        <v>20</v>
      </c>
      <c r="C29" s="2" t="s">
        <v>495</v>
      </c>
      <c r="D29" s="2">
        <v>100</v>
      </c>
      <c r="E29" s="2">
        <v>100</v>
      </c>
      <c r="F29" s="2">
        <v>10</v>
      </c>
      <c r="G29" s="2" t="s">
        <v>511</v>
      </c>
    </row>
    <row r="30" spans="1:7" x14ac:dyDescent="0.25">
      <c r="A30" s="2" t="s">
        <v>292</v>
      </c>
      <c r="B30" s="2" t="s">
        <v>22</v>
      </c>
      <c r="C30" s="2" t="s">
        <v>490</v>
      </c>
      <c r="D30" s="2" t="s">
        <v>100</v>
      </c>
      <c r="E30" s="2">
        <v>55</v>
      </c>
      <c r="F30" s="2">
        <v>20</v>
      </c>
      <c r="G30" s="2" t="s">
        <v>512</v>
      </c>
    </row>
    <row r="31" spans="1:7" x14ac:dyDescent="0.25">
      <c r="A31" s="2" t="s">
        <v>449</v>
      </c>
      <c r="B31" s="2" t="s">
        <v>22</v>
      </c>
      <c r="C31" s="2" t="s">
        <v>495</v>
      </c>
      <c r="D31" s="2">
        <v>70</v>
      </c>
      <c r="E31" s="2">
        <v>100</v>
      </c>
      <c r="F31" s="2">
        <v>10</v>
      </c>
      <c r="G31" s="2" t="s">
        <v>505</v>
      </c>
    </row>
    <row r="32" spans="1:7" x14ac:dyDescent="0.25">
      <c r="A32" s="2" t="s">
        <v>305</v>
      </c>
      <c r="B32" s="2" t="s">
        <v>16</v>
      </c>
      <c r="C32" s="2" t="s">
        <v>495</v>
      </c>
      <c r="D32" s="2">
        <v>30</v>
      </c>
      <c r="E32" s="2">
        <v>100</v>
      </c>
      <c r="F32" s="2">
        <v>30</v>
      </c>
      <c r="G32" s="2" t="s">
        <v>502</v>
      </c>
    </row>
    <row r="33" spans="1:7" x14ac:dyDescent="0.25">
      <c r="A33" s="2" t="s">
        <v>207</v>
      </c>
      <c r="B33" s="2" t="s">
        <v>22</v>
      </c>
      <c r="C33" s="2" t="s">
        <v>490</v>
      </c>
      <c r="D33" s="2" t="s">
        <v>100</v>
      </c>
      <c r="E33" s="2" t="s">
        <v>100</v>
      </c>
      <c r="F33" s="2">
        <v>15</v>
      </c>
      <c r="G33" s="2" t="s">
        <v>513</v>
      </c>
    </row>
    <row r="34" spans="1:7" x14ac:dyDescent="0.25">
      <c r="A34" s="2" t="s">
        <v>202</v>
      </c>
      <c r="B34" s="2" t="s">
        <v>22</v>
      </c>
      <c r="C34" s="2" t="s">
        <v>495</v>
      </c>
      <c r="D34" s="2">
        <v>120</v>
      </c>
      <c r="E34" s="2">
        <v>100</v>
      </c>
      <c r="F34" s="2">
        <v>15</v>
      </c>
      <c r="G34" s="2" t="s">
        <v>514</v>
      </c>
    </row>
    <row r="35" spans="1:7" x14ac:dyDescent="0.25">
      <c r="A35" s="2" t="s">
        <v>298</v>
      </c>
      <c r="B35" s="2" t="s">
        <v>22</v>
      </c>
      <c r="C35" s="2" t="s">
        <v>495</v>
      </c>
      <c r="D35" s="2">
        <v>15</v>
      </c>
      <c r="E35" s="2">
        <v>85</v>
      </c>
      <c r="F35" s="2">
        <v>10</v>
      </c>
      <c r="G35" s="2" t="s">
        <v>496</v>
      </c>
    </row>
    <row r="36" spans="1:7" x14ac:dyDescent="0.25">
      <c r="A36" s="2" t="s">
        <v>223</v>
      </c>
      <c r="B36" s="2" t="s">
        <v>14</v>
      </c>
      <c r="C36" s="2" t="s">
        <v>487</v>
      </c>
      <c r="D36" s="2" t="s">
        <v>100</v>
      </c>
      <c r="E36" s="2">
        <v>100</v>
      </c>
      <c r="F36" s="2">
        <v>10</v>
      </c>
      <c r="G36" s="2" t="s">
        <v>515</v>
      </c>
    </row>
    <row r="37" spans="1:7" x14ac:dyDescent="0.25">
      <c r="A37" s="2" t="s">
        <v>256</v>
      </c>
      <c r="B37" s="2" t="s">
        <v>7</v>
      </c>
      <c r="C37" s="2" t="s">
        <v>487</v>
      </c>
      <c r="D37" s="2">
        <v>100</v>
      </c>
      <c r="E37" s="2">
        <v>100</v>
      </c>
      <c r="F37" s="2">
        <v>15</v>
      </c>
      <c r="G37" s="2" t="s">
        <v>516</v>
      </c>
    </row>
    <row r="38" spans="1:7" x14ac:dyDescent="0.25">
      <c r="A38" s="2" t="s">
        <v>285</v>
      </c>
      <c r="B38" s="2" t="s">
        <v>18</v>
      </c>
      <c r="C38" s="2" t="s">
        <v>495</v>
      </c>
      <c r="D38" s="2">
        <v>80</v>
      </c>
      <c r="E38" s="2">
        <v>100</v>
      </c>
      <c r="F38" s="2">
        <v>20</v>
      </c>
      <c r="G38" s="2"/>
    </row>
    <row r="39" spans="1:7" x14ac:dyDescent="0.25">
      <c r="A39" s="2" t="s">
        <v>134</v>
      </c>
      <c r="B39" s="2" t="s">
        <v>20</v>
      </c>
      <c r="C39" s="2" t="s">
        <v>495</v>
      </c>
      <c r="D39" s="2">
        <v>100</v>
      </c>
      <c r="E39" s="2">
        <v>100</v>
      </c>
      <c r="F39" s="2">
        <v>10</v>
      </c>
      <c r="G39" s="2" t="s">
        <v>517</v>
      </c>
    </row>
    <row r="40" spans="1:7" x14ac:dyDescent="0.25">
      <c r="A40" s="2" t="s">
        <v>429</v>
      </c>
      <c r="B40" s="2" t="s">
        <v>22</v>
      </c>
      <c r="C40" s="2" t="s">
        <v>495</v>
      </c>
      <c r="D40" s="2">
        <v>100</v>
      </c>
      <c r="E40" s="2">
        <v>75</v>
      </c>
      <c r="F40" s="2">
        <v>10</v>
      </c>
      <c r="G40" s="2"/>
    </row>
    <row r="41" spans="1:7" x14ac:dyDescent="0.25">
      <c r="A41" s="2" t="s">
        <v>221</v>
      </c>
      <c r="B41" s="2" t="s">
        <v>17</v>
      </c>
      <c r="C41" s="2" t="s">
        <v>487</v>
      </c>
      <c r="D41" s="2">
        <v>40</v>
      </c>
      <c r="E41" s="2">
        <v>100</v>
      </c>
      <c r="F41" s="2">
        <v>25</v>
      </c>
      <c r="G41" s="2" t="s">
        <v>518</v>
      </c>
    </row>
    <row r="42" spans="1:7" x14ac:dyDescent="0.25">
      <c r="A42" s="2" t="s">
        <v>386</v>
      </c>
      <c r="B42" s="2" t="s">
        <v>22</v>
      </c>
      <c r="C42" s="2" t="s">
        <v>495</v>
      </c>
      <c r="D42" s="2">
        <v>170</v>
      </c>
      <c r="E42" s="2">
        <v>100</v>
      </c>
      <c r="F42" s="2">
        <v>5</v>
      </c>
      <c r="G42" s="2" t="s">
        <v>519</v>
      </c>
    </row>
    <row r="43" spans="1:7" x14ac:dyDescent="0.25">
      <c r="A43" s="2" t="s">
        <v>228</v>
      </c>
      <c r="B43" s="2" t="s">
        <v>17</v>
      </c>
      <c r="C43" s="2" t="s">
        <v>487</v>
      </c>
      <c r="D43" s="2">
        <v>120</v>
      </c>
      <c r="E43" s="2">
        <v>85</v>
      </c>
      <c r="F43" s="2">
        <v>5</v>
      </c>
      <c r="G43" s="2" t="s">
        <v>518</v>
      </c>
    </row>
    <row r="44" spans="1:7" x14ac:dyDescent="0.25">
      <c r="A44" s="2" t="s">
        <v>135</v>
      </c>
      <c r="B44" s="2" t="s">
        <v>17</v>
      </c>
      <c r="C44" s="2" t="s">
        <v>487</v>
      </c>
      <c r="D44" s="2">
        <v>75</v>
      </c>
      <c r="E44" s="2">
        <v>100</v>
      </c>
      <c r="F44" s="2">
        <v>15</v>
      </c>
      <c r="G44" s="2" t="s">
        <v>518</v>
      </c>
    </row>
    <row r="45" spans="1:7" x14ac:dyDescent="0.25">
      <c r="A45" s="2" t="s">
        <v>226</v>
      </c>
      <c r="B45" s="2" t="s">
        <v>17</v>
      </c>
      <c r="C45" s="2" t="s">
        <v>487</v>
      </c>
      <c r="D45" s="2">
        <v>35</v>
      </c>
      <c r="E45" s="2">
        <v>70</v>
      </c>
      <c r="F45" s="2">
        <v>15</v>
      </c>
      <c r="G45" s="2" t="s">
        <v>498</v>
      </c>
    </row>
    <row r="46" spans="1:7" x14ac:dyDescent="0.25">
      <c r="A46" s="2" t="s">
        <v>344</v>
      </c>
      <c r="B46" s="2" t="s">
        <v>20</v>
      </c>
      <c r="C46" s="2" t="s">
        <v>495</v>
      </c>
      <c r="D46" s="2" t="s">
        <v>100</v>
      </c>
      <c r="E46" s="2" t="s">
        <v>100</v>
      </c>
      <c r="F46" s="2">
        <v>5</v>
      </c>
      <c r="G46" s="2" t="s">
        <v>520</v>
      </c>
    </row>
    <row r="47" spans="1:7" x14ac:dyDescent="0.25">
      <c r="A47" s="2" t="s">
        <v>225</v>
      </c>
      <c r="B47" s="2" t="s">
        <v>17</v>
      </c>
      <c r="C47" s="2" t="s">
        <v>487</v>
      </c>
      <c r="D47" s="2">
        <v>95</v>
      </c>
      <c r="E47" s="2">
        <v>100</v>
      </c>
      <c r="F47" s="2">
        <v>15</v>
      </c>
      <c r="G47" s="2" t="s">
        <v>518</v>
      </c>
    </row>
    <row r="48" spans="1:7" x14ac:dyDescent="0.25">
      <c r="A48" s="2" t="s">
        <v>209</v>
      </c>
      <c r="B48" s="2" t="s">
        <v>22</v>
      </c>
      <c r="C48" s="2" t="s">
        <v>490</v>
      </c>
      <c r="D48" s="2" t="s">
        <v>100</v>
      </c>
      <c r="E48" s="2">
        <v>70</v>
      </c>
      <c r="F48" s="2">
        <v>20</v>
      </c>
      <c r="G48" s="2" t="s">
        <v>521</v>
      </c>
    </row>
    <row r="49" spans="1:7" x14ac:dyDescent="0.25">
      <c r="A49" s="2" t="s">
        <v>136</v>
      </c>
      <c r="B49" s="2" t="s">
        <v>18</v>
      </c>
      <c r="C49" s="2" t="s">
        <v>495</v>
      </c>
      <c r="D49" s="2">
        <v>70</v>
      </c>
      <c r="E49" s="2">
        <v>95</v>
      </c>
      <c r="F49" s="2">
        <v>15</v>
      </c>
      <c r="G49" s="2" t="s">
        <v>522</v>
      </c>
    </row>
    <row r="50" spans="1:7" x14ac:dyDescent="0.25">
      <c r="A50" s="2" t="s">
        <v>262</v>
      </c>
      <c r="B50" s="2" t="s">
        <v>22</v>
      </c>
      <c r="C50" s="2" t="s">
        <v>490</v>
      </c>
      <c r="D50" s="2" t="s">
        <v>100</v>
      </c>
      <c r="E50" s="2" t="s">
        <v>100</v>
      </c>
      <c r="F50" s="2">
        <v>30</v>
      </c>
      <c r="G50" s="2" t="s">
        <v>523</v>
      </c>
    </row>
    <row r="51" spans="1:7" x14ac:dyDescent="0.25">
      <c r="A51" s="2" t="s">
        <v>261</v>
      </c>
      <c r="B51" s="2" t="s">
        <v>22</v>
      </c>
      <c r="C51" s="2" t="s">
        <v>495</v>
      </c>
      <c r="D51" s="2">
        <v>15</v>
      </c>
      <c r="E51" s="2">
        <v>85</v>
      </c>
      <c r="F51" s="2">
        <v>20</v>
      </c>
      <c r="G51" s="2" t="s">
        <v>496</v>
      </c>
    </row>
    <row r="52" spans="1:7" x14ac:dyDescent="0.25">
      <c r="A52" s="2" t="s">
        <v>279</v>
      </c>
      <c r="B52" s="2" t="s">
        <v>22</v>
      </c>
      <c r="C52" s="2" t="s">
        <v>495</v>
      </c>
      <c r="D52" s="2">
        <v>18</v>
      </c>
      <c r="E52" s="2">
        <v>80</v>
      </c>
      <c r="F52" s="2">
        <v>15</v>
      </c>
      <c r="G52" s="2" t="s">
        <v>496</v>
      </c>
    </row>
    <row r="53" spans="1:7" x14ac:dyDescent="0.25">
      <c r="A53" s="2" t="s">
        <v>137</v>
      </c>
      <c r="B53" s="2" t="s">
        <v>22</v>
      </c>
      <c r="C53" s="2" t="s">
        <v>490</v>
      </c>
      <c r="D53" s="2" t="s">
        <v>100</v>
      </c>
      <c r="E53" s="2">
        <v>90</v>
      </c>
      <c r="F53" s="2">
        <v>30</v>
      </c>
      <c r="G53" s="2" t="s">
        <v>524</v>
      </c>
    </row>
    <row r="54" spans="1:7" x14ac:dyDescent="0.25">
      <c r="A54" s="2" t="s">
        <v>197</v>
      </c>
      <c r="B54" s="2" t="s">
        <v>22</v>
      </c>
      <c r="C54" s="2" t="s">
        <v>490</v>
      </c>
      <c r="D54" s="2" t="s">
        <v>100</v>
      </c>
      <c r="E54" s="2">
        <v>100</v>
      </c>
      <c r="F54" s="2">
        <v>40</v>
      </c>
      <c r="G54" s="2" t="s">
        <v>525</v>
      </c>
    </row>
    <row r="55" spans="1:7" x14ac:dyDescent="0.25">
      <c r="A55" s="2" t="s">
        <v>194</v>
      </c>
      <c r="B55" s="2" t="s">
        <v>22</v>
      </c>
      <c r="C55" s="2" t="s">
        <v>490</v>
      </c>
      <c r="D55" s="2" t="s">
        <v>100</v>
      </c>
      <c r="E55" s="2" t="s">
        <v>100</v>
      </c>
      <c r="F55" s="2">
        <v>40</v>
      </c>
      <c r="G55" s="2" t="s">
        <v>526</v>
      </c>
    </row>
    <row r="56" spans="1:7" x14ac:dyDescent="0.25">
      <c r="A56" s="2" t="s">
        <v>421</v>
      </c>
      <c r="B56" s="2" t="s">
        <v>22</v>
      </c>
      <c r="C56" s="2" t="s">
        <v>495</v>
      </c>
      <c r="D56" s="2" t="s">
        <v>100</v>
      </c>
      <c r="E56" s="2" t="s">
        <v>100</v>
      </c>
      <c r="F56" s="2">
        <v>5</v>
      </c>
      <c r="G56" s="2" t="s">
        <v>520</v>
      </c>
    </row>
    <row r="57" spans="1:7" x14ac:dyDescent="0.25">
      <c r="A57" s="2" t="s">
        <v>252</v>
      </c>
      <c r="B57" s="2" t="s">
        <v>22</v>
      </c>
      <c r="C57" s="2" t="s">
        <v>495</v>
      </c>
      <c r="D57" s="2">
        <v>40</v>
      </c>
      <c r="E57" s="2">
        <v>100</v>
      </c>
      <c r="F57" s="2">
        <v>35</v>
      </c>
      <c r="G57" s="2" t="s">
        <v>527</v>
      </c>
    </row>
    <row r="58" spans="1:7" x14ac:dyDescent="0.25">
      <c r="A58" s="2" t="s">
        <v>248</v>
      </c>
      <c r="B58" s="2" t="s">
        <v>22</v>
      </c>
      <c r="C58" s="2" t="s">
        <v>490</v>
      </c>
      <c r="D58" s="2" t="s">
        <v>100</v>
      </c>
      <c r="E58" s="2" t="s">
        <v>100</v>
      </c>
      <c r="F58" s="2">
        <v>30</v>
      </c>
      <c r="G58" s="2" t="s">
        <v>510</v>
      </c>
    </row>
    <row r="59" spans="1:7" x14ac:dyDescent="0.25">
      <c r="A59" s="2" t="s">
        <v>240</v>
      </c>
      <c r="B59" s="2" t="s">
        <v>21</v>
      </c>
      <c r="C59" s="2" t="s">
        <v>490</v>
      </c>
      <c r="D59" s="2" t="s">
        <v>100</v>
      </c>
      <c r="E59" s="2" t="s">
        <v>100</v>
      </c>
      <c r="F59" s="2">
        <v>30</v>
      </c>
      <c r="G59" s="2" t="s">
        <v>528</v>
      </c>
    </row>
    <row r="60" spans="1:7" x14ac:dyDescent="0.25">
      <c r="A60" s="2" t="s">
        <v>345</v>
      </c>
      <c r="B60" s="2" t="s">
        <v>22</v>
      </c>
      <c r="C60" s="2" t="s">
        <v>495</v>
      </c>
      <c r="D60" s="2">
        <v>70</v>
      </c>
      <c r="E60" s="2">
        <v>100</v>
      </c>
      <c r="F60" s="2">
        <v>15</v>
      </c>
      <c r="G60" s="2" t="s">
        <v>499</v>
      </c>
    </row>
    <row r="61" spans="1:7" x14ac:dyDescent="0.25">
      <c r="A61" s="2" t="s">
        <v>436</v>
      </c>
      <c r="B61" s="2" t="s">
        <v>16</v>
      </c>
      <c r="C61" s="2" t="s">
        <v>495</v>
      </c>
      <c r="D61" s="2">
        <v>85</v>
      </c>
      <c r="E61" s="2">
        <v>100</v>
      </c>
      <c r="F61" s="2">
        <v>20</v>
      </c>
      <c r="G61" s="2" t="s">
        <v>529</v>
      </c>
    </row>
    <row r="62" spans="1:7" x14ac:dyDescent="0.25">
      <c r="A62" s="2" t="s">
        <v>310</v>
      </c>
      <c r="B62" s="2" t="s">
        <v>22</v>
      </c>
      <c r="C62" s="2" t="s">
        <v>495</v>
      </c>
      <c r="D62" s="2">
        <v>65</v>
      </c>
      <c r="E62" s="2">
        <v>100</v>
      </c>
      <c r="F62" s="2">
        <v>25</v>
      </c>
      <c r="G62" s="2"/>
    </row>
    <row r="63" spans="1:7" x14ac:dyDescent="0.25">
      <c r="A63" s="2" t="s">
        <v>311</v>
      </c>
      <c r="B63" s="2" t="s">
        <v>22</v>
      </c>
      <c r="C63" s="2" t="s">
        <v>495</v>
      </c>
      <c r="D63" s="2" t="s">
        <v>100</v>
      </c>
      <c r="E63" s="2" t="s">
        <v>100</v>
      </c>
      <c r="F63" s="2">
        <v>5</v>
      </c>
      <c r="G63" s="2" t="s">
        <v>520</v>
      </c>
    </row>
    <row r="64" spans="1:7" x14ac:dyDescent="0.25">
      <c r="A64" s="2" t="s">
        <v>138</v>
      </c>
      <c r="B64" s="2" t="s">
        <v>25</v>
      </c>
      <c r="C64" s="2" t="s">
        <v>487</v>
      </c>
      <c r="D64" s="2">
        <v>120</v>
      </c>
      <c r="E64" s="2">
        <v>80</v>
      </c>
      <c r="F64" s="2">
        <v>5</v>
      </c>
      <c r="G64" s="2"/>
    </row>
    <row r="65" spans="1:7" x14ac:dyDescent="0.25">
      <c r="A65" s="2" t="s">
        <v>219</v>
      </c>
      <c r="B65" s="2" t="s">
        <v>22</v>
      </c>
      <c r="C65" s="2" t="s">
        <v>495</v>
      </c>
      <c r="D65" s="2">
        <v>150</v>
      </c>
      <c r="E65" s="2">
        <v>90</v>
      </c>
      <c r="F65" s="2">
        <v>5</v>
      </c>
      <c r="G65" s="2" t="s">
        <v>530</v>
      </c>
    </row>
    <row r="66" spans="1:7" x14ac:dyDescent="0.25">
      <c r="A66" s="2" t="s">
        <v>275</v>
      </c>
      <c r="B66" s="2" t="s">
        <v>22</v>
      </c>
      <c r="C66" s="2" t="s">
        <v>495</v>
      </c>
      <c r="D66" s="2">
        <v>80</v>
      </c>
      <c r="E66" s="2">
        <v>90</v>
      </c>
      <c r="F66" s="2">
        <v>15</v>
      </c>
      <c r="G66" s="2" t="s">
        <v>499</v>
      </c>
    </row>
    <row r="67" spans="1:7" x14ac:dyDescent="0.25">
      <c r="A67" s="2" t="s">
        <v>326</v>
      </c>
      <c r="B67" s="2" t="s">
        <v>7</v>
      </c>
      <c r="C67" s="2" t="s">
        <v>490</v>
      </c>
      <c r="D67" s="2" t="s">
        <v>100</v>
      </c>
      <c r="E67" s="2">
        <v>60</v>
      </c>
      <c r="F67" s="2">
        <v>20</v>
      </c>
      <c r="G67" s="2" t="s">
        <v>531</v>
      </c>
    </row>
    <row r="68" spans="1:7" x14ac:dyDescent="0.25">
      <c r="A68" s="2" t="s">
        <v>139</v>
      </c>
      <c r="B68" s="2" t="s">
        <v>21</v>
      </c>
      <c r="C68" s="2" t="s">
        <v>487</v>
      </c>
      <c r="D68" s="2">
        <v>95</v>
      </c>
      <c r="E68" s="2">
        <v>100</v>
      </c>
      <c r="F68" s="2">
        <v>10</v>
      </c>
      <c r="G68" s="2" t="s">
        <v>500</v>
      </c>
    </row>
    <row r="69" spans="1:7" x14ac:dyDescent="0.25">
      <c r="A69" s="2" t="s">
        <v>242</v>
      </c>
      <c r="B69" s="2" t="s">
        <v>21</v>
      </c>
      <c r="C69" s="2" t="s">
        <v>487</v>
      </c>
      <c r="D69" s="2">
        <v>75</v>
      </c>
      <c r="E69" s="2">
        <v>100</v>
      </c>
      <c r="F69" s="2">
        <v>15</v>
      </c>
      <c r="G69" s="2" t="s">
        <v>500</v>
      </c>
    </row>
    <row r="70" spans="1:7" x14ac:dyDescent="0.25">
      <c r="A70" s="2" t="s">
        <v>435</v>
      </c>
      <c r="B70" s="2" t="s">
        <v>16</v>
      </c>
      <c r="C70" s="2" t="s">
        <v>495</v>
      </c>
      <c r="D70" s="2">
        <v>70</v>
      </c>
      <c r="E70" s="2">
        <v>95</v>
      </c>
      <c r="F70" s="2">
        <v>10</v>
      </c>
      <c r="G70" s="2" t="s">
        <v>529</v>
      </c>
    </row>
    <row r="71" spans="1:7" x14ac:dyDescent="0.25">
      <c r="A71" s="2" t="s">
        <v>354</v>
      </c>
      <c r="B71" s="2" t="s">
        <v>22</v>
      </c>
      <c r="C71" s="2" t="s">
        <v>495</v>
      </c>
      <c r="D71" s="2">
        <v>50</v>
      </c>
      <c r="E71" s="2">
        <v>100</v>
      </c>
      <c r="F71" s="2">
        <v>25</v>
      </c>
      <c r="G71" s="2" t="s">
        <v>509</v>
      </c>
    </row>
    <row r="72" spans="1:7" x14ac:dyDescent="0.25">
      <c r="A72" s="2" t="s">
        <v>369</v>
      </c>
      <c r="B72" s="2" t="s">
        <v>7</v>
      </c>
      <c r="C72" s="2" t="s">
        <v>490</v>
      </c>
      <c r="D72" s="2" t="s">
        <v>100</v>
      </c>
      <c r="E72" s="2">
        <v>80</v>
      </c>
      <c r="F72" s="2">
        <v>15</v>
      </c>
      <c r="G72" s="2" t="s">
        <v>521</v>
      </c>
    </row>
    <row r="73" spans="1:7" x14ac:dyDescent="0.25">
      <c r="A73" s="2" t="s">
        <v>331</v>
      </c>
      <c r="B73" s="2" t="s">
        <v>12</v>
      </c>
      <c r="C73" s="2" t="s">
        <v>495</v>
      </c>
      <c r="D73" s="2">
        <v>20</v>
      </c>
      <c r="E73" s="2">
        <v>100</v>
      </c>
      <c r="F73" s="2">
        <v>15</v>
      </c>
      <c r="G73" s="2" t="s">
        <v>488</v>
      </c>
    </row>
    <row r="74" spans="1:7" x14ac:dyDescent="0.25">
      <c r="A74" s="2" t="s">
        <v>140</v>
      </c>
      <c r="B74" s="2" t="s">
        <v>19</v>
      </c>
      <c r="C74" s="2" t="s">
        <v>490</v>
      </c>
      <c r="D74" s="2" t="s">
        <v>100</v>
      </c>
      <c r="E74" s="2">
        <v>90</v>
      </c>
      <c r="F74" s="2">
        <v>10</v>
      </c>
      <c r="G74" s="2" t="s">
        <v>532</v>
      </c>
    </row>
    <row r="75" spans="1:7" x14ac:dyDescent="0.25">
      <c r="A75" s="2" t="s">
        <v>284</v>
      </c>
      <c r="B75" s="2" t="s">
        <v>22</v>
      </c>
      <c r="C75" s="2" t="s">
        <v>490</v>
      </c>
      <c r="D75" s="2" t="s">
        <v>100</v>
      </c>
      <c r="E75" s="2">
        <v>100</v>
      </c>
      <c r="F75" s="2">
        <v>30</v>
      </c>
      <c r="G75" s="2" t="s">
        <v>533</v>
      </c>
    </row>
    <row r="76" spans="1:7" x14ac:dyDescent="0.25">
      <c r="A76" s="2" t="s">
        <v>401</v>
      </c>
      <c r="B76" s="2" t="s">
        <v>8</v>
      </c>
      <c r="C76" s="2" t="s">
        <v>495</v>
      </c>
      <c r="D76" s="2">
        <v>20</v>
      </c>
      <c r="E76" s="2">
        <v>100</v>
      </c>
      <c r="F76" s="2">
        <v>30</v>
      </c>
      <c r="G76" s="2" t="s">
        <v>501</v>
      </c>
    </row>
    <row r="77" spans="1:7" x14ac:dyDescent="0.25">
      <c r="A77" s="2" t="s">
        <v>205</v>
      </c>
      <c r="B77" s="2" t="s">
        <v>7</v>
      </c>
      <c r="C77" s="2" t="s">
        <v>490</v>
      </c>
      <c r="D77" s="2" t="s">
        <v>100</v>
      </c>
      <c r="E77" s="2" t="s">
        <v>100</v>
      </c>
      <c r="F77" s="2">
        <v>30</v>
      </c>
      <c r="G77" s="2" t="s">
        <v>534</v>
      </c>
    </row>
    <row r="78" spans="1:7" x14ac:dyDescent="0.25">
      <c r="A78" s="2" t="s">
        <v>458</v>
      </c>
      <c r="B78" s="2" t="s">
        <v>22</v>
      </c>
      <c r="C78" s="2" t="s">
        <v>490</v>
      </c>
      <c r="D78" s="2" t="s">
        <v>100</v>
      </c>
      <c r="E78" s="2">
        <v>75</v>
      </c>
      <c r="F78" s="2">
        <v>10</v>
      </c>
      <c r="G78" s="2" t="s">
        <v>535</v>
      </c>
    </row>
    <row r="79" spans="1:7" x14ac:dyDescent="0.25">
      <c r="A79" s="2" t="s">
        <v>352</v>
      </c>
      <c r="B79" s="2" t="s">
        <v>16</v>
      </c>
      <c r="C79" s="2" t="s">
        <v>495</v>
      </c>
      <c r="D79" s="2">
        <v>50</v>
      </c>
      <c r="E79" s="2">
        <v>90</v>
      </c>
      <c r="F79" s="2">
        <v>20</v>
      </c>
      <c r="G79" s="2" t="s">
        <v>536</v>
      </c>
    </row>
    <row r="80" spans="1:7" x14ac:dyDescent="0.25">
      <c r="A80" s="2" t="s">
        <v>356</v>
      </c>
      <c r="B80" s="2" t="s">
        <v>7</v>
      </c>
      <c r="C80" s="2" t="s">
        <v>490</v>
      </c>
      <c r="D80" s="2" t="s">
        <v>100</v>
      </c>
      <c r="E80" s="2" t="s">
        <v>100</v>
      </c>
      <c r="F80" s="2">
        <v>40</v>
      </c>
      <c r="G80" s="2" t="s">
        <v>537</v>
      </c>
    </row>
    <row r="81" spans="1:7" x14ac:dyDescent="0.25">
      <c r="A81" s="2" t="s">
        <v>335</v>
      </c>
      <c r="B81" s="2" t="s">
        <v>19</v>
      </c>
      <c r="C81" s="2" t="s">
        <v>487</v>
      </c>
      <c r="D81" s="2">
        <v>40</v>
      </c>
      <c r="E81" s="2">
        <v>100</v>
      </c>
      <c r="F81" s="2">
        <v>10</v>
      </c>
      <c r="G81" s="2" t="s">
        <v>488</v>
      </c>
    </row>
    <row r="82" spans="1:7" x14ac:dyDescent="0.25">
      <c r="A82" s="2" t="s">
        <v>437</v>
      </c>
      <c r="B82" s="2" t="s">
        <v>22</v>
      </c>
      <c r="C82" s="2" t="s">
        <v>495</v>
      </c>
      <c r="D82" s="2">
        <v>120</v>
      </c>
      <c r="E82" s="2">
        <v>75</v>
      </c>
      <c r="F82" s="2">
        <v>5</v>
      </c>
      <c r="G82" s="2"/>
    </row>
    <row r="83" spans="1:7" x14ac:dyDescent="0.25">
      <c r="A83" s="2" t="s">
        <v>387</v>
      </c>
      <c r="B83" s="2" t="s">
        <v>22</v>
      </c>
      <c r="C83" s="2" t="s">
        <v>495</v>
      </c>
      <c r="D83" s="2">
        <v>80</v>
      </c>
      <c r="E83" s="2">
        <v>85</v>
      </c>
      <c r="F83" s="2">
        <v>20</v>
      </c>
      <c r="G83" s="2"/>
    </row>
    <row r="84" spans="1:7" x14ac:dyDescent="0.25">
      <c r="A84" s="2" t="s">
        <v>319</v>
      </c>
      <c r="B84" s="2" t="s">
        <v>22</v>
      </c>
      <c r="C84" s="2" t="s">
        <v>490</v>
      </c>
      <c r="D84" s="2" t="s">
        <v>100</v>
      </c>
      <c r="E84" s="2" t="s">
        <v>100</v>
      </c>
      <c r="F84" s="2">
        <v>10</v>
      </c>
      <c r="G84" s="2" t="s">
        <v>538</v>
      </c>
    </row>
    <row r="85" spans="1:7" x14ac:dyDescent="0.25">
      <c r="A85" s="2" t="s">
        <v>321</v>
      </c>
      <c r="B85" s="2" t="s">
        <v>22</v>
      </c>
      <c r="C85" s="2" t="s">
        <v>490</v>
      </c>
      <c r="D85" s="2" t="s">
        <v>100</v>
      </c>
      <c r="E85" s="2" t="s">
        <v>100</v>
      </c>
      <c r="F85" s="2">
        <v>10</v>
      </c>
      <c r="G85" s="2" t="s">
        <v>539</v>
      </c>
    </row>
    <row r="86" spans="1:7" x14ac:dyDescent="0.25">
      <c r="A86" s="2" t="s">
        <v>318</v>
      </c>
      <c r="B86" s="2" t="s">
        <v>22</v>
      </c>
      <c r="C86" s="2" t="s">
        <v>490</v>
      </c>
      <c r="D86" s="2" t="s">
        <v>100</v>
      </c>
      <c r="E86" s="2" t="s">
        <v>100</v>
      </c>
      <c r="F86" s="2">
        <v>20</v>
      </c>
      <c r="G86" s="2" t="s">
        <v>540</v>
      </c>
    </row>
    <row r="87" spans="1:7" x14ac:dyDescent="0.25">
      <c r="A87" s="2" t="s">
        <v>270</v>
      </c>
      <c r="B87" s="2" t="s">
        <v>18</v>
      </c>
      <c r="C87" s="2" t="s">
        <v>490</v>
      </c>
      <c r="D87" s="2" t="s">
        <v>100</v>
      </c>
      <c r="E87" s="2" t="s">
        <v>100</v>
      </c>
      <c r="F87" s="2">
        <v>20</v>
      </c>
      <c r="G87" s="2" t="s">
        <v>541</v>
      </c>
    </row>
    <row r="88" spans="1:7" x14ac:dyDescent="0.25">
      <c r="A88" s="2" t="s">
        <v>241</v>
      </c>
      <c r="B88" s="2" t="s">
        <v>21</v>
      </c>
      <c r="C88" s="2" t="s">
        <v>490</v>
      </c>
      <c r="D88" s="2" t="s">
        <v>100</v>
      </c>
      <c r="E88" s="2" t="s">
        <v>100</v>
      </c>
      <c r="F88" s="2">
        <v>30</v>
      </c>
      <c r="G88" s="2" t="s">
        <v>542</v>
      </c>
    </row>
    <row r="89" spans="1:7" x14ac:dyDescent="0.25">
      <c r="A89" s="2" t="s">
        <v>412</v>
      </c>
      <c r="B89" s="2" t="s">
        <v>8</v>
      </c>
      <c r="C89" s="2" t="s">
        <v>495</v>
      </c>
      <c r="D89" s="2" t="s">
        <v>100</v>
      </c>
      <c r="E89" s="2">
        <v>100</v>
      </c>
      <c r="F89" s="2">
        <v>15</v>
      </c>
      <c r="G89" s="2" t="s">
        <v>543</v>
      </c>
    </row>
    <row r="90" spans="1:7" x14ac:dyDescent="0.25">
      <c r="A90" s="2" t="s">
        <v>348</v>
      </c>
      <c r="B90" s="2" t="s">
        <v>22</v>
      </c>
      <c r="C90" s="2" t="s">
        <v>495</v>
      </c>
      <c r="D90" s="2">
        <v>40</v>
      </c>
      <c r="E90" s="2">
        <v>100</v>
      </c>
      <c r="F90" s="2">
        <v>20</v>
      </c>
      <c r="G90" s="2" t="s">
        <v>544</v>
      </c>
    </row>
    <row r="91" spans="1:7" x14ac:dyDescent="0.25">
      <c r="A91" s="2" t="s">
        <v>283</v>
      </c>
      <c r="B91" s="2" t="s">
        <v>18</v>
      </c>
      <c r="C91" s="2" t="s">
        <v>495</v>
      </c>
      <c r="D91" s="2">
        <v>35</v>
      </c>
      <c r="E91" s="2">
        <v>100</v>
      </c>
      <c r="F91" s="2">
        <v>35</v>
      </c>
      <c r="G91" s="2"/>
    </row>
    <row r="92" spans="1:7" x14ac:dyDescent="0.25">
      <c r="A92" s="2" t="s">
        <v>212</v>
      </c>
      <c r="B92" s="2" t="s">
        <v>19</v>
      </c>
      <c r="C92" s="2" t="s">
        <v>487</v>
      </c>
      <c r="D92" s="2">
        <v>70</v>
      </c>
      <c r="E92" s="2">
        <v>100</v>
      </c>
      <c r="F92" s="2">
        <v>20</v>
      </c>
      <c r="G92" s="2" t="s">
        <v>545</v>
      </c>
    </row>
    <row r="93" spans="1:7" x14ac:dyDescent="0.25">
      <c r="A93" s="2" t="s">
        <v>265</v>
      </c>
      <c r="B93" s="2" t="s">
        <v>12</v>
      </c>
      <c r="C93" s="2" t="s">
        <v>495</v>
      </c>
      <c r="D93" s="2">
        <v>14</v>
      </c>
      <c r="E93" s="2">
        <v>85</v>
      </c>
      <c r="F93" s="2">
        <v>20</v>
      </c>
      <c r="G93" s="2" t="s">
        <v>496</v>
      </c>
    </row>
    <row r="94" spans="1:7" x14ac:dyDescent="0.25">
      <c r="A94" s="2" t="s">
        <v>404</v>
      </c>
      <c r="B94" s="2" t="s">
        <v>9</v>
      </c>
      <c r="C94" s="2" t="s">
        <v>490</v>
      </c>
      <c r="D94" s="2" t="s">
        <v>100</v>
      </c>
      <c r="E94" s="2">
        <v>55</v>
      </c>
      <c r="F94" s="2">
        <v>40</v>
      </c>
      <c r="G94" s="2" t="s">
        <v>546</v>
      </c>
    </row>
    <row r="95" spans="1:7" x14ac:dyDescent="0.25">
      <c r="A95" s="2" t="s">
        <v>258</v>
      </c>
      <c r="B95" s="2" t="s">
        <v>9</v>
      </c>
      <c r="C95" s="2" t="s">
        <v>495</v>
      </c>
      <c r="D95" s="2">
        <v>15</v>
      </c>
      <c r="E95" s="2">
        <v>100</v>
      </c>
      <c r="F95" s="2">
        <v>35</v>
      </c>
      <c r="G95" s="2" t="s">
        <v>547</v>
      </c>
    </row>
    <row r="96" spans="1:7" x14ac:dyDescent="0.25">
      <c r="A96" s="2" t="s">
        <v>198</v>
      </c>
      <c r="B96" s="2" t="s">
        <v>9</v>
      </c>
      <c r="C96" s="2" t="s">
        <v>490</v>
      </c>
      <c r="D96" s="2" t="s">
        <v>100</v>
      </c>
      <c r="E96" s="2">
        <v>75</v>
      </c>
      <c r="F96" s="2">
        <v>35</v>
      </c>
      <c r="G96" s="2" t="s">
        <v>546</v>
      </c>
    </row>
    <row r="97" spans="1:7" x14ac:dyDescent="0.25">
      <c r="A97" s="2" t="s">
        <v>316</v>
      </c>
      <c r="B97" s="2" t="s">
        <v>22</v>
      </c>
      <c r="C97" s="2" t="s">
        <v>495</v>
      </c>
      <c r="D97" s="2">
        <v>40</v>
      </c>
      <c r="E97" s="2">
        <v>100</v>
      </c>
      <c r="F97" s="2">
        <v>35</v>
      </c>
      <c r="G97" s="2"/>
    </row>
    <row r="98" spans="1:7" x14ac:dyDescent="0.25">
      <c r="A98" s="2" t="s">
        <v>255</v>
      </c>
      <c r="B98" s="2" t="s">
        <v>7</v>
      </c>
      <c r="C98" s="2" t="s">
        <v>487</v>
      </c>
      <c r="D98" s="2">
        <v>65</v>
      </c>
      <c r="E98" s="2">
        <v>100</v>
      </c>
      <c r="F98" s="2">
        <v>20</v>
      </c>
      <c r="G98" s="2" t="s">
        <v>505</v>
      </c>
    </row>
    <row r="99" spans="1:7" x14ac:dyDescent="0.25">
      <c r="A99" s="2" t="s">
        <v>7</v>
      </c>
      <c r="B99" s="2" t="s">
        <v>7</v>
      </c>
      <c r="C99" s="2" t="s">
        <v>487</v>
      </c>
      <c r="D99" s="2">
        <v>90</v>
      </c>
      <c r="E99" s="2">
        <v>100</v>
      </c>
      <c r="F99" s="2">
        <v>10</v>
      </c>
      <c r="G99" s="2" t="s">
        <v>489</v>
      </c>
    </row>
    <row r="100" spans="1:7" x14ac:dyDescent="0.25">
      <c r="A100" s="2" t="s">
        <v>413</v>
      </c>
      <c r="B100" s="2" t="s">
        <v>7</v>
      </c>
      <c r="C100" s="2" t="s">
        <v>487</v>
      </c>
      <c r="D100" s="2" t="s">
        <v>100</v>
      </c>
      <c r="E100" s="2">
        <v>80</v>
      </c>
      <c r="F100" s="2">
        <v>15</v>
      </c>
      <c r="G100" s="2" t="s">
        <v>548</v>
      </c>
    </row>
    <row r="101" spans="1:7" x14ac:dyDescent="0.25">
      <c r="A101" s="2" t="s">
        <v>269</v>
      </c>
      <c r="B101" s="2" t="s">
        <v>22</v>
      </c>
      <c r="C101" s="2" t="s">
        <v>495</v>
      </c>
      <c r="D101" s="2">
        <v>40</v>
      </c>
      <c r="E101" s="2">
        <v>100</v>
      </c>
      <c r="F101" s="2">
        <v>30</v>
      </c>
      <c r="G101" s="2" t="s">
        <v>549</v>
      </c>
    </row>
    <row r="102" spans="1:7" x14ac:dyDescent="0.25">
      <c r="A102" s="2" t="s">
        <v>264</v>
      </c>
      <c r="B102" s="2" t="s">
        <v>22</v>
      </c>
      <c r="C102" s="2" t="s">
        <v>495</v>
      </c>
      <c r="D102" s="2">
        <v>20</v>
      </c>
      <c r="E102" s="2">
        <v>100</v>
      </c>
      <c r="F102" s="2">
        <v>20</v>
      </c>
      <c r="G102" s="2" t="s">
        <v>550</v>
      </c>
    </row>
    <row r="103" spans="1:7" x14ac:dyDescent="0.25">
      <c r="A103" s="2" t="s">
        <v>201</v>
      </c>
      <c r="B103" s="2" t="s">
        <v>19</v>
      </c>
      <c r="C103" s="2" t="s">
        <v>487</v>
      </c>
      <c r="D103" s="2">
        <v>55</v>
      </c>
      <c r="E103" s="2">
        <v>95</v>
      </c>
      <c r="F103" s="2">
        <v>25</v>
      </c>
      <c r="G103" s="2" t="s">
        <v>509</v>
      </c>
    </row>
    <row r="104" spans="1:7" x14ac:dyDescent="0.25">
      <c r="A104" s="2" t="s">
        <v>286</v>
      </c>
      <c r="B104" s="2" t="s">
        <v>22</v>
      </c>
      <c r="C104" s="2" t="s">
        <v>495</v>
      </c>
      <c r="D104" s="2">
        <v>80</v>
      </c>
      <c r="E104" s="2">
        <v>75</v>
      </c>
      <c r="F104" s="2">
        <v>10</v>
      </c>
      <c r="G104" s="2" t="s">
        <v>551</v>
      </c>
    </row>
    <row r="105" spans="1:7" x14ac:dyDescent="0.25">
      <c r="A105" s="2" t="s">
        <v>370</v>
      </c>
      <c r="B105" s="2" t="s">
        <v>22</v>
      </c>
      <c r="C105" s="2" t="s">
        <v>490</v>
      </c>
      <c r="D105" s="2" t="s">
        <v>100</v>
      </c>
      <c r="E105" s="2" t="s">
        <v>100</v>
      </c>
      <c r="F105" s="2">
        <v>20</v>
      </c>
      <c r="G105" s="2" t="s">
        <v>552</v>
      </c>
    </row>
    <row r="106" spans="1:7" x14ac:dyDescent="0.25">
      <c r="A106" s="2" t="s">
        <v>320</v>
      </c>
      <c r="B106" s="2" t="s">
        <v>7</v>
      </c>
      <c r="C106" s="2" t="s">
        <v>490</v>
      </c>
      <c r="D106" s="2" t="s">
        <v>100</v>
      </c>
      <c r="E106" s="2" t="s">
        <v>100</v>
      </c>
      <c r="F106" s="2">
        <v>20</v>
      </c>
      <c r="G106" s="2" t="s">
        <v>553</v>
      </c>
    </row>
    <row r="107" spans="1:7" x14ac:dyDescent="0.25">
      <c r="A107" s="2" t="s">
        <v>208</v>
      </c>
      <c r="B107" s="2" t="s">
        <v>7</v>
      </c>
      <c r="C107" s="2" t="s">
        <v>490</v>
      </c>
      <c r="D107" s="2" t="s">
        <v>100</v>
      </c>
      <c r="E107" s="2" t="s">
        <v>100</v>
      </c>
      <c r="F107" s="2">
        <v>10</v>
      </c>
      <c r="G107" s="2" t="s">
        <v>554</v>
      </c>
    </row>
    <row r="108" spans="1:7" x14ac:dyDescent="0.25">
      <c r="A108" s="2" t="s">
        <v>218</v>
      </c>
      <c r="B108" s="2" t="s">
        <v>22</v>
      </c>
      <c r="C108" s="2" t="s">
        <v>490</v>
      </c>
      <c r="D108" s="2" t="s">
        <v>100</v>
      </c>
      <c r="E108" s="2">
        <v>100</v>
      </c>
      <c r="F108" s="2">
        <v>20</v>
      </c>
      <c r="G108" s="2" t="s">
        <v>555</v>
      </c>
    </row>
    <row r="109" spans="1:7" x14ac:dyDescent="0.25">
      <c r="A109" s="2" t="s">
        <v>141</v>
      </c>
      <c r="B109" s="2" t="s">
        <v>23</v>
      </c>
      <c r="C109" s="2" t="s">
        <v>495</v>
      </c>
      <c r="D109" s="2">
        <v>75</v>
      </c>
      <c r="E109" s="2">
        <v>90</v>
      </c>
      <c r="F109" s="2">
        <v>10</v>
      </c>
      <c r="G109" s="2" t="s">
        <v>499</v>
      </c>
    </row>
    <row r="110" spans="1:7" x14ac:dyDescent="0.25">
      <c r="A110" s="2" t="s">
        <v>384</v>
      </c>
      <c r="B110" s="2" t="s">
        <v>23</v>
      </c>
      <c r="C110" s="2" t="s">
        <v>495</v>
      </c>
      <c r="D110" s="2">
        <v>50</v>
      </c>
      <c r="E110" s="2">
        <v>65</v>
      </c>
      <c r="F110" s="2">
        <v>15</v>
      </c>
      <c r="G110" s="2"/>
    </row>
    <row r="111" spans="1:7" x14ac:dyDescent="0.25">
      <c r="A111" s="2" t="s">
        <v>373</v>
      </c>
      <c r="B111" s="2" t="s">
        <v>16</v>
      </c>
      <c r="C111" s="2" t="s">
        <v>495</v>
      </c>
      <c r="D111" s="2">
        <v>60</v>
      </c>
      <c r="E111" s="2">
        <v>85</v>
      </c>
      <c r="F111" s="2">
        <v>15</v>
      </c>
      <c r="G111" s="2" t="s">
        <v>499</v>
      </c>
    </row>
    <row r="112" spans="1:7" x14ac:dyDescent="0.25">
      <c r="A112" s="2" t="s">
        <v>268</v>
      </c>
      <c r="B112" s="2" t="s">
        <v>20</v>
      </c>
      <c r="C112" s="2" t="s">
        <v>490</v>
      </c>
      <c r="D112" s="2" t="s">
        <v>100</v>
      </c>
      <c r="E112" s="2">
        <v>100</v>
      </c>
      <c r="F112" s="2">
        <v>15</v>
      </c>
      <c r="G112" s="2" t="s">
        <v>521</v>
      </c>
    </row>
    <row r="113" spans="1:7" x14ac:dyDescent="0.25">
      <c r="A113" s="2" t="s">
        <v>220</v>
      </c>
      <c r="B113" s="2" t="s">
        <v>22</v>
      </c>
      <c r="C113" s="2" t="s">
        <v>495</v>
      </c>
      <c r="D113" s="2">
        <v>40</v>
      </c>
      <c r="E113" s="2">
        <v>100</v>
      </c>
      <c r="F113" s="2">
        <v>35</v>
      </c>
      <c r="G113" s="2"/>
    </row>
    <row r="114" spans="1:7" x14ac:dyDescent="0.25">
      <c r="A114" s="2" t="s">
        <v>280</v>
      </c>
      <c r="B114" s="2" t="s">
        <v>22</v>
      </c>
      <c r="C114" s="2" t="s">
        <v>490</v>
      </c>
      <c r="D114" s="2" t="s">
        <v>100</v>
      </c>
      <c r="E114" s="2">
        <v>85</v>
      </c>
      <c r="F114" s="2">
        <v>40</v>
      </c>
      <c r="G114" s="2" t="s">
        <v>556</v>
      </c>
    </row>
    <row r="115" spans="1:7" x14ac:dyDescent="0.25">
      <c r="A115" s="2" t="s">
        <v>355</v>
      </c>
      <c r="B115" s="2" t="s">
        <v>16</v>
      </c>
      <c r="C115" s="2" t="s">
        <v>495</v>
      </c>
      <c r="D115" s="2" t="s">
        <v>100</v>
      </c>
      <c r="E115" s="2">
        <v>100</v>
      </c>
      <c r="F115" s="2">
        <v>20</v>
      </c>
      <c r="G115" s="2" t="s">
        <v>543</v>
      </c>
    </row>
    <row r="116" spans="1:7" x14ac:dyDescent="0.25">
      <c r="A116" s="2" t="s">
        <v>385</v>
      </c>
      <c r="B116" s="2" t="s">
        <v>22</v>
      </c>
      <c r="C116" s="2" t="s">
        <v>495</v>
      </c>
      <c r="D116" s="2">
        <v>130</v>
      </c>
      <c r="E116" s="2">
        <v>100</v>
      </c>
      <c r="F116" s="2">
        <v>5</v>
      </c>
      <c r="G116" s="2" t="s">
        <v>519</v>
      </c>
    </row>
    <row r="117" spans="1:7" x14ac:dyDescent="0.25">
      <c r="A117" s="2" t="s">
        <v>472</v>
      </c>
      <c r="B117" s="2" t="s">
        <v>22</v>
      </c>
      <c r="C117" s="2" t="s">
        <v>490</v>
      </c>
      <c r="D117" s="2" t="s">
        <v>100</v>
      </c>
      <c r="E117" s="2" t="s">
        <v>100</v>
      </c>
      <c r="F117" s="2">
        <v>30</v>
      </c>
      <c r="G117" s="2" t="s">
        <v>537</v>
      </c>
    </row>
    <row r="118" spans="1:7" x14ac:dyDescent="0.25">
      <c r="A118" s="2" t="s">
        <v>317</v>
      </c>
      <c r="B118" s="2" t="s">
        <v>22</v>
      </c>
      <c r="C118" s="2" t="s">
        <v>490</v>
      </c>
      <c r="D118" s="2" t="s">
        <v>100</v>
      </c>
      <c r="E118" s="2">
        <v>55</v>
      </c>
      <c r="F118" s="2">
        <v>15</v>
      </c>
      <c r="G118" s="2" t="s">
        <v>535</v>
      </c>
    </row>
    <row r="119" spans="1:7" x14ac:dyDescent="0.25">
      <c r="A119" s="2" t="s">
        <v>213</v>
      </c>
      <c r="B119" s="2" t="s">
        <v>22</v>
      </c>
      <c r="C119" s="2" t="s">
        <v>495</v>
      </c>
      <c r="D119" s="2">
        <v>100</v>
      </c>
      <c r="E119" s="2">
        <v>100</v>
      </c>
      <c r="F119" s="2">
        <v>15</v>
      </c>
      <c r="G119" s="2" t="s">
        <v>557</v>
      </c>
    </row>
    <row r="120" spans="1:7" x14ac:dyDescent="0.25">
      <c r="A120" s="2" t="s">
        <v>273</v>
      </c>
      <c r="B120" s="2" t="s">
        <v>18</v>
      </c>
      <c r="C120" s="2" t="s">
        <v>495</v>
      </c>
      <c r="D120" s="2">
        <v>140</v>
      </c>
      <c r="E120" s="2">
        <v>90</v>
      </c>
      <c r="F120" s="2">
        <v>5</v>
      </c>
      <c r="G120" s="2" t="s">
        <v>558</v>
      </c>
    </row>
    <row r="121" spans="1:7" x14ac:dyDescent="0.25">
      <c r="A121" s="2" t="s">
        <v>293</v>
      </c>
      <c r="B121" s="2" t="s">
        <v>22</v>
      </c>
      <c r="C121" s="2" t="s">
        <v>495</v>
      </c>
      <c r="D121" s="2">
        <v>80</v>
      </c>
      <c r="E121" s="2">
        <v>75</v>
      </c>
      <c r="F121" s="2">
        <v>20</v>
      </c>
      <c r="G121" s="2"/>
    </row>
    <row r="122" spans="1:7" x14ac:dyDescent="0.25">
      <c r="A122" s="2" t="s">
        <v>224</v>
      </c>
      <c r="B122" s="2" t="s">
        <v>22</v>
      </c>
      <c r="C122" s="2" t="s">
        <v>495</v>
      </c>
      <c r="D122" s="2">
        <v>70</v>
      </c>
      <c r="E122" s="2">
        <v>100</v>
      </c>
      <c r="F122" s="2">
        <v>20</v>
      </c>
      <c r="G122" s="2" t="s">
        <v>509</v>
      </c>
    </row>
    <row r="123" spans="1:7" x14ac:dyDescent="0.25">
      <c r="A123" s="2" t="s">
        <v>199</v>
      </c>
      <c r="B123" s="2" t="s">
        <v>19</v>
      </c>
      <c r="C123" s="2" t="s">
        <v>490</v>
      </c>
      <c r="D123" s="2" t="s">
        <v>100</v>
      </c>
      <c r="E123" s="2">
        <v>75</v>
      </c>
      <c r="F123" s="2">
        <v>15</v>
      </c>
      <c r="G123" s="2" t="s">
        <v>535</v>
      </c>
    </row>
    <row r="124" spans="1:7" x14ac:dyDescent="0.25">
      <c r="A124" s="2" t="s">
        <v>214</v>
      </c>
      <c r="B124" s="2" t="s">
        <v>9</v>
      </c>
      <c r="C124" s="2" t="s">
        <v>495</v>
      </c>
      <c r="D124" s="2">
        <v>65</v>
      </c>
      <c r="E124" s="2">
        <v>100</v>
      </c>
      <c r="F124" s="2">
        <v>20</v>
      </c>
      <c r="G124" s="2" t="s">
        <v>559</v>
      </c>
    </row>
    <row r="125" spans="1:7" x14ac:dyDescent="0.25">
      <c r="A125" s="2" t="s">
        <v>414</v>
      </c>
      <c r="B125" s="2" t="s">
        <v>9</v>
      </c>
      <c r="C125" s="2" t="s">
        <v>495</v>
      </c>
      <c r="D125" s="2">
        <v>20</v>
      </c>
      <c r="E125" s="2">
        <v>70</v>
      </c>
      <c r="F125" s="2">
        <v>20</v>
      </c>
      <c r="G125" s="2" t="s">
        <v>559</v>
      </c>
    </row>
    <row r="126" spans="1:7" x14ac:dyDescent="0.25">
      <c r="A126" s="2" t="s">
        <v>222</v>
      </c>
      <c r="B126" s="2" t="s">
        <v>22</v>
      </c>
      <c r="C126" s="2" t="s">
        <v>490</v>
      </c>
      <c r="D126" s="2" t="s">
        <v>100</v>
      </c>
      <c r="E126" s="2">
        <v>100</v>
      </c>
      <c r="F126" s="2">
        <v>20</v>
      </c>
      <c r="G126" s="2" t="s">
        <v>521</v>
      </c>
    </row>
    <row r="127" spans="1:7" x14ac:dyDescent="0.25">
      <c r="A127" s="2" t="s">
        <v>446</v>
      </c>
      <c r="B127" s="2" t="s">
        <v>22</v>
      </c>
      <c r="C127" s="2" t="s">
        <v>490</v>
      </c>
      <c r="D127" s="2" t="s">
        <v>100</v>
      </c>
      <c r="E127" s="2" t="s">
        <v>100</v>
      </c>
      <c r="F127" s="2">
        <v>10</v>
      </c>
      <c r="G127" s="2" t="s">
        <v>552</v>
      </c>
    </row>
    <row r="128" spans="1:7" x14ac:dyDescent="0.25">
      <c r="A128" s="2" t="s">
        <v>206</v>
      </c>
      <c r="B128" s="2" t="s">
        <v>19</v>
      </c>
      <c r="C128" s="2" t="s">
        <v>487</v>
      </c>
      <c r="D128" s="2">
        <v>120</v>
      </c>
      <c r="E128" s="2">
        <v>100</v>
      </c>
      <c r="F128" s="2">
        <v>10</v>
      </c>
      <c r="G128" s="2" t="s">
        <v>560</v>
      </c>
    </row>
    <row r="129" spans="1:7" x14ac:dyDescent="0.25">
      <c r="A129" s="2" t="s">
        <v>396</v>
      </c>
      <c r="B129" s="2" t="s">
        <v>22</v>
      </c>
      <c r="C129" s="2" t="s">
        <v>495</v>
      </c>
      <c r="D129" s="2" t="s">
        <v>100</v>
      </c>
      <c r="E129" s="2">
        <v>90</v>
      </c>
      <c r="F129" s="2">
        <v>20</v>
      </c>
      <c r="G129" s="2" t="s">
        <v>561</v>
      </c>
    </row>
    <row r="130" spans="1:7" x14ac:dyDescent="0.25">
      <c r="A130" s="2" t="s">
        <v>410</v>
      </c>
      <c r="B130" s="2" t="s">
        <v>22</v>
      </c>
      <c r="C130" s="2" t="s">
        <v>495</v>
      </c>
      <c r="D130" s="2">
        <v>20</v>
      </c>
      <c r="E130" s="2">
        <v>100</v>
      </c>
      <c r="F130" s="2">
        <v>15</v>
      </c>
      <c r="G130" s="2" t="s">
        <v>496</v>
      </c>
    </row>
    <row r="131" spans="1:7" x14ac:dyDescent="0.25">
      <c r="A131" s="2" t="s">
        <v>322</v>
      </c>
      <c r="B131" s="2" t="s">
        <v>22</v>
      </c>
      <c r="C131" s="2" t="s">
        <v>490</v>
      </c>
      <c r="D131" s="2" t="s">
        <v>100</v>
      </c>
      <c r="E131" s="2" t="s">
        <v>100</v>
      </c>
      <c r="F131" s="2">
        <v>40</v>
      </c>
      <c r="G131" s="2" t="s">
        <v>562</v>
      </c>
    </row>
    <row r="132" spans="1:7" x14ac:dyDescent="0.25">
      <c r="A132" s="2" t="s">
        <v>339</v>
      </c>
      <c r="B132" s="2" t="s">
        <v>19</v>
      </c>
      <c r="C132" s="2" t="s">
        <v>490</v>
      </c>
      <c r="D132" s="2" t="s">
        <v>100</v>
      </c>
      <c r="E132" s="2">
        <v>100</v>
      </c>
      <c r="F132" s="2">
        <v>15</v>
      </c>
      <c r="G132" s="2" t="s">
        <v>563</v>
      </c>
    </row>
    <row r="133" spans="1:7" x14ac:dyDescent="0.25">
      <c r="A133" s="2" t="s">
        <v>391</v>
      </c>
      <c r="B133" s="2" t="s">
        <v>22</v>
      </c>
      <c r="C133" s="2" t="s">
        <v>495</v>
      </c>
      <c r="D133" s="2">
        <v>65</v>
      </c>
      <c r="E133" s="2">
        <v>100</v>
      </c>
      <c r="F133" s="2">
        <v>20</v>
      </c>
      <c r="G133" s="2" t="s">
        <v>499</v>
      </c>
    </row>
    <row r="134" spans="1:7" x14ac:dyDescent="0.25">
      <c r="A134" s="2" t="s">
        <v>204</v>
      </c>
      <c r="B134" s="2" t="s">
        <v>22</v>
      </c>
      <c r="C134" s="2" t="s">
        <v>495</v>
      </c>
      <c r="D134" s="2">
        <v>80</v>
      </c>
      <c r="E134" s="2">
        <v>100</v>
      </c>
      <c r="F134" s="2">
        <v>15</v>
      </c>
      <c r="G134" s="2"/>
    </row>
    <row r="135" spans="1:7" x14ac:dyDescent="0.25">
      <c r="A135" s="2" t="s">
        <v>246</v>
      </c>
      <c r="B135" s="2" t="s">
        <v>12</v>
      </c>
      <c r="C135" s="2" t="s">
        <v>490</v>
      </c>
      <c r="D135" s="2" t="s">
        <v>100</v>
      </c>
      <c r="E135" s="2">
        <v>95</v>
      </c>
      <c r="F135" s="2">
        <v>40</v>
      </c>
      <c r="G135" s="2" t="s">
        <v>564</v>
      </c>
    </row>
    <row r="136" spans="1:7" x14ac:dyDescent="0.25">
      <c r="A136" s="2" t="s">
        <v>565</v>
      </c>
      <c r="B136" s="2" t="s">
        <v>22</v>
      </c>
      <c r="C136" s="2" t="s">
        <v>495</v>
      </c>
      <c r="D136" s="2">
        <v>50</v>
      </c>
      <c r="E136" s="2">
        <v>100</v>
      </c>
      <c r="F136" s="2" t="s">
        <v>100</v>
      </c>
      <c r="G136" s="2" t="s">
        <v>566</v>
      </c>
    </row>
    <row r="137" spans="1:7" x14ac:dyDescent="0.25">
      <c r="A137" s="2" t="s">
        <v>251</v>
      </c>
      <c r="B137" s="2" t="s">
        <v>19</v>
      </c>
      <c r="C137" s="2" t="s">
        <v>490</v>
      </c>
      <c r="D137" s="2" t="s">
        <v>100</v>
      </c>
      <c r="E137" s="2">
        <v>75</v>
      </c>
      <c r="F137" s="2">
        <v>30</v>
      </c>
      <c r="G137" s="2" t="s">
        <v>524</v>
      </c>
    </row>
    <row r="138" spans="1:7" x14ac:dyDescent="0.25">
      <c r="A138" s="2" t="s">
        <v>364</v>
      </c>
      <c r="B138" s="2" t="s">
        <v>16</v>
      </c>
      <c r="C138" s="2" t="s">
        <v>495</v>
      </c>
      <c r="D138" s="2">
        <v>80</v>
      </c>
      <c r="E138" s="2">
        <v>80</v>
      </c>
      <c r="F138" s="2">
        <v>25</v>
      </c>
      <c r="G138" s="2" t="s">
        <v>514</v>
      </c>
    </row>
    <row r="139" spans="1:7" x14ac:dyDescent="0.25">
      <c r="A139" s="2" t="s">
        <v>210</v>
      </c>
      <c r="B139" s="2" t="s">
        <v>22</v>
      </c>
      <c r="C139" s="2" t="s">
        <v>490</v>
      </c>
      <c r="D139" s="2" t="s">
        <v>100</v>
      </c>
      <c r="E139" s="2" t="s">
        <v>100</v>
      </c>
      <c r="F139" s="2">
        <v>10</v>
      </c>
      <c r="G139" s="2" t="s">
        <v>567</v>
      </c>
    </row>
    <row r="140" spans="1:7" x14ac:dyDescent="0.25">
      <c r="A140" s="2" t="s">
        <v>276</v>
      </c>
      <c r="B140" s="2" t="s">
        <v>22</v>
      </c>
      <c r="C140" s="2" t="s">
        <v>495</v>
      </c>
      <c r="D140" s="2" t="s">
        <v>100</v>
      </c>
      <c r="E140" s="2">
        <v>90</v>
      </c>
      <c r="F140" s="2">
        <v>10</v>
      </c>
      <c r="G140" s="2" t="s">
        <v>568</v>
      </c>
    </row>
    <row r="141" spans="1:7" x14ac:dyDescent="0.25">
      <c r="A141" s="2" t="s">
        <v>253</v>
      </c>
      <c r="B141" s="2" t="s">
        <v>22</v>
      </c>
      <c r="C141" s="2" t="s">
        <v>490</v>
      </c>
      <c r="D141" s="2" t="s">
        <v>100</v>
      </c>
      <c r="E141" s="2">
        <v>55</v>
      </c>
      <c r="F141" s="2">
        <v>20</v>
      </c>
      <c r="G141" s="2" t="s">
        <v>504</v>
      </c>
    </row>
    <row r="142" spans="1:7" x14ac:dyDescent="0.25">
      <c r="A142" s="2" t="s">
        <v>142</v>
      </c>
      <c r="B142" s="2" t="s">
        <v>25</v>
      </c>
      <c r="C142" s="2" t="s">
        <v>487</v>
      </c>
      <c r="D142" s="2">
        <v>95</v>
      </c>
      <c r="E142" s="2">
        <v>100</v>
      </c>
      <c r="F142" s="2">
        <v>15</v>
      </c>
      <c r="G142" s="2"/>
    </row>
    <row r="143" spans="1:7" x14ac:dyDescent="0.25">
      <c r="A143" s="2" t="s">
        <v>302</v>
      </c>
      <c r="B143" s="2" t="s">
        <v>22</v>
      </c>
      <c r="C143" s="2" t="s">
        <v>495</v>
      </c>
      <c r="D143" s="2">
        <v>60</v>
      </c>
      <c r="E143" s="2" t="s">
        <v>100</v>
      </c>
      <c r="F143" s="2">
        <v>20</v>
      </c>
      <c r="G143" s="2" t="s">
        <v>569</v>
      </c>
    </row>
    <row r="144" spans="1:7" x14ac:dyDescent="0.25">
      <c r="A144" s="2" t="s">
        <v>143</v>
      </c>
      <c r="B144" s="2" t="s">
        <v>22</v>
      </c>
      <c r="C144" s="2" t="s">
        <v>490</v>
      </c>
      <c r="D144" s="2" t="s">
        <v>100</v>
      </c>
      <c r="E144" s="2" t="s">
        <v>100</v>
      </c>
      <c r="F144" s="2">
        <v>30</v>
      </c>
      <c r="G144" s="2" t="s">
        <v>570</v>
      </c>
    </row>
    <row r="145" spans="1:7" x14ac:dyDescent="0.25">
      <c r="A145" s="2" t="s">
        <v>196</v>
      </c>
      <c r="B145" s="2" t="s">
        <v>22</v>
      </c>
      <c r="C145" s="2" t="s">
        <v>495</v>
      </c>
      <c r="D145" s="2">
        <v>35</v>
      </c>
      <c r="E145" s="2">
        <v>95</v>
      </c>
      <c r="F145" s="2">
        <v>35</v>
      </c>
      <c r="G145" s="2"/>
    </row>
    <row r="146" spans="1:7" x14ac:dyDescent="0.25">
      <c r="A146" s="2" t="s">
        <v>234</v>
      </c>
      <c r="B146" s="2" t="s">
        <v>22</v>
      </c>
      <c r="C146" s="2" t="s">
        <v>490</v>
      </c>
      <c r="D146" s="2" t="s">
        <v>100</v>
      </c>
      <c r="E146" s="2">
        <v>100</v>
      </c>
      <c r="F146" s="2">
        <v>30</v>
      </c>
      <c r="G146" s="2" t="s">
        <v>533</v>
      </c>
    </row>
    <row r="147" spans="1:7" x14ac:dyDescent="0.25">
      <c r="A147" s="2" t="s">
        <v>200</v>
      </c>
      <c r="B147" s="2" t="s">
        <v>22</v>
      </c>
      <c r="C147" s="2" t="s">
        <v>495</v>
      </c>
      <c r="D147" s="2">
        <v>90</v>
      </c>
      <c r="E147" s="2">
        <v>85</v>
      </c>
      <c r="F147" s="2">
        <v>20</v>
      </c>
      <c r="G147" s="2" t="s">
        <v>514</v>
      </c>
    </row>
    <row r="148" spans="1:7" x14ac:dyDescent="0.25">
      <c r="A148" s="2" t="s">
        <v>366</v>
      </c>
      <c r="B148" s="2" t="s">
        <v>7</v>
      </c>
      <c r="C148" s="2" t="s">
        <v>490</v>
      </c>
      <c r="D148" s="2" t="s">
        <v>100</v>
      </c>
      <c r="E148" s="2" t="s">
        <v>100</v>
      </c>
      <c r="F148" s="2">
        <v>20</v>
      </c>
      <c r="G148" s="2" t="s">
        <v>571</v>
      </c>
    </row>
    <row r="149" spans="1:7" x14ac:dyDescent="0.25">
      <c r="A149" s="2" t="s">
        <v>314</v>
      </c>
      <c r="B149" s="2" t="s">
        <v>22</v>
      </c>
      <c r="C149" s="2" t="s">
        <v>495</v>
      </c>
      <c r="D149" s="2">
        <v>90</v>
      </c>
      <c r="E149" s="2">
        <v>100</v>
      </c>
      <c r="F149" s="2">
        <v>20</v>
      </c>
      <c r="G149" s="2" t="s">
        <v>545</v>
      </c>
    </row>
    <row r="150" spans="1:7" x14ac:dyDescent="0.25">
      <c r="A150" s="2" t="s">
        <v>277</v>
      </c>
      <c r="B150" s="2" t="s">
        <v>15</v>
      </c>
      <c r="C150" s="2" t="s">
        <v>487</v>
      </c>
      <c r="D150" s="2">
        <v>120</v>
      </c>
      <c r="E150" s="2">
        <v>70</v>
      </c>
      <c r="F150" s="2">
        <v>10</v>
      </c>
      <c r="G150" s="2" t="s">
        <v>501</v>
      </c>
    </row>
    <row r="151" spans="1:7" x14ac:dyDescent="0.25">
      <c r="A151" s="2" t="s">
        <v>278</v>
      </c>
      <c r="B151" s="2" t="s">
        <v>15</v>
      </c>
      <c r="C151" s="2" t="s">
        <v>490</v>
      </c>
      <c r="D151" s="2" t="s">
        <v>100</v>
      </c>
      <c r="E151" s="2">
        <v>100</v>
      </c>
      <c r="F151" s="2">
        <v>20</v>
      </c>
      <c r="G151" s="2" t="s">
        <v>524</v>
      </c>
    </row>
    <row r="152" spans="1:7" x14ac:dyDescent="0.25">
      <c r="A152" s="2" t="s">
        <v>145</v>
      </c>
      <c r="B152" s="2" t="s">
        <v>15</v>
      </c>
      <c r="C152" s="2" t="s">
        <v>487</v>
      </c>
      <c r="D152" s="2">
        <v>75</v>
      </c>
      <c r="E152" s="2">
        <v>100</v>
      </c>
      <c r="F152" s="2">
        <v>15</v>
      </c>
      <c r="G152" s="2" t="s">
        <v>501</v>
      </c>
    </row>
    <row r="153" spans="1:7" x14ac:dyDescent="0.25">
      <c r="A153" s="2" t="s">
        <v>296</v>
      </c>
      <c r="B153" s="2" t="s">
        <v>15</v>
      </c>
      <c r="C153" s="2" t="s">
        <v>487</v>
      </c>
      <c r="D153" s="2">
        <v>40</v>
      </c>
      <c r="E153" s="2">
        <v>100</v>
      </c>
      <c r="F153" s="2">
        <v>30</v>
      </c>
      <c r="G153" s="2" t="s">
        <v>501</v>
      </c>
    </row>
    <row r="154" spans="1:7" x14ac:dyDescent="0.25">
      <c r="A154" s="2" t="s">
        <v>144</v>
      </c>
      <c r="B154" s="2" t="s">
        <v>15</v>
      </c>
      <c r="C154" s="2" t="s">
        <v>487</v>
      </c>
      <c r="D154" s="2">
        <v>95</v>
      </c>
      <c r="E154" s="2">
        <v>100</v>
      </c>
      <c r="F154" s="2">
        <v>15</v>
      </c>
      <c r="G154" s="2" t="s">
        <v>501</v>
      </c>
    </row>
    <row r="155" spans="1:7" x14ac:dyDescent="0.25">
      <c r="A155" s="2" t="s">
        <v>146</v>
      </c>
      <c r="B155" s="2" t="s">
        <v>9</v>
      </c>
      <c r="C155" s="2" t="s">
        <v>490</v>
      </c>
      <c r="D155" s="2" t="s">
        <v>100</v>
      </c>
      <c r="E155" s="2">
        <v>85</v>
      </c>
      <c r="F155" s="2">
        <v>10</v>
      </c>
      <c r="G155" s="2" t="s">
        <v>572</v>
      </c>
    </row>
    <row r="156" spans="1:7" x14ac:dyDescent="0.25">
      <c r="A156" s="2" t="s">
        <v>466</v>
      </c>
      <c r="B156" s="2" t="s">
        <v>22</v>
      </c>
      <c r="C156" s="2" t="s">
        <v>490</v>
      </c>
      <c r="D156" s="2" t="s">
        <v>100</v>
      </c>
      <c r="E156" s="2" t="s">
        <v>100</v>
      </c>
      <c r="F156" s="2">
        <v>10</v>
      </c>
      <c r="G156" s="2" t="s">
        <v>573</v>
      </c>
    </row>
    <row r="157" spans="1:7" x14ac:dyDescent="0.25">
      <c r="A157" s="2" t="s">
        <v>287</v>
      </c>
      <c r="B157" s="2" t="s">
        <v>22</v>
      </c>
      <c r="C157" s="2" t="s">
        <v>495</v>
      </c>
      <c r="D157" s="2">
        <v>80</v>
      </c>
      <c r="E157" s="2">
        <v>100</v>
      </c>
      <c r="F157" s="2">
        <v>10</v>
      </c>
      <c r="G157" s="2" t="s">
        <v>574</v>
      </c>
    </row>
    <row r="158" spans="1:7" x14ac:dyDescent="0.25">
      <c r="A158" s="2" t="s">
        <v>263</v>
      </c>
      <c r="B158" s="2" t="s">
        <v>12</v>
      </c>
      <c r="C158" s="2" t="s">
        <v>495</v>
      </c>
      <c r="D158" s="2">
        <v>25</v>
      </c>
      <c r="E158" s="2">
        <v>100</v>
      </c>
      <c r="F158" s="2">
        <v>20</v>
      </c>
      <c r="G158" s="2" t="s">
        <v>575</v>
      </c>
    </row>
    <row r="159" spans="1:7" x14ac:dyDescent="0.25">
      <c r="A159" s="2" t="s">
        <v>420</v>
      </c>
      <c r="B159" s="2" t="s">
        <v>22</v>
      </c>
      <c r="C159" s="2" t="s">
        <v>495</v>
      </c>
      <c r="D159" s="2">
        <v>55</v>
      </c>
      <c r="E159" s="2">
        <v>100</v>
      </c>
      <c r="F159" s="2">
        <v>30</v>
      </c>
      <c r="G159" s="2"/>
    </row>
    <row r="160" spans="1:7" x14ac:dyDescent="0.25">
      <c r="A160" s="2" t="s">
        <v>147</v>
      </c>
      <c r="B160" s="2" t="s">
        <v>19</v>
      </c>
      <c r="C160" s="2" t="s">
        <v>487</v>
      </c>
      <c r="D160" s="2">
        <v>35</v>
      </c>
      <c r="E160" s="2">
        <v>100</v>
      </c>
      <c r="F160" s="2">
        <v>10</v>
      </c>
      <c r="G160" s="2"/>
    </row>
    <row r="161" spans="1:7" x14ac:dyDescent="0.25">
      <c r="A161" s="2" t="s">
        <v>237</v>
      </c>
      <c r="B161" s="2" t="s">
        <v>25</v>
      </c>
      <c r="C161" s="2" t="s">
        <v>487</v>
      </c>
      <c r="D161" s="2">
        <v>40</v>
      </c>
      <c r="E161" s="2">
        <v>100</v>
      </c>
      <c r="F161" s="2">
        <v>25</v>
      </c>
      <c r="G161" s="2"/>
    </row>
    <row r="162" spans="1:7" x14ac:dyDescent="0.25">
      <c r="A162" s="2" t="s">
        <v>238</v>
      </c>
      <c r="B162" s="2" t="s">
        <v>25</v>
      </c>
      <c r="C162" s="2" t="s">
        <v>487</v>
      </c>
      <c r="D162" s="2">
        <v>80</v>
      </c>
      <c r="E162" s="2">
        <v>100</v>
      </c>
      <c r="F162" s="2">
        <v>15</v>
      </c>
      <c r="G162" s="2" t="s">
        <v>499</v>
      </c>
    </row>
    <row r="163" spans="1:7" x14ac:dyDescent="0.25">
      <c r="A163" s="2" t="s">
        <v>254</v>
      </c>
      <c r="B163" s="2" t="s">
        <v>22</v>
      </c>
      <c r="C163" s="2" t="s">
        <v>490</v>
      </c>
      <c r="D163" s="2" t="s">
        <v>100</v>
      </c>
      <c r="E163" s="2">
        <v>100</v>
      </c>
      <c r="F163" s="2">
        <v>20</v>
      </c>
      <c r="G163" s="2" t="s">
        <v>555</v>
      </c>
    </row>
    <row r="164" spans="1:7" x14ac:dyDescent="0.25">
      <c r="A164" s="2" t="s">
        <v>233</v>
      </c>
      <c r="B164" s="2" t="s">
        <v>18</v>
      </c>
      <c r="C164" s="2" t="s">
        <v>495</v>
      </c>
      <c r="D164" s="2">
        <v>35</v>
      </c>
      <c r="E164" s="2">
        <v>100</v>
      </c>
      <c r="F164" s="2">
        <v>35</v>
      </c>
      <c r="G164" s="2"/>
    </row>
    <row r="165" spans="1:7" x14ac:dyDescent="0.25">
      <c r="A165" s="2" t="s">
        <v>236</v>
      </c>
      <c r="B165" s="2" t="s">
        <v>25</v>
      </c>
      <c r="C165" s="2" t="s">
        <v>490</v>
      </c>
      <c r="D165" s="2" t="s">
        <v>100</v>
      </c>
      <c r="E165" s="2" t="s">
        <v>100</v>
      </c>
      <c r="F165" s="2">
        <v>40</v>
      </c>
      <c r="G165" s="2" t="s">
        <v>510</v>
      </c>
    </row>
    <row r="166" spans="1:7" x14ac:dyDescent="0.25">
      <c r="A166" s="2" t="s">
        <v>290</v>
      </c>
      <c r="B166" s="2" t="s">
        <v>22</v>
      </c>
      <c r="C166" s="2" t="s">
        <v>495</v>
      </c>
      <c r="D166" s="2">
        <v>15</v>
      </c>
      <c r="E166" s="2">
        <v>85</v>
      </c>
      <c r="F166" s="2">
        <v>20</v>
      </c>
      <c r="G166" s="2" t="s">
        <v>498</v>
      </c>
    </row>
    <row r="167" spans="1:7" x14ac:dyDescent="0.25">
      <c r="A167" s="2"/>
      <c r="B167" s="2"/>
      <c r="C167" s="2"/>
      <c r="D167" s="2"/>
      <c r="E167" s="2"/>
      <c r="F167" s="2"/>
      <c r="G167" s="2"/>
    </row>
    <row r="168" spans="1:7" x14ac:dyDescent="0.25">
      <c r="A168" s="2" t="s">
        <v>164</v>
      </c>
      <c r="B168" s="2" t="s">
        <v>23</v>
      </c>
      <c r="C168" s="2" t="s">
        <v>487</v>
      </c>
      <c r="D168" s="2">
        <v>60</v>
      </c>
      <c r="E168" s="2">
        <v>100</v>
      </c>
      <c r="F168" s="2">
        <v>5</v>
      </c>
      <c r="G168" s="2" t="s">
        <v>2141</v>
      </c>
    </row>
    <row r="169" spans="1:7" x14ac:dyDescent="0.25">
      <c r="A169" s="2" t="s">
        <v>1200</v>
      </c>
      <c r="B169" s="2" t="s">
        <v>22</v>
      </c>
      <c r="C169" s="2" t="s">
        <v>490</v>
      </c>
      <c r="D169" s="2" t="s">
        <v>100</v>
      </c>
      <c r="E169" s="2">
        <v>100</v>
      </c>
      <c r="F169" s="2">
        <v>15</v>
      </c>
      <c r="G169" s="2" t="s">
        <v>2142</v>
      </c>
    </row>
    <row r="170" spans="1:7" x14ac:dyDescent="0.25">
      <c r="A170" s="2" t="s">
        <v>1405</v>
      </c>
      <c r="B170" s="2" t="s">
        <v>22</v>
      </c>
      <c r="C170" s="2" t="s">
        <v>490</v>
      </c>
      <c r="D170" s="2" t="s">
        <v>100</v>
      </c>
      <c r="E170" s="2" t="s">
        <v>100</v>
      </c>
      <c r="F170" s="2">
        <v>40</v>
      </c>
      <c r="G170" s="2" t="s">
        <v>2143</v>
      </c>
    </row>
    <row r="171" spans="1:7" x14ac:dyDescent="0.25">
      <c r="A171" s="2" t="s">
        <v>1235</v>
      </c>
      <c r="B171" s="2" t="s">
        <v>13</v>
      </c>
      <c r="C171" s="2" t="s">
        <v>495</v>
      </c>
      <c r="D171" s="2" t="s">
        <v>100</v>
      </c>
      <c r="E171" s="2">
        <v>100</v>
      </c>
      <c r="F171" s="2">
        <v>30</v>
      </c>
      <c r="G171" s="2" t="s">
        <v>2144</v>
      </c>
    </row>
    <row r="172" spans="1:7" x14ac:dyDescent="0.25">
      <c r="A172" s="2" t="s">
        <v>1233</v>
      </c>
      <c r="B172" s="2" t="s">
        <v>22</v>
      </c>
      <c r="C172" s="2" t="s">
        <v>490</v>
      </c>
      <c r="D172" s="2" t="s">
        <v>100</v>
      </c>
      <c r="E172" s="2" t="s">
        <v>100</v>
      </c>
      <c r="F172" s="2">
        <v>10</v>
      </c>
      <c r="G172" s="2" t="s">
        <v>2145</v>
      </c>
    </row>
    <row r="173" spans="1:7" x14ac:dyDescent="0.25">
      <c r="A173" s="2" t="s">
        <v>1496</v>
      </c>
      <c r="B173" s="2" t="s">
        <v>20</v>
      </c>
      <c r="C173" s="2" t="s">
        <v>495</v>
      </c>
      <c r="D173" s="2">
        <v>25</v>
      </c>
      <c r="E173" s="2">
        <v>90</v>
      </c>
      <c r="F173" s="2">
        <v>10</v>
      </c>
      <c r="G173" s="2" t="s">
        <v>496</v>
      </c>
    </row>
    <row r="174" spans="1:7" x14ac:dyDescent="0.25">
      <c r="A174" s="2" t="s">
        <v>1209</v>
      </c>
      <c r="B174" s="2" t="s">
        <v>672</v>
      </c>
      <c r="C174" s="2" t="s">
        <v>490</v>
      </c>
      <c r="D174" s="2" t="s">
        <v>100</v>
      </c>
      <c r="E174" s="2">
        <v>100</v>
      </c>
      <c r="F174" s="2">
        <v>20</v>
      </c>
      <c r="G174" s="2" t="s">
        <v>2146</v>
      </c>
    </row>
    <row r="175" spans="1:7" x14ac:dyDescent="0.25">
      <c r="A175" s="2" t="s">
        <v>1519</v>
      </c>
      <c r="B175" s="2" t="s">
        <v>22</v>
      </c>
      <c r="C175" s="2" t="s">
        <v>490</v>
      </c>
      <c r="D175" s="2" t="s">
        <v>100</v>
      </c>
      <c r="E175" s="2" t="s">
        <v>100</v>
      </c>
      <c r="F175" s="2">
        <v>30</v>
      </c>
      <c r="G175" s="2" t="s">
        <v>2147</v>
      </c>
    </row>
    <row r="176" spans="1:7" x14ac:dyDescent="0.25">
      <c r="A176" s="2" t="s">
        <v>1556</v>
      </c>
      <c r="B176" s="2" t="s">
        <v>19</v>
      </c>
      <c r="C176" s="2" t="s">
        <v>490</v>
      </c>
      <c r="D176" s="2" t="s">
        <v>100</v>
      </c>
      <c r="E176" s="2">
        <v>100</v>
      </c>
      <c r="F176" s="2">
        <v>40</v>
      </c>
      <c r="G176" s="2" t="s">
        <v>2148</v>
      </c>
    </row>
    <row r="177" spans="1:7" x14ac:dyDescent="0.25">
      <c r="A177" s="2" t="s">
        <v>1418</v>
      </c>
      <c r="B177" s="2" t="s">
        <v>16</v>
      </c>
      <c r="C177" s="2" t="s">
        <v>495</v>
      </c>
      <c r="D177" s="2">
        <v>100</v>
      </c>
      <c r="E177" s="2">
        <v>80</v>
      </c>
      <c r="F177" s="2">
        <v>5</v>
      </c>
      <c r="G177" s="2" t="s">
        <v>509</v>
      </c>
    </row>
    <row r="178" spans="1:7" x14ac:dyDescent="0.25">
      <c r="A178" s="2" t="s">
        <v>580</v>
      </c>
      <c r="B178" s="2" t="s">
        <v>13</v>
      </c>
      <c r="C178" s="2" t="s">
        <v>495</v>
      </c>
      <c r="D178" s="2">
        <v>80</v>
      </c>
      <c r="E178" s="2">
        <v>100</v>
      </c>
      <c r="F178" s="2">
        <v>15</v>
      </c>
      <c r="G178" s="2" t="s">
        <v>2149</v>
      </c>
    </row>
    <row r="179" spans="1:7" x14ac:dyDescent="0.25">
      <c r="A179" s="2" t="s">
        <v>576</v>
      </c>
      <c r="B179" s="2" t="s">
        <v>8</v>
      </c>
      <c r="C179" s="2" t="s">
        <v>490</v>
      </c>
      <c r="D179" s="2" t="s">
        <v>100</v>
      </c>
      <c r="E179" s="2" t="s">
        <v>100</v>
      </c>
      <c r="F179" s="2">
        <v>10</v>
      </c>
      <c r="G179" s="2" t="s">
        <v>2150</v>
      </c>
    </row>
    <row r="180" spans="1:7" x14ac:dyDescent="0.25">
      <c r="A180" s="2" t="s">
        <v>1489</v>
      </c>
      <c r="B180" s="2" t="s">
        <v>8</v>
      </c>
      <c r="C180" s="2" t="s">
        <v>490</v>
      </c>
      <c r="D180" s="2" t="s">
        <v>100</v>
      </c>
      <c r="E180" s="2" t="s">
        <v>100</v>
      </c>
      <c r="F180" s="2">
        <v>5</v>
      </c>
      <c r="G180" s="2" t="s">
        <v>2151</v>
      </c>
    </row>
    <row r="181" spans="1:7" x14ac:dyDescent="0.25">
      <c r="A181" s="2" t="s">
        <v>1497</v>
      </c>
      <c r="B181" s="2" t="s">
        <v>16</v>
      </c>
      <c r="C181" s="2" t="s">
        <v>490</v>
      </c>
      <c r="D181" s="2" t="s">
        <v>100</v>
      </c>
      <c r="E181" s="2" t="s">
        <v>100</v>
      </c>
      <c r="F181" s="2">
        <v>5</v>
      </c>
      <c r="G181" s="2" t="s">
        <v>2152</v>
      </c>
    </row>
    <row r="182" spans="1:7" x14ac:dyDescent="0.25">
      <c r="A182" s="2" t="s">
        <v>1492</v>
      </c>
      <c r="B182" s="2" t="s">
        <v>14</v>
      </c>
      <c r="C182" s="2" t="s">
        <v>487</v>
      </c>
      <c r="D182" s="2">
        <v>60</v>
      </c>
      <c r="E182" s="2">
        <v>100</v>
      </c>
      <c r="F182" s="2">
        <v>20</v>
      </c>
      <c r="G182" s="2" t="s">
        <v>501</v>
      </c>
    </row>
    <row r="183" spans="1:7" x14ac:dyDescent="0.25">
      <c r="A183" s="2" t="s">
        <v>1431</v>
      </c>
      <c r="B183" s="2" t="s">
        <v>16</v>
      </c>
      <c r="C183" s="2" t="s">
        <v>495</v>
      </c>
      <c r="D183" s="2">
        <v>100</v>
      </c>
      <c r="E183" s="2">
        <v>50</v>
      </c>
      <c r="F183" s="2">
        <v>5</v>
      </c>
      <c r="G183" s="2" t="s">
        <v>504</v>
      </c>
    </row>
    <row r="184" spans="1:7" x14ac:dyDescent="0.25">
      <c r="A184" s="2" t="s">
        <v>1337</v>
      </c>
      <c r="B184" s="2" t="s">
        <v>22</v>
      </c>
      <c r="C184" s="2" t="s">
        <v>490</v>
      </c>
      <c r="D184" s="2" t="s">
        <v>100</v>
      </c>
      <c r="E184" s="2">
        <v>100</v>
      </c>
      <c r="F184" s="2">
        <v>5</v>
      </c>
      <c r="G184" s="2" t="s">
        <v>2153</v>
      </c>
    </row>
    <row r="185" spans="1:7" x14ac:dyDescent="0.25">
      <c r="A185" s="2" t="s">
        <v>1208</v>
      </c>
      <c r="B185" s="2" t="s">
        <v>22</v>
      </c>
      <c r="C185" s="2" t="s">
        <v>490</v>
      </c>
      <c r="D185" s="2" t="s">
        <v>100</v>
      </c>
      <c r="E185" s="2" t="s">
        <v>100</v>
      </c>
      <c r="F185" s="2">
        <v>10</v>
      </c>
      <c r="G185" s="2" t="s">
        <v>2154</v>
      </c>
    </row>
    <row r="186" spans="1:7" x14ac:dyDescent="0.25">
      <c r="A186" s="2" t="s">
        <v>1428</v>
      </c>
      <c r="B186" s="2" t="s">
        <v>22</v>
      </c>
      <c r="C186" s="2" t="s">
        <v>495</v>
      </c>
      <c r="D186" s="2">
        <v>80</v>
      </c>
      <c r="E186" s="2">
        <v>100</v>
      </c>
      <c r="F186" s="2">
        <v>5</v>
      </c>
      <c r="G186" s="2" t="s">
        <v>549</v>
      </c>
    </row>
    <row r="187" spans="1:7" x14ac:dyDescent="0.25">
      <c r="A187" s="2" t="s">
        <v>1292</v>
      </c>
      <c r="B187" s="2" t="s">
        <v>13</v>
      </c>
      <c r="C187" s="2" t="s">
        <v>495</v>
      </c>
      <c r="D187" s="2">
        <v>60</v>
      </c>
      <c r="E187" s="2" t="s">
        <v>100</v>
      </c>
      <c r="F187" s="2">
        <v>20</v>
      </c>
      <c r="G187" s="2" t="s">
        <v>569</v>
      </c>
    </row>
    <row r="188" spans="1:7" x14ac:dyDescent="0.25">
      <c r="A188" s="2" t="s">
        <v>1286</v>
      </c>
      <c r="B188" s="2" t="s">
        <v>22</v>
      </c>
      <c r="C188" s="2" t="s">
        <v>495</v>
      </c>
      <c r="D188" s="2">
        <v>40</v>
      </c>
      <c r="E188" s="2">
        <v>100</v>
      </c>
      <c r="F188" s="2">
        <v>40</v>
      </c>
      <c r="G188" s="2" t="s">
        <v>2155</v>
      </c>
    </row>
    <row r="189" spans="1:7" x14ac:dyDescent="0.25">
      <c r="A189" s="2" t="s">
        <v>1255</v>
      </c>
      <c r="B189" s="2" t="s">
        <v>22</v>
      </c>
      <c r="C189" s="2" t="s">
        <v>495</v>
      </c>
      <c r="D189" s="2" t="s">
        <v>100</v>
      </c>
      <c r="E189" s="2">
        <v>100</v>
      </c>
      <c r="F189" s="2">
        <v>15</v>
      </c>
      <c r="G189" s="2" t="s">
        <v>2156</v>
      </c>
    </row>
    <row r="190" spans="1:7" x14ac:dyDescent="0.25">
      <c r="A190" s="2" t="s">
        <v>1302</v>
      </c>
      <c r="B190" s="2" t="s">
        <v>17</v>
      </c>
      <c r="C190" s="2" t="s">
        <v>495</v>
      </c>
      <c r="D190" s="2">
        <v>60</v>
      </c>
      <c r="E190" s="2">
        <v>100</v>
      </c>
      <c r="F190" s="2">
        <v>25</v>
      </c>
      <c r="G190" s="2" t="s">
        <v>518</v>
      </c>
    </row>
    <row r="191" spans="1:7" x14ac:dyDescent="0.25">
      <c r="A191" s="2" t="s">
        <v>1256</v>
      </c>
      <c r="B191" s="2" t="s">
        <v>22</v>
      </c>
      <c r="C191" s="2" t="s">
        <v>490</v>
      </c>
      <c r="D191" s="2" t="s">
        <v>100</v>
      </c>
      <c r="E191" s="2" t="s">
        <v>100</v>
      </c>
      <c r="F191" s="2">
        <v>40</v>
      </c>
      <c r="G191" s="2" t="s">
        <v>2157</v>
      </c>
    </row>
    <row r="192" spans="1:7" x14ac:dyDescent="0.25">
      <c r="A192" s="2" t="s">
        <v>1196</v>
      </c>
      <c r="B192" s="2" t="s">
        <v>22</v>
      </c>
      <c r="C192" s="2" t="s">
        <v>495</v>
      </c>
      <c r="D192" s="2" t="s">
        <v>100</v>
      </c>
      <c r="E192" s="2">
        <v>100</v>
      </c>
      <c r="F192" s="2">
        <v>20</v>
      </c>
      <c r="G192" s="2" t="s">
        <v>2158</v>
      </c>
    </row>
    <row r="193" spans="1:7" x14ac:dyDescent="0.25">
      <c r="A193" s="2" t="s">
        <v>1348</v>
      </c>
      <c r="B193" s="2" t="s">
        <v>12</v>
      </c>
      <c r="C193" s="2" t="s">
        <v>495</v>
      </c>
      <c r="D193" s="2">
        <v>20</v>
      </c>
      <c r="E193" s="2">
        <v>95</v>
      </c>
      <c r="F193" s="2">
        <v>20</v>
      </c>
      <c r="G193" s="2" t="s">
        <v>2159</v>
      </c>
    </row>
    <row r="194" spans="1:7" x14ac:dyDescent="0.25">
      <c r="A194" s="2" t="s">
        <v>1419</v>
      </c>
      <c r="B194" s="2" t="s">
        <v>7</v>
      </c>
      <c r="C194" s="2" t="s">
        <v>487</v>
      </c>
      <c r="D194" s="2">
        <v>100</v>
      </c>
      <c r="E194" s="2">
        <v>100</v>
      </c>
      <c r="F194" s="2">
        <v>10</v>
      </c>
      <c r="G194" s="2" t="s">
        <v>2160</v>
      </c>
    </row>
    <row r="195" spans="1:7" x14ac:dyDescent="0.25">
      <c r="A195" s="2" t="s">
        <v>165</v>
      </c>
      <c r="B195" s="2" t="s">
        <v>19</v>
      </c>
      <c r="C195" s="2" t="s">
        <v>487</v>
      </c>
      <c r="D195" s="2">
        <v>75</v>
      </c>
      <c r="E195" s="2">
        <v>100</v>
      </c>
      <c r="F195" s="2">
        <v>10</v>
      </c>
      <c r="G195" s="2" t="s">
        <v>488</v>
      </c>
    </row>
    <row r="196" spans="1:7" x14ac:dyDescent="0.25">
      <c r="A196" s="2" t="s">
        <v>1505</v>
      </c>
      <c r="B196" s="2" t="s">
        <v>22</v>
      </c>
      <c r="C196" s="2" t="s">
        <v>490</v>
      </c>
      <c r="D196" s="2" t="s">
        <v>100</v>
      </c>
      <c r="E196" s="2" t="s">
        <v>100</v>
      </c>
      <c r="F196" s="2">
        <v>5</v>
      </c>
      <c r="G196" s="2" t="s">
        <v>2161</v>
      </c>
    </row>
    <row r="197" spans="1:7" x14ac:dyDescent="0.25">
      <c r="A197" s="2" t="s">
        <v>1192</v>
      </c>
      <c r="B197" s="2" t="s">
        <v>22</v>
      </c>
      <c r="C197" s="2" t="s">
        <v>487</v>
      </c>
      <c r="D197" s="2" t="s">
        <v>100</v>
      </c>
      <c r="E197" s="2">
        <v>100</v>
      </c>
      <c r="F197" s="2">
        <v>15</v>
      </c>
      <c r="G197" s="2" t="s">
        <v>2162</v>
      </c>
    </row>
    <row r="198" spans="1:7" x14ac:dyDescent="0.25">
      <c r="A198" s="2" t="s">
        <v>1476</v>
      </c>
      <c r="B198" s="2" t="s">
        <v>21</v>
      </c>
      <c r="C198" s="2" t="s">
        <v>487</v>
      </c>
      <c r="D198" s="2">
        <v>55</v>
      </c>
      <c r="E198" s="2">
        <v>95</v>
      </c>
      <c r="F198" s="2">
        <v>15</v>
      </c>
      <c r="G198" s="2" t="s">
        <v>564</v>
      </c>
    </row>
    <row r="199" spans="1:7" x14ac:dyDescent="0.25">
      <c r="A199" s="2" t="s">
        <v>1323</v>
      </c>
      <c r="B199" s="2" t="s">
        <v>24</v>
      </c>
      <c r="C199" s="2" t="s">
        <v>495</v>
      </c>
      <c r="D199" s="2">
        <v>100</v>
      </c>
      <c r="E199" s="2">
        <v>75</v>
      </c>
      <c r="F199" s="2">
        <v>15</v>
      </c>
      <c r="G199" s="2" t="s">
        <v>2149</v>
      </c>
    </row>
    <row r="200" spans="1:7" x14ac:dyDescent="0.25">
      <c r="A200" s="2" t="s">
        <v>1470</v>
      </c>
      <c r="B200" s="2" t="s">
        <v>22</v>
      </c>
      <c r="C200" s="2" t="s">
        <v>490</v>
      </c>
      <c r="D200" s="2" t="s">
        <v>100</v>
      </c>
      <c r="E200" s="2" t="s">
        <v>100</v>
      </c>
      <c r="F200" s="2">
        <v>5</v>
      </c>
      <c r="G200" s="2" t="s">
        <v>2163</v>
      </c>
    </row>
    <row r="201" spans="1:7" x14ac:dyDescent="0.25">
      <c r="A201" s="2" t="s">
        <v>1500</v>
      </c>
      <c r="B201" s="2" t="s">
        <v>16</v>
      </c>
      <c r="C201" s="2" t="s">
        <v>495</v>
      </c>
      <c r="D201" s="2">
        <v>40</v>
      </c>
      <c r="E201" s="2">
        <v>100</v>
      </c>
      <c r="F201" s="2">
        <v>30</v>
      </c>
      <c r="G201" s="2" t="s">
        <v>549</v>
      </c>
    </row>
    <row r="202" spans="1:7" x14ac:dyDescent="0.25">
      <c r="A202" s="2" t="s">
        <v>1349</v>
      </c>
      <c r="B202" s="2" t="s">
        <v>20</v>
      </c>
      <c r="C202" s="2" t="s">
        <v>495</v>
      </c>
      <c r="D202" s="2" t="s">
        <v>100</v>
      </c>
      <c r="E202" s="2">
        <v>100</v>
      </c>
      <c r="F202" s="2">
        <v>30</v>
      </c>
      <c r="G202" s="2" t="s">
        <v>2164</v>
      </c>
    </row>
    <row r="203" spans="1:7" x14ac:dyDescent="0.25">
      <c r="A203" s="2" t="s">
        <v>1399</v>
      </c>
      <c r="B203" s="2" t="s">
        <v>22</v>
      </c>
      <c r="C203" s="2" t="s">
        <v>490</v>
      </c>
      <c r="D203" s="2" t="s">
        <v>100</v>
      </c>
      <c r="E203" s="2" t="s">
        <v>100</v>
      </c>
      <c r="F203" s="2">
        <v>5</v>
      </c>
      <c r="G203" s="2" t="s">
        <v>2165</v>
      </c>
    </row>
    <row r="204" spans="1:7" x14ac:dyDescent="0.25">
      <c r="A204" s="2" t="s">
        <v>1366</v>
      </c>
      <c r="B204" s="2" t="s">
        <v>12</v>
      </c>
      <c r="C204" s="2" t="s">
        <v>495</v>
      </c>
      <c r="D204" s="2">
        <v>120</v>
      </c>
      <c r="E204" s="2">
        <v>85</v>
      </c>
      <c r="F204" s="2">
        <v>10</v>
      </c>
      <c r="G204" s="2"/>
    </row>
    <row r="205" spans="1:7" x14ac:dyDescent="0.25">
      <c r="A205" s="2" t="s">
        <v>1234</v>
      </c>
      <c r="B205" s="2" t="s">
        <v>24</v>
      </c>
      <c r="C205" s="2" t="s">
        <v>495</v>
      </c>
      <c r="D205" s="2">
        <v>50</v>
      </c>
      <c r="E205" s="2">
        <v>95</v>
      </c>
      <c r="F205" s="2">
        <v>35</v>
      </c>
      <c r="G205" s="2" t="s">
        <v>2166</v>
      </c>
    </row>
    <row r="206" spans="1:7" x14ac:dyDescent="0.25">
      <c r="A206" s="2" t="s">
        <v>1623</v>
      </c>
      <c r="B206" s="2" t="s">
        <v>22</v>
      </c>
      <c r="C206" s="2" t="s">
        <v>490</v>
      </c>
      <c r="D206" s="2" t="s">
        <v>100</v>
      </c>
      <c r="E206" s="2" t="s">
        <v>100</v>
      </c>
      <c r="F206" s="2">
        <v>10</v>
      </c>
      <c r="G206" s="2" t="s">
        <v>2167</v>
      </c>
    </row>
    <row r="207" spans="1:7" x14ac:dyDescent="0.25">
      <c r="A207" s="2" t="s">
        <v>1429</v>
      </c>
      <c r="B207" s="2" t="s">
        <v>22</v>
      </c>
      <c r="C207" s="2" t="s">
        <v>490</v>
      </c>
      <c r="D207" s="2" t="s">
        <v>100</v>
      </c>
      <c r="E207" s="2" t="s">
        <v>100</v>
      </c>
      <c r="F207" s="2">
        <v>5</v>
      </c>
      <c r="G207" s="2" t="s">
        <v>2168</v>
      </c>
    </row>
    <row r="208" spans="1:7" x14ac:dyDescent="0.25">
      <c r="A208" s="2" t="s">
        <v>579</v>
      </c>
      <c r="B208" s="2" t="s">
        <v>7</v>
      </c>
      <c r="C208" s="2" t="s">
        <v>487</v>
      </c>
      <c r="D208" s="2" t="s">
        <v>100</v>
      </c>
      <c r="E208" s="2">
        <v>100</v>
      </c>
      <c r="F208" s="2">
        <v>20</v>
      </c>
      <c r="G208" s="2" t="s">
        <v>2169</v>
      </c>
    </row>
    <row r="209" spans="1:7" x14ac:dyDescent="0.25">
      <c r="A209" s="2" t="s">
        <v>1371</v>
      </c>
      <c r="B209" s="2" t="s">
        <v>672</v>
      </c>
      <c r="C209" s="2" t="s">
        <v>490</v>
      </c>
      <c r="D209" s="2" t="s">
        <v>100</v>
      </c>
      <c r="E209" s="2" t="s">
        <v>100</v>
      </c>
      <c r="F209" s="2">
        <v>5</v>
      </c>
      <c r="G209" s="2" t="s">
        <v>2170</v>
      </c>
    </row>
    <row r="210" spans="1:7" x14ac:dyDescent="0.25">
      <c r="A210" s="2" t="s">
        <v>1406</v>
      </c>
      <c r="B210" s="2" t="s">
        <v>22</v>
      </c>
      <c r="C210" s="2" t="s">
        <v>490</v>
      </c>
      <c r="D210" s="2" t="s">
        <v>100</v>
      </c>
      <c r="E210" s="2" t="s">
        <v>100</v>
      </c>
      <c r="F210" s="2">
        <v>5</v>
      </c>
      <c r="G210" s="2" t="s">
        <v>2170</v>
      </c>
    </row>
    <row r="211" spans="1:7" x14ac:dyDescent="0.25">
      <c r="A211" s="2" t="s">
        <v>1408</v>
      </c>
      <c r="B211" s="2" t="s">
        <v>20</v>
      </c>
      <c r="C211" s="2" t="s">
        <v>487</v>
      </c>
      <c r="D211" s="2">
        <v>20</v>
      </c>
      <c r="E211" s="2">
        <v>100</v>
      </c>
      <c r="F211" s="2">
        <v>10</v>
      </c>
      <c r="G211" s="2" t="s">
        <v>521</v>
      </c>
    </row>
    <row r="212" spans="1:7" x14ac:dyDescent="0.25">
      <c r="A212" s="2" t="s">
        <v>1490</v>
      </c>
      <c r="B212" s="2" t="s">
        <v>8</v>
      </c>
      <c r="C212" s="2" t="s">
        <v>487</v>
      </c>
      <c r="D212" s="2" t="s">
        <v>100</v>
      </c>
      <c r="E212" s="2">
        <v>100</v>
      </c>
      <c r="F212" s="2">
        <v>15</v>
      </c>
      <c r="G212" s="2" t="s">
        <v>2171</v>
      </c>
    </row>
    <row r="213" spans="1:7" x14ac:dyDescent="0.25">
      <c r="A213" s="2" t="s">
        <v>1506</v>
      </c>
      <c r="B213" s="2" t="s">
        <v>25</v>
      </c>
      <c r="C213" s="2" t="s">
        <v>487</v>
      </c>
      <c r="D213" s="2">
        <v>65</v>
      </c>
      <c r="E213" s="2">
        <v>85</v>
      </c>
      <c r="F213" s="2">
        <v>10</v>
      </c>
      <c r="G213" s="2" t="s">
        <v>2172</v>
      </c>
    </row>
    <row r="214" spans="1:7" x14ac:dyDescent="0.25">
      <c r="A214" s="2" t="s">
        <v>578</v>
      </c>
      <c r="B214" s="2" t="s">
        <v>14</v>
      </c>
      <c r="C214" s="2" t="s">
        <v>495</v>
      </c>
      <c r="D214" s="2">
        <v>120</v>
      </c>
      <c r="E214" s="2">
        <v>100</v>
      </c>
      <c r="F214" s="2">
        <v>10</v>
      </c>
      <c r="G214" s="2" t="s">
        <v>545</v>
      </c>
    </row>
    <row r="215" spans="1:7" x14ac:dyDescent="0.25">
      <c r="A215" s="2" t="s">
        <v>1503</v>
      </c>
      <c r="B215" s="2" t="s">
        <v>22</v>
      </c>
      <c r="C215" s="2" t="s">
        <v>490</v>
      </c>
      <c r="D215" s="2" t="s">
        <v>100</v>
      </c>
      <c r="E215" s="2" t="s">
        <v>100</v>
      </c>
      <c r="F215" s="2">
        <v>20</v>
      </c>
      <c r="G215" s="2" t="s">
        <v>2173</v>
      </c>
    </row>
    <row r="216" spans="1:7" x14ac:dyDescent="0.25">
      <c r="A216" s="2" t="s">
        <v>1396</v>
      </c>
      <c r="B216" s="2" t="s">
        <v>22</v>
      </c>
      <c r="C216" s="2" t="s">
        <v>490</v>
      </c>
      <c r="D216" s="2" t="s">
        <v>100</v>
      </c>
      <c r="E216" s="2" t="s">
        <v>100</v>
      </c>
      <c r="F216" s="2">
        <v>5</v>
      </c>
      <c r="G216" s="2" t="s">
        <v>2174</v>
      </c>
    </row>
    <row r="217" spans="1:7" x14ac:dyDescent="0.25">
      <c r="A217" s="2" t="s">
        <v>1511</v>
      </c>
      <c r="B217" s="2" t="s">
        <v>21</v>
      </c>
      <c r="C217" s="2" t="s">
        <v>487</v>
      </c>
      <c r="D217" s="2">
        <v>40</v>
      </c>
      <c r="E217" s="2">
        <v>100</v>
      </c>
      <c r="F217" s="2">
        <v>25</v>
      </c>
      <c r="G217" s="2" t="s">
        <v>500</v>
      </c>
    </row>
    <row r="218" spans="1:7" x14ac:dyDescent="0.25">
      <c r="A218" s="2" t="s">
        <v>1336</v>
      </c>
      <c r="B218" s="2" t="s">
        <v>22</v>
      </c>
      <c r="C218" s="2" t="s">
        <v>495</v>
      </c>
      <c r="D218" s="2" t="s">
        <v>100</v>
      </c>
      <c r="E218" s="2">
        <v>90</v>
      </c>
      <c r="F218" s="2">
        <v>15</v>
      </c>
      <c r="G218" s="2" t="s">
        <v>2175</v>
      </c>
    </row>
    <row r="219" spans="1:7" x14ac:dyDescent="0.25">
      <c r="A219" s="2" t="s">
        <v>1194</v>
      </c>
      <c r="B219" s="2" t="s">
        <v>22</v>
      </c>
      <c r="C219" s="2" t="s">
        <v>490</v>
      </c>
      <c r="D219" s="2" t="s">
        <v>100</v>
      </c>
      <c r="E219" s="2" t="s">
        <v>100</v>
      </c>
      <c r="F219" s="2">
        <v>10</v>
      </c>
      <c r="G219" s="2" t="s">
        <v>2176</v>
      </c>
    </row>
    <row r="220" spans="1:7" x14ac:dyDescent="0.25">
      <c r="A220" s="2" t="s">
        <v>1277</v>
      </c>
      <c r="B220" s="2" t="s">
        <v>22</v>
      </c>
      <c r="C220" s="2" t="s">
        <v>490</v>
      </c>
      <c r="D220" s="2" t="s">
        <v>100</v>
      </c>
      <c r="E220" s="2" t="s">
        <v>100</v>
      </c>
      <c r="F220" s="2">
        <v>10</v>
      </c>
      <c r="G220" s="2" t="s">
        <v>2177</v>
      </c>
    </row>
    <row r="221" spans="1:7" x14ac:dyDescent="0.25">
      <c r="A221" s="2" t="s">
        <v>1280</v>
      </c>
      <c r="B221" s="2" t="s">
        <v>13</v>
      </c>
      <c r="C221" s="2" t="s">
        <v>495</v>
      </c>
      <c r="D221" s="2">
        <v>40</v>
      </c>
      <c r="E221" s="2">
        <v>100</v>
      </c>
      <c r="F221" s="2">
        <v>20</v>
      </c>
      <c r="G221" s="2" t="s">
        <v>2178</v>
      </c>
    </row>
    <row r="222" spans="1:7" x14ac:dyDescent="0.25">
      <c r="A222" s="2" t="s">
        <v>1250</v>
      </c>
      <c r="B222" s="2" t="s">
        <v>25</v>
      </c>
      <c r="C222" s="2" t="s">
        <v>490</v>
      </c>
      <c r="D222" s="2" t="s">
        <v>100</v>
      </c>
      <c r="E222" s="2" t="s">
        <v>100</v>
      </c>
      <c r="F222" s="2">
        <v>5</v>
      </c>
      <c r="G222" s="2" t="s">
        <v>2179</v>
      </c>
    </row>
    <row r="223" spans="1:7" x14ac:dyDescent="0.25">
      <c r="A223" s="2" t="s">
        <v>1246</v>
      </c>
      <c r="B223" s="2" t="s">
        <v>22</v>
      </c>
      <c r="C223" s="2" t="s">
        <v>495</v>
      </c>
      <c r="D223" s="2">
        <v>20</v>
      </c>
      <c r="E223" s="2">
        <v>100</v>
      </c>
      <c r="F223" s="2">
        <v>40</v>
      </c>
      <c r="G223" s="2" t="s">
        <v>2180</v>
      </c>
    </row>
    <row r="224" spans="1:7" x14ac:dyDescent="0.25">
      <c r="A224" s="2" t="s">
        <v>1197</v>
      </c>
      <c r="B224" s="2" t="s">
        <v>22</v>
      </c>
      <c r="C224" s="2" t="s">
        <v>495</v>
      </c>
      <c r="D224" s="2" t="s">
        <v>100</v>
      </c>
      <c r="E224" s="2">
        <v>100</v>
      </c>
      <c r="F224" s="2">
        <v>20</v>
      </c>
      <c r="G224" s="2" t="s">
        <v>2181</v>
      </c>
    </row>
    <row r="225" spans="1:7" x14ac:dyDescent="0.25">
      <c r="A225" s="2" t="s">
        <v>1303</v>
      </c>
      <c r="B225" s="2" t="s">
        <v>16</v>
      </c>
      <c r="C225" s="2" t="s">
        <v>495</v>
      </c>
      <c r="D225" s="2" t="s">
        <v>100</v>
      </c>
      <c r="E225" s="2">
        <v>100</v>
      </c>
      <c r="F225" s="2">
        <v>15</v>
      </c>
      <c r="G225" s="2" t="s">
        <v>2156</v>
      </c>
    </row>
    <row r="226" spans="1:7" x14ac:dyDescent="0.25">
      <c r="A226" s="2" t="s">
        <v>1206</v>
      </c>
      <c r="B226" s="2" t="s">
        <v>16</v>
      </c>
      <c r="C226" s="2" t="s">
        <v>495</v>
      </c>
      <c r="D226" s="2">
        <v>40</v>
      </c>
      <c r="E226" s="2">
        <v>100</v>
      </c>
      <c r="F226" s="2">
        <v>15</v>
      </c>
      <c r="G226" s="2" t="s">
        <v>2149</v>
      </c>
    </row>
    <row r="227" spans="1:7" x14ac:dyDescent="0.25">
      <c r="A227" s="2" t="s">
        <v>1347</v>
      </c>
      <c r="B227" s="2" t="s">
        <v>23</v>
      </c>
      <c r="C227" s="2" t="s">
        <v>495</v>
      </c>
      <c r="D227" s="2">
        <v>30</v>
      </c>
      <c r="E227" s="2">
        <v>90</v>
      </c>
      <c r="F227" s="2">
        <v>20</v>
      </c>
      <c r="G227" s="2" t="s">
        <v>2182</v>
      </c>
    </row>
    <row r="228" spans="1:7" x14ac:dyDescent="0.25">
      <c r="A228" s="2" t="s">
        <v>1632</v>
      </c>
      <c r="B228" s="2" t="s">
        <v>17</v>
      </c>
      <c r="C228" s="2" t="s">
        <v>495</v>
      </c>
      <c r="D228" s="2">
        <v>100</v>
      </c>
      <c r="E228" s="2">
        <v>95</v>
      </c>
      <c r="F228" s="2">
        <v>5</v>
      </c>
      <c r="G228" s="2" t="s">
        <v>518</v>
      </c>
    </row>
    <row r="229" spans="1:7" x14ac:dyDescent="0.25">
      <c r="A229" s="2" t="s">
        <v>1195</v>
      </c>
      <c r="B229" s="2" t="s">
        <v>22</v>
      </c>
      <c r="C229" s="2" t="s">
        <v>490</v>
      </c>
      <c r="D229" s="2" t="s">
        <v>100</v>
      </c>
      <c r="E229" s="2" t="s">
        <v>100</v>
      </c>
      <c r="F229" s="2">
        <v>25</v>
      </c>
      <c r="G229" s="2" t="s">
        <v>2183</v>
      </c>
    </row>
    <row r="230" spans="1:7" x14ac:dyDescent="0.25">
      <c r="A230" s="2" t="s">
        <v>1351</v>
      </c>
      <c r="B230" s="2" t="s">
        <v>23</v>
      </c>
      <c r="C230" s="2" t="s">
        <v>490</v>
      </c>
      <c r="D230" s="2" t="s">
        <v>100</v>
      </c>
      <c r="E230" s="2" t="s">
        <v>100</v>
      </c>
      <c r="F230" s="2">
        <v>10</v>
      </c>
      <c r="G230" s="2" t="s">
        <v>2184</v>
      </c>
    </row>
    <row r="231" spans="1:7" x14ac:dyDescent="0.25">
      <c r="A231" s="2" t="s">
        <v>1218</v>
      </c>
      <c r="B231" s="2" t="s">
        <v>22</v>
      </c>
      <c r="C231" s="2" t="s">
        <v>490</v>
      </c>
      <c r="D231" s="2" t="s">
        <v>100</v>
      </c>
      <c r="E231" s="2">
        <v>100</v>
      </c>
      <c r="F231" s="2">
        <v>10</v>
      </c>
      <c r="G231" s="2" t="s">
        <v>2148</v>
      </c>
    </row>
    <row r="232" spans="1:7" x14ac:dyDescent="0.25">
      <c r="A232" s="2" t="s">
        <v>1273</v>
      </c>
      <c r="B232" s="2" t="s">
        <v>8</v>
      </c>
      <c r="C232" s="2" t="s">
        <v>487</v>
      </c>
      <c r="D232" s="2">
        <v>80</v>
      </c>
      <c r="E232" s="2">
        <v>100</v>
      </c>
      <c r="F232" s="2">
        <v>15</v>
      </c>
      <c r="G232" s="2" t="s">
        <v>489</v>
      </c>
    </row>
    <row r="233" spans="1:7" x14ac:dyDescent="0.25">
      <c r="A233" s="2" t="s">
        <v>1615</v>
      </c>
      <c r="B233" s="2" t="s">
        <v>22</v>
      </c>
      <c r="C233" s="2" t="s">
        <v>490</v>
      </c>
      <c r="D233" s="2" t="s">
        <v>100</v>
      </c>
      <c r="E233" s="2" t="s">
        <v>100</v>
      </c>
      <c r="F233" s="2">
        <v>1</v>
      </c>
      <c r="G233" s="2" t="s">
        <v>2185</v>
      </c>
    </row>
    <row r="234" spans="1:7" x14ac:dyDescent="0.25">
      <c r="A234" s="2" t="s">
        <v>1205</v>
      </c>
      <c r="B234" s="2" t="s">
        <v>22</v>
      </c>
      <c r="C234" s="2" t="s">
        <v>490</v>
      </c>
      <c r="D234" s="2" t="s">
        <v>100</v>
      </c>
      <c r="E234" s="2" t="s">
        <v>100</v>
      </c>
      <c r="F234" s="2">
        <v>10</v>
      </c>
      <c r="G234" s="2" t="s">
        <v>2186</v>
      </c>
    </row>
    <row r="235" spans="1:7" x14ac:dyDescent="0.25">
      <c r="A235" s="2" t="s">
        <v>1198</v>
      </c>
      <c r="B235" s="2" t="s">
        <v>9</v>
      </c>
      <c r="C235" s="2" t="s">
        <v>487</v>
      </c>
      <c r="D235" s="2">
        <v>90</v>
      </c>
      <c r="E235" s="2">
        <v>100</v>
      </c>
      <c r="F235" s="2">
        <v>10</v>
      </c>
      <c r="G235" s="2" t="s">
        <v>559</v>
      </c>
    </row>
    <row r="236" spans="1:7" x14ac:dyDescent="0.25">
      <c r="A236" s="2" t="s">
        <v>1465</v>
      </c>
      <c r="B236" s="2" t="s">
        <v>22</v>
      </c>
      <c r="C236" s="2" t="s">
        <v>487</v>
      </c>
      <c r="D236" s="2">
        <v>40</v>
      </c>
      <c r="E236" s="2">
        <v>100</v>
      </c>
      <c r="F236" s="2">
        <v>15</v>
      </c>
      <c r="G236" s="2" t="s">
        <v>2187</v>
      </c>
    </row>
    <row r="237" spans="1:7" x14ac:dyDescent="0.25">
      <c r="A237" s="2" t="s">
        <v>1467</v>
      </c>
      <c r="B237" s="2" t="s">
        <v>15</v>
      </c>
      <c r="C237" s="2" t="s">
        <v>495</v>
      </c>
      <c r="D237" s="2">
        <v>65</v>
      </c>
      <c r="E237" s="2">
        <v>100</v>
      </c>
      <c r="F237" s="2">
        <v>20</v>
      </c>
      <c r="G237" s="2" t="s">
        <v>501</v>
      </c>
    </row>
    <row r="238" spans="1:7" x14ac:dyDescent="0.25">
      <c r="A238" s="2" t="s">
        <v>1538</v>
      </c>
      <c r="B238" s="2" t="s">
        <v>12</v>
      </c>
      <c r="C238" s="2" t="s">
        <v>490</v>
      </c>
      <c r="D238" s="2" t="s">
        <v>100</v>
      </c>
      <c r="E238" s="2" t="s">
        <v>100</v>
      </c>
      <c r="F238" s="2">
        <v>10</v>
      </c>
      <c r="G238" s="2" t="s">
        <v>2165</v>
      </c>
    </row>
    <row r="239" spans="1:7" x14ac:dyDescent="0.25">
      <c r="A239" s="2" t="s">
        <v>1487</v>
      </c>
      <c r="B239" s="2" t="s">
        <v>20</v>
      </c>
      <c r="C239" s="2" t="s">
        <v>490</v>
      </c>
      <c r="D239" s="2" t="s">
        <v>100</v>
      </c>
      <c r="E239" s="2" t="s">
        <v>100</v>
      </c>
      <c r="F239" s="2">
        <v>20</v>
      </c>
      <c r="G239" s="2" t="s">
        <v>2188</v>
      </c>
    </row>
    <row r="240" spans="1:7" x14ac:dyDescent="0.25">
      <c r="A240" s="2" t="s">
        <v>1322</v>
      </c>
      <c r="B240" s="2" t="s">
        <v>8</v>
      </c>
      <c r="C240" s="2" t="s">
        <v>490</v>
      </c>
      <c r="D240" s="2" t="s">
        <v>100</v>
      </c>
      <c r="E240" s="2">
        <v>100</v>
      </c>
      <c r="F240" s="2">
        <v>10</v>
      </c>
      <c r="G240" s="2" t="s">
        <v>2189</v>
      </c>
    </row>
    <row r="241" spans="1:7" x14ac:dyDescent="0.25">
      <c r="A241" s="2" t="s">
        <v>1243</v>
      </c>
      <c r="B241" s="2" t="s">
        <v>24</v>
      </c>
      <c r="C241" s="2" t="s">
        <v>495</v>
      </c>
      <c r="D241" s="2">
        <v>70</v>
      </c>
      <c r="E241" s="2">
        <v>90</v>
      </c>
      <c r="F241" s="2">
        <v>25</v>
      </c>
      <c r="G241" s="2" t="s">
        <v>2190</v>
      </c>
    </row>
    <row r="242" spans="1:7" x14ac:dyDescent="0.25">
      <c r="A242" s="2" t="s">
        <v>1193</v>
      </c>
      <c r="B242" s="2" t="s">
        <v>17</v>
      </c>
      <c r="C242" s="2" t="s">
        <v>490</v>
      </c>
      <c r="D242" s="2" t="s">
        <v>100</v>
      </c>
      <c r="E242" s="2" t="s">
        <v>100</v>
      </c>
      <c r="F242" s="2">
        <v>5</v>
      </c>
      <c r="G242" s="2" t="s">
        <v>2191</v>
      </c>
    </row>
    <row r="243" spans="1:7" x14ac:dyDescent="0.25">
      <c r="A243" s="2" t="s">
        <v>577</v>
      </c>
      <c r="B243" s="2" t="s">
        <v>22</v>
      </c>
      <c r="C243" s="2" t="s">
        <v>490</v>
      </c>
      <c r="D243" s="2" t="s">
        <v>100</v>
      </c>
      <c r="E243" s="2">
        <v>90</v>
      </c>
      <c r="F243" s="2">
        <v>15</v>
      </c>
      <c r="G243" s="2" t="s">
        <v>2192</v>
      </c>
    </row>
    <row r="244" spans="1:7" x14ac:dyDescent="0.25">
      <c r="A244" s="2" t="s">
        <v>1345</v>
      </c>
      <c r="B244" s="2" t="s">
        <v>672</v>
      </c>
      <c r="C244" s="2" t="s">
        <v>490</v>
      </c>
      <c r="D244" s="2" t="s">
        <v>100</v>
      </c>
      <c r="E244" s="2">
        <v>75</v>
      </c>
      <c r="F244" s="2">
        <v>10</v>
      </c>
      <c r="G244" s="2" t="s">
        <v>504</v>
      </c>
    </row>
    <row r="245" spans="1:7" x14ac:dyDescent="0.25">
      <c r="A245" s="2" t="s">
        <v>1187</v>
      </c>
      <c r="B245" s="2" t="s">
        <v>22</v>
      </c>
      <c r="C245" s="2" t="s">
        <v>490</v>
      </c>
      <c r="D245" s="2" t="s">
        <v>100</v>
      </c>
      <c r="E245" s="2" t="s">
        <v>100</v>
      </c>
      <c r="F245" s="2">
        <v>20</v>
      </c>
      <c r="G245" s="2" t="s">
        <v>2193</v>
      </c>
    </row>
    <row r="246" spans="1:7" x14ac:dyDescent="0.25">
      <c r="A246" s="2" t="s">
        <v>1189</v>
      </c>
      <c r="B246" s="2" t="s">
        <v>19</v>
      </c>
      <c r="C246" s="2" t="s">
        <v>490</v>
      </c>
      <c r="D246" s="2" t="s">
        <v>100</v>
      </c>
      <c r="E246" s="2" t="s">
        <v>100</v>
      </c>
      <c r="F246" s="2">
        <v>5</v>
      </c>
      <c r="G246" s="2" t="s">
        <v>2170</v>
      </c>
    </row>
    <row r="247" spans="1:7" x14ac:dyDescent="0.25">
      <c r="A247" s="2" t="s">
        <v>1274</v>
      </c>
      <c r="B247" s="2" t="s">
        <v>13</v>
      </c>
      <c r="C247" s="2" t="s">
        <v>495</v>
      </c>
      <c r="D247" s="2">
        <v>40</v>
      </c>
      <c r="E247" s="2">
        <v>100</v>
      </c>
      <c r="F247" s="2">
        <v>10</v>
      </c>
      <c r="G247" s="2" t="s">
        <v>2194</v>
      </c>
    </row>
    <row r="248" spans="1:7" x14ac:dyDescent="0.25">
      <c r="A248" s="2" t="s">
        <v>1618</v>
      </c>
      <c r="B248" s="2" t="s">
        <v>16</v>
      </c>
      <c r="C248" s="2" t="s">
        <v>495</v>
      </c>
      <c r="D248" s="2">
        <v>10</v>
      </c>
      <c r="E248" s="2">
        <v>90</v>
      </c>
      <c r="F248" s="2">
        <v>10</v>
      </c>
      <c r="G248" s="2" t="s">
        <v>2195</v>
      </c>
    </row>
    <row r="249" spans="1:7" x14ac:dyDescent="0.25">
      <c r="A249" s="2" t="s">
        <v>1289</v>
      </c>
      <c r="B249" s="2" t="s">
        <v>14</v>
      </c>
      <c r="C249" s="2" t="s">
        <v>487</v>
      </c>
      <c r="D249" s="2">
        <v>40</v>
      </c>
      <c r="E249" s="2">
        <v>100</v>
      </c>
      <c r="F249" s="2">
        <v>20</v>
      </c>
      <c r="G249" s="2" t="s">
        <v>2196</v>
      </c>
    </row>
    <row r="250" spans="1:7" x14ac:dyDescent="0.25">
      <c r="A250" s="2" t="s">
        <v>1445</v>
      </c>
      <c r="B250" s="2" t="s">
        <v>16</v>
      </c>
      <c r="C250" s="2" t="s">
        <v>495</v>
      </c>
      <c r="D250" s="2">
        <v>70</v>
      </c>
      <c r="E250" s="2" t="s">
        <v>100</v>
      </c>
      <c r="F250" s="2">
        <v>10</v>
      </c>
      <c r="G250" s="2" t="s">
        <v>2197</v>
      </c>
    </row>
    <row r="251" spans="1:7" x14ac:dyDescent="0.25">
      <c r="A251" s="2" t="s">
        <v>1485</v>
      </c>
      <c r="B251" s="2" t="s">
        <v>25</v>
      </c>
      <c r="C251" s="2" t="s">
        <v>487</v>
      </c>
      <c r="D251" s="2">
        <v>35</v>
      </c>
      <c r="E251" s="2">
        <v>85</v>
      </c>
      <c r="F251" s="2">
        <v>15</v>
      </c>
      <c r="G251" s="2" t="s">
        <v>498</v>
      </c>
    </row>
    <row r="252" spans="1:7" x14ac:dyDescent="0.25">
      <c r="A252" s="2" t="s">
        <v>1472</v>
      </c>
      <c r="B252" s="2" t="s">
        <v>15</v>
      </c>
      <c r="C252" s="2" t="s">
        <v>487</v>
      </c>
      <c r="D252" s="2">
        <v>120</v>
      </c>
      <c r="E252" s="2">
        <v>50</v>
      </c>
      <c r="F252" s="2">
        <v>5</v>
      </c>
      <c r="G252" s="2" t="s">
        <v>524</v>
      </c>
    </row>
    <row r="253" spans="1:7" x14ac:dyDescent="0.25">
      <c r="A253" s="2" t="s">
        <v>1226</v>
      </c>
      <c r="B253" s="2" t="s">
        <v>18</v>
      </c>
      <c r="C253" s="2" t="s">
        <v>495</v>
      </c>
      <c r="D253" s="2">
        <v>60</v>
      </c>
      <c r="E253" s="2" t="s">
        <v>100</v>
      </c>
      <c r="F253" s="2">
        <v>20</v>
      </c>
      <c r="G253" s="2" t="s">
        <v>569</v>
      </c>
    </row>
    <row r="254" spans="1:7" x14ac:dyDescent="0.25">
      <c r="A254" s="2" t="s">
        <v>1294</v>
      </c>
      <c r="B254" s="2" t="s">
        <v>18</v>
      </c>
      <c r="C254" s="2" t="s">
        <v>487</v>
      </c>
      <c r="D254" s="2">
        <v>55</v>
      </c>
      <c r="E254" s="2">
        <v>95</v>
      </c>
      <c r="F254" s="2">
        <v>25</v>
      </c>
      <c r="G254" s="2" t="s">
        <v>509</v>
      </c>
    </row>
    <row r="255" spans="1:7" x14ac:dyDescent="0.25">
      <c r="A255" s="2" t="s">
        <v>1682</v>
      </c>
      <c r="B255" s="2" t="s">
        <v>16</v>
      </c>
      <c r="C255" s="2" t="s">
        <v>495</v>
      </c>
      <c r="D255" s="2">
        <v>15</v>
      </c>
      <c r="E255" s="2">
        <v>100</v>
      </c>
      <c r="F255" s="2">
        <v>20</v>
      </c>
      <c r="G255" s="2" t="s">
        <v>496</v>
      </c>
    </row>
    <row r="256" spans="1:7" x14ac:dyDescent="0.25">
      <c r="A256" s="2" t="s">
        <v>1380</v>
      </c>
      <c r="B256" s="2" t="s">
        <v>19</v>
      </c>
      <c r="C256" s="2" t="s">
        <v>490</v>
      </c>
      <c r="D256" s="2" t="s">
        <v>100</v>
      </c>
      <c r="E256" s="2" t="s">
        <v>100</v>
      </c>
      <c r="F256" s="2">
        <v>5</v>
      </c>
      <c r="G256" s="2" t="s">
        <v>2198</v>
      </c>
    </row>
    <row r="257" spans="1:7" x14ac:dyDescent="0.25">
      <c r="A257" s="2" t="s">
        <v>1410</v>
      </c>
      <c r="B257" s="2" t="s">
        <v>22</v>
      </c>
      <c r="C257" s="2" t="s">
        <v>490</v>
      </c>
      <c r="D257" s="2" t="s">
        <v>100</v>
      </c>
      <c r="E257" s="2" t="s">
        <v>100</v>
      </c>
      <c r="F257" s="2">
        <v>20</v>
      </c>
      <c r="G257" s="2" t="s">
        <v>2199</v>
      </c>
    </row>
    <row r="258" spans="1:7" x14ac:dyDescent="0.25">
      <c r="A258" s="2" t="s">
        <v>1308</v>
      </c>
      <c r="B258" s="2" t="s">
        <v>8</v>
      </c>
      <c r="C258" s="2" t="s">
        <v>495</v>
      </c>
      <c r="D258" s="2">
        <v>30</v>
      </c>
      <c r="E258" s="2">
        <v>100</v>
      </c>
      <c r="F258" s="2">
        <v>15</v>
      </c>
      <c r="G258" s="2" t="s">
        <v>499</v>
      </c>
    </row>
    <row r="259" spans="1:7" x14ac:dyDescent="0.25">
      <c r="A259" s="2" t="s">
        <v>2200</v>
      </c>
      <c r="B259" s="2" t="s">
        <v>17</v>
      </c>
      <c r="C259" s="2" t="s">
        <v>487</v>
      </c>
      <c r="D259" s="2">
        <v>150</v>
      </c>
      <c r="E259" s="2">
        <v>90</v>
      </c>
      <c r="F259" s="2">
        <v>5</v>
      </c>
      <c r="G259" s="2" t="s">
        <v>530</v>
      </c>
    </row>
    <row r="260" spans="1:7" x14ac:dyDescent="0.25">
      <c r="A260" s="2" t="s">
        <v>1499</v>
      </c>
      <c r="B260" s="2" t="s">
        <v>17</v>
      </c>
      <c r="C260" s="2" t="s">
        <v>495</v>
      </c>
      <c r="D260" s="2">
        <v>85</v>
      </c>
      <c r="E260" s="2">
        <v>90</v>
      </c>
      <c r="F260" s="2">
        <v>10</v>
      </c>
      <c r="G260" s="2" t="s">
        <v>2201</v>
      </c>
    </row>
    <row r="261" spans="1:7" x14ac:dyDescent="0.25">
      <c r="A261" s="2" t="s">
        <v>1459</v>
      </c>
      <c r="B261" s="2" t="s">
        <v>22</v>
      </c>
      <c r="C261" s="2" t="s">
        <v>490</v>
      </c>
      <c r="D261" s="2" t="s">
        <v>100</v>
      </c>
      <c r="E261" s="2" t="s">
        <v>100</v>
      </c>
      <c r="F261" s="2">
        <v>5</v>
      </c>
      <c r="G261" s="2" t="s">
        <v>2202</v>
      </c>
    </row>
    <row r="262" spans="1:7" x14ac:dyDescent="0.25">
      <c r="A262" s="2" t="s">
        <v>1463</v>
      </c>
      <c r="B262" s="2" t="s">
        <v>18</v>
      </c>
      <c r="C262" s="2" t="s">
        <v>495</v>
      </c>
      <c r="D262" s="2">
        <v>85</v>
      </c>
      <c r="E262" s="2">
        <v>85</v>
      </c>
      <c r="F262" s="2">
        <v>5</v>
      </c>
      <c r="G262" s="2" t="s">
        <v>2203</v>
      </c>
    </row>
    <row r="263" spans="1:7" x14ac:dyDescent="0.25">
      <c r="A263" s="2" t="s">
        <v>1224</v>
      </c>
      <c r="B263" s="2" t="s">
        <v>16</v>
      </c>
      <c r="C263" s="2" t="s">
        <v>495</v>
      </c>
      <c r="D263" s="2">
        <v>75</v>
      </c>
      <c r="E263" s="2">
        <v>100</v>
      </c>
      <c r="F263" s="2">
        <v>15</v>
      </c>
      <c r="G263" s="2" t="s">
        <v>2204</v>
      </c>
    </row>
    <row r="264" spans="1:7" x14ac:dyDescent="0.25">
      <c r="A264" s="2" t="s">
        <v>1425</v>
      </c>
      <c r="B264" s="2" t="s">
        <v>16</v>
      </c>
      <c r="C264" s="2" t="s">
        <v>490</v>
      </c>
      <c r="D264" s="2" t="s">
        <v>100</v>
      </c>
      <c r="E264" s="2" t="s">
        <v>100</v>
      </c>
      <c r="F264" s="2">
        <v>20</v>
      </c>
      <c r="G264" s="2" t="s">
        <v>2205</v>
      </c>
    </row>
    <row r="265" spans="1:7" x14ac:dyDescent="0.25">
      <c r="A265" s="2" t="s">
        <v>1452</v>
      </c>
      <c r="B265" s="2" t="s">
        <v>19</v>
      </c>
      <c r="C265" s="2" t="s">
        <v>495</v>
      </c>
      <c r="D265" s="2">
        <v>25</v>
      </c>
      <c r="E265" s="2">
        <v>100</v>
      </c>
      <c r="F265" s="2">
        <v>30</v>
      </c>
      <c r="G265" s="2" t="s">
        <v>496</v>
      </c>
    </row>
    <row r="266" spans="1:7" x14ac:dyDescent="0.25">
      <c r="A266" s="2" t="s">
        <v>1378</v>
      </c>
      <c r="B266" s="2" t="s">
        <v>7</v>
      </c>
      <c r="C266" s="2" t="s">
        <v>490</v>
      </c>
      <c r="D266" s="2" t="s">
        <v>100</v>
      </c>
      <c r="E266" s="2" t="s">
        <v>100</v>
      </c>
      <c r="F266" s="2">
        <v>20</v>
      </c>
      <c r="G266" s="2" t="s">
        <v>2206</v>
      </c>
    </row>
    <row r="267" spans="1:7" x14ac:dyDescent="0.25">
      <c r="A267" s="2" t="s">
        <v>1507</v>
      </c>
      <c r="B267" s="2" t="s">
        <v>22</v>
      </c>
      <c r="C267" s="2" t="s">
        <v>490</v>
      </c>
      <c r="D267" s="2" t="s">
        <v>100</v>
      </c>
      <c r="E267" s="2" t="s">
        <v>100</v>
      </c>
      <c r="F267" s="2">
        <v>20</v>
      </c>
      <c r="G267" s="2" t="s">
        <v>2207</v>
      </c>
    </row>
    <row r="268" spans="1:7" x14ac:dyDescent="0.25">
      <c r="A268" s="2" t="s">
        <v>1338</v>
      </c>
      <c r="B268" s="2" t="s">
        <v>15</v>
      </c>
      <c r="C268" s="2" t="s">
        <v>490</v>
      </c>
      <c r="D268" s="2" t="s">
        <v>100</v>
      </c>
      <c r="E268" s="2" t="s">
        <v>100</v>
      </c>
      <c r="F268" s="2">
        <v>20</v>
      </c>
      <c r="G268" s="2" t="s">
        <v>2208</v>
      </c>
    </row>
    <row r="269" spans="1:7" x14ac:dyDescent="0.25">
      <c r="A269" s="2" t="s">
        <v>1370</v>
      </c>
      <c r="B269" s="2" t="s">
        <v>7</v>
      </c>
      <c r="C269" s="2" t="s">
        <v>490</v>
      </c>
      <c r="D269" s="2" t="s">
        <v>100</v>
      </c>
      <c r="E269" s="2" t="s">
        <v>100</v>
      </c>
      <c r="F269" s="2">
        <v>20</v>
      </c>
      <c r="G269" s="2" t="s">
        <v>2209</v>
      </c>
    </row>
    <row r="270" spans="1:7" x14ac:dyDescent="0.25">
      <c r="A270" s="2" t="s">
        <v>1382</v>
      </c>
      <c r="B270" s="2" t="s">
        <v>22</v>
      </c>
      <c r="C270" s="2" t="s">
        <v>495</v>
      </c>
      <c r="D270" s="2">
        <v>60</v>
      </c>
      <c r="E270" s="2">
        <v>100</v>
      </c>
      <c r="F270" s="2">
        <v>40</v>
      </c>
      <c r="G270" s="2" t="s">
        <v>2210</v>
      </c>
    </row>
    <row r="271" spans="1:7" x14ac:dyDescent="0.25">
      <c r="A271" s="2" t="s">
        <v>1352</v>
      </c>
      <c r="B271" s="2" t="s">
        <v>22</v>
      </c>
      <c r="C271" s="2" t="s">
        <v>495</v>
      </c>
      <c r="D271" s="2">
        <v>75</v>
      </c>
      <c r="E271" s="2">
        <v>95</v>
      </c>
      <c r="F271" s="2">
        <v>10</v>
      </c>
      <c r="G271" s="2" t="s">
        <v>2149</v>
      </c>
    </row>
    <row r="272" spans="1:7" x14ac:dyDescent="0.25">
      <c r="A272" s="2" t="s">
        <v>1251</v>
      </c>
      <c r="B272" s="2" t="s">
        <v>25</v>
      </c>
      <c r="C272" s="2" t="s">
        <v>495</v>
      </c>
      <c r="D272" s="2">
        <v>80</v>
      </c>
      <c r="E272" s="2">
        <v>100</v>
      </c>
      <c r="F272" s="2">
        <v>10</v>
      </c>
      <c r="G272" s="2" t="s">
        <v>2211</v>
      </c>
    </row>
    <row r="273" spans="1:7" x14ac:dyDescent="0.25">
      <c r="A273" s="2" t="s">
        <v>1775</v>
      </c>
      <c r="B273" s="2" t="s">
        <v>24</v>
      </c>
      <c r="C273" s="2" t="s">
        <v>487</v>
      </c>
      <c r="D273" s="2">
        <v>140</v>
      </c>
      <c r="E273" s="2">
        <v>100</v>
      </c>
      <c r="F273" s="2">
        <v>5</v>
      </c>
      <c r="G273" s="2" t="s">
        <v>2160</v>
      </c>
    </row>
    <row r="274" spans="1:7" x14ac:dyDescent="0.25">
      <c r="A274" s="2" t="s">
        <v>1223</v>
      </c>
      <c r="B274" s="2" t="s">
        <v>14</v>
      </c>
      <c r="C274" s="2" t="s">
        <v>495</v>
      </c>
      <c r="D274" s="2">
        <v>80</v>
      </c>
      <c r="E274" s="2">
        <v>100</v>
      </c>
      <c r="F274" s="2">
        <v>15</v>
      </c>
      <c r="G274" s="2"/>
    </row>
    <row r="275" spans="1:7" x14ac:dyDescent="0.25">
      <c r="A275" s="2" t="s">
        <v>688</v>
      </c>
      <c r="B275" s="2" t="s">
        <v>14</v>
      </c>
      <c r="C275" s="2" t="s">
        <v>490</v>
      </c>
      <c r="D275" s="2" t="s">
        <v>100</v>
      </c>
      <c r="E275" s="2" t="s">
        <v>100</v>
      </c>
      <c r="F275" s="2">
        <v>20</v>
      </c>
      <c r="G275" s="2" t="s">
        <v>2212</v>
      </c>
    </row>
    <row r="276" spans="1:7" x14ac:dyDescent="0.25">
      <c r="A276" s="2" t="s">
        <v>1284</v>
      </c>
      <c r="B276" s="2" t="s">
        <v>22</v>
      </c>
      <c r="C276" s="2" t="s">
        <v>495</v>
      </c>
      <c r="D276" s="2" t="s">
        <v>100</v>
      </c>
      <c r="E276" s="2">
        <v>100</v>
      </c>
      <c r="F276" s="2">
        <v>5</v>
      </c>
      <c r="G276" s="2" t="s">
        <v>2213</v>
      </c>
    </row>
    <row r="277" spans="1:7" x14ac:dyDescent="0.25">
      <c r="A277" s="2" t="s">
        <v>1525</v>
      </c>
      <c r="B277" s="2" t="s">
        <v>17</v>
      </c>
      <c r="C277" s="2" t="s">
        <v>487</v>
      </c>
      <c r="D277" s="2">
        <v>150</v>
      </c>
      <c r="E277" s="2">
        <v>100</v>
      </c>
      <c r="F277" s="2">
        <v>5</v>
      </c>
      <c r="G277" s="2" t="s">
        <v>2214</v>
      </c>
    </row>
    <row r="278" spans="1:7" x14ac:dyDescent="0.25">
      <c r="A278" s="2" t="s">
        <v>1389</v>
      </c>
      <c r="B278" s="2" t="s">
        <v>7</v>
      </c>
      <c r="C278" s="2" t="s">
        <v>487</v>
      </c>
      <c r="D278" s="2">
        <v>80</v>
      </c>
      <c r="E278" s="2">
        <v>100</v>
      </c>
      <c r="F278" s="2">
        <v>30</v>
      </c>
      <c r="G278" s="2" t="s">
        <v>499</v>
      </c>
    </row>
    <row r="279" spans="1:7" x14ac:dyDescent="0.25">
      <c r="A279" s="2" t="s">
        <v>1199</v>
      </c>
      <c r="B279" s="2" t="s">
        <v>22</v>
      </c>
      <c r="C279" s="2" t="s">
        <v>495</v>
      </c>
      <c r="D279" s="2">
        <v>70</v>
      </c>
      <c r="E279" s="2">
        <v>100</v>
      </c>
      <c r="F279" s="2">
        <v>20</v>
      </c>
      <c r="G279" s="2" t="s">
        <v>2215</v>
      </c>
    </row>
    <row r="280" spans="1:7" x14ac:dyDescent="0.25">
      <c r="A280" s="2" t="s">
        <v>1257</v>
      </c>
      <c r="B280" s="2" t="s">
        <v>22</v>
      </c>
      <c r="C280" s="2" t="s">
        <v>495</v>
      </c>
      <c r="D280" s="2">
        <v>40</v>
      </c>
      <c r="E280" s="2">
        <v>100</v>
      </c>
      <c r="F280" s="2">
        <v>10</v>
      </c>
      <c r="G280" s="2" t="s">
        <v>2216</v>
      </c>
    </row>
    <row r="281" spans="1:7" x14ac:dyDescent="0.25">
      <c r="A281" s="2" t="s">
        <v>1381</v>
      </c>
      <c r="B281" s="2" t="s">
        <v>13</v>
      </c>
      <c r="C281" s="2" t="s">
        <v>490</v>
      </c>
      <c r="D281" s="2" t="s">
        <v>100</v>
      </c>
      <c r="E281" s="2">
        <v>100</v>
      </c>
      <c r="F281" s="2">
        <v>20</v>
      </c>
      <c r="G281" s="2" t="s">
        <v>2217</v>
      </c>
    </row>
    <row r="282" spans="1:7" x14ac:dyDescent="0.25">
      <c r="A282" s="2" t="s">
        <v>1290</v>
      </c>
      <c r="B282" s="2" t="s">
        <v>18</v>
      </c>
      <c r="C282" s="2" t="s">
        <v>490</v>
      </c>
      <c r="D282" s="2" t="s">
        <v>100</v>
      </c>
      <c r="E282" s="2">
        <v>100</v>
      </c>
      <c r="F282" s="2">
        <v>15</v>
      </c>
      <c r="G282" s="2" t="s">
        <v>2146</v>
      </c>
    </row>
    <row r="283" spans="1:7" x14ac:dyDescent="0.25">
      <c r="A283" s="2" t="s">
        <v>1360</v>
      </c>
      <c r="B283" s="2" t="s">
        <v>13</v>
      </c>
      <c r="C283" s="2" t="s">
        <v>490</v>
      </c>
      <c r="D283" s="2" t="s">
        <v>100</v>
      </c>
      <c r="E283" s="2">
        <v>100</v>
      </c>
      <c r="F283" s="2">
        <v>15</v>
      </c>
      <c r="G283" s="2" t="s">
        <v>2218</v>
      </c>
    </row>
    <row r="284" spans="1:7" x14ac:dyDescent="0.25">
      <c r="A284" s="2" t="s">
        <v>1236</v>
      </c>
      <c r="B284" s="2" t="s">
        <v>16</v>
      </c>
      <c r="C284" s="2" t="s">
        <v>495</v>
      </c>
      <c r="D284" s="2">
        <v>150</v>
      </c>
      <c r="E284" s="2">
        <v>100</v>
      </c>
      <c r="F284" s="2">
        <v>20</v>
      </c>
      <c r="G284" s="2" t="s">
        <v>2219</v>
      </c>
    </row>
    <row r="285" spans="1:7" x14ac:dyDescent="0.25">
      <c r="A285" s="2" t="s">
        <v>1367</v>
      </c>
      <c r="B285" s="2" t="s">
        <v>22</v>
      </c>
      <c r="C285" s="2" t="s">
        <v>490</v>
      </c>
      <c r="D285" s="2" t="s">
        <v>100</v>
      </c>
      <c r="E285" s="2" t="s">
        <v>100</v>
      </c>
      <c r="F285" s="2">
        <v>20</v>
      </c>
      <c r="G285" s="2" t="s">
        <v>2220</v>
      </c>
    </row>
    <row r="286" spans="1:7" x14ac:dyDescent="0.25">
      <c r="A286" s="2" t="s">
        <v>2221</v>
      </c>
      <c r="B286" s="2" t="s">
        <v>19</v>
      </c>
      <c r="C286" s="2" t="s">
        <v>487</v>
      </c>
      <c r="D286" s="2">
        <v>150</v>
      </c>
      <c r="E286" s="2">
        <v>90</v>
      </c>
      <c r="F286" s="2">
        <v>5</v>
      </c>
      <c r="G286" s="2" t="s">
        <v>530</v>
      </c>
    </row>
    <row r="287" spans="1:7" x14ac:dyDescent="0.25">
      <c r="A287" s="2" t="s">
        <v>1211</v>
      </c>
      <c r="B287" s="2" t="s">
        <v>19</v>
      </c>
      <c r="C287" s="2" t="s">
        <v>490</v>
      </c>
      <c r="D287" s="2" t="s">
        <v>100</v>
      </c>
      <c r="E287" s="2">
        <v>55</v>
      </c>
      <c r="F287" s="2">
        <v>15</v>
      </c>
      <c r="G287" s="2" t="s">
        <v>2222</v>
      </c>
    </row>
    <row r="288" spans="1:7" x14ac:dyDescent="0.25">
      <c r="A288" s="2" t="s">
        <v>1390</v>
      </c>
      <c r="B288" s="2" t="s">
        <v>8</v>
      </c>
      <c r="C288" s="2" t="s">
        <v>490</v>
      </c>
      <c r="D288" s="2" t="s">
        <v>100</v>
      </c>
      <c r="E288" s="2" t="s">
        <v>100</v>
      </c>
      <c r="F288" s="2">
        <v>5</v>
      </c>
      <c r="G288" s="2" t="s">
        <v>2223</v>
      </c>
    </row>
    <row r="289" spans="1:7" x14ac:dyDescent="0.25">
      <c r="A289" s="2" t="s">
        <v>1252</v>
      </c>
      <c r="B289" s="2" t="s">
        <v>21</v>
      </c>
      <c r="C289" s="2" t="s">
        <v>490</v>
      </c>
      <c r="D289" s="2" t="s">
        <v>100</v>
      </c>
      <c r="E289" s="2" t="s">
        <v>100</v>
      </c>
      <c r="F289" s="2">
        <v>10</v>
      </c>
      <c r="G289" s="2" t="s">
        <v>2224</v>
      </c>
    </row>
    <row r="290" spans="1:7" x14ac:dyDescent="0.25">
      <c r="A290" s="2" t="s">
        <v>1241</v>
      </c>
      <c r="B290" s="2" t="s">
        <v>17</v>
      </c>
      <c r="C290" s="2" t="s">
        <v>487</v>
      </c>
      <c r="D290" s="2">
        <v>100</v>
      </c>
      <c r="E290" s="2">
        <v>90</v>
      </c>
      <c r="F290" s="2">
        <v>10</v>
      </c>
      <c r="G290" s="2" t="s">
        <v>518</v>
      </c>
    </row>
    <row r="291" spans="1:7" x14ac:dyDescent="0.25">
      <c r="A291" s="2" t="s">
        <v>1359</v>
      </c>
      <c r="B291" s="2" t="s">
        <v>22</v>
      </c>
      <c r="C291" s="2" t="s">
        <v>490</v>
      </c>
      <c r="D291" s="2" t="s">
        <v>100</v>
      </c>
      <c r="E291" s="2" t="s">
        <v>100</v>
      </c>
      <c r="F291" s="2">
        <v>20</v>
      </c>
      <c r="G291" s="2" t="s">
        <v>2225</v>
      </c>
    </row>
    <row r="292" spans="1:7" x14ac:dyDescent="0.25">
      <c r="A292" s="2" t="s">
        <v>1392</v>
      </c>
      <c r="B292" s="2" t="s">
        <v>22</v>
      </c>
      <c r="C292" s="2" t="s">
        <v>490</v>
      </c>
      <c r="D292" s="2" t="s">
        <v>100</v>
      </c>
      <c r="E292" s="2" t="s">
        <v>100</v>
      </c>
      <c r="F292" s="2">
        <v>40</v>
      </c>
      <c r="G292" s="2" t="s">
        <v>537</v>
      </c>
    </row>
    <row r="293" spans="1:7" x14ac:dyDescent="0.25">
      <c r="A293" s="2" t="s">
        <v>2226</v>
      </c>
      <c r="B293" s="2" t="s">
        <v>25</v>
      </c>
      <c r="C293" s="2" t="s">
        <v>487</v>
      </c>
      <c r="D293" s="2">
        <v>150</v>
      </c>
      <c r="E293" s="2">
        <v>90</v>
      </c>
      <c r="F293" s="2">
        <v>5</v>
      </c>
      <c r="G293" s="2" t="s">
        <v>530</v>
      </c>
    </row>
    <row r="294" spans="1:7" x14ac:dyDescent="0.25">
      <c r="A294" s="2" t="s">
        <v>1395</v>
      </c>
      <c r="B294" s="2" t="s">
        <v>22</v>
      </c>
      <c r="C294" s="2" t="s">
        <v>487</v>
      </c>
      <c r="D294" s="2">
        <v>90</v>
      </c>
      <c r="E294" s="2">
        <v>100</v>
      </c>
      <c r="F294" s="2">
        <v>10</v>
      </c>
      <c r="G294" s="2"/>
    </row>
    <row r="295" spans="1:7" x14ac:dyDescent="0.25">
      <c r="A295" s="2" t="s">
        <v>1430</v>
      </c>
      <c r="B295" s="2" t="s">
        <v>21</v>
      </c>
      <c r="C295" s="2" t="s">
        <v>495</v>
      </c>
      <c r="D295" s="2">
        <v>30</v>
      </c>
      <c r="E295" s="2">
        <v>90</v>
      </c>
      <c r="F295" s="2">
        <v>20</v>
      </c>
      <c r="G295" s="2" t="s">
        <v>2182</v>
      </c>
    </row>
    <row r="296" spans="1:7" x14ac:dyDescent="0.25">
      <c r="A296" s="2" t="s">
        <v>1478</v>
      </c>
      <c r="B296" s="2" t="s">
        <v>21</v>
      </c>
      <c r="C296" s="2" t="s">
        <v>495</v>
      </c>
      <c r="D296" s="2">
        <v>25</v>
      </c>
      <c r="E296" s="2">
        <v>100</v>
      </c>
      <c r="F296" s="2">
        <v>30</v>
      </c>
      <c r="G296" s="2" t="s">
        <v>496</v>
      </c>
    </row>
    <row r="297" spans="1:7" x14ac:dyDescent="0.25">
      <c r="A297" s="2" t="s">
        <v>1387</v>
      </c>
      <c r="B297" s="2" t="s">
        <v>7</v>
      </c>
      <c r="C297" s="2" t="s">
        <v>490</v>
      </c>
      <c r="D297" s="2" t="s">
        <v>100</v>
      </c>
      <c r="E297" s="2" t="s">
        <v>100</v>
      </c>
      <c r="F297" s="2">
        <v>10</v>
      </c>
      <c r="G297" s="2" t="s">
        <v>2227</v>
      </c>
    </row>
    <row r="298" spans="1:7" x14ac:dyDescent="0.25">
      <c r="A298" s="2" t="s">
        <v>1210</v>
      </c>
      <c r="B298" s="2" t="s">
        <v>19</v>
      </c>
      <c r="C298" s="2" t="s">
        <v>490</v>
      </c>
      <c r="D298" s="2" t="s">
        <v>100</v>
      </c>
      <c r="E298" s="2" t="s">
        <v>100</v>
      </c>
      <c r="F298" s="2">
        <v>20</v>
      </c>
      <c r="G298" s="2" t="s">
        <v>2228</v>
      </c>
    </row>
    <row r="299" spans="1:7" x14ac:dyDescent="0.25">
      <c r="A299" s="2" t="s">
        <v>1249</v>
      </c>
      <c r="B299" s="2" t="s">
        <v>24</v>
      </c>
      <c r="C299" s="2" t="s">
        <v>490</v>
      </c>
      <c r="D299" s="2" t="s">
        <v>100</v>
      </c>
      <c r="E299" s="2" t="s">
        <v>100</v>
      </c>
      <c r="F299" s="2">
        <v>15</v>
      </c>
      <c r="G299" s="2" t="s">
        <v>491</v>
      </c>
    </row>
    <row r="300" spans="1:7" x14ac:dyDescent="0.25">
      <c r="A300" s="2" t="s">
        <v>1434</v>
      </c>
      <c r="B300" s="2" t="s">
        <v>13</v>
      </c>
      <c r="C300" s="2" t="s">
        <v>495</v>
      </c>
      <c r="D300" s="2">
        <v>20</v>
      </c>
      <c r="E300" s="2">
        <v>100</v>
      </c>
      <c r="F300" s="2">
        <v>20</v>
      </c>
      <c r="G300" s="2" t="s">
        <v>2229</v>
      </c>
    </row>
    <row r="301" spans="1:7" x14ac:dyDescent="0.25">
      <c r="A301" s="2" t="s">
        <v>1454</v>
      </c>
      <c r="B301" s="2" t="s">
        <v>19</v>
      </c>
      <c r="C301" s="2" t="s">
        <v>495</v>
      </c>
      <c r="D301" s="2">
        <v>90</v>
      </c>
      <c r="E301" s="2">
        <v>100</v>
      </c>
      <c r="F301" s="2">
        <v>15</v>
      </c>
      <c r="G301" s="2" t="s">
        <v>509</v>
      </c>
    </row>
    <row r="302" spans="1:7" x14ac:dyDescent="0.25">
      <c r="A302" s="2" t="s">
        <v>1770</v>
      </c>
      <c r="B302" s="2" t="s">
        <v>7</v>
      </c>
      <c r="C302" s="2" t="s">
        <v>487</v>
      </c>
      <c r="D302" s="2">
        <v>70</v>
      </c>
      <c r="E302" s="2">
        <v>100</v>
      </c>
      <c r="F302" s="2">
        <v>5</v>
      </c>
      <c r="G302" s="2" t="s">
        <v>489</v>
      </c>
    </row>
    <row r="303" spans="1:7" x14ac:dyDescent="0.25">
      <c r="A303" s="2" t="s">
        <v>1520</v>
      </c>
      <c r="B303" s="2" t="s">
        <v>7</v>
      </c>
      <c r="C303" s="2" t="s">
        <v>490</v>
      </c>
      <c r="D303" s="2" t="s">
        <v>100</v>
      </c>
      <c r="E303" s="2" t="s">
        <v>100</v>
      </c>
      <c r="F303" s="2">
        <v>15</v>
      </c>
      <c r="G303" s="2" t="s">
        <v>2230</v>
      </c>
    </row>
    <row r="304" spans="1:7" x14ac:dyDescent="0.25">
      <c r="A304" s="2" t="s">
        <v>1212</v>
      </c>
      <c r="B304" s="2" t="s">
        <v>19</v>
      </c>
      <c r="C304" s="2" t="s">
        <v>487</v>
      </c>
      <c r="D304" s="2">
        <v>60</v>
      </c>
      <c r="E304" s="2" t="s">
        <v>100</v>
      </c>
      <c r="F304" s="2">
        <v>20</v>
      </c>
      <c r="G304" s="2" t="s">
        <v>569</v>
      </c>
    </row>
    <row r="305" spans="1:7" x14ac:dyDescent="0.25">
      <c r="A305" s="2" t="s">
        <v>1409</v>
      </c>
      <c r="B305" s="2" t="s">
        <v>13</v>
      </c>
      <c r="C305" s="2" t="s">
        <v>490</v>
      </c>
      <c r="D305" s="2" t="s">
        <v>100</v>
      </c>
      <c r="E305" s="2">
        <v>100</v>
      </c>
      <c r="F305" s="2">
        <v>10</v>
      </c>
      <c r="G305" s="2" t="s">
        <v>2231</v>
      </c>
    </row>
    <row r="306" spans="1:7" x14ac:dyDescent="0.25">
      <c r="A306" s="2" t="s">
        <v>1469</v>
      </c>
      <c r="B306" s="2" t="s">
        <v>24</v>
      </c>
      <c r="C306" s="2" t="s">
        <v>490</v>
      </c>
      <c r="D306" s="2" t="s">
        <v>100</v>
      </c>
      <c r="E306" s="2">
        <v>85</v>
      </c>
      <c r="F306" s="2">
        <v>40</v>
      </c>
      <c r="G306" s="2" t="s">
        <v>2217</v>
      </c>
    </row>
    <row r="307" spans="1:7" x14ac:dyDescent="0.25">
      <c r="A307" s="2" t="s">
        <v>1374</v>
      </c>
      <c r="B307" s="2" t="s">
        <v>24</v>
      </c>
      <c r="C307" s="2" t="s">
        <v>495</v>
      </c>
      <c r="D307" s="2">
        <v>100</v>
      </c>
      <c r="E307" s="2">
        <v>85</v>
      </c>
      <c r="F307" s="2">
        <v>10</v>
      </c>
      <c r="G307" s="2" t="s">
        <v>2166</v>
      </c>
    </row>
    <row r="308" spans="1:7" x14ac:dyDescent="0.25">
      <c r="A308" s="2" t="s">
        <v>1768</v>
      </c>
      <c r="B308" s="2" t="s">
        <v>7</v>
      </c>
      <c r="C308" s="2" t="s">
        <v>487</v>
      </c>
      <c r="D308" s="2">
        <v>70</v>
      </c>
      <c r="E308" s="2">
        <v>100</v>
      </c>
      <c r="F308" s="2">
        <v>5</v>
      </c>
      <c r="G308" s="2" t="s">
        <v>2232</v>
      </c>
    </row>
    <row r="309" spans="1:7" x14ac:dyDescent="0.25">
      <c r="A309" s="2" t="s">
        <v>1353</v>
      </c>
      <c r="B309" s="2" t="s">
        <v>20</v>
      </c>
      <c r="C309" s="2" t="s">
        <v>487</v>
      </c>
      <c r="D309" s="2">
        <v>55</v>
      </c>
      <c r="E309" s="2">
        <v>95</v>
      </c>
      <c r="F309" s="2">
        <v>15</v>
      </c>
      <c r="G309" s="2" t="s">
        <v>564</v>
      </c>
    </row>
    <row r="310" spans="1:7" x14ac:dyDescent="0.25">
      <c r="A310" s="2" t="s">
        <v>1259</v>
      </c>
      <c r="B310" s="2" t="s">
        <v>20</v>
      </c>
      <c r="C310" s="2" t="s">
        <v>490</v>
      </c>
      <c r="D310" s="2" t="s">
        <v>100</v>
      </c>
      <c r="E310" s="2" t="s">
        <v>100</v>
      </c>
      <c r="F310" s="2">
        <v>15</v>
      </c>
      <c r="G310" s="2" t="s">
        <v>2233</v>
      </c>
    </row>
    <row r="311" spans="1:7" x14ac:dyDescent="0.25">
      <c r="A311" s="2" t="s">
        <v>706</v>
      </c>
      <c r="B311" s="2" t="s">
        <v>25</v>
      </c>
      <c r="C311" s="2" t="s">
        <v>487</v>
      </c>
      <c r="D311" s="2">
        <v>95</v>
      </c>
      <c r="E311" s="2">
        <v>85</v>
      </c>
      <c r="F311" s="2">
        <v>10</v>
      </c>
      <c r="G311" s="2" t="s">
        <v>2172</v>
      </c>
    </row>
    <row r="312" spans="1:7" x14ac:dyDescent="0.25">
      <c r="A312" s="2" t="s">
        <v>703</v>
      </c>
      <c r="B312" s="2" t="s">
        <v>22</v>
      </c>
      <c r="C312" s="2" t="s">
        <v>490</v>
      </c>
      <c r="D312" s="2" t="s">
        <v>100</v>
      </c>
      <c r="E312" s="2" t="s">
        <v>100</v>
      </c>
      <c r="F312" s="2">
        <v>20</v>
      </c>
      <c r="G312" s="2" t="s">
        <v>2234</v>
      </c>
    </row>
    <row r="313" spans="1:7" x14ac:dyDescent="0.25">
      <c r="A313" s="2" t="s">
        <v>1719</v>
      </c>
      <c r="B313" s="2" t="s">
        <v>19</v>
      </c>
      <c r="C313" s="2" t="s">
        <v>495</v>
      </c>
      <c r="D313" s="2">
        <v>60</v>
      </c>
      <c r="E313" s="2">
        <v>100</v>
      </c>
      <c r="F313" s="2">
        <v>15</v>
      </c>
      <c r="G313" s="2" t="s">
        <v>499</v>
      </c>
    </row>
    <row r="314" spans="1:7" x14ac:dyDescent="0.25">
      <c r="A314" s="2" t="s">
        <v>1411</v>
      </c>
      <c r="B314" s="2" t="s">
        <v>22</v>
      </c>
      <c r="C314" s="2" t="s">
        <v>490</v>
      </c>
      <c r="D314" s="2" t="s">
        <v>100</v>
      </c>
      <c r="E314" s="2" t="s">
        <v>100</v>
      </c>
      <c r="F314" s="2">
        <v>40</v>
      </c>
      <c r="G314" s="2" t="s">
        <v>2157</v>
      </c>
    </row>
    <row r="315" spans="1:7" x14ac:dyDescent="0.25">
      <c r="A315" s="2" t="s">
        <v>1227</v>
      </c>
      <c r="B315" s="2" t="s">
        <v>17</v>
      </c>
      <c r="C315" s="2" t="s">
        <v>487</v>
      </c>
      <c r="D315" s="2">
        <v>140</v>
      </c>
      <c r="E315" s="2">
        <v>90</v>
      </c>
      <c r="F315" s="2">
        <v>5</v>
      </c>
      <c r="G315" s="2" t="s">
        <v>2235</v>
      </c>
    </row>
    <row r="316" spans="1:7" x14ac:dyDescent="0.25">
      <c r="A316" s="2" t="s">
        <v>1325</v>
      </c>
      <c r="B316" s="2" t="s">
        <v>9</v>
      </c>
      <c r="C316" s="2" t="s">
        <v>495</v>
      </c>
      <c r="D316" s="2">
        <v>50</v>
      </c>
      <c r="E316" s="2">
        <v>100</v>
      </c>
      <c r="F316" s="2">
        <v>15</v>
      </c>
      <c r="G316" s="2" t="s">
        <v>2236</v>
      </c>
    </row>
    <row r="317" spans="1:7" x14ac:dyDescent="0.25">
      <c r="A317" s="2" t="s">
        <v>1326</v>
      </c>
      <c r="B317" s="2" t="s">
        <v>9</v>
      </c>
      <c r="C317" s="2" t="s">
        <v>495</v>
      </c>
      <c r="D317" s="2">
        <v>50</v>
      </c>
      <c r="E317" s="2">
        <v>100</v>
      </c>
      <c r="F317" s="2">
        <v>25</v>
      </c>
      <c r="G317" s="2" t="s">
        <v>2237</v>
      </c>
    </row>
    <row r="318" spans="1:7" x14ac:dyDescent="0.25">
      <c r="A318" s="2" t="s">
        <v>1776</v>
      </c>
      <c r="B318" s="2" t="s">
        <v>7</v>
      </c>
      <c r="C318" s="2" t="s">
        <v>487</v>
      </c>
      <c r="D318" s="2">
        <v>140</v>
      </c>
      <c r="E318" s="2">
        <v>90</v>
      </c>
      <c r="F318" s="2">
        <v>5</v>
      </c>
      <c r="G318" s="2" t="s">
        <v>2235</v>
      </c>
    </row>
    <row r="319" spans="1:7" x14ac:dyDescent="0.25">
      <c r="A319" s="2" t="s">
        <v>1508</v>
      </c>
      <c r="B319" s="2" t="s">
        <v>22</v>
      </c>
      <c r="C319" s="2" t="s">
        <v>490</v>
      </c>
      <c r="D319" s="2" t="s">
        <v>100</v>
      </c>
      <c r="E319" s="2" t="s">
        <v>100</v>
      </c>
      <c r="F319" s="2">
        <v>10</v>
      </c>
      <c r="G319" s="2" t="s">
        <v>2238</v>
      </c>
    </row>
    <row r="320" spans="1:7" x14ac:dyDescent="0.25">
      <c r="A320" s="2" t="s">
        <v>1258</v>
      </c>
      <c r="B320" s="2" t="s">
        <v>22</v>
      </c>
      <c r="C320" s="2" t="s">
        <v>490</v>
      </c>
      <c r="D320" s="2" t="s">
        <v>100</v>
      </c>
      <c r="E320" s="2" t="s">
        <v>100</v>
      </c>
      <c r="F320" s="2">
        <v>20</v>
      </c>
      <c r="G320" s="2" t="s">
        <v>2239</v>
      </c>
    </row>
    <row r="321" spans="1:7" x14ac:dyDescent="0.25">
      <c r="A321" s="2" t="s">
        <v>1304</v>
      </c>
      <c r="B321" s="2" t="s">
        <v>16</v>
      </c>
      <c r="C321" s="2" t="s">
        <v>495</v>
      </c>
      <c r="D321" s="2">
        <v>60</v>
      </c>
      <c r="E321" s="2">
        <v>100</v>
      </c>
      <c r="F321" s="2">
        <v>10</v>
      </c>
      <c r="G321" s="2" t="s">
        <v>2240</v>
      </c>
    </row>
    <row r="322" spans="1:7" x14ac:dyDescent="0.25">
      <c r="A322" s="2" t="s">
        <v>1457</v>
      </c>
      <c r="B322" s="2" t="s">
        <v>23</v>
      </c>
      <c r="C322" s="2" t="s">
        <v>495</v>
      </c>
      <c r="D322" s="2">
        <v>25</v>
      </c>
      <c r="E322" s="2">
        <v>90</v>
      </c>
      <c r="F322" s="2">
        <v>10</v>
      </c>
      <c r="G322" s="2" t="s">
        <v>496</v>
      </c>
    </row>
    <row r="323" spans="1:7" x14ac:dyDescent="0.25">
      <c r="A323" s="2" t="s">
        <v>1225</v>
      </c>
      <c r="B323" s="2" t="s">
        <v>23</v>
      </c>
      <c r="C323" s="2" t="s">
        <v>495</v>
      </c>
      <c r="D323" s="2">
        <v>50</v>
      </c>
      <c r="E323" s="2">
        <v>80</v>
      </c>
      <c r="F323" s="2">
        <v>10</v>
      </c>
      <c r="G323" s="2" t="s">
        <v>564</v>
      </c>
    </row>
    <row r="324" spans="1:7" x14ac:dyDescent="0.25">
      <c r="A324" s="2" t="s">
        <v>1443</v>
      </c>
      <c r="B324" s="2" t="s">
        <v>7</v>
      </c>
      <c r="C324" s="2" t="s">
        <v>490</v>
      </c>
      <c r="D324" s="2" t="s">
        <v>100</v>
      </c>
      <c r="E324" s="2" t="s">
        <v>100</v>
      </c>
      <c r="F324" s="2">
        <v>15</v>
      </c>
      <c r="G324" s="2" t="s">
        <v>2241</v>
      </c>
    </row>
    <row r="325" spans="1:7" x14ac:dyDescent="0.25">
      <c r="A325" s="2" t="s">
        <v>1350</v>
      </c>
      <c r="B325" s="2" t="s">
        <v>20</v>
      </c>
      <c r="C325" s="2" t="s">
        <v>495</v>
      </c>
      <c r="D325" s="2">
        <v>35</v>
      </c>
      <c r="E325" s="2">
        <v>85</v>
      </c>
      <c r="F325" s="2">
        <v>15</v>
      </c>
      <c r="G325" s="2" t="s">
        <v>498</v>
      </c>
    </row>
    <row r="326" spans="1:7" x14ac:dyDescent="0.25">
      <c r="A326" s="2" t="s">
        <v>1391</v>
      </c>
      <c r="B326" s="2" t="s">
        <v>22</v>
      </c>
      <c r="C326" s="2" t="s">
        <v>495</v>
      </c>
      <c r="D326" s="2">
        <v>70</v>
      </c>
      <c r="E326" s="2">
        <v>100</v>
      </c>
      <c r="F326" s="2">
        <v>20</v>
      </c>
      <c r="G326" s="2" t="s">
        <v>2242</v>
      </c>
    </row>
    <row r="327" spans="1:7" x14ac:dyDescent="0.25">
      <c r="A327" s="2" t="s">
        <v>1482</v>
      </c>
      <c r="B327" s="2" t="s">
        <v>8</v>
      </c>
      <c r="C327" s="2" t="s">
        <v>495</v>
      </c>
      <c r="D327" s="2">
        <v>60</v>
      </c>
      <c r="E327" s="2" t="s">
        <v>100</v>
      </c>
      <c r="F327" s="2">
        <v>20</v>
      </c>
      <c r="G327" s="2" t="s">
        <v>569</v>
      </c>
    </row>
    <row r="328" spans="1:7" x14ac:dyDescent="0.25">
      <c r="A328" s="2" t="s">
        <v>1480</v>
      </c>
      <c r="B328" s="2" t="s">
        <v>21</v>
      </c>
      <c r="C328" s="2" t="s">
        <v>487</v>
      </c>
      <c r="D328" s="2" t="s">
        <v>100</v>
      </c>
      <c r="E328" s="2" t="s">
        <v>100</v>
      </c>
      <c r="F328" s="2">
        <v>5</v>
      </c>
      <c r="G328" s="2" t="s">
        <v>520</v>
      </c>
    </row>
    <row r="329" spans="1:7" x14ac:dyDescent="0.25">
      <c r="A329" s="2" t="s">
        <v>1514</v>
      </c>
      <c r="B329" s="2" t="s">
        <v>15</v>
      </c>
      <c r="C329" s="2" t="s">
        <v>487</v>
      </c>
      <c r="D329" s="2">
        <v>60</v>
      </c>
      <c r="E329" s="2" t="s">
        <v>100</v>
      </c>
      <c r="F329" s="2">
        <v>20</v>
      </c>
      <c r="G329" s="2" t="s">
        <v>569</v>
      </c>
    </row>
    <row r="330" spans="1:7" x14ac:dyDescent="0.25">
      <c r="A330" s="2" t="s">
        <v>1404</v>
      </c>
      <c r="B330" s="2" t="s">
        <v>12</v>
      </c>
      <c r="C330" s="2" t="s">
        <v>487</v>
      </c>
      <c r="D330" s="2">
        <v>75</v>
      </c>
      <c r="E330" s="2">
        <v>100</v>
      </c>
      <c r="F330" s="2">
        <v>15</v>
      </c>
      <c r="G330" s="2" t="s">
        <v>505</v>
      </c>
    </row>
    <row r="331" spans="1:7" x14ac:dyDescent="0.25">
      <c r="A331" s="2" t="s">
        <v>1267</v>
      </c>
      <c r="B331" s="2" t="s">
        <v>12</v>
      </c>
      <c r="C331" s="2" t="s">
        <v>487</v>
      </c>
      <c r="D331" s="2">
        <v>60</v>
      </c>
      <c r="E331" s="2">
        <v>100</v>
      </c>
      <c r="F331" s="2">
        <v>5</v>
      </c>
      <c r="G331" s="2" t="s">
        <v>2243</v>
      </c>
    </row>
    <row r="332" spans="1:7" x14ac:dyDescent="0.25">
      <c r="A332" s="2" t="s">
        <v>1407</v>
      </c>
      <c r="B332" s="2" t="s">
        <v>7</v>
      </c>
      <c r="C332" s="2" t="s">
        <v>490</v>
      </c>
      <c r="D332" s="2" t="s">
        <v>100</v>
      </c>
      <c r="E332" s="2" t="s">
        <v>100</v>
      </c>
      <c r="F332" s="2">
        <v>10</v>
      </c>
      <c r="G332" s="2" t="s">
        <v>2244</v>
      </c>
    </row>
    <row r="333" spans="1:7" x14ac:dyDescent="0.25">
      <c r="A333" s="2" t="s">
        <v>1502</v>
      </c>
      <c r="B333" s="2" t="s">
        <v>16</v>
      </c>
      <c r="C333" s="2" t="s">
        <v>495</v>
      </c>
      <c r="D333" s="2">
        <v>85</v>
      </c>
      <c r="E333" s="2">
        <v>90</v>
      </c>
      <c r="F333" s="2">
        <v>15</v>
      </c>
      <c r="G333" s="2" t="s">
        <v>2245</v>
      </c>
    </row>
    <row r="334" spans="1:7" x14ac:dyDescent="0.25">
      <c r="A334" s="2" t="s">
        <v>1464</v>
      </c>
      <c r="B334" s="2" t="s">
        <v>22</v>
      </c>
      <c r="C334" s="2" t="s">
        <v>490</v>
      </c>
      <c r="D334" s="2" t="s">
        <v>100</v>
      </c>
      <c r="E334" s="2" t="s">
        <v>100</v>
      </c>
      <c r="F334" s="2">
        <v>10</v>
      </c>
      <c r="G334" s="2" t="s">
        <v>552</v>
      </c>
    </row>
    <row r="335" spans="1:7" x14ac:dyDescent="0.25">
      <c r="A335" s="2" t="s">
        <v>1426</v>
      </c>
      <c r="B335" s="2" t="s">
        <v>22</v>
      </c>
      <c r="C335" s="2" t="s">
        <v>495</v>
      </c>
      <c r="D335" s="2">
        <v>60</v>
      </c>
      <c r="E335" s="2">
        <v>100</v>
      </c>
      <c r="F335" s="2">
        <v>10</v>
      </c>
      <c r="G335" s="2" t="s">
        <v>2246</v>
      </c>
    </row>
    <row r="336" spans="1:7" x14ac:dyDescent="0.25">
      <c r="A336" s="2" t="s">
        <v>1324</v>
      </c>
      <c r="B336" s="2" t="s">
        <v>13</v>
      </c>
      <c r="C336" s="2" t="s">
        <v>490</v>
      </c>
      <c r="D336" s="2" t="s">
        <v>100</v>
      </c>
      <c r="E336" s="2" t="s">
        <v>100</v>
      </c>
      <c r="F336" s="2">
        <v>10</v>
      </c>
      <c r="G336" s="2" t="s">
        <v>2247</v>
      </c>
    </row>
    <row r="337" spans="1:7" x14ac:dyDescent="0.25">
      <c r="A337" s="2" t="s">
        <v>1312</v>
      </c>
      <c r="B337" s="2" t="s">
        <v>22</v>
      </c>
      <c r="C337" s="2" t="s">
        <v>487</v>
      </c>
      <c r="D337" s="2" t="s">
        <v>100</v>
      </c>
      <c r="E337" s="2">
        <v>100</v>
      </c>
      <c r="F337" s="2">
        <v>10</v>
      </c>
      <c r="G337" s="2" t="s">
        <v>2248</v>
      </c>
    </row>
    <row r="338" spans="1:7" x14ac:dyDescent="0.25">
      <c r="A338" s="2" t="s">
        <v>1311</v>
      </c>
      <c r="B338" s="2" t="s">
        <v>22</v>
      </c>
      <c r="C338" s="2" t="s">
        <v>490</v>
      </c>
      <c r="D338" s="2" t="s">
        <v>100</v>
      </c>
      <c r="E338" s="2" t="s">
        <v>100</v>
      </c>
      <c r="F338" s="2">
        <v>20</v>
      </c>
      <c r="G338" s="2" t="s">
        <v>2249</v>
      </c>
    </row>
    <row r="339" spans="1:7" x14ac:dyDescent="0.25">
      <c r="A339" s="2" t="s">
        <v>1363</v>
      </c>
      <c r="B339" s="2" t="s">
        <v>16</v>
      </c>
      <c r="C339" s="2" t="s">
        <v>495</v>
      </c>
      <c r="D339" s="2">
        <v>120</v>
      </c>
      <c r="E339" s="2">
        <v>100</v>
      </c>
      <c r="F339" s="2">
        <v>5</v>
      </c>
      <c r="G339" s="2" t="s">
        <v>2250</v>
      </c>
    </row>
    <row r="340" spans="1:7" x14ac:dyDescent="0.25">
      <c r="A340" s="2" t="s">
        <v>1313</v>
      </c>
      <c r="B340" s="2" t="s">
        <v>22</v>
      </c>
      <c r="C340" s="2" t="s">
        <v>490</v>
      </c>
      <c r="D340" s="2" t="s">
        <v>100</v>
      </c>
      <c r="E340" s="2" t="s">
        <v>100</v>
      </c>
      <c r="F340" s="2">
        <v>10</v>
      </c>
      <c r="G340" s="2" t="s">
        <v>2251</v>
      </c>
    </row>
    <row r="341" spans="1:7" x14ac:dyDescent="0.25">
      <c r="A341" s="2" t="s">
        <v>1700</v>
      </c>
      <c r="B341" s="2" t="s">
        <v>12</v>
      </c>
      <c r="C341" s="2" t="s">
        <v>490</v>
      </c>
      <c r="D341" s="2" t="s">
        <v>100</v>
      </c>
      <c r="E341" s="2" t="s">
        <v>100</v>
      </c>
      <c r="F341" s="2">
        <v>20</v>
      </c>
      <c r="G341" s="2" t="s">
        <v>2252</v>
      </c>
    </row>
    <row r="342" spans="1:7" x14ac:dyDescent="0.25">
      <c r="A342" s="2" t="s">
        <v>1298</v>
      </c>
      <c r="B342" s="2" t="s">
        <v>13</v>
      </c>
      <c r="C342" s="2" t="s">
        <v>490</v>
      </c>
      <c r="D342" s="2" t="s">
        <v>100</v>
      </c>
      <c r="E342" s="2">
        <v>100</v>
      </c>
      <c r="F342" s="2">
        <v>20</v>
      </c>
      <c r="G342" s="2" t="s">
        <v>2253</v>
      </c>
    </row>
    <row r="343" spans="1:7" x14ac:dyDescent="0.25">
      <c r="A343" s="2" t="s">
        <v>1402</v>
      </c>
      <c r="B343" s="2" t="s">
        <v>22</v>
      </c>
      <c r="C343" s="2" t="s">
        <v>490</v>
      </c>
      <c r="D343" s="2" t="s">
        <v>100</v>
      </c>
      <c r="E343" s="2">
        <v>100</v>
      </c>
      <c r="F343" s="2">
        <v>20</v>
      </c>
      <c r="G343" s="2" t="s">
        <v>2254</v>
      </c>
    </row>
    <row r="344" spans="1:7" x14ac:dyDescent="0.25">
      <c r="A344" s="2" t="s">
        <v>1340</v>
      </c>
      <c r="B344" s="2" t="s">
        <v>22</v>
      </c>
      <c r="C344" s="2" t="s">
        <v>490</v>
      </c>
      <c r="D344" s="2" t="s">
        <v>100</v>
      </c>
      <c r="E344" s="2">
        <v>100</v>
      </c>
      <c r="F344" s="2">
        <v>20</v>
      </c>
      <c r="G344" s="2" t="s">
        <v>2255</v>
      </c>
    </row>
    <row r="345" spans="1:7" x14ac:dyDescent="0.25">
      <c r="A345" s="2" t="s">
        <v>1321</v>
      </c>
      <c r="B345" s="2" t="s">
        <v>13</v>
      </c>
      <c r="C345" s="2" t="s">
        <v>490</v>
      </c>
      <c r="D345" s="2" t="s">
        <v>100</v>
      </c>
      <c r="E345" s="2">
        <v>100</v>
      </c>
      <c r="F345" s="2">
        <v>15</v>
      </c>
      <c r="G345" s="2" t="s">
        <v>2256</v>
      </c>
    </row>
    <row r="346" spans="1:7" x14ac:dyDescent="0.25">
      <c r="A346" s="2" t="s">
        <v>1444</v>
      </c>
      <c r="B346" s="2" t="s">
        <v>7</v>
      </c>
      <c r="C346" s="2" t="s">
        <v>490</v>
      </c>
      <c r="D346" s="2" t="s">
        <v>100</v>
      </c>
      <c r="E346" s="2">
        <v>100</v>
      </c>
      <c r="F346" s="2">
        <v>10</v>
      </c>
      <c r="G346" s="2" t="s">
        <v>2257</v>
      </c>
    </row>
    <row r="347" spans="1:7" x14ac:dyDescent="0.25">
      <c r="A347" s="2" t="s">
        <v>1293</v>
      </c>
      <c r="B347" s="2" t="s">
        <v>22</v>
      </c>
      <c r="C347" s="2" t="s">
        <v>487</v>
      </c>
      <c r="D347" s="2">
        <v>90</v>
      </c>
      <c r="E347" s="2">
        <v>100</v>
      </c>
      <c r="F347" s="2">
        <v>10</v>
      </c>
      <c r="G347" s="2" t="s">
        <v>2258</v>
      </c>
    </row>
    <row r="348" spans="1:7" x14ac:dyDescent="0.25">
      <c r="A348" s="2" t="s">
        <v>1341</v>
      </c>
      <c r="B348" s="2" t="s">
        <v>15</v>
      </c>
      <c r="C348" s="2" t="s">
        <v>495</v>
      </c>
      <c r="D348" s="2">
        <v>120</v>
      </c>
      <c r="E348" s="2">
        <v>100</v>
      </c>
      <c r="F348" s="2">
        <v>15</v>
      </c>
      <c r="G348" s="2" t="s">
        <v>2259</v>
      </c>
    </row>
    <row r="349" spans="1:7" x14ac:dyDescent="0.25">
      <c r="A349" s="2" t="s">
        <v>1247</v>
      </c>
      <c r="B349" s="2" t="s">
        <v>25</v>
      </c>
      <c r="C349" s="2" t="s">
        <v>487</v>
      </c>
      <c r="D349" s="2">
        <v>60</v>
      </c>
      <c r="E349" s="2">
        <v>100</v>
      </c>
      <c r="F349" s="2">
        <v>20</v>
      </c>
      <c r="G349" s="2" t="s">
        <v>505</v>
      </c>
    </row>
    <row r="350" spans="1:7" x14ac:dyDescent="0.25">
      <c r="A350" s="2" t="s">
        <v>1415</v>
      </c>
      <c r="B350" s="2" t="s">
        <v>25</v>
      </c>
      <c r="C350" s="2" t="s">
        <v>490</v>
      </c>
      <c r="D350" s="2" t="s">
        <v>100</v>
      </c>
      <c r="E350" s="2" t="s">
        <v>100</v>
      </c>
      <c r="F350" s="2">
        <v>15</v>
      </c>
      <c r="G350" s="2" t="s">
        <v>720</v>
      </c>
    </row>
    <row r="351" spans="1:7" x14ac:dyDescent="0.25">
      <c r="A351" s="2" t="s">
        <v>1260</v>
      </c>
      <c r="B351" s="2" t="s">
        <v>25</v>
      </c>
      <c r="C351" s="2" t="s">
        <v>487</v>
      </c>
      <c r="D351" s="2">
        <v>150</v>
      </c>
      <c r="E351" s="2">
        <v>100</v>
      </c>
      <c r="F351" s="2">
        <v>5</v>
      </c>
      <c r="G351" s="2" t="s">
        <v>2260</v>
      </c>
    </row>
    <row r="352" spans="1:7" x14ac:dyDescent="0.25">
      <c r="A352" s="2" t="s">
        <v>1451</v>
      </c>
      <c r="B352" s="2" t="s">
        <v>22</v>
      </c>
      <c r="C352" s="2" t="s">
        <v>487</v>
      </c>
      <c r="D352" s="2">
        <v>50</v>
      </c>
      <c r="E352" s="2">
        <v>100</v>
      </c>
      <c r="F352" s="2">
        <v>10</v>
      </c>
      <c r="G352" s="2" t="s">
        <v>2261</v>
      </c>
    </row>
    <row r="353" spans="1:7" x14ac:dyDescent="0.25">
      <c r="A353" s="2" t="s">
        <v>1230</v>
      </c>
      <c r="B353" s="2" t="s">
        <v>17</v>
      </c>
      <c r="C353" s="2" t="s">
        <v>490</v>
      </c>
      <c r="D353" s="2" t="s">
        <v>100</v>
      </c>
      <c r="E353" s="2">
        <v>75</v>
      </c>
      <c r="F353" s="2">
        <v>15</v>
      </c>
      <c r="G353" s="2" t="s">
        <v>2262</v>
      </c>
    </row>
    <row r="354" spans="1:7" x14ac:dyDescent="0.25">
      <c r="A354" s="2" t="s">
        <v>1339</v>
      </c>
      <c r="B354" s="2" t="s">
        <v>22</v>
      </c>
      <c r="C354" s="2" t="s">
        <v>490</v>
      </c>
      <c r="D354" s="2" t="s">
        <v>100</v>
      </c>
      <c r="E354" s="2" t="s">
        <v>100</v>
      </c>
      <c r="F354" s="2">
        <v>10</v>
      </c>
      <c r="G354" s="2" t="s">
        <v>2263</v>
      </c>
    </row>
    <row r="355" spans="1:7" x14ac:dyDescent="0.25">
      <c r="A355" s="2" t="s">
        <v>689</v>
      </c>
      <c r="B355" s="2" t="s">
        <v>22</v>
      </c>
      <c r="C355" s="2" t="s">
        <v>490</v>
      </c>
      <c r="D355" s="2" t="s">
        <v>100</v>
      </c>
      <c r="E355" s="2" t="s">
        <v>100</v>
      </c>
      <c r="F355" s="2">
        <v>10</v>
      </c>
      <c r="G355" s="2" t="s">
        <v>2264</v>
      </c>
    </row>
    <row r="356" spans="1:7" x14ac:dyDescent="0.25">
      <c r="A356" s="2" t="s">
        <v>1455</v>
      </c>
      <c r="B356" s="2" t="s">
        <v>22</v>
      </c>
      <c r="C356" s="2" t="s">
        <v>490</v>
      </c>
      <c r="D356" s="2" t="s">
        <v>100</v>
      </c>
      <c r="E356" s="2" t="s">
        <v>100</v>
      </c>
      <c r="F356" s="2">
        <v>30</v>
      </c>
      <c r="G356" s="2" t="s">
        <v>2265</v>
      </c>
    </row>
    <row r="357" spans="1:7" x14ac:dyDescent="0.25">
      <c r="A357" s="2" t="s">
        <v>1240</v>
      </c>
      <c r="B357" s="2" t="s">
        <v>18</v>
      </c>
      <c r="C357" s="2" t="s">
        <v>487</v>
      </c>
      <c r="D357" s="2">
        <v>75</v>
      </c>
      <c r="E357" s="2">
        <v>95</v>
      </c>
      <c r="F357" s="2">
        <v>20</v>
      </c>
      <c r="G357" s="2" t="s">
        <v>499</v>
      </c>
    </row>
    <row r="358" spans="1:7" x14ac:dyDescent="0.25">
      <c r="A358" s="2" t="s">
        <v>690</v>
      </c>
      <c r="B358" s="2" t="s">
        <v>25</v>
      </c>
      <c r="C358" s="2" t="s">
        <v>495</v>
      </c>
      <c r="D358" s="2">
        <v>40</v>
      </c>
      <c r="E358" s="2">
        <v>100</v>
      </c>
      <c r="F358" s="2">
        <v>20</v>
      </c>
      <c r="G358" s="2" t="s">
        <v>549</v>
      </c>
    </row>
    <row r="359" spans="1:7" x14ac:dyDescent="0.25">
      <c r="A359" s="2" t="s">
        <v>1262</v>
      </c>
      <c r="B359" s="2" t="s">
        <v>25</v>
      </c>
      <c r="C359" s="2" t="s">
        <v>490</v>
      </c>
      <c r="D359" s="2" t="s">
        <v>100</v>
      </c>
      <c r="E359" s="2" t="s">
        <v>100</v>
      </c>
      <c r="F359" s="2">
        <v>20</v>
      </c>
      <c r="G359" s="2" t="s">
        <v>2266</v>
      </c>
    </row>
    <row r="360" spans="1:7" x14ac:dyDescent="0.25">
      <c r="A360" s="2" t="s">
        <v>1248</v>
      </c>
      <c r="B360" s="2" t="s">
        <v>25</v>
      </c>
      <c r="C360" s="2" t="s">
        <v>495</v>
      </c>
      <c r="D360" s="2">
        <v>90</v>
      </c>
      <c r="E360" s="2">
        <v>90</v>
      </c>
      <c r="F360" s="2">
        <v>10</v>
      </c>
      <c r="G360" s="2"/>
    </row>
    <row r="361" spans="1:7" x14ac:dyDescent="0.25">
      <c r="A361" s="2" t="s">
        <v>1282</v>
      </c>
      <c r="B361" s="2" t="s">
        <v>13</v>
      </c>
      <c r="C361" s="2" t="s">
        <v>495</v>
      </c>
      <c r="D361" s="2">
        <v>50</v>
      </c>
      <c r="E361" s="2">
        <v>100</v>
      </c>
      <c r="F361" s="2">
        <v>10</v>
      </c>
      <c r="G361" s="2" t="s">
        <v>2267</v>
      </c>
    </row>
    <row r="362" spans="1:7" x14ac:dyDescent="0.25">
      <c r="A362" s="2" t="s">
        <v>1808</v>
      </c>
      <c r="B362" s="2" t="s">
        <v>12</v>
      </c>
      <c r="C362" s="2" t="s">
        <v>495</v>
      </c>
      <c r="D362" s="2">
        <v>90</v>
      </c>
      <c r="E362" s="2">
        <v>100</v>
      </c>
      <c r="F362" s="2">
        <v>15</v>
      </c>
      <c r="G362" s="2" t="s">
        <v>509</v>
      </c>
    </row>
    <row r="363" spans="1:7" x14ac:dyDescent="0.25">
      <c r="A363" s="2" t="s">
        <v>1263</v>
      </c>
      <c r="B363" s="2" t="s">
        <v>16</v>
      </c>
      <c r="C363" s="2" t="s">
        <v>487</v>
      </c>
      <c r="D363" s="2">
        <v>90</v>
      </c>
      <c r="E363" s="2" t="s">
        <v>100</v>
      </c>
      <c r="F363" s="2">
        <v>20</v>
      </c>
      <c r="G363" s="2" t="s">
        <v>569</v>
      </c>
    </row>
    <row r="364" spans="1:7" x14ac:dyDescent="0.25">
      <c r="A364" s="2" t="s">
        <v>708</v>
      </c>
      <c r="B364" s="2" t="s">
        <v>21</v>
      </c>
      <c r="C364" s="2" t="s">
        <v>495</v>
      </c>
      <c r="D364" s="2">
        <v>60</v>
      </c>
      <c r="E364" s="2">
        <v>100</v>
      </c>
      <c r="F364" s="2">
        <v>10</v>
      </c>
      <c r="G364" s="2" t="s">
        <v>2268</v>
      </c>
    </row>
    <row r="365" spans="1:7" x14ac:dyDescent="0.25">
      <c r="A365" s="2" t="s">
        <v>1295</v>
      </c>
      <c r="B365" s="2" t="s">
        <v>18</v>
      </c>
      <c r="C365" s="2" t="s">
        <v>495</v>
      </c>
      <c r="D365" s="2">
        <v>120</v>
      </c>
      <c r="E365" s="2">
        <v>100</v>
      </c>
      <c r="F365" s="2">
        <v>15</v>
      </c>
      <c r="G365" s="2" t="s">
        <v>514</v>
      </c>
    </row>
    <row r="366" spans="1:7" x14ac:dyDescent="0.25">
      <c r="A366" s="2" t="s">
        <v>1261</v>
      </c>
      <c r="B366" s="2" t="s">
        <v>25</v>
      </c>
      <c r="C366" s="2" t="s">
        <v>487</v>
      </c>
      <c r="D366" s="2">
        <v>65</v>
      </c>
      <c r="E366" s="2">
        <v>100</v>
      </c>
      <c r="F366" s="2">
        <v>10</v>
      </c>
      <c r="G366" s="2" t="s">
        <v>2269</v>
      </c>
    </row>
    <row r="367" spans="1:7" x14ac:dyDescent="0.25">
      <c r="A367" s="2" t="s">
        <v>1266</v>
      </c>
      <c r="B367" s="2" t="s">
        <v>12</v>
      </c>
      <c r="C367" s="2" t="s">
        <v>495</v>
      </c>
      <c r="D367" s="2">
        <v>60</v>
      </c>
      <c r="E367" s="2">
        <v>100</v>
      </c>
      <c r="F367" s="2">
        <v>20</v>
      </c>
      <c r="G367" s="2" t="s">
        <v>2270</v>
      </c>
    </row>
    <row r="368" spans="1:7" x14ac:dyDescent="0.25">
      <c r="A368" s="2" t="s">
        <v>1271</v>
      </c>
      <c r="B368" s="2" t="s">
        <v>12</v>
      </c>
      <c r="C368" s="2" t="s">
        <v>487</v>
      </c>
      <c r="D368" s="2">
        <v>90</v>
      </c>
      <c r="E368" s="2">
        <v>100</v>
      </c>
      <c r="F368" s="2">
        <v>10</v>
      </c>
      <c r="G368" s="2" t="s">
        <v>489</v>
      </c>
    </row>
    <row r="369" spans="1:7" x14ac:dyDescent="0.25">
      <c r="A369" s="2" t="s">
        <v>1446</v>
      </c>
      <c r="B369" s="2" t="s">
        <v>24</v>
      </c>
      <c r="C369" s="2" t="s">
        <v>495</v>
      </c>
      <c r="D369" s="2">
        <v>40</v>
      </c>
      <c r="E369" s="2">
        <v>100</v>
      </c>
      <c r="F369" s="2">
        <v>30</v>
      </c>
      <c r="G369" s="2" t="s">
        <v>549</v>
      </c>
    </row>
    <row r="370" spans="1:7" x14ac:dyDescent="0.25">
      <c r="A370" s="2" t="s">
        <v>1270</v>
      </c>
      <c r="B370" s="2" t="s">
        <v>22</v>
      </c>
      <c r="C370" s="2" t="s">
        <v>490</v>
      </c>
      <c r="D370" s="2" t="s">
        <v>100</v>
      </c>
      <c r="E370" s="2">
        <v>100</v>
      </c>
      <c r="F370" s="2">
        <v>20</v>
      </c>
      <c r="G370" s="2" t="s">
        <v>2271</v>
      </c>
    </row>
    <row r="371" spans="1:7" x14ac:dyDescent="0.25">
      <c r="A371" s="2" t="s">
        <v>1299</v>
      </c>
      <c r="B371" s="2" t="s">
        <v>15</v>
      </c>
      <c r="C371" s="2" t="s">
        <v>487</v>
      </c>
      <c r="D371" s="2">
        <v>50</v>
      </c>
      <c r="E371" s="2">
        <v>90</v>
      </c>
      <c r="F371" s="2">
        <v>10</v>
      </c>
      <c r="G371" s="2" t="s">
        <v>2272</v>
      </c>
    </row>
    <row r="372" spans="1:7" x14ac:dyDescent="0.25">
      <c r="A372" s="2" t="s">
        <v>1833</v>
      </c>
      <c r="B372" s="2" t="s">
        <v>18</v>
      </c>
      <c r="C372" s="2" t="s">
        <v>487</v>
      </c>
      <c r="D372" s="2">
        <v>60</v>
      </c>
      <c r="E372" s="2">
        <v>100</v>
      </c>
      <c r="F372" s="2">
        <v>20</v>
      </c>
      <c r="G372" s="2" t="s">
        <v>505</v>
      </c>
    </row>
    <row r="373" spans="1:7" x14ac:dyDescent="0.25">
      <c r="A373" s="2" t="s">
        <v>1424</v>
      </c>
      <c r="B373" s="2" t="s">
        <v>16</v>
      </c>
      <c r="C373" s="2" t="s">
        <v>495</v>
      </c>
      <c r="D373" s="2">
        <v>120</v>
      </c>
      <c r="E373" s="2">
        <v>100</v>
      </c>
      <c r="F373" s="2">
        <v>5</v>
      </c>
      <c r="G373" s="2" t="s">
        <v>2273</v>
      </c>
    </row>
    <row r="374" spans="1:7" x14ac:dyDescent="0.25">
      <c r="A374" s="2" t="s">
        <v>1385</v>
      </c>
      <c r="B374" s="2" t="s">
        <v>22</v>
      </c>
      <c r="C374" s="2" t="s">
        <v>490</v>
      </c>
      <c r="D374" s="2" t="s">
        <v>100</v>
      </c>
      <c r="E374" s="2" t="s">
        <v>100</v>
      </c>
      <c r="F374" s="2">
        <v>20</v>
      </c>
      <c r="G374" s="2" t="s">
        <v>2274</v>
      </c>
    </row>
    <row r="375" spans="1:7" x14ac:dyDescent="0.25">
      <c r="A375" s="2" t="s">
        <v>1403</v>
      </c>
      <c r="B375" s="2" t="s">
        <v>9</v>
      </c>
      <c r="C375" s="2" t="s">
        <v>495</v>
      </c>
      <c r="D375" s="2">
        <v>70</v>
      </c>
      <c r="E375" s="2">
        <v>100</v>
      </c>
      <c r="F375" s="2">
        <v>20</v>
      </c>
      <c r="G375" s="2" t="s">
        <v>2237</v>
      </c>
    </row>
    <row r="376" spans="1:7" x14ac:dyDescent="0.25">
      <c r="A376" s="2" t="s">
        <v>1878</v>
      </c>
      <c r="B376" s="2" t="s">
        <v>22</v>
      </c>
      <c r="C376" s="2" t="s">
        <v>495</v>
      </c>
      <c r="D376" s="2" t="s">
        <v>100</v>
      </c>
      <c r="E376" s="2">
        <v>100</v>
      </c>
      <c r="F376" s="2">
        <v>5</v>
      </c>
      <c r="G376" s="2" t="s">
        <v>2275</v>
      </c>
    </row>
    <row r="377" spans="1:7" x14ac:dyDescent="0.25">
      <c r="A377" s="2" t="s">
        <v>707</v>
      </c>
      <c r="B377" s="2" t="s">
        <v>13</v>
      </c>
      <c r="C377" s="2" t="s">
        <v>487</v>
      </c>
      <c r="D377" s="2">
        <v>80</v>
      </c>
      <c r="E377" s="2">
        <v>100</v>
      </c>
      <c r="F377" s="2">
        <v>15</v>
      </c>
      <c r="G377" s="2" t="s">
        <v>499</v>
      </c>
    </row>
    <row r="378" spans="1:7" x14ac:dyDescent="0.25">
      <c r="A378" s="2" t="s">
        <v>1886</v>
      </c>
      <c r="B378" s="2" t="s">
        <v>13</v>
      </c>
      <c r="C378" s="2" t="s">
        <v>490</v>
      </c>
      <c r="D378" s="2" t="s">
        <v>100</v>
      </c>
      <c r="E378" s="2">
        <v>80</v>
      </c>
      <c r="F378" s="2">
        <v>10</v>
      </c>
      <c r="G378" s="2" t="s">
        <v>2276</v>
      </c>
    </row>
    <row r="379" spans="1:7" x14ac:dyDescent="0.25">
      <c r="A379" s="2" t="s">
        <v>1806</v>
      </c>
      <c r="B379" s="2" t="s">
        <v>12</v>
      </c>
      <c r="C379" s="2" t="s">
        <v>490</v>
      </c>
      <c r="D379" s="2" t="s">
        <v>100</v>
      </c>
      <c r="E379" s="2" t="s">
        <v>100</v>
      </c>
      <c r="F379" s="2">
        <v>10</v>
      </c>
      <c r="G379" s="2" t="s">
        <v>2209</v>
      </c>
    </row>
    <row r="380" spans="1:7" x14ac:dyDescent="0.25">
      <c r="A380" s="2" t="s">
        <v>1296</v>
      </c>
      <c r="B380" s="2" t="s">
        <v>18</v>
      </c>
      <c r="C380" s="2" t="s">
        <v>490</v>
      </c>
      <c r="D380" s="2" t="s">
        <v>100</v>
      </c>
      <c r="E380" s="2" t="s">
        <v>100</v>
      </c>
      <c r="F380" s="2">
        <v>15</v>
      </c>
      <c r="G380" s="2" t="s">
        <v>2277</v>
      </c>
    </row>
    <row r="381" spans="1:7" x14ac:dyDescent="0.25">
      <c r="A381" s="2" t="s">
        <v>1334</v>
      </c>
      <c r="B381" s="2" t="s">
        <v>15</v>
      </c>
      <c r="C381" s="2" t="s">
        <v>487</v>
      </c>
      <c r="D381" s="2">
        <v>80</v>
      </c>
      <c r="E381" s="2">
        <v>100</v>
      </c>
      <c r="F381" s="2">
        <v>15</v>
      </c>
      <c r="G381" s="2" t="s">
        <v>501</v>
      </c>
    </row>
    <row r="382" spans="1:7" x14ac:dyDescent="0.25">
      <c r="A382" s="2" t="s">
        <v>1475</v>
      </c>
      <c r="B382" s="2" t="s">
        <v>22</v>
      </c>
      <c r="C382" s="2" t="s">
        <v>495</v>
      </c>
      <c r="D382" s="2">
        <v>35</v>
      </c>
      <c r="E382" s="2">
        <v>90</v>
      </c>
      <c r="F382" s="2">
        <v>10</v>
      </c>
      <c r="G382" s="2" t="s">
        <v>502</v>
      </c>
    </row>
    <row r="383" spans="1:7" x14ac:dyDescent="0.25">
      <c r="A383" s="2" t="s">
        <v>2278</v>
      </c>
      <c r="B383" s="2" t="s">
        <v>14</v>
      </c>
      <c r="C383" s="2" t="s">
        <v>487</v>
      </c>
      <c r="D383" s="2">
        <v>140</v>
      </c>
      <c r="E383" s="2">
        <v>90</v>
      </c>
      <c r="F383" s="2">
        <v>5</v>
      </c>
      <c r="G383" s="2" t="s">
        <v>2235</v>
      </c>
    </row>
    <row r="384" spans="1:7" x14ac:dyDescent="0.25">
      <c r="A384" s="2" t="s">
        <v>1238</v>
      </c>
      <c r="B384" s="2" t="s">
        <v>14</v>
      </c>
      <c r="C384" s="2" t="s">
        <v>487</v>
      </c>
      <c r="D384" s="2">
        <v>90</v>
      </c>
      <c r="E384" s="2">
        <v>100</v>
      </c>
      <c r="F384" s="2">
        <v>10</v>
      </c>
      <c r="G384" s="2"/>
    </row>
    <row r="385" spans="1:7" x14ac:dyDescent="0.25">
      <c r="A385" s="2" t="s">
        <v>1239</v>
      </c>
      <c r="B385" s="2" t="s">
        <v>14</v>
      </c>
      <c r="C385" s="2" t="s">
        <v>495</v>
      </c>
      <c r="D385" s="2">
        <v>100</v>
      </c>
      <c r="E385" s="2">
        <v>75</v>
      </c>
      <c r="F385" s="2">
        <v>10</v>
      </c>
      <c r="G385" s="2" t="s">
        <v>499</v>
      </c>
    </row>
    <row r="386" spans="1:7" x14ac:dyDescent="0.25">
      <c r="A386" s="2" t="s">
        <v>1535</v>
      </c>
      <c r="B386" s="2" t="s">
        <v>16</v>
      </c>
      <c r="C386" s="2" t="s">
        <v>495</v>
      </c>
      <c r="D386" s="2">
        <v>75</v>
      </c>
      <c r="E386" s="2">
        <v>100</v>
      </c>
      <c r="F386" s="2">
        <v>10</v>
      </c>
      <c r="G386" s="2" t="s">
        <v>488</v>
      </c>
    </row>
    <row r="387" spans="1:7" x14ac:dyDescent="0.25">
      <c r="A387" s="2" t="s">
        <v>1362</v>
      </c>
      <c r="B387" s="2" t="s">
        <v>20</v>
      </c>
      <c r="C387" s="2" t="s">
        <v>487</v>
      </c>
      <c r="D387" s="2">
        <v>90</v>
      </c>
      <c r="E387" s="2">
        <v>100</v>
      </c>
      <c r="F387" s="2">
        <v>10</v>
      </c>
      <c r="G387" s="2" t="s">
        <v>489</v>
      </c>
    </row>
    <row r="388" spans="1:7" x14ac:dyDescent="0.25">
      <c r="A388" s="2" t="s">
        <v>1414</v>
      </c>
      <c r="B388" s="2" t="s">
        <v>13</v>
      </c>
      <c r="C388" s="2" t="s">
        <v>490</v>
      </c>
      <c r="D388" s="2" t="s">
        <v>100</v>
      </c>
      <c r="E388" s="2">
        <v>100</v>
      </c>
      <c r="F388" s="2">
        <v>15</v>
      </c>
      <c r="G388" s="2" t="s">
        <v>2279</v>
      </c>
    </row>
    <row r="389" spans="1:7" x14ac:dyDescent="0.25">
      <c r="A389" s="2" t="s">
        <v>1203</v>
      </c>
      <c r="B389" s="2" t="s">
        <v>19</v>
      </c>
      <c r="C389" s="2" t="s">
        <v>487</v>
      </c>
      <c r="D389" s="2">
        <v>80</v>
      </c>
      <c r="E389" s="2">
        <v>100</v>
      </c>
      <c r="F389" s="2">
        <v>10</v>
      </c>
      <c r="G389" s="2" t="s">
        <v>489</v>
      </c>
    </row>
    <row r="390" spans="1:7" x14ac:dyDescent="0.25">
      <c r="A390" s="2" t="s">
        <v>1333</v>
      </c>
      <c r="B390" s="2" t="s">
        <v>22</v>
      </c>
      <c r="C390" s="2" t="s">
        <v>495</v>
      </c>
      <c r="D390" s="2">
        <v>30</v>
      </c>
      <c r="E390" s="2">
        <v>100</v>
      </c>
      <c r="F390" s="2">
        <v>10</v>
      </c>
      <c r="G390" s="2" t="s">
        <v>2280</v>
      </c>
    </row>
    <row r="391" spans="1:7" x14ac:dyDescent="0.25">
      <c r="A391" s="2" t="s">
        <v>1219</v>
      </c>
      <c r="B391" s="2" t="s">
        <v>17</v>
      </c>
      <c r="C391" s="2" t="s">
        <v>495</v>
      </c>
      <c r="D391" s="2">
        <v>65</v>
      </c>
      <c r="E391" s="2">
        <v>95</v>
      </c>
      <c r="F391" s="2">
        <v>15</v>
      </c>
      <c r="G391" s="2" t="s">
        <v>2281</v>
      </c>
    </row>
    <row r="392" spans="1:7" x14ac:dyDescent="0.25">
      <c r="A392" s="2" t="s">
        <v>1237</v>
      </c>
      <c r="B392" s="2" t="s">
        <v>17</v>
      </c>
      <c r="C392" s="2" t="s">
        <v>495</v>
      </c>
      <c r="D392" s="2">
        <v>120</v>
      </c>
      <c r="E392" s="2">
        <v>100</v>
      </c>
      <c r="F392" s="2">
        <v>15</v>
      </c>
      <c r="G392" s="2" t="s">
        <v>2282</v>
      </c>
    </row>
    <row r="393" spans="1:7" x14ac:dyDescent="0.25">
      <c r="A393" s="2" t="s">
        <v>1264</v>
      </c>
      <c r="B393" s="2" t="s">
        <v>24</v>
      </c>
      <c r="C393" s="2" t="s">
        <v>487</v>
      </c>
      <c r="D393" s="2">
        <v>80</v>
      </c>
      <c r="E393" s="2">
        <v>100</v>
      </c>
      <c r="F393" s="2">
        <v>10</v>
      </c>
      <c r="G393" s="2" t="s">
        <v>489</v>
      </c>
    </row>
    <row r="394" spans="1:7" x14ac:dyDescent="0.25">
      <c r="A394" s="2" t="s">
        <v>1228</v>
      </c>
      <c r="B394" s="2" t="s">
        <v>13</v>
      </c>
      <c r="C394" s="2" t="s">
        <v>495</v>
      </c>
      <c r="D394" s="2" t="s">
        <v>100</v>
      </c>
      <c r="E394" s="2">
        <v>100</v>
      </c>
      <c r="F394" s="2">
        <v>10</v>
      </c>
      <c r="G394" s="2" t="s">
        <v>2283</v>
      </c>
    </row>
    <row r="395" spans="1:7" x14ac:dyDescent="0.25">
      <c r="A395" s="2" t="s">
        <v>705</v>
      </c>
      <c r="B395" s="2" t="s">
        <v>16</v>
      </c>
      <c r="C395" s="2" t="s">
        <v>487</v>
      </c>
      <c r="D395" s="2">
        <v>120</v>
      </c>
      <c r="E395" s="2">
        <v>70</v>
      </c>
      <c r="F395" s="2">
        <v>5</v>
      </c>
      <c r="G395" s="2" t="s">
        <v>489</v>
      </c>
    </row>
    <row r="396" spans="1:7" x14ac:dyDescent="0.25">
      <c r="A396" s="2" t="s">
        <v>1670</v>
      </c>
      <c r="B396" s="2" t="s">
        <v>16</v>
      </c>
      <c r="C396" s="2" t="s">
        <v>495</v>
      </c>
      <c r="D396" s="2">
        <v>60</v>
      </c>
      <c r="E396" s="2">
        <v>100</v>
      </c>
      <c r="F396" s="2">
        <v>10</v>
      </c>
      <c r="G396" s="2" t="s">
        <v>501</v>
      </c>
    </row>
    <row r="397" spans="1:7" x14ac:dyDescent="0.25">
      <c r="A397" s="2" t="s">
        <v>1316</v>
      </c>
      <c r="B397" s="2" t="s">
        <v>9</v>
      </c>
      <c r="C397" s="2" t="s">
        <v>490</v>
      </c>
      <c r="D397" s="2" t="s">
        <v>100</v>
      </c>
      <c r="E397" s="2">
        <v>100</v>
      </c>
      <c r="F397" s="2">
        <v>10</v>
      </c>
      <c r="G397" s="2" t="s">
        <v>2284</v>
      </c>
    </row>
    <row r="398" spans="1:7" x14ac:dyDescent="0.25">
      <c r="A398" s="2" t="s">
        <v>1216</v>
      </c>
      <c r="B398" s="2" t="s">
        <v>22</v>
      </c>
      <c r="C398" s="2" t="s">
        <v>495</v>
      </c>
      <c r="D398" s="2">
        <v>150</v>
      </c>
      <c r="E398" s="2">
        <v>90</v>
      </c>
      <c r="F398" s="2">
        <v>5</v>
      </c>
      <c r="G398" s="2" t="s">
        <v>530</v>
      </c>
    </row>
    <row r="399" spans="1:7" x14ac:dyDescent="0.25">
      <c r="A399" s="2" t="s">
        <v>1204</v>
      </c>
      <c r="B399" s="2" t="s">
        <v>19</v>
      </c>
      <c r="C399" s="2" t="s">
        <v>487</v>
      </c>
      <c r="D399" s="2" t="s">
        <v>100</v>
      </c>
      <c r="E399" s="2">
        <v>100</v>
      </c>
      <c r="F399" s="2">
        <v>20</v>
      </c>
      <c r="G399" s="2" t="s">
        <v>536</v>
      </c>
    </row>
    <row r="400" spans="1:7" x14ac:dyDescent="0.25">
      <c r="A400" s="2" t="s">
        <v>1373</v>
      </c>
      <c r="B400" s="2" t="s">
        <v>7</v>
      </c>
      <c r="C400" s="2" t="s">
        <v>490</v>
      </c>
      <c r="D400" s="2" t="s">
        <v>100</v>
      </c>
      <c r="E400" s="2" t="s">
        <v>100</v>
      </c>
      <c r="F400" s="2">
        <v>5</v>
      </c>
      <c r="G400" s="2" t="s">
        <v>2285</v>
      </c>
    </row>
    <row r="401" spans="1:7" x14ac:dyDescent="0.25">
      <c r="A401" s="2" t="s">
        <v>1437</v>
      </c>
      <c r="B401" s="2" t="s">
        <v>7</v>
      </c>
      <c r="C401" s="2" t="s">
        <v>490</v>
      </c>
      <c r="D401" s="2" t="s">
        <v>100</v>
      </c>
      <c r="E401" s="2" t="s">
        <v>100</v>
      </c>
      <c r="F401" s="2">
        <v>10</v>
      </c>
      <c r="G401" s="2" t="s">
        <v>2286</v>
      </c>
    </row>
    <row r="402" spans="1:7" x14ac:dyDescent="0.25">
      <c r="A402" s="2" t="s">
        <v>1319</v>
      </c>
      <c r="B402" s="2" t="s">
        <v>9</v>
      </c>
      <c r="C402" s="2" t="s">
        <v>495</v>
      </c>
      <c r="D402" s="2">
        <v>120</v>
      </c>
      <c r="E402" s="2">
        <v>70</v>
      </c>
      <c r="F402" s="2">
        <v>5</v>
      </c>
      <c r="G402" s="2" t="s">
        <v>559</v>
      </c>
    </row>
    <row r="403" spans="1:7" x14ac:dyDescent="0.25">
      <c r="A403" s="2" t="s">
        <v>1254</v>
      </c>
      <c r="B403" s="2" t="s">
        <v>24</v>
      </c>
      <c r="C403" s="2" t="s">
        <v>495</v>
      </c>
      <c r="D403" s="2" t="s">
        <v>100</v>
      </c>
      <c r="E403" s="2">
        <v>100</v>
      </c>
      <c r="F403" s="2">
        <v>5</v>
      </c>
      <c r="G403" s="2" t="s">
        <v>2287</v>
      </c>
    </row>
    <row r="404" spans="1:7" x14ac:dyDescent="0.25">
      <c r="A404" s="2" t="s">
        <v>1460</v>
      </c>
      <c r="B404" s="2" t="s">
        <v>16</v>
      </c>
      <c r="C404" s="2" t="s">
        <v>495</v>
      </c>
      <c r="D404" s="2">
        <v>100</v>
      </c>
      <c r="E404" s="2">
        <v>90</v>
      </c>
      <c r="F404" s="2">
        <v>10</v>
      </c>
      <c r="G404" s="2" t="s">
        <v>2288</v>
      </c>
    </row>
    <row r="405" spans="1:7" x14ac:dyDescent="0.25">
      <c r="A405" s="2" t="s">
        <v>1365</v>
      </c>
      <c r="B405" s="2" t="s">
        <v>23</v>
      </c>
      <c r="C405" s="2" t="s">
        <v>495</v>
      </c>
      <c r="D405" s="2">
        <v>150</v>
      </c>
      <c r="E405" s="2">
        <v>80</v>
      </c>
      <c r="F405" s="2">
        <v>5</v>
      </c>
      <c r="G405" s="2" t="s">
        <v>514</v>
      </c>
    </row>
    <row r="406" spans="1:7" x14ac:dyDescent="0.25">
      <c r="A406" s="2" t="s">
        <v>1634</v>
      </c>
      <c r="B406" s="2" t="s">
        <v>7</v>
      </c>
      <c r="C406" s="2" t="s">
        <v>490</v>
      </c>
      <c r="D406" s="2" t="s">
        <v>100</v>
      </c>
      <c r="E406" s="2" t="s">
        <v>100</v>
      </c>
      <c r="F406" s="2">
        <v>15</v>
      </c>
      <c r="G406" s="2" t="s">
        <v>2289</v>
      </c>
    </row>
    <row r="407" spans="1:7" x14ac:dyDescent="0.25">
      <c r="A407" s="2" t="s">
        <v>1807</v>
      </c>
      <c r="B407" s="2" t="s">
        <v>12</v>
      </c>
      <c r="C407" s="2" t="s">
        <v>490</v>
      </c>
      <c r="D407" s="2" t="s">
        <v>100</v>
      </c>
      <c r="E407" s="2" t="s">
        <v>100</v>
      </c>
      <c r="F407" s="2">
        <v>10</v>
      </c>
      <c r="G407" s="2" t="s">
        <v>2290</v>
      </c>
    </row>
    <row r="408" spans="1:7" x14ac:dyDescent="0.25">
      <c r="A408" s="2" t="s">
        <v>1375</v>
      </c>
      <c r="B408" s="2" t="s">
        <v>7</v>
      </c>
      <c r="C408" s="2" t="s">
        <v>490</v>
      </c>
      <c r="D408" s="2" t="s">
        <v>100</v>
      </c>
      <c r="E408" s="2" t="s">
        <v>100</v>
      </c>
      <c r="F408" s="2">
        <v>10</v>
      </c>
      <c r="G408" s="2" t="s">
        <v>2291</v>
      </c>
    </row>
    <row r="409" spans="1:7" x14ac:dyDescent="0.25">
      <c r="A409" s="2" t="s">
        <v>1884</v>
      </c>
      <c r="B409" s="2" t="s">
        <v>7</v>
      </c>
      <c r="C409" s="2" t="s">
        <v>490</v>
      </c>
      <c r="D409" s="2" t="s">
        <v>100</v>
      </c>
      <c r="E409" s="2" t="s">
        <v>100</v>
      </c>
      <c r="F409" s="2">
        <v>10</v>
      </c>
      <c r="G409" s="2" t="s">
        <v>2292</v>
      </c>
    </row>
    <row r="410" spans="1:7" x14ac:dyDescent="0.25">
      <c r="A410" s="2" t="s">
        <v>1329</v>
      </c>
      <c r="B410" s="2" t="s">
        <v>21</v>
      </c>
      <c r="C410" s="2" t="s">
        <v>495</v>
      </c>
      <c r="D410" s="2">
        <v>65</v>
      </c>
      <c r="E410" s="2">
        <v>95</v>
      </c>
      <c r="F410" s="2">
        <v>15</v>
      </c>
      <c r="G410" s="2" t="s">
        <v>2293</v>
      </c>
    </row>
    <row r="411" spans="1:7" x14ac:dyDescent="0.25">
      <c r="A411" s="2" t="s">
        <v>1477</v>
      </c>
      <c r="B411" s="2" t="s">
        <v>21</v>
      </c>
      <c r="C411" s="2" t="s">
        <v>495</v>
      </c>
      <c r="D411" s="2">
        <v>40</v>
      </c>
      <c r="E411" s="2">
        <v>100</v>
      </c>
      <c r="F411" s="2">
        <v>30</v>
      </c>
      <c r="G411" s="2" t="s">
        <v>549</v>
      </c>
    </row>
    <row r="412" spans="1:7" x14ac:dyDescent="0.25">
      <c r="A412" s="2" t="s">
        <v>1498</v>
      </c>
      <c r="B412" s="2" t="s">
        <v>24</v>
      </c>
      <c r="C412" s="2" t="s">
        <v>495</v>
      </c>
      <c r="D412" s="2">
        <v>80</v>
      </c>
      <c r="E412" s="2">
        <v>100</v>
      </c>
      <c r="F412" s="2">
        <v>15</v>
      </c>
      <c r="G412" s="2" t="s">
        <v>499</v>
      </c>
    </row>
    <row r="413" spans="1:7" x14ac:dyDescent="0.25">
      <c r="A413" s="2" t="s">
        <v>1889</v>
      </c>
      <c r="B413" s="2" t="s">
        <v>22</v>
      </c>
      <c r="C413" s="2" t="s">
        <v>487</v>
      </c>
      <c r="D413" s="2">
        <v>100</v>
      </c>
      <c r="E413" s="2">
        <v>100</v>
      </c>
      <c r="F413" s="2">
        <v>10</v>
      </c>
      <c r="G413" s="2" t="s">
        <v>2294</v>
      </c>
    </row>
    <row r="414" spans="1:7" x14ac:dyDescent="0.25">
      <c r="A414" s="2" t="s">
        <v>1306</v>
      </c>
      <c r="B414" s="2" t="s">
        <v>22</v>
      </c>
      <c r="C414" s="2" t="s">
        <v>495</v>
      </c>
      <c r="D414" s="2">
        <v>140</v>
      </c>
      <c r="E414" s="2">
        <v>100</v>
      </c>
      <c r="F414" s="2">
        <v>5</v>
      </c>
      <c r="G414" s="2" t="s">
        <v>2295</v>
      </c>
    </row>
    <row r="415" spans="1:7" x14ac:dyDescent="0.25">
      <c r="A415" s="2" t="s">
        <v>1515</v>
      </c>
      <c r="B415" s="2" t="s">
        <v>17</v>
      </c>
      <c r="C415" s="2" t="s">
        <v>487</v>
      </c>
      <c r="D415" s="2">
        <v>80</v>
      </c>
      <c r="E415" s="2">
        <v>100</v>
      </c>
      <c r="F415" s="2">
        <v>15</v>
      </c>
      <c r="G415" s="2" t="s">
        <v>518</v>
      </c>
    </row>
    <row r="416" spans="1:7" x14ac:dyDescent="0.25">
      <c r="A416" s="2" t="s">
        <v>702</v>
      </c>
      <c r="B416" s="2" t="s">
        <v>19</v>
      </c>
      <c r="C416" s="2" t="s">
        <v>487</v>
      </c>
      <c r="D416" s="2">
        <v>140</v>
      </c>
      <c r="E416" s="2">
        <v>90</v>
      </c>
      <c r="F416" s="2">
        <v>5</v>
      </c>
      <c r="G416" s="2" t="s">
        <v>2235</v>
      </c>
    </row>
    <row r="417" spans="1:7" x14ac:dyDescent="0.25">
      <c r="A417" s="2" t="s">
        <v>1342</v>
      </c>
      <c r="B417" s="2" t="s">
        <v>22</v>
      </c>
      <c r="C417" s="2" t="s">
        <v>490</v>
      </c>
      <c r="D417" s="2" t="s">
        <v>100</v>
      </c>
      <c r="E417" s="2" t="s">
        <v>100</v>
      </c>
      <c r="F417" s="2">
        <v>30</v>
      </c>
      <c r="G417" s="2" t="s">
        <v>2296</v>
      </c>
    </row>
    <row r="418" spans="1:7" x14ac:dyDescent="0.25">
      <c r="A418" s="2" t="s">
        <v>1881</v>
      </c>
      <c r="B418" s="2" t="s">
        <v>7</v>
      </c>
      <c r="C418" s="2" t="s">
        <v>490</v>
      </c>
      <c r="D418" s="2" t="s">
        <v>100</v>
      </c>
      <c r="E418" s="2" t="s">
        <v>100</v>
      </c>
      <c r="F418" s="2">
        <v>10</v>
      </c>
      <c r="G418" s="2" t="s">
        <v>2297</v>
      </c>
    </row>
    <row r="419" spans="1:7" x14ac:dyDescent="0.25">
      <c r="A419" s="2" t="s">
        <v>1876</v>
      </c>
      <c r="B419" s="2" t="s">
        <v>17</v>
      </c>
      <c r="C419" s="2" t="s">
        <v>487</v>
      </c>
      <c r="D419" s="2">
        <v>120</v>
      </c>
      <c r="E419" s="2">
        <v>75</v>
      </c>
      <c r="F419" s="2">
        <v>5</v>
      </c>
      <c r="G419" s="2" t="s">
        <v>498</v>
      </c>
    </row>
    <row r="420" spans="1:7" x14ac:dyDescent="0.25">
      <c r="A420" s="2" t="s">
        <v>1466</v>
      </c>
      <c r="B420" s="2" t="s">
        <v>24</v>
      </c>
      <c r="C420" s="2" t="s">
        <v>495</v>
      </c>
      <c r="D420" s="2">
        <v>60</v>
      </c>
      <c r="E420" s="2" t="s">
        <v>100</v>
      </c>
      <c r="F420" s="2">
        <v>20</v>
      </c>
      <c r="G420" s="2" t="s">
        <v>569</v>
      </c>
    </row>
    <row r="421" spans="1:7" x14ac:dyDescent="0.25">
      <c r="A421" s="2" t="s">
        <v>1471</v>
      </c>
      <c r="B421" s="2" t="s">
        <v>15</v>
      </c>
      <c r="C421" s="2" t="s">
        <v>490</v>
      </c>
      <c r="D421" s="2" t="s">
        <v>100</v>
      </c>
      <c r="E421" s="2" t="s">
        <v>100</v>
      </c>
      <c r="F421" s="2">
        <v>10</v>
      </c>
      <c r="G421" s="2" t="s">
        <v>2298</v>
      </c>
    </row>
    <row r="422" spans="1:7" x14ac:dyDescent="0.25">
      <c r="A422" s="2" t="s">
        <v>1305</v>
      </c>
      <c r="B422" s="2" t="s">
        <v>22</v>
      </c>
      <c r="C422" s="2" t="s">
        <v>490</v>
      </c>
      <c r="D422" s="2" t="s">
        <v>100</v>
      </c>
      <c r="E422" s="2" t="s">
        <v>100</v>
      </c>
      <c r="F422" s="2">
        <v>20</v>
      </c>
      <c r="G422" s="2" t="s">
        <v>2299</v>
      </c>
    </row>
    <row r="423" spans="1:7" x14ac:dyDescent="0.25">
      <c r="A423" s="2" t="s">
        <v>1504</v>
      </c>
      <c r="B423" s="2" t="s">
        <v>24</v>
      </c>
      <c r="C423" s="2" t="s">
        <v>495</v>
      </c>
      <c r="D423" s="2" t="s">
        <v>100</v>
      </c>
      <c r="E423" s="2">
        <v>100</v>
      </c>
      <c r="F423" s="2">
        <v>10</v>
      </c>
      <c r="G423" s="2" t="s">
        <v>2300</v>
      </c>
    </row>
    <row r="424" spans="1:7" x14ac:dyDescent="0.25">
      <c r="A424" s="2" t="s">
        <v>1440</v>
      </c>
      <c r="B424" s="2" t="s">
        <v>7</v>
      </c>
      <c r="C424" s="2" t="s">
        <v>490</v>
      </c>
      <c r="D424" s="2" t="s">
        <v>100</v>
      </c>
      <c r="E424" s="2" t="s">
        <v>100</v>
      </c>
      <c r="F424" s="2">
        <v>40</v>
      </c>
      <c r="G424" s="2" t="s">
        <v>2301</v>
      </c>
    </row>
    <row r="425" spans="1:7" x14ac:dyDescent="0.25">
      <c r="A425" s="2" t="s">
        <v>1468</v>
      </c>
      <c r="B425" s="2" t="s">
        <v>24</v>
      </c>
      <c r="C425" s="2" t="s">
        <v>487</v>
      </c>
      <c r="D425" s="2">
        <v>65</v>
      </c>
      <c r="E425" s="2">
        <v>85</v>
      </c>
      <c r="F425" s="2">
        <v>10</v>
      </c>
      <c r="G425" s="2" t="s">
        <v>2172</v>
      </c>
    </row>
    <row r="426" spans="1:7" x14ac:dyDescent="0.25">
      <c r="A426" s="2" t="s">
        <v>1315</v>
      </c>
      <c r="B426" s="2" t="s">
        <v>20</v>
      </c>
      <c r="C426" s="2" t="s">
        <v>487</v>
      </c>
      <c r="D426" s="2">
        <v>65</v>
      </c>
      <c r="E426" s="2">
        <v>85</v>
      </c>
      <c r="F426" s="2">
        <v>10</v>
      </c>
      <c r="G426" s="2" t="s">
        <v>2172</v>
      </c>
    </row>
    <row r="427" spans="1:7" x14ac:dyDescent="0.25">
      <c r="A427" s="2" t="s">
        <v>1346</v>
      </c>
      <c r="B427" s="2" t="s">
        <v>13</v>
      </c>
      <c r="C427" s="2" t="s">
        <v>490</v>
      </c>
      <c r="D427" s="2" t="s">
        <v>100</v>
      </c>
      <c r="E427" s="2" t="s">
        <v>100</v>
      </c>
      <c r="F427" s="2">
        <v>20</v>
      </c>
      <c r="G427" s="2" t="s">
        <v>2302</v>
      </c>
    </row>
    <row r="428" spans="1:7" x14ac:dyDescent="0.25">
      <c r="A428" s="2" t="s">
        <v>1401</v>
      </c>
      <c r="B428" s="2" t="s">
        <v>22</v>
      </c>
      <c r="C428" s="2" t="s">
        <v>495</v>
      </c>
      <c r="D428" s="2" t="s">
        <v>100</v>
      </c>
      <c r="E428" s="2">
        <v>100</v>
      </c>
      <c r="F428" s="2">
        <v>15</v>
      </c>
      <c r="G428" s="2" t="s">
        <v>2303</v>
      </c>
    </row>
    <row r="429" spans="1:7" x14ac:dyDescent="0.25">
      <c r="A429" s="2" t="s">
        <v>1354</v>
      </c>
      <c r="B429" s="2" t="s">
        <v>13</v>
      </c>
      <c r="C429" s="2" t="s">
        <v>495</v>
      </c>
      <c r="D429" s="2">
        <v>70</v>
      </c>
      <c r="E429" s="2">
        <v>100</v>
      </c>
      <c r="F429" s="2">
        <v>15</v>
      </c>
      <c r="G429" s="2" t="s">
        <v>509</v>
      </c>
    </row>
    <row r="430" spans="1:7" x14ac:dyDescent="0.25">
      <c r="A430" s="2" t="s">
        <v>1553</v>
      </c>
      <c r="B430" s="2" t="s">
        <v>8</v>
      </c>
      <c r="C430" s="2" t="s">
        <v>487</v>
      </c>
      <c r="D430" s="2">
        <v>60</v>
      </c>
      <c r="E430" s="2">
        <v>100</v>
      </c>
      <c r="F430" s="2">
        <v>5</v>
      </c>
      <c r="G430" s="2" t="s">
        <v>2141</v>
      </c>
    </row>
    <row r="431" spans="1:7" x14ac:dyDescent="0.25">
      <c r="A431" s="2" t="s">
        <v>1287</v>
      </c>
      <c r="B431" s="2" t="s">
        <v>13</v>
      </c>
      <c r="C431" s="2" t="s">
        <v>495</v>
      </c>
      <c r="D431" s="2">
        <v>50</v>
      </c>
      <c r="E431" s="2">
        <v>100</v>
      </c>
      <c r="F431" s="2">
        <v>10</v>
      </c>
      <c r="G431" s="2" t="s">
        <v>2304</v>
      </c>
    </row>
    <row r="432" spans="1:7" x14ac:dyDescent="0.25">
      <c r="A432" s="2" t="s">
        <v>1309</v>
      </c>
      <c r="B432" s="2" t="s">
        <v>18</v>
      </c>
      <c r="C432" s="2" t="s">
        <v>495</v>
      </c>
      <c r="D432" s="2">
        <v>60</v>
      </c>
      <c r="E432" s="2">
        <v>100</v>
      </c>
      <c r="F432" s="2">
        <v>20</v>
      </c>
      <c r="G432" s="2" t="s">
        <v>2305</v>
      </c>
    </row>
    <row r="433" spans="1:7" x14ac:dyDescent="0.25">
      <c r="A433" s="2" t="s">
        <v>1283</v>
      </c>
      <c r="B433" s="2" t="s">
        <v>9</v>
      </c>
      <c r="C433" s="2" t="s">
        <v>495</v>
      </c>
      <c r="D433" s="2">
        <v>80</v>
      </c>
      <c r="E433" s="2">
        <v>100</v>
      </c>
      <c r="F433" s="2">
        <v>20</v>
      </c>
      <c r="G433" s="2" t="s">
        <v>547</v>
      </c>
    </row>
    <row r="434" spans="1:7" x14ac:dyDescent="0.25">
      <c r="A434" s="2" t="s">
        <v>1413</v>
      </c>
      <c r="B434" s="2" t="s">
        <v>23</v>
      </c>
      <c r="C434" s="2" t="s">
        <v>487</v>
      </c>
      <c r="D434" s="2">
        <v>70</v>
      </c>
      <c r="E434" s="2">
        <v>100</v>
      </c>
      <c r="F434" s="2">
        <v>20</v>
      </c>
      <c r="G434" s="2"/>
    </row>
    <row r="435" spans="1:7" x14ac:dyDescent="0.25">
      <c r="A435" s="2" t="s">
        <v>1393</v>
      </c>
      <c r="B435" s="2" t="s">
        <v>7</v>
      </c>
      <c r="C435" s="2" t="s">
        <v>490</v>
      </c>
      <c r="D435" s="2" t="s">
        <v>100</v>
      </c>
      <c r="E435" s="2" t="s">
        <v>100</v>
      </c>
      <c r="F435" s="2">
        <v>10</v>
      </c>
      <c r="G435" s="2" t="s">
        <v>2306</v>
      </c>
    </row>
    <row r="436" spans="1:7" x14ac:dyDescent="0.25">
      <c r="A436" s="2" t="s">
        <v>1436</v>
      </c>
      <c r="B436" s="2" t="s">
        <v>7</v>
      </c>
      <c r="C436" s="2" t="s">
        <v>490</v>
      </c>
      <c r="D436" s="2" t="s">
        <v>100</v>
      </c>
      <c r="E436" s="2" t="s">
        <v>100</v>
      </c>
      <c r="F436" s="2">
        <v>10</v>
      </c>
      <c r="G436" s="2" t="s">
        <v>2307</v>
      </c>
    </row>
    <row r="437" spans="1:7" x14ac:dyDescent="0.25">
      <c r="A437" s="2" t="s">
        <v>1213</v>
      </c>
      <c r="B437" s="2" t="s">
        <v>19</v>
      </c>
      <c r="C437" s="2" t="s">
        <v>495</v>
      </c>
      <c r="D437" s="2">
        <v>120</v>
      </c>
      <c r="E437" s="2">
        <v>85</v>
      </c>
      <c r="F437" s="2">
        <v>10</v>
      </c>
      <c r="G437" s="2"/>
    </row>
    <row r="438" spans="1:7" x14ac:dyDescent="0.25">
      <c r="A438" s="2" t="s">
        <v>1442</v>
      </c>
      <c r="B438" s="2" t="s">
        <v>7</v>
      </c>
      <c r="C438" s="2" t="s">
        <v>495</v>
      </c>
      <c r="D438" s="2">
        <v>70</v>
      </c>
      <c r="E438" s="2">
        <v>100</v>
      </c>
      <c r="F438" s="2">
        <v>20</v>
      </c>
      <c r="G438" s="2" t="s">
        <v>509</v>
      </c>
    </row>
    <row r="439" spans="1:7" x14ac:dyDescent="0.25">
      <c r="A439" s="2" t="s">
        <v>1435</v>
      </c>
      <c r="B439" s="2" t="s">
        <v>7</v>
      </c>
      <c r="C439" s="2" t="s">
        <v>490</v>
      </c>
      <c r="D439" s="2" t="s">
        <v>100</v>
      </c>
      <c r="E439" s="2">
        <v>90</v>
      </c>
      <c r="F439" s="2">
        <v>10</v>
      </c>
      <c r="G439" s="2" t="s">
        <v>2308</v>
      </c>
    </row>
    <row r="440" spans="1:7" x14ac:dyDescent="0.25">
      <c r="A440" s="2" t="s">
        <v>1397</v>
      </c>
      <c r="B440" s="2" t="s">
        <v>13</v>
      </c>
      <c r="C440" s="2" t="s">
        <v>495</v>
      </c>
      <c r="D440" s="2" t="s">
        <v>100</v>
      </c>
      <c r="E440" s="2">
        <v>100</v>
      </c>
      <c r="F440" s="2">
        <v>5</v>
      </c>
      <c r="G440" s="2" t="s">
        <v>2309</v>
      </c>
    </row>
    <row r="441" spans="1:7" x14ac:dyDescent="0.25">
      <c r="A441" s="2" t="s">
        <v>1872</v>
      </c>
      <c r="B441" s="2" t="s">
        <v>14</v>
      </c>
      <c r="C441" s="2" t="s">
        <v>487</v>
      </c>
      <c r="D441" s="2">
        <v>150</v>
      </c>
      <c r="E441" s="2">
        <v>90</v>
      </c>
      <c r="F441" s="2">
        <v>5</v>
      </c>
      <c r="G441" s="2" t="s">
        <v>530</v>
      </c>
    </row>
    <row r="442" spans="1:7" x14ac:dyDescent="0.25">
      <c r="A442" s="2" t="s">
        <v>1355</v>
      </c>
      <c r="B442" s="2" t="s">
        <v>22</v>
      </c>
      <c r="C442" s="2" t="s">
        <v>495</v>
      </c>
      <c r="D442" s="2">
        <v>90</v>
      </c>
      <c r="E442" s="2">
        <v>85</v>
      </c>
      <c r="F442" s="2">
        <v>20</v>
      </c>
      <c r="G442" s="2" t="s">
        <v>505</v>
      </c>
    </row>
    <row r="443" spans="1:7" x14ac:dyDescent="0.25">
      <c r="A443" s="2" t="s">
        <v>1456</v>
      </c>
      <c r="B443" s="2" t="s">
        <v>23</v>
      </c>
      <c r="C443" s="2" t="s">
        <v>490</v>
      </c>
      <c r="D443" s="2" t="s">
        <v>100</v>
      </c>
      <c r="E443" s="2" t="s">
        <v>100</v>
      </c>
      <c r="F443" s="2">
        <v>20</v>
      </c>
      <c r="G443" s="2" t="s">
        <v>492</v>
      </c>
    </row>
    <row r="444" spans="1:7" x14ac:dyDescent="0.25">
      <c r="A444" s="2" t="s">
        <v>1854</v>
      </c>
      <c r="B444" s="2" t="s">
        <v>23</v>
      </c>
      <c r="C444" s="2" t="s">
        <v>495</v>
      </c>
      <c r="D444" s="2">
        <v>150</v>
      </c>
      <c r="E444" s="2">
        <v>90</v>
      </c>
      <c r="F444" s="2">
        <v>5</v>
      </c>
      <c r="G444" s="2" t="s">
        <v>530</v>
      </c>
    </row>
    <row r="445" spans="1:7" x14ac:dyDescent="0.25">
      <c r="A445" s="2" t="s">
        <v>1242</v>
      </c>
      <c r="B445" s="2" t="s">
        <v>18</v>
      </c>
      <c r="C445" s="2" t="s">
        <v>490</v>
      </c>
      <c r="D445" s="2" t="s">
        <v>100</v>
      </c>
      <c r="E445" s="2" t="s">
        <v>100</v>
      </c>
      <c r="F445" s="2">
        <v>10</v>
      </c>
      <c r="G445" s="2" t="s">
        <v>2310</v>
      </c>
    </row>
    <row r="446" spans="1:7" x14ac:dyDescent="0.25">
      <c r="A446" s="2" t="s">
        <v>1190</v>
      </c>
      <c r="B446" s="2" t="s">
        <v>19</v>
      </c>
      <c r="C446" s="2" t="s">
        <v>495</v>
      </c>
      <c r="D446" s="2">
        <v>80</v>
      </c>
      <c r="E446" s="2">
        <v>100</v>
      </c>
      <c r="F446" s="2">
        <v>15</v>
      </c>
      <c r="G446" s="2"/>
    </row>
    <row r="447" spans="1:7" x14ac:dyDescent="0.25">
      <c r="A447" s="2" t="s">
        <v>1887</v>
      </c>
      <c r="B447" s="2" t="s">
        <v>19</v>
      </c>
      <c r="C447" s="2" t="s">
        <v>487</v>
      </c>
      <c r="D447" s="2">
        <v>120</v>
      </c>
      <c r="E447" s="2">
        <v>85</v>
      </c>
      <c r="F447" s="2">
        <v>5</v>
      </c>
      <c r="G447" s="2" t="s">
        <v>489</v>
      </c>
    </row>
    <row r="448" spans="1:7" x14ac:dyDescent="0.25">
      <c r="A448" s="2" t="s">
        <v>1231</v>
      </c>
      <c r="B448" s="2" t="s">
        <v>8</v>
      </c>
      <c r="C448" s="2" t="s">
        <v>495</v>
      </c>
      <c r="D448" s="2">
        <v>70</v>
      </c>
      <c r="E448" s="2">
        <v>100</v>
      </c>
      <c r="F448" s="2">
        <v>15</v>
      </c>
      <c r="G448" s="2" t="s">
        <v>509</v>
      </c>
    </row>
    <row r="449" spans="1:7" x14ac:dyDescent="0.25">
      <c r="A449" s="2" t="s">
        <v>1879</v>
      </c>
      <c r="B449" s="2" t="s">
        <v>8</v>
      </c>
      <c r="C449" s="2" t="s">
        <v>495</v>
      </c>
      <c r="D449" s="2">
        <v>120</v>
      </c>
      <c r="E449" s="2">
        <v>100</v>
      </c>
      <c r="F449" s="2">
        <v>5</v>
      </c>
      <c r="G449" s="2" t="s">
        <v>2311</v>
      </c>
    </row>
    <row r="450" spans="1:7" x14ac:dyDescent="0.25">
      <c r="A450" s="2" t="s">
        <v>1483</v>
      </c>
      <c r="B450" s="2" t="s">
        <v>8</v>
      </c>
      <c r="C450" s="2" t="s">
        <v>495</v>
      </c>
      <c r="D450" s="2">
        <v>40</v>
      </c>
      <c r="E450" s="2">
        <v>100</v>
      </c>
      <c r="F450" s="2">
        <v>30</v>
      </c>
      <c r="G450" s="2" t="s">
        <v>549</v>
      </c>
    </row>
    <row r="451" spans="1:7" x14ac:dyDescent="0.25">
      <c r="A451" s="2" t="s">
        <v>1874</v>
      </c>
      <c r="B451" s="2" t="s">
        <v>14</v>
      </c>
      <c r="C451" s="2" t="s">
        <v>487</v>
      </c>
      <c r="D451" s="2">
        <v>100</v>
      </c>
      <c r="E451" s="2">
        <v>95</v>
      </c>
      <c r="F451" s="2">
        <v>5</v>
      </c>
      <c r="G451" s="2" t="s">
        <v>509</v>
      </c>
    </row>
    <row r="452" spans="1:7" x14ac:dyDescent="0.25">
      <c r="A452" s="2" t="s">
        <v>1458</v>
      </c>
      <c r="B452" s="2" t="s">
        <v>23</v>
      </c>
      <c r="C452" s="2" t="s">
        <v>490</v>
      </c>
      <c r="D452" s="2" t="s">
        <v>100</v>
      </c>
      <c r="E452" s="2" t="s">
        <v>100</v>
      </c>
      <c r="F452" s="2">
        <v>20</v>
      </c>
      <c r="G452" s="2" t="s">
        <v>2312</v>
      </c>
    </row>
    <row r="453" spans="1:7" x14ac:dyDescent="0.25">
      <c r="A453" s="2" t="s">
        <v>1358</v>
      </c>
      <c r="B453" s="2" t="s">
        <v>23</v>
      </c>
      <c r="C453" s="2" t="s">
        <v>495</v>
      </c>
      <c r="D453" s="2">
        <v>100</v>
      </c>
      <c r="E453" s="2">
        <v>80</v>
      </c>
      <c r="F453" s="2">
        <v>5</v>
      </c>
      <c r="G453" s="2" t="s">
        <v>509</v>
      </c>
    </row>
    <row r="454" spans="1:7" x14ac:dyDescent="0.25">
      <c r="A454" s="2" t="s">
        <v>1297</v>
      </c>
      <c r="B454" s="2" t="s">
        <v>13</v>
      </c>
      <c r="C454" s="2" t="s">
        <v>495</v>
      </c>
      <c r="D454" s="2">
        <v>80</v>
      </c>
      <c r="E454" s="2">
        <v>100</v>
      </c>
      <c r="F454" s="2">
        <v>5</v>
      </c>
      <c r="G454" s="2" t="s">
        <v>2313</v>
      </c>
    </row>
    <row r="455" spans="1:7" x14ac:dyDescent="0.25">
      <c r="A455" s="2" t="s">
        <v>1327</v>
      </c>
      <c r="B455" s="2" t="s">
        <v>13</v>
      </c>
      <c r="C455" s="2" t="s">
        <v>490</v>
      </c>
      <c r="D455" s="2" t="s">
        <v>100</v>
      </c>
      <c r="E455" s="2">
        <v>100</v>
      </c>
      <c r="F455" s="2">
        <v>15</v>
      </c>
      <c r="G455" s="2" t="s">
        <v>2257</v>
      </c>
    </row>
    <row r="456" spans="1:7" x14ac:dyDescent="0.25">
      <c r="A456" s="2" t="s">
        <v>1268</v>
      </c>
      <c r="B456" s="2" t="s">
        <v>18</v>
      </c>
      <c r="C456" s="2" t="s">
        <v>490</v>
      </c>
      <c r="D456" s="2" t="s">
        <v>100</v>
      </c>
      <c r="E456" s="2" t="s">
        <v>100</v>
      </c>
      <c r="F456" s="2">
        <v>30</v>
      </c>
      <c r="G456" s="2" t="s">
        <v>2314</v>
      </c>
    </row>
    <row r="457" spans="1:7" x14ac:dyDescent="0.25">
      <c r="A457" s="2" t="s">
        <v>1328</v>
      </c>
      <c r="B457" s="2" t="s">
        <v>15</v>
      </c>
      <c r="C457" s="2" t="s">
        <v>495</v>
      </c>
      <c r="D457" s="2">
        <v>65</v>
      </c>
      <c r="E457" s="2">
        <v>95</v>
      </c>
      <c r="F457" s="2">
        <v>15</v>
      </c>
      <c r="G457" s="2" t="s">
        <v>2315</v>
      </c>
    </row>
    <row r="458" spans="1:7" x14ac:dyDescent="0.25">
      <c r="A458" s="2" t="s">
        <v>1281</v>
      </c>
      <c r="B458" s="2" t="s">
        <v>9</v>
      </c>
      <c r="C458" s="2" t="s">
        <v>490</v>
      </c>
      <c r="D458" s="2" t="s">
        <v>100</v>
      </c>
      <c r="E458" s="2" t="s">
        <v>100</v>
      </c>
      <c r="F458" s="2">
        <v>20</v>
      </c>
      <c r="G458" s="2" t="s">
        <v>2316</v>
      </c>
    </row>
    <row r="459" spans="1:7" x14ac:dyDescent="0.25">
      <c r="A459" s="2" t="s">
        <v>1433</v>
      </c>
      <c r="B459" s="2" t="s">
        <v>7</v>
      </c>
      <c r="C459" s="2" t="s">
        <v>490</v>
      </c>
      <c r="D459" s="2" t="s">
        <v>100</v>
      </c>
      <c r="E459" s="2" t="s">
        <v>100</v>
      </c>
      <c r="F459" s="2">
        <v>5</v>
      </c>
      <c r="G459" s="2" t="s">
        <v>2317</v>
      </c>
    </row>
    <row r="460" spans="1:7" x14ac:dyDescent="0.25">
      <c r="A460" s="2" t="s">
        <v>1474</v>
      </c>
      <c r="B460" s="2" t="s">
        <v>22</v>
      </c>
      <c r="C460" s="2" t="s">
        <v>487</v>
      </c>
      <c r="D460" s="2" t="s">
        <v>100</v>
      </c>
      <c r="E460" s="2" t="s">
        <v>100</v>
      </c>
      <c r="F460" s="2">
        <v>5</v>
      </c>
      <c r="G460" s="2" t="s">
        <v>2318</v>
      </c>
    </row>
    <row r="461" spans="1:7" x14ac:dyDescent="0.25">
      <c r="A461" s="2" t="s">
        <v>1279</v>
      </c>
      <c r="B461" s="2" t="s">
        <v>12</v>
      </c>
      <c r="C461" s="2" t="s">
        <v>495</v>
      </c>
      <c r="D461" s="2">
        <v>70</v>
      </c>
      <c r="E461" s="2">
        <v>100</v>
      </c>
      <c r="F461" s="2">
        <v>20</v>
      </c>
      <c r="G461" s="2" t="s">
        <v>2319</v>
      </c>
    </row>
    <row r="462" spans="1:7" x14ac:dyDescent="0.25">
      <c r="A462" s="2" t="s">
        <v>1501</v>
      </c>
      <c r="B462" s="2" t="s">
        <v>16</v>
      </c>
      <c r="C462" s="2" t="s">
        <v>487</v>
      </c>
      <c r="D462" s="2">
        <v>40</v>
      </c>
      <c r="E462" s="2">
        <v>100</v>
      </c>
      <c r="F462" s="2">
        <v>30</v>
      </c>
      <c r="G462" s="2" t="s">
        <v>549</v>
      </c>
    </row>
    <row r="463" spans="1:7" x14ac:dyDescent="0.25">
      <c r="A463" s="2" t="s">
        <v>1368</v>
      </c>
      <c r="B463" s="2" t="s">
        <v>16</v>
      </c>
      <c r="C463" s="2" t="s">
        <v>495</v>
      </c>
      <c r="D463" s="2">
        <v>60</v>
      </c>
      <c r="E463" s="2">
        <v>100</v>
      </c>
      <c r="F463" s="2">
        <v>10</v>
      </c>
      <c r="G463" s="2" t="s">
        <v>2320</v>
      </c>
    </row>
    <row r="464" spans="1:7" x14ac:dyDescent="0.25">
      <c r="A464" s="2" t="s">
        <v>1495</v>
      </c>
      <c r="B464" s="2" t="s">
        <v>19</v>
      </c>
      <c r="C464" s="2" t="s">
        <v>495</v>
      </c>
      <c r="D464" s="2">
        <v>120</v>
      </c>
      <c r="E464" s="2">
        <v>100</v>
      </c>
      <c r="F464" s="2">
        <v>15</v>
      </c>
      <c r="G464" s="2" t="s">
        <v>514</v>
      </c>
    </row>
    <row r="465" spans="1:7" x14ac:dyDescent="0.25">
      <c r="A465" s="2" t="s">
        <v>1188</v>
      </c>
      <c r="B465" s="2" t="s">
        <v>19</v>
      </c>
      <c r="C465" s="2" t="s">
        <v>490</v>
      </c>
      <c r="D465" s="2" t="s">
        <v>100</v>
      </c>
      <c r="E465" s="2">
        <v>100</v>
      </c>
      <c r="F465" s="2">
        <v>10</v>
      </c>
      <c r="G465" s="2" t="s">
        <v>2321</v>
      </c>
    </row>
    <row r="466" spans="1:7" x14ac:dyDescent="0.25">
      <c r="A466" s="2" t="s">
        <v>1450</v>
      </c>
      <c r="B466" s="2" t="s">
        <v>22</v>
      </c>
      <c r="C466" s="2" t="s">
        <v>487</v>
      </c>
      <c r="D466" s="2" t="s">
        <v>100</v>
      </c>
      <c r="E466" s="2">
        <v>100</v>
      </c>
      <c r="F466" s="2">
        <v>5</v>
      </c>
      <c r="G466" s="2" t="s">
        <v>2322</v>
      </c>
    </row>
    <row r="467" spans="1:7" x14ac:dyDescent="0.25">
      <c r="A467" s="2" t="s">
        <v>1288</v>
      </c>
      <c r="B467" s="2" t="s">
        <v>12</v>
      </c>
      <c r="C467" s="2" t="s">
        <v>495</v>
      </c>
      <c r="D467" s="2">
        <v>80</v>
      </c>
      <c r="E467" s="2">
        <v>100</v>
      </c>
      <c r="F467" s="2">
        <v>15</v>
      </c>
      <c r="G467" s="2"/>
    </row>
    <row r="468" spans="1:7" x14ac:dyDescent="0.25">
      <c r="A468" s="2" t="s">
        <v>1400</v>
      </c>
      <c r="B468" s="2" t="s">
        <v>7</v>
      </c>
      <c r="C468" s="2" t="s">
        <v>495</v>
      </c>
      <c r="D468" s="2">
        <v>80</v>
      </c>
      <c r="E468" s="2">
        <v>90</v>
      </c>
      <c r="F468" s="2">
        <v>15</v>
      </c>
      <c r="G468" s="2" t="s">
        <v>499</v>
      </c>
    </row>
    <row r="469" spans="1:7" x14ac:dyDescent="0.25">
      <c r="A469" s="2" t="s">
        <v>1314</v>
      </c>
      <c r="B469" s="2" t="s">
        <v>9</v>
      </c>
      <c r="C469" s="2" t="s">
        <v>487</v>
      </c>
      <c r="D469" s="2">
        <v>40</v>
      </c>
      <c r="E469" s="2">
        <v>100</v>
      </c>
      <c r="F469" s="2">
        <v>20</v>
      </c>
      <c r="G469" s="2" t="s">
        <v>2217</v>
      </c>
    </row>
    <row r="470" spans="1:7" x14ac:dyDescent="0.25">
      <c r="A470" s="2" t="s">
        <v>1275</v>
      </c>
      <c r="B470" s="2" t="s">
        <v>18</v>
      </c>
      <c r="C470" s="2" t="s">
        <v>495</v>
      </c>
      <c r="D470" s="2">
        <v>55</v>
      </c>
      <c r="E470" s="2">
        <v>100</v>
      </c>
      <c r="F470" s="2">
        <v>15</v>
      </c>
      <c r="G470" s="2" t="s">
        <v>2323</v>
      </c>
    </row>
    <row r="471" spans="1:7" x14ac:dyDescent="0.25">
      <c r="A471" s="2" t="s">
        <v>1376</v>
      </c>
      <c r="B471" s="2" t="s">
        <v>22</v>
      </c>
      <c r="C471" s="2" t="s">
        <v>490</v>
      </c>
      <c r="D471" s="2" t="s">
        <v>100</v>
      </c>
      <c r="E471" s="2" t="s">
        <v>100</v>
      </c>
      <c r="F471" s="2">
        <v>15</v>
      </c>
      <c r="G471" s="2" t="s">
        <v>2324</v>
      </c>
    </row>
    <row r="472" spans="1:7" x14ac:dyDescent="0.25">
      <c r="A472" s="2" t="s">
        <v>1439</v>
      </c>
      <c r="B472" s="2" t="s">
        <v>7</v>
      </c>
      <c r="C472" s="2" t="s">
        <v>490</v>
      </c>
      <c r="D472" s="2" t="s">
        <v>100</v>
      </c>
      <c r="E472" s="2" t="s">
        <v>100</v>
      </c>
      <c r="F472" s="2">
        <v>15</v>
      </c>
      <c r="G472" s="2" t="s">
        <v>2325</v>
      </c>
    </row>
    <row r="473" spans="1:7" x14ac:dyDescent="0.25">
      <c r="A473" s="2" t="s">
        <v>1461</v>
      </c>
      <c r="B473" s="2" t="s">
        <v>24</v>
      </c>
      <c r="C473" s="2" t="s">
        <v>490</v>
      </c>
      <c r="D473" s="2" t="s">
        <v>100</v>
      </c>
      <c r="E473" s="2" t="s">
        <v>100</v>
      </c>
      <c r="F473" s="2">
        <v>15</v>
      </c>
      <c r="G473" s="2" t="s">
        <v>2326</v>
      </c>
    </row>
    <row r="474" spans="1:7" x14ac:dyDescent="0.25">
      <c r="A474" s="2" t="s">
        <v>1343</v>
      </c>
      <c r="B474" s="2" t="s">
        <v>22</v>
      </c>
      <c r="C474" s="2" t="s">
        <v>490</v>
      </c>
      <c r="D474" s="2" t="s">
        <v>100</v>
      </c>
      <c r="E474" s="2" t="s">
        <v>100</v>
      </c>
      <c r="F474" s="2">
        <v>15</v>
      </c>
      <c r="G474" s="2" t="s">
        <v>2327</v>
      </c>
    </row>
    <row r="475" spans="1:7" x14ac:dyDescent="0.25">
      <c r="A475" s="2" t="s">
        <v>2047</v>
      </c>
      <c r="B475" s="2" t="s">
        <v>17</v>
      </c>
      <c r="C475" s="2" t="s">
        <v>487</v>
      </c>
      <c r="D475" s="2">
        <v>130</v>
      </c>
      <c r="E475" s="2">
        <v>85</v>
      </c>
      <c r="F475" s="2">
        <v>5</v>
      </c>
      <c r="G475" s="2" t="s">
        <v>518</v>
      </c>
    </row>
    <row r="476" spans="1:7" x14ac:dyDescent="0.25">
      <c r="A476" s="2" t="s">
        <v>2050</v>
      </c>
      <c r="B476" s="2" t="s">
        <v>15</v>
      </c>
      <c r="C476" s="2" t="s">
        <v>495</v>
      </c>
      <c r="D476" s="2">
        <v>130</v>
      </c>
      <c r="E476" s="2">
        <v>85</v>
      </c>
      <c r="F476" s="2">
        <v>5</v>
      </c>
      <c r="G476" s="2" t="s">
        <v>501</v>
      </c>
    </row>
    <row r="477" spans="1:7" x14ac:dyDescent="0.25">
      <c r="A477" s="2" t="s">
        <v>1217</v>
      </c>
      <c r="B477" s="2" t="s">
        <v>20</v>
      </c>
      <c r="C477" s="2" t="s">
        <v>495</v>
      </c>
      <c r="D477" s="2">
        <v>60</v>
      </c>
      <c r="E477" s="2">
        <v>100</v>
      </c>
      <c r="F477" s="2">
        <v>20</v>
      </c>
      <c r="G477" s="2" t="s">
        <v>564</v>
      </c>
    </row>
    <row r="478" spans="1:7" x14ac:dyDescent="0.25">
      <c r="A478" s="2" t="s">
        <v>1356</v>
      </c>
      <c r="B478" s="2" t="s">
        <v>22</v>
      </c>
      <c r="C478" s="2" t="s">
        <v>495</v>
      </c>
      <c r="D478" s="2">
        <v>70</v>
      </c>
      <c r="E478" s="2">
        <v>100</v>
      </c>
      <c r="F478" s="2">
        <v>20</v>
      </c>
      <c r="G478" s="2" t="s">
        <v>2328</v>
      </c>
    </row>
    <row r="479" spans="1:7" x14ac:dyDescent="0.25">
      <c r="A479" s="2" t="s">
        <v>1432</v>
      </c>
      <c r="B479" s="2" t="s">
        <v>16</v>
      </c>
      <c r="C479" s="2" t="s">
        <v>495</v>
      </c>
      <c r="D479" s="2">
        <v>60</v>
      </c>
      <c r="E479" s="2">
        <v>90</v>
      </c>
      <c r="F479" s="2">
        <v>10</v>
      </c>
      <c r="G479" s="2" t="s">
        <v>555</v>
      </c>
    </row>
    <row r="480" spans="1:7" x14ac:dyDescent="0.25">
      <c r="A480" s="2" t="s">
        <v>1422</v>
      </c>
      <c r="B480" s="2" t="s">
        <v>9</v>
      </c>
      <c r="C480" s="2" t="s">
        <v>487</v>
      </c>
      <c r="D480" s="2">
        <v>50</v>
      </c>
      <c r="E480" s="2" t="s">
        <v>100</v>
      </c>
      <c r="F480" s="2">
        <v>15</v>
      </c>
      <c r="G480" s="2" t="s">
        <v>2329</v>
      </c>
    </row>
    <row r="481" spans="1:7" x14ac:dyDescent="0.25">
      <c r="A481" s="2" t="s">
        <v>1318</v>
      </c>
      <c r="B481" s="2" t="s">
        <v>9</v>
      </c>
      <c r="C481" s="2" t="s">
        <v>490</v>
      </c>
      <c r="D481" s="2" t="s">
        <v>100</v>
      </c>
      <c r="E481" s="2" t="s">
        <v>100</v>
      </c>
      <c r="F481" s="2">
        <v>20</v>
      </c>
      <c r="G481" s="2" t="s">
        <v>2330</v>
      </c>
    </row>
    <row r="482" spans="1:7" x14ac:dyDescent="0.25">
      <c r="A482" s="2" t="s">
        <v>1557</v>
      </c>
      <c r="B482" s="2" t="s">
        <v>19</v>
      </c>
      <c r="C482" s="2" t="s">
        <v>490</v>
      </c>
      <c r="D482" s="2" t="s">
        <v>100</v>
      </c>
      <c r="E482" s="2" t="s">
        <v>100</v>
      </c>
      <c r="F482" s="2">
        <v>10</v>
      </c>
      <c r="G482" s="2" t="s">
        <v>2331</v>
      </c>
    </row>
    <row r="483" spans="1:7" x14ac:dyDescent="0.25">
      <c r="A483" s="2" t="s">
        <v>1245</v>
      </c>
      <c r="B483" s="2" t="s">
        <v>14</v>
      </c>
      <c r="C483" s="2" t="s">
        <v>495</v>
      </c>
      <c r="D483" s="2">
        <v>60</v>
      </c>
      <c r="E483" s="2">
        <v>90</v>
      </c>
      <c r="F483" s="2">
        <v>10</v>
      </c>
      <c r="G483" s="2" t="s">
        <v>555</v>
      </c>
    </row>
    <row r="484" spans="1:7" x14ac:dyDescent="0.25">
      <c r="A484" s="2" t="s">
        <v>1310</v>
      </c>
      <c r="B484" s="2" t="s">
        <v>20</v>
      </c>
      <c r="C484" s="2" t="s">
        <v>495</v>
      </c>
      <c r="D484" s="2">
        <v>80</v>
      </c>
      <c r="E484" s="2">
        <v>95</v>
      </c>
      <c r="F484" s="2">
        <v>10</v>
      </c>
      <c r="G484" s="2" t="s">
        <v>509</v>
      </c>
    </row>
    <row r="485" spans="1:7" x14ac:dyDescent="0.25">
      <c r="A485" s="2" t="s">
        <v>1836</v>
      </c>
      <c r="B485" s="2" t="s">
        <v>14</v>
      </c>
      <c r="C485" s="2" t="s">
        <v>495</v>
      </c>
      <c r="D485" s="2">
        <v>40</v>
      </c>
      <c r="E485" s="2">
        <v>90</v>
      </c>
      <c r="F485" s="2">
        <v>15</v>
      </c>
      <c r="G485" s="2" t="s">
        <v>502</v>
      </c>
    </row>
    <row r="486" spans="1:7" x14ac:dyDescent="0.25">
      <c r="A486" s="2" t="s">
        <v>1202</v>
      </c>
      <c r="B486" s="2" t="s">
        <v>22</v>
      </c>
      <c r="C486" s="2" t="s">
        <v>487</v>
      </c>
      <c r="D486" s="2">
        <v>40</v>
      </c>
      <c r="E486" s="2">
        <v>100</v>
      </c>
      <c r="F486" s="2">
        <v>15</v>
      </c>
      <c r="G486" s="2" t="s">
        <v>2332</v>
      </c>
    </row>
    <row r="487" spans="1:7" x14ac:dyDescent="0.25">
      <c r="A487" s="2" t="s">
        <v>1331</v>
      </c>
      <c r="B487" s="2" t="s">
        <v>15</v>
      </c>
      <c r="C487" s="2" t="s">
        <v>487</v>
      </c>
      <c r="D487" s="2" t="s">
        <v>100</v>
      </c>
      <c r="E487" s="2">
        <v>100</v>
      </c>
      <c r="F487" s="2">
        <v>10</v>
      </c>
      <c r="G487" s="2" t="s">
        <v>2333</v>
      </c>
    </row>
    <row r="488" spans="1:7" x14ac:dyDescent="0.25">
      <c r="A488" s="2" t="s">
        <v>1540</v>
      </c>
      <c r="B488" s="2" t="s">
        <v>15</v>
      </c>
      <c r="C488" s="2" t="s">
        <v>487</v>
      </c>
      <c r="D488" s="2">
        <v>55</v>
      </c>
      <c r="E488" s="2">
        <v>95</v>
      </c>
      <c r="F488" s="2">
        <v>15</v>
      </c>
      <c r="G488" s="2" t="s">
        <v>564</v>
      </c>
    </row>
    <row r="489" spans="1:7" x14ac:dyDescent="0.25">
      <c r="A489" s="2" t="s">
        <v>1479</v>
      </c>
      <c r="B489" s="2" t="s">
        <v>22</v>
      </c>
      <c r="C489" s="2" t="s">
        <v>490</v>
      </c>
      <c r="D489" s="2" t="s">
        <v>100</v>
      </c>
      <c r="E489" s="2">
        <v>100</v>
      </c>
      <c r="F489" s="2">
        <v>15</v>
      </c>
      <c r="G489" s="2" t="s">
        <v>2334</v>
      </c>
    </row>
    <row r="490" spans="1:7" x14ac:dyDescent="0.25">
      <c r="A490" s="2" t="s">
        <v>2040</v>
      </c>
      <c r="B490" s="2" t="s">
        <v>17</v>
      </c>
      <c r="C490" s="2" t="s">
        <v>487</v>
      </c>
      <c r="D490" s="2">
        <v>80</v>
      </c>
      <c r="E490" s="2">
        <v>100</v>
      </c>
      <c r="F490" s="2">
        <v>10</v>
      </c>
      <c r="G490" s="2" t="s">
        <v>2272</v>
      </c>
    </row>
    <row r="491" spans="1:7" x14ac:dyDescent="0.25">
      <c r="A491" s="2" t="s">
        <v>1307</v>
      </c>
      <c r="B491" s="2" t="s">
        <v>16</v>
      </c>
      <c r="C491" s="2" t="s">
        <v>487</v>
      </c>
      <c r="D491" s="2" t="s">
        <v>100</v>
      </c>
      <c r="E491" s="2">
        <v>100</v>
      </c>
      <c r="F491" s="2">
        <v>5</v>
      </c>
      <c r="G491" s="2" t="s">
        <v>2335</v>
      </c>
    </row>
    <row r="492" spans="1:7" x14ac:dyDescent="0.25">
      <c r="A492" s="2" t="s">
        <v>2336</v>
      </c>
      <c r="B492" s="2" t="s">
        <v>17</v>
      </c>
      <c r="C492" s="2" t="s">
        <v>487</v>
      </c>
      <c r="D492" s="2">
        <v>50</v>
      </c>
      <c r="E492" s="2">
        <v>100</v>
      </c>
      <c r="F492" s="2">
        <v>10</v>
      </c>
      <c r="G492" s="2" t="s">
        <v>2337</v>
      </c>
    </row>
    <row r="493" spans="1:7" x14ac:dyDescent="0.25">
      <c r="A493" s="2" t="s">
        <v>1220</v>
      </c>
      <c r="B493" s="2" t="s">
        <v>17</v>
      </c>
      <c r="C493" s="2" t="s">
        <v>487</v>
      </c>
      <c r="D493" s="2">
        <v>70</v>
      </c>
      <c r="E493" s="2">
        <v>100</v>
      </c>
      <c r="F493" s="2">
        <v>15</v>
      </c>
      <c r="G493" s="2" t="s">
        <v>2338</v>
      </c>
    </row>
    <row r="494" spans="1:7" x14ac:dyDescent="0.25">
      <c r="A494" s="2" t="s">
        <v>704</v>
      </c>
      <c r="B494" s="2" t="s">
        <v>17</v>
      </c>
      <c r="C494" s="2" t="s">
        <v>495</v>
      </c>
      <c r="D494" s="2">
        <v>50</v>
      </c>
      <c r="E494" s="2">
        <v>100</v>
      </c>
      <c r="F494" s="2">
        <v>20</v>
      </c>
      <c r="G494" s="2" t="s">
        <v>2339</v>
      </c>
    </row>
    <row r="495" spans="1:7" x14ac:dyDescent="0.25">
      <c r="A495" s="2" t="s">
        <v>1412</v>
      </c>
      <c r="B495" s="2" t="s">
        <v>13</v>
      </c>
      <c r="C495" s="2" t="s">
        <v>495</v>
      </c>
      <c r="D495" s="2">
        <v>95</v>
      </c>
      <c r="E495" s="2">
        <v>100</v>
      </c>
      <c r="F495" s="2">
        <v>15</v>
      </c>
      <c r="G495" s="2" t="s">
        <v>2340</v>
      </c>
    </row>
    <row r="496" spans="1:7" x14ac:dyDescent="0.25">
      <c r="A496" s="2" t="s">
        <v>2053</v>
      </c>
      <c r="B496" s="2" t="s">
        <v>21</v>
      </c>
      <c r="C496" s="2" t="s">
        <v>495</v>
      </c>
      <c r="D496" s="2">
        <v>140</v>
      </c>
      <c r="E496" s="2">
        <v>90</v>
      </c>
      <c r="F496" s="2">
        <v>5</v>
      </c>
      <c r="G496" s="2" t="s">
        <v>2341</v>
      </c>
    </row>
    <row r="497" spans="1:7" x14ac:dyDescent="0.25">
      <c r="A497" s="2" t="s">
        <v>1481</v>
      </c>
      <c r="B497" s="2" t="s">
        <v>21</v>
      </c>
      <c r="C497" s="2" t="s">
        <v>487</v>
      </c>
      <c r="D497" s="2">
        <v>40</v>
      </c>
      <c r="E497" s="2">
        <v>90</v>
      </c>
      <c r="F497" s="2">
        <v>10</v>
      </c>
      <c r="G497" s="2" t="s">
        <v>2342</v>
      </c>
    </row>
    <row r="498" spans="1:7" x14ac:dyDescent="0.25">
      <c r="A498" s="2" t="s">
        <v>2049</v>
      </c>
      <c r="B498" s="2" t="s">
        <v>15</v>
      </c>
      <c r="C498" s="2" t="s">
        <v>495</v>
      </c>
      <c r="D498" s="2">
        <v>100</v>
      </c>
      <c r="E498" s="2">
        <v>100</v>
      </c>
      <c r="F498" s="2">
        <v>5</v>
      </c>
      <c r="G498" s="2" t="s">
        <v>2343</v>
      </c>
    </row>
    <row r="499" spans="1:7" x14ac:dyDescent="0.25">
      <c r="A499" s="2" t="s">
        <v>2046</v>
      </c>
      <c r="B499" s="2" t="s">
        <v>17</v>
      </c>
      <c r="C499" s="2" t="s">
        <v>487</v>
      </c>
      <c r="D499" s="2">
        <v>100</v>
      </c>
      <c r="E499" s="2">
        <v>100</v>
      </c>
      <c r="F499" s="2">
        <v>5</v>
      </c>
      <c r="G499" s="2" t="s">
        <v>2344</v>
      </c>
    </row>
    <row r="500" spans="1:7" x14ac:dyDescent="0.25">
      <c r="A500" s="2" t="s">
        <v>1999</v>
      </c>
      <c r="B500" s="2" t="s">
        <v>24</v>
      </c>
      <c r="C500" s="2" t="s">
        <v>495</v>
      </c>
      <c r="D500" s="2">
        <v>50</v>
      </c>
      <c r="E500" s="2">
        <v>85</v>
      </c>
      <c r="F500" s="2">
        <v>15</v>
      </c>
      <c r="G500" s="2" t="s">
        <v>502</v>
      </c>
    </row>
    <row r="501" spans="1:7" x14ac:dyDescent="0.25">
      <c r="A501" s="2" t="s">
        <v>2051</v>
      </c>
      <c r="B501" s="2" t="s">
        <v>21</v>
      </c>
      <c r="C501" s="2" t="s">
        <v>487</v>
      </c>
      <c r="D501" s="2">
        <v>65</v>
      </c>
      <c r="E501" s="2">
        <v>95</v>
      </c>
      <c r="F501" s="2">
        <v>10</v>
      </c>
      <c r="G501" s="2" t="s">
        <v>564</v>
      </c>
    </row>
    <row r="502" spans="1:7" x14ac:dyDescent="0.25">
      <c r="A502" s="2" t="s">
        <v>2345</v>
      </c>
      <c r="B502" s="2" t="s">
        <v>19</v>
      </c>
      <c r="C502" s="2" t="s">
        <v>487</v>
      </c>
      <c r="D502" s="2">
        <v>50</v>
      </c>
      <c r="E502" s="2">
        <v>100</v>
      </c>
      <c r="F502" s="2">
        <v>10</v>
      </c>
      <c r="G502" s="2" t="s">
        <v>2346</v>
      </c>
    </row>
    <row r="503" spans="1:7" x14ac:dyDescent="0.25">
      <c r="A503" s="2" t="s">
        <v>1438</v>
      </c>
      <c r="B503" s="2" t="s">
        <v>7</v>
      </c>
      <c r="C503" s="2" t="s">
        <v>490</v>
      </c>
      <c r="D503" s="2" t="s">
        <v>100</v>
      </c>
      <c r="E503" s="2" t="s">
        <v>100</v>
      </c>
      <c r="F503" s="2">
        <v>10</v>
      </c>
      <c r="G503" s="2" t="s">
        <v>2347</v>
      </c>
    </row>
    <row r="504" spans="1:7" x14ac:dyDescent="0.25">
      <c r="A504" s="2" t="s">
        <v>2028</v>
      </c>
      <c r="B504" s="2" t="s">
        <v>22</v>
      </c>
      <c r="C504" s="2" t="s">
        <v>495</v>
      </c>
      <c r="D504" s="2">
        <v>120</v>
      </c>
      <c r="E504" s="2">
        <v>100</v>
      </c>
      <c r="F504" s="2">
        <v>15</v>
      </c>
      <c r="G504" s="2" t="s">
        <v>514</v>
      </c>
    </row>
    <row r="505" spans="1:7" x14ac:dyDescent="0.25">
      <c r="A505" s="2" t="s">
        <v>1383</v>
      </c>
      <c r="B505" s="2" t="s">
        <v>7</v>
      </c>
      <c r="C505" s="2" t="s">
        <v>490</v>
      </c>
      <c r="D505" s="2" t="s">
        <v>100</v>
      </c>
      <c r="E505" s="2" t="s">
        <v>100</v>
      </c>
      <c r="F505" s="2">
        <v>10</v>
      </c>
      <c r="G505" s="2" t="s">
        <v>2348</v>
      </c>
    </row>
    <row r="506" spans="1:7" x14ac:dyDescent="0.25">
      <c r="A506" s="2" t="s">
        <v>1513</v>
      </c>
      <c r="B506" s="2" t="s">
        <v>7</v>
      </c>
      <c r="C506" s="2" t="s">
        <v>495</v>
      </c>
      <c r="D506" s="2">
        <v>60</v>
      </c>
      <c r="E506" s="2">
        <v>100</v>
      </c>
      <c r="F506" s="2">
        <v>25</v>
      </c>
      <c r="G506" s="2" t="s">
        <v>499</v>
      </c>
    </row>
    <row r="507" spans="1:7" x14ac:dyDescent="0.25">
      <c r="A507" s="2" t="s">
        <v>1896</v>
      </c>
      <c r="B507" s="2" t="s">
        <v>17</v>
      </c>
      <c r="C507" s="2" t="s">
        <v>495</v>
      </c>
      <c r="D507" s="2" t="s">
        <v>100</v>
      </c>
      <c r="E507" s="2">
        <v>100</v>
      </c>
      <c r="F507" s="2">
        <v>10</v>
      </c>
      <c r="G507" s="2" t="s">
        <v>2349</v>
      </c>
    </row>
    <row r="508" spans="1:7" x14ac:dyDescent="0.25">
      <c r="A508" s="2" t="s">
        <v>1447</v>
      </c>
      <c r="B508" s="2" t="s">
        <v>24</v>
      </c>
      <c r="C508" s="2" t="s">
        <v>495</v>
      </c>
      <c r="D508" s="2" t="s">
        <v>100</v>
      </c>
      <c r="E508" s="2">
        <v>100</v>
      </c>
      <c r="F508" s="2">
        <v>10</v>
      </c>
      <c r="G508" s="2" t="s">
        <v>2349</v>
      </c>
    </row>
    <row r="509" spans="1:7" x14ac:dyDescent="0.25">
      <c r="A509" s="2" t="s">
        <v>1388</v>
      </c>
      <c r="B509" s="2" t="s">
        <v>8</v>
      </c>
      <c r="C509" s="2" t="s">
        <v>487</v>
      </c>
      <c r="D509" s="2">
        <v>50</v>
      </c>
      <c r="E509" s="2">
        <v>100</v>
      </c>
      <c r="F509" s="2">
        <v>10</v>
      </c>
      <c r="G509" s="2" t="s">
        <v>2350</v>
      </c>
    </row>
    <row r="510" spans="1:7" x14ac:dyDescent="0.25">
      <c r="A510" s="2" t="s">
        <v>1222</v>
      </c>
      <c r="B510" s="2" t="s">
        <v>13</v>
      </c>
      <c r="C510" s="2" t="s">
        <v>490</v>
      </c>
      <c r="D510" s="2" t="s">
        <v>100</v>
      </c>
      <c r="E510" s="2" t="s">
        <v>100</v>
      </c>
      <c r="F510" s="2">
        <v>15</v>
      </c>
      <c r="G510" s="2" t="s">
        <v>2351</v>
      </c>
    </row>
    <row r="511" spans="1:7" x14ac:dyDescent="0.25">
      <c r="A511" s="2" t="s">
        <v>1985</v>
      </c>
      <c r="B511" s="2" t="s">
        <v>19</v>
      </c>
      <c r="C511" s="2" t="s">
        <v>495</v>
      </c>
      <c r="D511" s="2">
        <v>75</v>
      </c>
      <c r="E511" s="2">
        <v>100</v>
      </c>
      <c r="F511" s="2">
        <v>10</v>
      </c>
      <c r="G511" s="2" t="s">
        <v>488</v>
      </c>
    </row>
    <row r="512" spans="1:7" x14ac:dyDescent="0.25">
      <c r="A512" s="2" t="s">
        <v>1291</v>
      </c>
      <c r="B512" s="2" t="s">
        <v>18</v>
      </c>
      <c r="C512" s="2" t="s">
        <v>487</v>
      </c>
      <c r="D512" s="2">
        <v>120</v>
      </c>
      <c r="E512" s="2">
        <v>70</v>
      </c>
      <c r="F512" s="2">
        <v>10</v>
      </c>
      <c r="G512" s="2" t="s">
        <v>505</v>
      </c>
    </row>
    <row r="513" spans="1:7" x14ac:dyDescent="0.25">
      <c r="A513" s="2" t="s">
        <v>2052</v>
      </c>
      <c r="B513" s="2" t="s">
        <v>21</v>
      </c>
      <c r="C513" s="2" t="s">
        <v>487</v>
      </c>
      <c r="D513" s="2">
        <v>140</v>
      </c>
      <c r="E513" s="2">
        <v>90</v>
      </c>
      <c r="F513" s="2">
        <v>5</v>
      </c>
      <c r="G513" s="2" t="s">
        <v>2352</v>
      </c>
    </row>
    <row r="514" spans="1:7" x14ac:dyDescent="0.25">
      <c r="A514" s="2" t="s">
        <v>1488</v>
      </c>
      <c r="B514" s="2" t="s">
        <v>21</v>
      </c>
      <c r="C514" s="2" t="s">
        <v>495</v>
      </c>
      <c r="D514" s="2">
        <v>85</v>
      </c>
      <c r="E514" s="2">
        <v>90</v>
      </c>
      <c r="F514" s="2">
        <v>10</v>
      </c>
      <c r="G514" s="2" t="s">
        <v>499</v>
      </c>
    </row>
    <row r="515" spans="1:7" x14ac:dyDescent="0.25">
      <c r="A515" s="2" t="s">
        <v>1229</v>
      </c>
      <c r="B515" s="2" t="s">
        <v>17</v>
      </c>
      <c r="C515" s="2" t="s">
        <v>487</v>
      </c>
      <c r="D515" s="2">
        <v>30</v>
      </c>
      <c r="E515" s="2">
        <v>100</v>
      </c>
      <c r="F515" s="2">
        <v>15</v>
      </c>
      <c r="G515" s="2" t="s">
        <v>2353</v>
      </c>
    </row>
    <row r="516" spans="1:7" x14ac:dyDescent="0.25">
      <c r="A516" s="2" t="s">
        <v>1221</v>
      </c>
      <c r="B516" s="2" t="s">
        <v>17</v>
      </c>
      <c r="C516" s="2" t="s">
        <v>487</v>
      </c>
      <c r="D516" s="2">
        <v>100</v>
      </c>
      <c r="E516" s="2">
        <v>50</v>
      </c>
      <c r="F516" s="2">
        <v>5</v>
      </c>
      <c r="G516" s="2" t="s">
        <v>2262</v>
      </c>
    </row>
    <row r="517" spans="1:7" x14ac:dyDescent="0.25">
      <c r="A517" s="2" t="s">
        <v>1453</v>
      </c>
      <c r="B517" s="2" t="s">
        <v>19</v>
      </c>
      <c r="C517" s="2" t="s">
        <v>487</v>
      </c>
      <c r="D517" s="2">
        <v>65</v>
      </c>
      <c r="E517" s="2">
        <v>90</v>
      </c>
      <c r="F517" s="2">
        <v>10</v>
      </c>
      <c r="G517" s="2" t="s">
        <v>2172</v>
      </c>
    </row>
    <row r="518" spans="1:7" x14ac:dyDescent="0.25">
      <c r="A518" s="2" t="s">
        <v>1423</v>
      </c>
      <c r="B518" s="2" t="s">
        <v>16</v>
      </c>
      <c r="C518" s="2" t="s">
        <v>495</v>
      </c>
      <c r="D518" s="2">
        <v>60</v>
      </c>
      <c r="E518" s="2">
        <v>100</v>
      </c>
      <c r="F518" s="2">
        <v>20</v>
      </c>
      <c r="G518" s="2" t="s">
        <v>564</v>
      </c>
    </row>
    <row r="519" spans="1:7" x14ac:dyDescent="0.25">
      <c r="A519" s="2" t="s">
        <v>1510</v>
      </c>
      <c r="B519" s="2" t="s">
        <v>7</v>
      </c>
      <c r="C519" s="2" t="s">
        <v>490</v>
      </c>
      <c r="D519" s="2" t="s">
        <v>100</v>
      </c>
      <c r="E519" s="2" t="s">
        <v>100</v>
      </c>
      <c r="F519" s="2">
        <v>10</v>
      </c>
      <c r="G519" s="2" t="s">
        <v>2354</v>
      </c>
    </row>
    <row r="520" spans="1:7" x14ac:dyDescent="0.25">
      <c r="A520" s="2" t="s">
        <v>1968</v>
      </c>
      <c r="B520" s="2" t="s">
        <v>13</v>
      </c>
      <c r="C520" s="2" t="s">
        <v>487</v>
      </c>
      <c r="D520" s="2">
        <v>85</v>
      </c>
      <c r="E520" s="2">
        <v>95</v>
      </c>
      <c r="F520" s="2">
        <v>10</v>
      </c>
      <c r="G520" s="2" t="s">
        <v>2172</v>
      </c>
    </row>
    <row r="521" spans="1:7" x14ac:dyDescent="0.25">
      <c r="A521" s="2" t="s">
        <v>1509</v>
      </c>
      <c r="B521" s="2" t="s">
        <v>7</v>
      </c>
      <c r="C521" s="2" t="s">
        <v>490</v>
      </c>
      <c r="D521" s="2" t="s">
        <v>100</v>
      </c>
      <c r="E521" s="2" t="s">
        <v>100</v>
      </c>
      <c r="F521" s="2">
        <v>10</v>
      </c>
      <c r="G521" s="2" t="s">
        <v>2355</v>
      </c>
    </row>
    <row r="522" spans="1:7" x14ac:dyDescent="0.25">
      <c r="A522" s="2" t="s">
        <v>1377</v>
      </c>
      <c r="B522" s="2" t="s">
        <v>7</v>
      </c>
      <c r="C522" s="2" t="s">
        <v>487</v>
      </c>
      <c r="D522" s="2">
        <v>80</v>
      </c>
      <c r="E522" s="2">
        <v>100</v>
      </c>
      <c r="F522" s="2">
        <v>10</v>
      </c>
      <c r="G522" s="2" t="s">
        <v>2356</v>
      </c>
    </row>
    <row r="523" spans="1:7" x14ac:dyDescent="0.25">
      <c r="A523" s="2" t="s">
        <v>1521</v>
      </c>
      <c r="B523" s="2" t="s">
        <v>7</v>
      </c>
      <c r="C523" s="2" t="s">
        <v>487</v>
      </c>
      <c r="D523" s="2">
        <v>100</v>
      </c>
      <c r="E523" s="2">
        <v>100</v>
      </c>
      <c r="F523" s="2">
        <v>10</v>
      </c>
      <c r="G523" s="2" t="s">
        <v>2356</v>
      </c>
    </row>
    <row r="524" spans="1:7" x14ac:dyDescent="0.25">
      <c r="A524" s="2" t="s">
        <v>1364</v>
      </c>
      <c r="B524" s="2" t="s">
        <v>13</v>
      </c>
      <c r="C524" s="2" t="s">
        <v>490</v>
      </c>
      <c r="D524" s="2" t="s">
        <v>100</v>
      </c>
      <c r="E524" s="2">
        <v>100</v>
      </c>
      <c r="F524" s="2">
        <v>15</v>
      </c>
      <c r="G524" s="2" t="s">
        <v>2357</v>
      </c>
    </row>
    <row r="525" spans="1:7" x14ac:dyDescent="0.25">
      <c r="A525" s="2" t="s">
        <v>1448</v>
      </c>
      <c r="B525" s="2" t="s">
        <v>16</v>
      </c>
      <c r="C525" s="2" t="s">
        <v>490</v>
      </c>
      <c r="D525" s="2" t="s">
        <v>100</v>
      </c>
      <c r="E525" s="2" t="s">
        <v>100</v>
      </c>
      <c r="F525" s="2">
        <v>15</v>
      </c>
      <c r="G525" s="2" t="s">
        <v>2358</v>
      </c>
    </row>
    <row r="526" spans="1:7" x14ac:dyDescent="0.25">
      <c r="A526" s="2" t="s">
        <v>1272</v>
      </c>
      <c r="B526" s="2" t="s">
        <v>12</v>
      </c>
      <c r="C526" s="2" t="s">
        <v>490</v>
      </c>
      <c r="D526" s="2" t="s">
        <v>100</v>
      </c>
      <c r="E526" s="2" t="s">
        <v>100</v>
      </c>
      <c r="F526" s="2">
        <v>20</v>
      </c>
      <c r="G526" s="2" t="s">
        <v>2359</v>
      </c>
    </row>
    <row r="527" spans="1:7" x14ac:dyDescent="0.25">
      <c r="A527" s="2" t="s">
        <v>1269</v>
      </c>
      <c r="B527" s="2" t="s">
        <v>12</v>
      </c>
      <c r="C527" s="2" t="s">
        <v>490</v>
      </c>
      <c r="D527" s="2" t="s">
        <v>100</v>
      </c>
      <c r="E527" s="2" t="s">
        <v>100</v>
      </c>
      <c r="F527" s="2">
        <v>20</v>
      </c>
      <c r="G527" s="2" t="s">
        <v>2360</v>
      </c>
    </row>
    <row r="528" spans="1:7" x14ac:dyDescent="0.25">
      <c r="A528" s="2" t="s">
        <v>1484</v>
      </c>
      <c r="B528" s="2" t="s">
        <v>25</v>
      </c>
      <c r="C528" s="2" t="s">
        <v>495</v>
      </c>
      <c r="D528" s="2">
        <v>75</v>
      </c>
      <c r="E528" s="2">
        <v>95</v>
      </c>
      <c r="F528" s="2">
        <v>10</v>
      </c>
      <c r="G528" s="2" t="s">
        <v>2149</v>
      </c>
    </row>
    <row r="529" spans="1:7" x14ac:dyDescent="0.25">
      <c r="A529" s="2" t="s">
        <v>1491</v>
      </c>
      <c r="B529" s="2" t="s">
        <v>22</v>
      </c>
      <c r="C529" s="2" t="s">
        <v>490</v>
      </c>
      <c r="D529" s="2" t="s">
        <v>100</v>
      </c>
      <c r="E529" s="2" t="s">
        <v>100</v>
      </c>
      <c r="F529" s="2">
        <v>15</v>
      </c>
      <c r="G529" s="2" t="s">
        <v>2361</v>
      </c>
    </row>
    <row r="530" spans="1:7" x14ac:dyDescent="0.25">
      <c r="A530" s="2" t="s">
        <v>2362</v>
      </c>
      <c r="B530" s="2" t="s">
        <v>22</v>
      </c>
      <c r="C530" s="2" t="s">
        <v>487</v>
      </c>
      <c r="D530" s="2">
        <v>75</v>
      </c>
      <c r="E530" s="2">
        <v>100</v>
      </c>
      <c r="F530" s="2">
        <v>10</v>
      </c>
      <c r="G530" s="2" t="s">
        <v>2363</v>
      </c>
    </row>
    <row r="531" spans="1:7" x14ac:dyDescent="0.25">
      <c r="A531" s="2" t="s">
        <v>1300</v>
      </c>
      <c r="B531" s="2" t="s">
        <v>22</v>
      </c>
      <c r="C531" s="2" t="s">
        <v>495</v>
      </c>
      <c r="D531" s="2">
        <v>70</v>
      </c>
      <c r="E531" s="2">
        <v>100</v>
      </c>
      <c r="F531" s="2">
        <v>5</v>
      </c>
      <c r="G531" s="2" t="s">
        <v>2364</v>
      </c>
    </row>
    <row r="532" spans="1:7" x14ac:dyDescent="0.25">
      <c r="A532" s="2" t="s">
        <v>1201</v>
      </c>
      <c r="B532" s="2" t="s">
        <v>22</v>
      </c>
      <c r="C532" s="2" t="s">
        <v>487</v>
      </c>
      <c r="D532" s="2">
        <v>60</v>
      </c>
      <c r="E532" s="2">
        <v>100</v>
      </c>
      <c r="F532" s="2">
        <v>15</v>
      </c>
      <c r="G532" s="2" t="s">
        <v>2332</v>
      </c>
    </row>
    <row r="533" spans="1:7" x14ac:dyDescent="0.25">
      <c r="A533" s="2" t="s">
        <v>2042</v>
      </c>
      <c r="B533" s="2" t="s">
        <v>16</v>
      </c>
      <c r="C533" s="2" t="s">
        <v>495</v>
      </c>
      <c r="D533" s="2">
        <v>90</v>
      </c>
      <c r="E533" s="2">
        <v>100</v>
      </c>
      <c r="F533" s="2">
        <v>20</v>
      </c>
      <c r="G533" s="2" t="s">
        <v>2328</v>
      </c>
    </row>
    <row r="534" spans="1:7" x14ac:dyDescent="0.25">
      <c r="A534" s="2" t="s">
        <v>1253</v>
      </c>
      <c r="B534" s="2" t="s">
        <v>25</v>
      </c>
      <c r="C534" s="2" t="s">
        <v>487</v>
      </c>
      <c r="D534" s="2">
        <v>80</v>
      </c>
      <c r="E534" s="2">
        <v>100</v>
      </c>
      <c r="F534" s="2">
        <v>15</v>
      </c>
      <c r="G534" s="2" t="s">
        <v>518</v>
      </c>
    </row>
    <row r="535" spans="1:7" x14ac:dyDescent="0.25">
      <c r="A535" s="2" t="s">
        <v>1891</v>
      </c>
      <c r="B535" s="2" t="s">
        <v>17</v>
      </c>
      <c r="C535" s="2" t="s">
        <v>487</v>
      </c>
      <c r="D535" s="2">
        <v>100</v>
      </c>
      <c r="E535" s="2">
        <v>100</v>
      </c>
      <c r="F535" s="2">
        <v>5</v>
      </c>
      <c r="G535" s="2" t="s">
        <v>518</v>
      </c>
    </row>
    <row r="536" spans="1:7" x14ac:dyDescent="0.25">
      <c r="A536" s="2" t="s">
        <v>2365</v>
      </c>
      <c r="B536" s="2" t="s">
        <v>16</v>
      </c>
      <c r="C536" s="2" t="s">
        <v>487</v>
      </c>
      <c r="D536" s="2">
        <v>85</v>
      </c>
      <c r="E536" s="2">
        <v>100</v>
      </c>
      <c r="F536" s="2">
        <v>10</v>
      </c>
      <c r="G536" s="2" t="s">
        <v>2356</v>
      </c>
    </row>
    <row r="537" spans="1:7" x14ac:dyDescent="0.25">
      <c r="A537" s="2" t="s">
        <v>1486</v>
      </c>
      <c r="B537" s="2" t="s">
        <v>22</v>
      </c>
      <c r="C537" s="2" t="s">
        <v>490</v>
      </c>
      <c r="D537" s="2" t="s">
        <v>100</v>
      </c>
      <c r="E537" s="2" t="s">
        <v>100</v>
      </c>
      <c r="F537" s="2">
        <v>15</v>
      </c>
      <c r="G537" s="2" t="s">
        <v>2366</v>
      </c>
    </row>
    <row r="538" spans="1:7" x14ac:dyDescent="0.25">
      <c r="A538" s="2" t="s">
        <v>2000</v>
      </c>
      <c r="B538" s="2" t="s">
        <v>24</v>
      </c>
      <c r="C538" s="2" t="s">
        <v>490</v>
      </c>
      <c r="D538" s="2" t="s">
        <v>100</v>
      </c>
      <c r="E538" s="2" t="s">
        <v>100</v>
      </c>
      <c r="F538" s="2">
        <v>10</v>
      </c>
      <c r="G538" s="2" t="s">
        <v>2367</v>
      </c>
    </row>
    <row r="539" spans="1:7" x14ac:dyDescent="0.25">
      <c r="A539" s="2" t="s">
        <v>1421</v>
      </c>
      <c r="B539" s="2" t="s">
        <v>22</v>
      </c>
      <c r="C539" s="2" t="s">
        <v>490</v>
      </c>
      <c r="D539" s="2" t="s">
        <v>100</v>
      </c>
      <c r="E539" s="2">
        <v>100</v>
      </c>
      <c r="F539" s="2">
        <v>15</v>
      </c>
      <c r="G539" s="2" t="s">
        <v>2368</v>
      </c>
    </row>
    <row r="540" spans="1:7" x14ac:dyDescent="0.25">
      <c r="A540" s="2" t="s">
        <v>1244</v>
      </c>
      <c r="B540" s="2" t="s">
        <v>18</v>
      </c>
      <c r="C540" s="2" t="s">
        <v>495</v>
      </c>
      <c r="D540" s="2">
        <v>60</v>
      </c>
      <c r="E540" s="2">
        <v>100</v>
      </c>
      <c r="F540" s="2">
        <v>10</v>
      </c>
      <c r="G540" s="2" t="s">
        <v>2369</v>
      </c>
    </row>
    <row r="541" spans="1:7" x14ac:dyDescent="0.25">
      <c r="A541" s="2" t="s">
        <v>1320</v>
      </c>
      <c r="B541" s="2" t="s">
        <v>9</v>
      </c>
      <c r="C541" s="2" t="s">
        <v>487</v>
      </c>
      <c r="D541" s="2">
        <v>95</v>
      </c>
      <c r="E541" s="2">
        <v>100</v>
      </c>
      <c r="F541" s="2">
        <v>10</v>
      </c>
      <c r="G541" s="2" t="s">
        <v>559</v>
      </c>
    </row>
    <row r="542" spans="1:7" x14ac:dyDescent="0.25">
      <c r="A542" s="2" t="s">
        <v>1265</v>
      </c>
      <c r="B542" s="2" t="s">
        <v>23</v>
      </c>
      <c r="C542" s="2" t="s">
        <v>495</v>
      </c>
      <c r="D542" s="2">
        <v>50</v>
      </c>
      <c r="E542" s="2">
        <v>100</v>
      </c>
      <c r="F542" s="2">
        <v>15</v>
      </c>
      <c r="G542" s="2" t="s">
        <v>2370</v>
      </c>
    </row>
    <row r="543" spans="1:7" x14ac:dyDescent="0.25">
      <c r="A543" s="2" t="s">
        <v>1427</v>
      </c>
      <c r="B543" s="2" t="s">
        <v>13</v>
      </c>
      <c r="C543" s="2" t="s">
        <v>487</v>
      </c>
      <c r="D543" s="2">
        <v>55</v>
      </c>
      <c r="E543" s="2">
        <v>95</v>
      </c>
      <c r="F543" s="2">
        <v>15</v>
      </c>
      <c r="G543" s="2" t="s">
        <v>2371</v>
      </c>
    </row>
    <row r="544" spans="1:7" x14ac:dyDescent="0.25">
      <c r="A544" s="2" t="s">
        <v>1416</v>
      </c>
      <c r="B544" s="2" t="s">
        <v>25</v>
      </c>
      <c r="C544" s="2" t="s">
        <v>490</v>
      </c>
      <c r="D544" s="2" t="s">
        <v>100</v>
      </c>
      <c r="E544" s="2">
        <v>100</v>
      </c>
      <c r="F544" s="2">
        <v>20</v>
      </c>
      <c r="G544" s="2" t="s">
        <v>2372</v>
      </c>
    </row>
    <row r="545" spans="1:7" x14ac:dyDescent="0.25">
      <c r="A545" s="2" t="s">
        <v>1462</v>
      </c>
      <c r="B545" s="2" t="s">
        <v>12</v>
      </c>
      <c r="C545" s="2" t="s">
        <v>495</v>
      </c>
      <c r="D545" s="2">
        <v>65</v>
      </c>
      <c r="E545" s="2">
        <v>100</v>
      </c>
      <c r="F545" s="2">
        <v>20</v>
      </c>
      <c r="G545" s="2" t="s">
        <v>499</v>
      </c>
    </row>
    <row r="546" spans="1:7" x14ac:dyDescent="0.25">
      <c r="A546" s="2" t="s">
        <v>1369</v>
      </c>
      <c r="B546" s="2" t="s">
        <v>7</v>
      </c>
      <c r="C546" s="2" t="s">
        <v>487</v>
      </c>
      <c r="D546" s="2">
        <v>20</v>
      </c>
      <c r="E546" s="2">
        <v>100</v>
      </c>
      <c r="F546" s="2">
        <v>10</v>
      </c>
      <c r="G546" s="2" t="s">
        <v>2373</v>
      </c>
    </row>
    <row r="547" spans="1:7" x14ac:dyDescent="0.25">
      <c r="A547" s="2" t="s">
        <v>1516</v>
      </c>
      <c r="B547" s="2" t="s">
        <v>16</v>
      </c>
      <c r="C547" s="2" t="s">
        <v>495</v>
      </c>
      <c r="D547" s="2">
        <v>40</v>
      </c>
      <c r="E547" s="2">
        <v>100</v>
      </c>
      <c r="F547" s="2">
        <v>10</v>
      </c>
      <c r="G547" s="2" t="s">
        <v>2342</v>
      </c>
    </row>
    <row r="548" spans="1:7" x14ac:dyDescent="0.25">
      <c r="A548" s="2" t="s">
        <v>1276</v>
      </c>
      <c r="B548" s="2" t="s">
        <v>12</v>
      </c>
      <c r="C548" s="2" t="s">
        <v>487</v>
      </c>
      <c r="D548" s="2">
        <v>30</v>
      </c>
      <c r="E548" s="2">
        <v>100</v>
      </c>
      <c r="F548" s="2">
        <v>20</v>
      </c>
      <c r="G548" s="2" t="s">
        <v>2371</v>
      </c>
    </row>
    <row r="549" spans="1:7" x14ac:dyDescent="0.25">
      <c r="A549" s="2" t="s">
        <v>1420</v>
      </c>
      <c r="B549" s="2" t="s">
        <v>7</v>
      </c>
      <c r="C549" s="2" t="s">
        <v>487</v>
      </c>
      <c r="D549" s="2">
        <v>70</v>
      </c>
      <c r="E549" s="2">
        <v>100</v>
      </c>
      <c r="F549" s="2">
        <v>15</v>
      </c>
      <c r="G549" s="2" t="s">
        <v>2374</v>
      </c>
    </row>
    <row r="550" spans="1:7" x14ac:dyDescent="0.25">
      <c r="A550" s="2" t="s">
        <v>1394</v>
      </c>
      <c r="B550" s="2" t="s">
        <v>22</v>
      </c>
      <c r="C550" s="2" t="s">
        <v>495</v>
      </c>
      <c r="D550" s="2">
        <v>25</v>
      </c>
      <c r="E550" s="2">
        <v>85</v>
      </c>
      <c r="F550" s="2">
        <v>10</v>
      </c>
      <c r="G550" s="2" t="s">
        <v>496</v>
      </c>
    </row>
    <row r="551" spans="1:7" x14ac:dyDescent="0.25">
      <c r="A551" s="2" t="s">
        <v>2055</v>
      </c>
      <c r="B551" s="2" t="s">
        <v>22</v>
      </c>
      <c r="C551" s="2" t="s">
        <v>487</v>
      </c>
      <c r="D551" s="2">
        <v>85</v>
      </c>
      <c r="E551" s="2">
        <v>100</v>
      </c>
      <c r="F551" s="2">
        <v>5</v>
      </c>
      <c r="G551" s="2" t="s">
        <v>2375</v>
      </c>
    </row>
    <row r="552" spans="1:7" x14ac:dyDescent="0.25">
      <c r="A552" s="2" t="s">
        <v>1441</v>
      </c>
      <c r="B552" s="2" t="s">
        <v>7</v>
      </c>
      <c r="C552" s="2" t="s">
        <v>490</v>
      </c>
      <c r="D552" s="2" t="s">
        <v>100</v>
      </c>
      <c r="E552" s="2" t="s">
        <v>100</v>
      </c>
      <c r="F552" s="2">
        <v>15</v>
      </c>
      <c r="G552" s="2" t="s">
        <v>2376</v>
      </c>
    </row>
    <row r="553" spans="1:7" x14ac:dyDescent="0.25">
      <c r="A553" s="2" t="s">
        <v>2377</v>
      </c>
      <c r="B553" s="2" t="s">
        <v>17</v>
      </c>
      <c r="C553" s="2" t="s">
        <v>495</v>
      </c>
      <c r="D553" s="2">
        <v>180</v>
      </c>
      <c r="E553" s="2">
        <v>95</v>
      </c>
      <c r="F553" s="2">
        <v>5</v>
      </c>
      <c r="G553" s="2" t="s">
        <v>2378</v>
      </c>
    </row>
    <row r="554" spans="1:7" x14ac:dyDescent="0.25">
      <c r="A554" s="2" t="s">
        <v>1191</v>
      </c>
      <c r="B554" s="2" t="s">
        <v>9</v>
      </c>
      <c r="C554" s="2" t="s">
        <v>487</v>
      </c>
      <c r="D554" s="2">
        <v>65</v>
      </c>
      <c r="E554" s="2">
        <v>100</v>
      </c>
      <c r="F554" s="2">
        <v>10</v>
      </c>
      <c r="G554" s="2" t="s">
        <v>2379</v>
      </c>
    </row>
    <row r="555" spans="1:7" x14ac:dyDescent="0.25">
      <c r="A555" s="2" t="s">
        <v>1335</v>
      </c>
      <c r="B555" s="2" t="s">
        <v>15</v>
      </c>
      <c r="C555" s="2" t="s">
        <v>487</v>
      </c>
      <c r="D555" s="2">
        <v>70</v>
      </c>
      <c r="E555" s="2">
        <v>100</v>
      </c>
      <c r="F555" s="2">
        <v>20</v>
      </c>
      <c r="G555" s="2" t="s">
        <v>2380</v>
      </c>
    </row>
    <row r="556" spans="1:7" x14ac:dyDescent="0.25">
      <c r="A556" s="2" t="s">
        <v>2381</v>
      </c>
      <c r="B556" s="2" t="s">
        <v>25</v>
      </c>
      <c r="C556" s="2" t="s">
        <v>487</v>
      </c>
      <c r="D556" s="2">
        <v>50</v>
      </c>
      <c r="E556" s="2">
        <v>100</v>
      </c>
      <c r="F556" s="2">
        <v>10</v>
      </c>
      <c r="G556" s="2" t="s">
        <v>2382</v>
      </c>
    </row>
    <row r="557" spans="1:7" x14ac:dyDescent="0.25">
      <c r="A557" s="2" t="s">
        <v>1449</v>
      </c>
      <c r="B557" s="2" t="s">
        <v>23</v>
      </c>
      <c r="C557" s="2" t="s">
        <v>490</v>
      </c>
      <c r="D557" s="2" t="s">
        <v>100</v>
      </c>
      <c r="E557" s="2" t="s">
        <v>100</v>
      </c>
      <c r="F557" s="2">
        <v>10</v>
      </c>
      <c r="G557" s="2" t="s">
        <v>2383</v>
      </c>
    </row>
    <row r="558" spans="1:7" x14ac:dyDescent="0.25">
      <c r="A558" s="2" t="s">
        <v>1301</v>
      </c>
      <c r="B558" s="2" t="s">
        <v>15</v>
      </c>
      <c r="C558" s="2" t="s">
        <v>495</v>
      </c>
      <c r="D558" s="2">
        <v>90</v>
      </c>
      <c r="E558" s="2">
        <v>100</v>
      </c>
      <c r="F558" s="2">
        <v>15</v>
      </c>
      <c r="G558" s="2" t="s">
        <v>514</v>
      </c>
    </row>
    <row r="559" spans="1:7" x14ac:dyDescent="0.25">
      <c r="A559" s="2" t="s">
        <v>1417</v>
      </c>
      <c r="B559" s="2" t="s">
        <v>7</v>
      </c>
      <c r="C559" s="2" t="s">
        <v>490</v>
      </c>
      <c r="D559" s="2" t="s">
        <v>100</v>
      </c>
      <c r="E559" s="2" t="s">
        <v>100</v>
      </c>
      <c r="F559" s="2">
        <v>10</v>
      </c>
      <c r="G559" s="2" t="s">
        <v>2384</v>
      </c>
    </row>
    <row r="560" spans="1:7" x14ac:dyDescent="0.25">
      <c r="A560" s="2" t="s">
        <v>1517</v>
      </c>
      <c r="B560" s="2" t="s">
        <v>22</v>
      </c>
      <c r="C560" s="2" t="s">
        <v>490</v>
      </c>
      <c r="D560" s="2" t="s">
        <v>100</v>
      </c>
      <c r="E560" s="2" t="s">
        <v>100</v>
      </c>
      <c r="F560" s="2">
        <v>30</v>
      </c>
      <c r="G560" s="2" t="s">
        <v>526</v>
      </c>
    </row>
    <row r="561" spans="1:7" x14ac:dyDescent="0.25">
      <c r="A561" s="2" t="s">
        <v>2096</v>
      </c>
      <c r="B561" s="2" t="s">
        <v>672</v>
      </c>
      <c r="C561" s="2" t="s">
        <v>490</v>
      </c>
      <c r="D561" s="2" t="s">
        <v>100</v>
      </c>
      <c r="E561" s="2">
        <v>100</v>
      </c>
      <c r="F561" s="2">
        <v>20</v>
      </c>
      <c r="G561" s="2" t="s">
        <v>2385</v>
      </c>
    </row>
    <row r="562" spans="1:7" x14ac:dyDescent="0.25">
      <c r="A562" s="2" t="s">
        <v>1386</v>
      </c>
      <c r="B562" s="2" t="s">
        <v>672</v>
      </c>
      <c r="C562" s="2" t="s">
        <v>490</v>
      </c>
      <c r="D562" s="2" t="s">
        <v>100</v>
      </c>
      <c r="E562" s="2">
        <v>100</v>
      </c>
      <c r="F562" s="2">
        <v>30</v>
      </c>
      <c r="G562" s="2" t="s">
        <v>2386</v>
      </c>
    </row>
    <row r="563" spans="1:7" x14ac:dyDescent="0.25">
      <c r="A563" s="2" t="s">
        <v>1317</v>
      </c>
      <c r="B563" s="2" t="s">
        <v>9</v>
      </c>
      <c r="C563" s="2" t="s">
        <v>487</v>
      </c>
      <c r="D563" s="2">
        <v>120</v>
      </c>
      <c r="E563" s="2">
        <v>90</v>
      </c>
      <c r="F563" s="2">
        <v>10</v>
      </c>
      <c r="G563" s="2" t="s">
        <v>2387</v>
      </c>
    </row>
    <row r="564" spans="1:7" x14ac:dyDescent="0.25">
      <c r="A564" s="2" t="s">
        <v>1659</v>
      </c>
      <c r="B564" s="2" t="s">
        <v>22</v>
      </c>
      <c r="C564" s="2" t="s">
        <v>487</v>
      </c>
      <c r="D564" s="2">
        <v>140</v>
      </c>
      <c r="E564" s="2">
        <v>100</v>
      </c>
      <c r="F564" s="2">
        <v>10</v>
      </c>
      <c r="G564" s="2" t="s">
        <v>2388</v>
      </c>
    </row>
    <row r="565" spans="1:7" x14ac:dyDescent="0.25">
      <c r="A565" s="2" t="s">
        <v>1207</v>
      </c>
      <c r="B565" s="2" t="s">
        <v>22</v>
      </c>
      <c r="C565" s="2" t="s">
        <v>490</v>
      </c>
      <c r="D565" s="2" t="s">
        <v>100</v>
      </c>
      <c r="E565" s="2" t="s">
        <v>100</v>
      </c>
      <c r="F565" s="2">
        <v>20</v>
      </c>
      <c r="G565" s="2" t="s">
        <v>2371</v>
      </c>
    </row>
    <row r="566" spans="1:7" x14ac:dyDescent="0.25">
      <c r="A566" s="2" t="s">
        <v>2126</v>
      </c>
      <c r="B566" s="2" t="s">
        <v>672</v>
      </c>
      <c r="C566" s="2" t="s">
        <v>490</v>
      </c>
      <c r="D566" s="2" t="s">
        <v>100</v>
      </c>
      <c r="E566" s="2" t="s">
        <v>100</v>
      </c>
      <c r="F566" s="2">
        <v>10</v>
      </c>
      <c r="G566" s="2" t="s">
        <v>2389</v>
      </c>
    </row>
    <row r="567" spans="1:7" x14ac:dyDescent="0.25">
      <c r="A567" s="2" t="s">
        <v>1379</v>
      </c>
      <c r="B567" s="2" t="s">
        <v>672</v>
      </c>
      <c r="C567" s="2" t="s">
        <v>487</v>
      </c>
      <c r="D567" s="2">
        <v>80</v>
      </c>
      <c r="E567" s="2">
        <v>100</v>
      </c>
      <c r="F567" s="2">
        <v>10</v>
      </c>
      <c r="G567" s="2"/>
    </row>
    <row r="568" spans="1:7" x14ac:dyDescent="0.25">
      <c r="A568" s="2" t="s">
        <v>1344</v>
      </c>
      <c r="B568" s="2" t="s">
        <v>672</v>
      </c>
      <c r="C568" s="2" t="s">
        <v>487</v>
      </c>
      <c r="D568" s="2">
        <v>40</v>
      </c>
      <c r="E568" s="2" t="s">
        <v>100</v>
      </c>
      <c r="F568" s="2">
        <v>15</v>
      </c>
      <c r="G568" s="2" t="s">
        <v>569</v>
      </c>
    </row>
    <row r="569" spans="1:7" x14ac:dyDescent="0.25">
      <c r="A569" s="2" t="s">
        <v>1512</v>
      </c>
      <c r="B569" s="2" t="s">
        <v>672</v>
      </c>
      <c r="C569" s="2" t="s">
        <v>487</v>
      </c>
      <c r="D569" s="2">
        <v>50</v>
      </c>
      <c r="E569" s="2">
        <v>100</v>
      </c>
      <c r="F569" s="2">
        <v>10</v>
      </c>
      <c r="G569" s="2" t="s">
        <v>2390</v>
      </c>
    </row>
    <row r="570" spans="1:7" x14ac:dyDescent="0.25">
      <c r="A570" s="2" t="s">
        <v>1493</v>
      </c>
      <c r="B570" s="2" t="s">
        <v>15</v>
      </c>
      <c r="C570" s="2" t="s">
        <v>490</v>
      </c>
      <c r="D570" s="2" t="s">
        <v>100</v>
      </c>
      <c r="E570" s="2">
        <v>100</v>
      </c>
      <c r="F570" s="2">
        <v>15</v>
      </c>
      <c r="G570" s="2" t="s">
        <v>2391</v>
      </c>
    </row>
    <row r="571" spans="1:7" x14ac:dyDescent="0.25">
      <c r="A571" s="2" t="s">
        <v>1473</v>
      </c>
      <c r="B571" s="2" t="s">
        <v>15</v>
      </c>
      <c r="C571" s="2" t="s">
        <v>490</v>
      </c>
      <c r="D571" s="2" t="s">
        <v>100</v>
      </c>
      <c r="E571" s="2" t="s">
        <v>100</v>
      </c>
      <c r="F571" s="2">
        <v>10</v>
      </c>
      <c r="G571" s="2" t="s">
        <v>2392</v>
      </c>
    </row>
    <row r="572" spans="1:7" x14ac:dyDescent="0.25">
      <c r="A572" s="2" t="s">
        <v>2110</v>
      </c>
      <c r="B572" s="2" t="s">
        <v>15</v>
      </c>
      <c r="C572" s="2" t="s">
        <v>490</v>
      </c>
      <c r="D572" s="2" t="s">
        <v>100</v>
      </c>
      <c r="E572" s="2" t="s">
        <v>100</v>
      </c>
      <c r="F572" s="2">
        <v>20</v>
      </c>
      <c r="G572" s="2" t="s">
        <v>2393</v>
      </c>
    </row>
    <row r="573" spans="1:7" x14ac:dyDescent="0.25">
      <c r="A573" s="2" t="s">
        <v>2125</v>
      </c>
      <c r="B573" s="2" t="s">
        <v>672</v>
      </c>
      <c r="C573" s="2" t="s">
        <v>490</v>
      </c>
      <c r="D573" s="2" t="s">
        <v>100</v>
      </c>
      <c r="E573" s="2" t="s">
        <v>100</v>
      </c>
      <c r="F573" s="2">
        <v>10</v>
      </c>
      <c r="G573" s="2" t="s">
        <v>2394</v>
      </c>
    </row>
    <row r="574" spans="1:7" x14ac:dyDescent="0.25">
      <c r="A574" s="2" t="s">
        <v>1551</v>
      </c>
      <c r="B574" s="2" t="s">
        <v>672</v>
      </c>
      <c r="C574" s="2" t="s">
        <v>487</v>
      </c>
      <c r="D574" s="2">
        <v>40</v>
      </c>
      <c r="E574" s="2">
        <v>100</v>
      </c>
      <c r="F574" s="2">
        <v>30</v>
      </c>
      <c r="G574" s="2"/>
    </row>
    <row r="575" spans="1:7" x14ac:dyDescent="0.25">
      <c r="A575" s="2" t="s">
        <v>1285</v>
      </c>
      <c r="B575" s="2" t="s">
        <v>12</v>
      </c>
      <c r="C575" s="2" t="s">
        <v>495</v>
      </c>
      <c r="D575" s="2">
        <v>30</v>
      </c>
      <c r="E575" s="2">
        <v>100</v>
      </c>
      <c r="F575" s="2">
        <v>25</v>
      </c>
      <c r="G575" s="2" t="s">
        <v>2395</v>
      </c>
    </row>
    <row r="576" spans="1:7" x14ac:dyDescent="0.25">
      <c r="A576" s="2" t="s">
        <v>1571</v>
      </c>
      <c r="B576" s="2" t="s">
        <v>672</v>
      </c>
      <c r="C576" s="2" t="s">
        <v>490</v>
      </c>
      <c r="D576" s="2" t="s">
        <v>100</v>
      </c>
      <c r="E576" s="2" t="s">
        <v>100</v>
      </c>
      <c r="F576" s="2">
        <v>10</v>
      </c>
      <c r="G576" s="2" t="s">
        <v>2396</v>
      </c>
    </row>
    <row r="577" spans="1:7" x14ac:dyDescent="0.25">
      <c r="A577" s="2" t="s">
        <v>2118</v>
      </c>
      <c r="B577" s="2" t="s">
        <v>16</v>
      </c>
      <c r="C577" s="2" t="s">
        <v>495</v>
      </c>
      <c r="D577" s="2">
        <v>80</v>
      </c>
      <c r="E577" s="2">
        <v>95</v>
      </c>
      <c r="F577" s="2">
        <v>10</v>
      </c>
      <c r="G577" s="2" t="s">
        <v>2397</v>
      </c>
    </row>
    <row r="578" spans="1:7" x14ac:dyDescent="0.25">
      <c r="A578" s="2" t="s">
        <v>2128</v>
      </c>
      <c r="B578" s="2" t="s">
        <v>19</v>
      </c>
      <c r="C578" s="2" t="s">
        <v>490</v>
      </c>
      <c r="D578" s="2" t="s">
        <v>100</v>
      </c>
      <c r="E578" s="2">
        <v>100</v>
      </c>
      <c r="F578" s="2">
        <v>20</v>
      </c>
      <c r="G578" s="2" t="s">
        <v>2398</v>
      </c>
    </row>
    <row r="579" spans="1:7" x14ac:dyDescent="0.25">
      <c r="A579" s="2" t="s">
        <v>1518</v>
      </c>
      <c r="B579" s="2" t="s">
        <v>21</v>
      </c>
      <c r="C579" s="2" t="s">
        <v>487</v>
      </c>
      <c r="D579" s="2">
        <v>70</v>
      </c>
      <c r="E579" s="2">
        <v>100</v>
      </c>
      <c r="F579" s="2">
        <v>20</v>
      </c>
      <c r="G579" s="2" t="s">
        <v>2399</v>
      </c>
    </row>
    <row r="580" spans="1:7" x14ac:dyDescent="0.25">
      <c r="A580" s="2" t="s">
        <v>2136</v>
      </c>
      <c r="B580" s="2" t="s">
        <v>672</v>
      </c>
      <c r="C580" s="2" t="s">
        <v>490</v>
      </c>
      <c r="D580" s="2" t="s">
        <v>100</v>
      </c>
      <c r="E580" s="2" t="s">
        <v>100</v>
      </c>
      <c r="F580" s="2">
        <v>10</v>
      </c>
      <c r="G580" s="2" t="s">
        <v>2400</v>
      </c>
    </row>
    <row r="581" spans="1:7" x14ac:dyDescent="0.25">
      <c r="A581" s="2" t="s">
        <v>1214</v>
      </c>
      <c r="B581" s="2" t="s">
        <v>19</v>
      </c>
      <c r="C581" s="2" t="s">
        <v>490</v>
      </c>
      <c r="D581" s="2" t="s">
        <v>100</v>
      </c>
      <c r="E581" s="2" t="s">
        <v>100</v>
      </c>
      <c r="F581" s="2">
        <v>10</v>
      </c>
      <c r="G581" s="2" t="s">
        <v>2401</v>
      </c>
    </row>
    <row r="582" spans="1:7" x14ac:dyDescent="0.25">
      <c r="A582" s="2" t="s">
        <v>1278</v>
      </c>
      <c r="B582" s="2" t="s">
        <v>12</v>
      </c>
      <c r="C582" s="2" t="s">
        <v>487</v>
      </c>
      <c r="D582" s="2">
        <v>20</v>
      </c>
      <c r="E582" s="2">
        <v>100</v>
      </c>
      <c r="F582" s="2">
        <v>20</v>
      </c>
      <c r="G582" s="2" t="s">
        <v>498</v>
      </c>
    </row>
    <row r="583" spans="1:7" x14ac:dyDescent="0.25">
      <c r="A583" s="2" t="s">
        <v>1544</v>
      </c>
      <c r="B583" s="2" t="s">
        <v>15</v>
      </c>
      <c r="C583" s="2" t="s">
        <v>490</v>
      </c>
      <c r="D583" s="2" t="s">
        <v>100</v>
      </c>
      <c r="E583" s="2" t="s">
        <v>100</v>
      </c>
      <c r="F583" s="2">
        <v>25</v>
      </c>
      <c r="G583" s="2" t="s">
        <v>2402</v>
      </c>
    </row>
    <row r="584" spans="1:7" x14ac:dyDescent="0.25">
      <c r="A584" s="2" t="s">
        <v>2093</v>
      </c>
      <c r="B584" s="2" t="s">
        <v>24</v>
      </c>
      <c r="C584" s="2" t="s">
        <v>490</v>
      </c>
      <c r="D584" s="2" t="s">
        <v>100</v>
      </c>
      <c r="E584" s="2" t="s">
        <v>100</v>
      </c>
      <c r="F584" s="2">
        <v>10</v>
      </c>
      <c r="G584" s="2" t="s">
        <v>2403</v>
      </c>
    </row>
    <row r="585" spans="1:7" x14ac:dyDescent="0.25">
      <c r="A585" s="2" t="s">
        <v>2140</v>
      </c>
      <c r="B585" s="2" t="s">
        <v>20</v>
      </c>
      <c r="C585" s="2" t="s">
        <v>495</v>
      </c>
      <c r="D585" s="2">
        <v>90</v>
      </c>
      <c r="E585" s="2">
        <v>100</v>
      </c>
      <c r="F585" s="2">
        <v>10</v>
      </c>
      <c r="G585" s="2"/>
    </row>
    <row r="586" spans="1:7" x14ac:dyDescent="0.25">
      <c r="A586" s="2" t="s">
        <v>1494</v>
      </c>
      <c r="B586" s="2" t="s">
        <v>15</v>
      </c>
      <c r="C586" s="2" t="s">
        <v>490</v>
      </c>
      <c r="D586" s="2" t="s">
        <v>100</v>
      </c>
      <c r="E586" s="2" t="s">
        <v>100</v>
      </c>
      <c r="F586" s="2">
        <v>20</v>
      </c>
      <c r="G586" s="2" t="s">
        <v>2404</v>
      </c>
    </row>
    <row r="587" spans="1:7" x14ac:dyDescent="0.25">
      <c r="A587" s="2" t="s">
        <v>2067</v>
      </c>
      <c r="B587" s="2" t="s">
        <v>16</v>
      </c>
      <c r="C587" s="2" t="s">
        <v>490</v>
      </c>
      <c r="D587" s="2" t="s">
        <v>100</v>
      </c>
      <c r="E587" s="2" t="s">
        <v>100</v>
      </c>
      <c r="F587" s="2">
        <v>15</v>
      </c>
      <c r="G587" s="2" t="s">
        <v>2405</v>
      </c>
    </row>
    <row r="588" spans="1:7" x14ac:dyDescent="0.25">
      <c r="A588" s="2" t="s">
        <v>1384</v>
      </c>
      <c r="B588" s="2" t="s">
        <v>672</v>
      </c>
      <c r="C588" s="2" t="s">
        <v>490</v>
      </c>
      <c r="D588" s="2" t="s">
        <v>100</v>
      </c>
      <c r="E588" s="2" t="s">
        <v>100</v>
      </c>
      <c r="F588" s="2">
        <v>10</v>
      </c>
      <c r="G588" s="2" t="s">
        <v>2406</v>
      </c>
    </row>
    <row r="589" spans="1:7" x14ac:dyDescent="0.25">
      <c r="A589" s="2" t="s">
        <v>1372</v>
      </c>
      <c r="B589" s="2" t="s">
        <v>672</v>
      </c>
      <c r="C589" s="2" t="s">
        <v>487</v>
      </c>
      <c r="D589" s="2">
        <v>95</v>
      </c>
      <c r="E589" s="2">
        <v>100</v>
      </c>
      <c r="F589" s="2">
        <v>15</v>
      </c>
      <c r="G589" s="2" t="s">
        <v>2232</v>
      </c>
    </row>
    <row r="590" spans="1:7" x14ac:dyDescent="0.25">
      <c r="A590" s="2" t="s">
        <v>2063</v>
      </c>
      <c r="B590" s="2" t="s">
        <v>17</v>
      </c>
      <c r="C590" s="2" t="s">
        <v>487</v>
      </c>
      <c r="D590" s="2">
        <v>65</v>
      </c>
      <c r="E590" s="2">
        <v>100</v>
      </c>
      <c r="F590" s="2">
        <v>10</v>
      </c>
      <c r="G590" s="2" t="s">
        <v>2371</v>
      </c>
    </row>
    <row r="591" spans="1:7" x14ac:dyDescent="0.25">
      <c r="A591" s="2" t="s">
        <v>2079</v>
      </c>
      <c r="B591" s="2" t="s">
        <v>22</v>
      </c>
      <c r="C591" s="2" t="s">
        <v>490</v>
      </c>
      <c r="D591" s="2" t="s">
        <v>100</v>
      </c>
      <c r="E591" s="2">
        <v>100</v>
      </c>
      <c r="F591" s="2">
        <v>30</v>
      </c>
      <c r="G591" s="2" t="s">
        <v>2407</v>
      </c>
    </row>
    <row r="592" spans="1:7" x14ac:dyDescent="0.25">
      <c r="A592" s="2" t="s">
        <v>1332</v>
      </c>
      <c r="B592" s="2" t="s">
        <v>15</v>
      </c>
      <c r="C592" s="2" t="s">
        <v>495</v>
      </c>
      <c r="D592" s="2">
        <v>20</v>
      </c>
      <c r="E592" s="2">
        <v>100</v>
      </c>
      <c r="F592" s="2">
        <v>20</v>
      </c>
      <c r="G592" s="2" t="s">
        <v>524</v>
      </c>
    </row>
    <row r="593" spans="1:7" x14ac:dyDescent="0.25">
      <c r="A593" s="2" t="s">
        <v>2138</v>
      </c>
      <c r="B593" s="2" t="s">
        <v>18</v>
      </c>
      <c r="C593" s="2" t="s">
        <v>487</v>
      </c>
      <c r="D593" s="2">
        <v>80</v>
      </c>
      <c r="E593" s="2">
        <v>100</v>
      </c>
      <c r="F593" s="2">
        <v>10</v>
      </c>
      <c r="G593" s="2" t="s">
        <v>2408</v>
      </c>
    </row>
    <row r="594" spans="1:7" x14ac:dyDescent="0.25">
      <c r="A594" s="2" t="s">
        <v>2109</v>
      </c>
      <c r="B594" s="2" t="s">
        <v>15</v>
      </c>
      <c r="C594" s="2" t="s">
        <v>487</v>
      </c>
      <c r="D594" s="2">
        <v>50</v>
      </c>
      <c r="E594" s="2">
        <v>100</v>
      </c>
      <c r="F594" s="2">
        <v>20</v>
      </c>
      <c r="G594" s="2" t="s">
        <v>488</v>
      </c>
    </row>
    <row r="595" spans="1:7" x14ac:dyDescent="0.25">
      <c r="A595" s="2" t="s">
        <v>2087</v>
      </c>
      <c r="B595" s="2" t="s">
        <v>13</v>
      </c>
      <c r="C595" s="2" t="s">
        <v>490</v>
      </c>
      <c r="D595" s="2" t="s">
        <v>100</v>
      </c>
      <c r="E595" s="2">
        <v>100</v>
      </c>
      <c r="F595" s="2">
        <v>20</v>
      </c>
      <c r="G595" s="2" t="s">
        <v>2409</v>
      </c>
    </row>
    <row r="596" spans="1:7" x14ac:dyDescent="0.25">
      <c r="A596" s="2" t="s">
        <v>1215</v>
      </c>
      <c r="B596" s="2" t="s">
        <v>19</v>
      </c>
      <c r="C596" s="2" t="s">
        <v>495</v>
      </c>
      <c r="D596" s="2">
        <v>90</v>
      </c>
      <c r="E596" s="2">
        <v>100</v>
      </c>
      <c r="F596" s="2">
        <v>15</v>
      </c>
      <c r="G596" s="2"/>
    </row>
    <row r="597" spans="1:7" x14ac:dyDescent="0.25">
      <c r="A597" s="2" t="s">
        <v>1677</v>
      </c>
      <c r="B597" s="2" t="s">
        <v>8</v>
      </c>
      <c r="C597" s="2" t="s">
        <v>495</v>
      </c>
      <c r="D597" s="2">
        <v>90</v>
      </c>
      <c r="E597" s="2">
        <v>100</v>
      </c>
      <c r="F597" s="2">
        <v>10</v>
      </c>
      <c r="G597" s="2" t="s">
        <v>2311</v>
      </c>
    </row>
    <row r="598" spans="1:7" x14ac:dyDescent="0.25">
      <c r="A598" s="2" t="s">
        <v>1330</v>
      </c>
      <c r="B598" s="2" t="s">
        <v>15</v>
      </c>
      <c r="C598" s="2" t="s">
        <v>490</v>
      </c>
      <c r="D598" s="2" t="s">
        <v>100</v>
      </c>
      <c r="E598" s="2" t="s">
        <v>100</v>
      </c>
      <c r="F598" s="2">
        <v>20</v>
      </c>
      <c r="G598" s="2" t="s">
        <v>2410</v>
      </c>
    </row>
    <row r="599" spans="1:7" x14ac:dyDescent="0.25">
      <c r="A599" s="2" t="s">
        <v>1398</v>
      </c>
      <c r="B599" s="2" t="s">
        <v>672</v>
      </c>
      <c r="C599" s="2" t="s">
        <v>495</v>
      </c>
      <c r="D599" s="2">
        <v>90</v>
      </c>
      <c r="E599" s="2">
        <v>90</v>
      </c>
      <c r="F599" s="2">
        <v>10</v>
      </c>
      <c r="G599" s="2" t="s">
        <v>494</v>
      </c>
    </row>
    <row r="600" spans="1:7" x14ac:dyDescent="0.25">
      <c r="A600" s="2" t="s">
        <v>2077</v>
      </c>
      <c r="B600" s="2" t="s">
        <v>12</v>
      </c>
      <c r="C600" s="2" t="s">
        <v>490</v>
      </c>
      <c r="D600" s="2" t="s">
        <v>100</v>
      </c>
      <c r="E600" s="2">
        <v>100</v>
      </c>
      <c r="F600" s="2">
        <v>20</v>
      </c>
      <c r="G600" s="2" t="s">
        <v>2411</v>
      </c>
    </row>
    <row r="601" spans="1:7" x14ac:dyDescent="0.25">
      <c r="A601" s="2" t="s">
        <v>1232</v>
      </c>
      <c r="B601" s="2" t="s">
        <v>16</v>
      </c>
      <c r="C601" s="2" t="s">
        <v>495</v>
      </c>
      <c r="D601" s="2">
        <v>40</v>
      </c>
      <c r="E601" s="2">
        <v>100</v>
      </c>
      <c r="F601" s="2">
        <v>10</v>
      </c>
      <c r="G601" s="2" t="s">
        <v>2412</v>
      </c>
    </row>
    <row r="602" spans="1:7" x14ac:dyDescent="0.25">
      <c r="A602" s="2" t="s">
        <v>1357</v>
      </c>
      <c r="B602" s="2" t="s">
        <v>20</v>
      </c>
      <c r="C602" s="2" t="s">
        <v>490</v>
      </c>
      <c r="D602" s="2" t="s">
        <v>100</v>
      </c>
      <c r="E602" s="2" t="s">
        <v>100</v>
      </c>
      <c r="F602" s="2">
        <v>10</v>
      </c>
      <c r="G602" s="2" t="s">
        <v>2413</v>
      </c>
    </row>
    <row r="603" spans="1:7" x14ac:dyDescent="0.25">
      <c r="A603" s="2" t="s">
        <v>2059</v>
      </c>
      <c r="B603" s="2" t="s">
        <v>19</v>
      </c>
      <c r="C603" s="2" t="s">
        <v>490</v>
      </c>
      <c r="D603" s="2" t="s">
        <v>100</v>
      </c>
      <c r="E603" s="2" t="s">
        <v>100</v>
      </c>
      <c r="F603" s="2">
        <v>10</v>
      </c>
      <c r="G603" s="2" t="s">
        <v>2414</v>
      </c>
    </row>
    <row r="604" spans="1:7" x14ac:dyDescent="0.25">
      <c r="A604" s="2" t="s">
        <v>1539</v>
      </c>
      <c r="B604" s="2" t="s">
        <v>12</v>
      </c>
      <c r="C604" s="2" t="s">
        <v>495</v>
      </c>
      <c r="D604" s="2" t="s">
        <v>100</v>
      </c>
      <c r="E604" s="2" t="s">
        <v>100</v>
      </c>
      <c r="F604" s="2">
        <v>20</v>
      </c>
      <c r="G604" s="2" t="s">
        <v>2415</v>
      </c>
    </row>
    <row r="605" spans="1:7" x14ac:dyDescent="0.25">
      <c r="A605" s="2" t="s">
        <v>2100</v>
      </c>
      <c r="B605" s="2" t="s">
        <v>13</v>
      </c>
      <c r="C605" s="2" t="s">
        <v>490</v>
      </c>
      <c r="D605" s="2" t="s">
        <v>100</v>
      </c>
      <c r="E605" s="2">
        <v>100</v>
      </c>
      <c r="F605" s="2">
        <v>20</v>
      </c>
      <c r="G605" s="2" t="s">
        <v>2416</v>
      </c>
    </row>
    <row r="606" spans="1:7" x14ac:dyDescent="0.25">
      <c r="A606" s="2" t="s">
        <v>2130</v>
      </c>
      <c r="B606" s="2" t="s">
        <v>8</v>
      </c>
      <c r="C606" s="2" t="s">
        <v>490</v>
      </c>
      <c r="D606" s="2" t="s">
        <v>100</v>
      </c>
      <c r="E606" s="2">
        <v>100</v>
      </c>
      <c r="F606" s="2">
        <v>20</v>
      </c>
      <c r="G606" s="2" t="s">
        <v>2417</v>
      </c>
    </row>
    <row r="607" spans="1:7" x14ac:dyDescent="0.25">
      <c r="A607" s="2" t="s">
        <v>1361</v>
      </c>
      <c r="B607" s="2" t="s">
        <v>9</v>
      </c>
      <c r="C607" s="2" t="s">
        <v>490</v>
      </c>
      <c r="D607" s="2" t="s">
        <v>100</v>
      </c>
      <c r="E607" s="2">
        <v>100</v>
      </c>
      <c r="F607" s="2">
        <v>20</v>
      </c>
      <c r="G607" s="2" t="s">
        <v>2418</v>
      </c>
    </row>
    <row r="608" spans="1:7" x14ac:dyDescent="0.25">
      <c r="A608" s="2" t="s">
        <v>2068</v>
      </c>
      <c r="B608" s="2" t="s">
        <v>25</v>
      </c>
      <c r="C608" s="2" t="s">
        <v>495</v>
      </c>
      <c r="D608" s="2">
        <v>15</v>
      </c>
      <c r="E608" s="2">
        <v>100</v>
      </c>
      <c r="F608" s="2">
        <v>10</v>
      </c>
      <c r="G608" s="2" t="s">
        <v>496</v>
      </c>
    </row>
    <row r="609" spans="1:7" x14ac:dyDescent="0.25">
      <c r="A609" s="2"/>
      <c r="B609" s="2"/>
      <c r="C609" s="2"/>
      <c r="D609" s="2"/>
      <c r="E609" s="2"/>
      <c r="F609" s="2"/>
      <c r="G609" s="2"/>
    </row>
  </sheetData>
  <conditionalFormatting sqref="B1:C609">
    <cfRule type="containsText" dxfId="2115" priority="1702" stopIfTrue="1" operator="containsText" text="Ghost">
      <formula>NOT(ISERROR(SEARCH("Ghost",B1)))</formula>
    </cfRule>
    <cfRule type="containsText" dxfId="2114" priority="1703" stopIfTrue="1" operator="containsText" text="Psychic">
      <formula>NOT(ISERROR(SEARCH("Psychic",B1)))</formula>
    </cfRule>
    <cfRule type="containsText" dxfId="2113" priority="1704" stopIfTrue="1" operator="containsText" text="Normal">
      <formula>NOT(ISERROR(SEARCH("Normal",B1)))</formula>
    </cfRule>
    <cfRule type="containsText" dxfId="2112" priority="1705" stopIfTrue="1" operator="containsText" text="Fire">
      <formula>NOT(ISERROR(SEARCH("Fire",B1)))</formula>
    </cfRule>
    <cfRule type="containsText" dxfId="2111" priority="1706" stopIfTrue="1" operator="containsText" text="Bug">
      <formula>NOT(ISERROR(SEARCH("Bug",B1)))</formula>
    </cfRule>
    <cfRule type="containsText" dxfId="2110" priority="1707" stopIfTrue="1" operator="containsText" text="Dark">
      <formula>NOT(ISERROR(SEARCH("Dark",B1)))</formula>
    </cfRule>
    <cfRule type="containsText" dxfId="2109" priority="1708" stopIfTrue="1" operator="containsText" text="Dragon">
      <formula>NOT(ISERROR(SEARCH("Dragon",B1)))</formula>
    </cfRule>
    <cfRule type="containsText" dxfId="2108" priority="1709" stopIfTrue="1" operator="containsText" text="Electric">
      <formula>NOT(ISERROR(SEARCH("Electric",B1)))</formula>
    </cfRule>
    <cfRule type="containsText" dxfId="2107" priority="1710" stopIfTrue="1" operator="containsText" text="Fairy">
      <formula>NOT(ISERROR(SEARCH("Fairy",B1)))</formula>
    </cfRule>
    <cfRule type="containsText" dxfId="2106" priority="1711" stopIfTrue="1" operator="containsText" text="Fighting">
      <formula>NOT(ISERROR(SEARCH("Fighting",B1)))</formula>
    </cfRule>
    <cfRule type="containsText" dxfId="2105" priority="1712" stopIfTrue="1" operator="containsText" text="Flying">
      <formula>NOT(ISERROR(SEARCH("Flying",B1)))</formula>
    </cfRule>
    <cfRule type="containsText" dxfId="2104" priority="1713" stopIfTrue="1" operator="containsText" text="Grass">
      <formula>NOT(ISERROR(SEARCH("Grass",B1)))</formula>
    </cfRule>
    <cfRule type="containsText" dxfId="2103" priority="1714" stopIfTrue="1" operator="containsText" text="Ground">
      <formula>NOT(ISERROR(SEARCH("Ground",B1)))</formula>
    </cfRule>
    <cfRule type="containsText" dxfId="2102" priority="1715" stopIfTrue="1" operator="containsText" text="Ice">
      <formula>NOT(ISERROR(SEARCH("Ice",B1)))</formula>
    </cfRule>
    <cfRule type="containsText" dxfId="2101" priority="1716" stopIfTrue="1" operator="containsText" text="Poison">
      <formula>NOT(ISERROR(SEARCH("Poison",B1)))</formula>
    </cfRule>
    <cfRule type="containsText" dxfId="2100" priority="1717" stopIfTrue="1" operator="containsText" text="Rock">
      <formula>NOT(ISERROR(SEARCH("Rock",B1)))</formula>
    </cfRule>
    <cfRule type="containsText" dxfId="2099" priority="1718" stopIfTrue="1" operator="containsText" text="Steel">
      <formula>NOT(ISERROR(SEARCH("Steel",B1)))</formula>
    </cfRule>
    <cfRule type="containsText" dxfId="2098" priority="1719" stopIfTrue="1" operator="containsText" text="Water">
      <formula>NOT(ISERROR(SEARCH("Water",B1)))</formula>
    </cfRule>
    <cfRule type="containsText" dxfId="2097" priority="1720" stopIfTrue="1" operator="containsText" text="Status">
      <formula>NOT(ISERROR(SEARCH("Status",B1)))</formula>
    </cfRule>
    <cfRule type="containsText" dxfId="2096" priority="1721" stopIfTrue="1" operator="containsText" text="Physical">
      <formula>NOT(ISERROR(SEARCH("Physical",B1)))</formula>
    </cfRule>
    <cfRule type="containsText" dxfId="2095" priority="1722" stopIfTrue="1" operator="containsText" text="Special">
      <formula>NOT(ISERROR(SEARCH("Special",B1)))</formula>
    </cfRule>
  </conditionalFormatting>
  <conditionalFormatting sqref="B2:C609">
    <cfRule type="containsText" dxfId="2094" priority="1" stopIfTrue="1" operator="containsText" text="Ghost">
      <formula>NOT(ISERROR(SEARCH("Ghost",B2)))</formula>
    </cfRule>
    <cfRule type="containsText" dxfId="2093" priority="2" stopIfTrue="1" operator="containsText" text="Psychic">
      <formula>NOT(ISERROR(SEARCH("Psychic",B2)))</formula>
    </cfRule>
    <cfRule type="containsText" dxfId="2092" priority="3" stopIfTrue="1" operator="containsText" text="Normal">
      <formula>NOT(ISERROR(SEARCH("Normal",B2)))</formula>
    </cfRule>
    <cfRule type="containsText" dxfId="2091" priority="4" stopIfTrue="1" operator="containsText" text="Fire">
      <formula>NOT(ISERROR(SEARCH("Fire",B2)))</formula>
    </cfRule>
    <cfRule type="containsText" dxfId="2090" priority="5" stopIfTrue="1" operator="containsText" text="Bug">
      <formula>NOT(ISERROR(SEARCH("Bug",B2)))</formula>
    </cfRule>
    <cfRule type="containsText" dxfId="2089" priority="6" stopIfTrue="1" operator="containsText" text="Dark">
      <formula>NOT(ISERROR(SEARCH("Dark",B2)))</formula>
    </cfRule>
    <cfRule type="containsText" dxfId="2088" priority="7" stopIfTrue="1" operator="containsText" text="Dragon">
      <formula>NOT(ISERROR(SEARCH("Dragon",B2)))</formula>
    </cfRule>
    <cfRule type="containsText" dxfId="2087" priority="8" stopIfTrue="1" operator="containsText" text="Electric">
      <formula>NOT(ISERROR(SEARCH("Electric",B2)))</formula>
    </cfRule>
    <cfRule type="containsText" dxfId="2086" priority="9" stopIfTrue="1" operator="containsText" text="Fairy">
      <formula>NOT(ISERROR(SEARCH("Fairy",B2)))</formula>
    </cfRule>
    <cfRule type="containsText" dxfId="2085" priority="10" stopIfTrue="1" operator="containsText" text="Fighting">
      <formula>NOT(ISERROR(SEARCH("Fighting",B2)))</formula>
    </cfRule>
    <cfRule type="containsText" dxfId="2084" priority="11" stopIfTrue="1" operator="containsText" text="Flying">
      <formula>NOT(ISERROR(SEARCH("Flying",B2)))</formula>
    </cfRule>
    <cfRule type="containsText" dxfId="2083" priority="12" stopIfTrue="1" operator="containsText" text="Grass">
      <formula>NOT(ISERROR(SEARCH("Grass",B2)))</formula>
    </cfRule>
    <cfRule type="containsText" dxfId="2082" priority="13" stopIfTrue="1" operator="containsText" text="Ground">
      <formula>NOT(ISERROR(SEARCH("Ground",B2)))</formula>
    </cfRule>
    <cfRule type="containsText" dxfId="2081" priority="14" stopIfTrue="1" operator="containsText" text="Ice">
      <formula>NOT(ISERROR(SEARCH("Ice",B2)))</formula>
    </cfRule>
    <cfRule type="containsText" dxfId="2080" priority="15" stopIfTrue="1" operator="containsText" text="Poison">
      <formula>NOT(ISERROR(SEARCH("Poison",B2)))</formula>
    </cfRule>
    <cfRule type="containsText" dxfId="2079" priority="16" stopIfTrue="1" operator="containsText" text="Rock">
      <formula>NOT(ISERROR(SEARCH("Rock",B2)))</formula>
    </cfRule>
    <cfRule type="containsText" dxfId="2078" priority="17" stopIfTrue="1" operator="containsText" text="Steel">
      <formula>NOT(ISERROR(SEARCH("Steel",B2)))</formula>
    </cfRule>
    <cfRule type="containsText" dxfId="2077" priority="18" stopIfTrue="1" operator="containsText" text="Water">
      <formula>NOT(ISERROR(SEARCH("Water",B2)))</formula>
    </cfRule>
    <cfRule type="containsText" dxfId="2076" priority="19" stopIfTrue="1" operator="containsText" text="Status">
      <formula>NOT(ISERROR(SEARCH("Status",B2)))</formula>
    </cfRule>
    <cfRule type="containsText" dxfId="2075" priority="20" stopIfTrue="1" operator="containsText" text="Physical">
      <formula>NOT(ISERROR(SEARCH("Physical",B2)))</formula>
    </cfRule>
    <cfRule type="containsText" dxfId="2074" priority="21" stopIfTrue="1" operator="containsText" text="Special">
      <formula>NOT(ISERROR(SEARCH("Special",B2)))</formula>
    </cfRule>
    <cfRule type="containsText" dxfId="2073" priority="22" stopIfTrue="1" operator="containsText" text="Ghost">
      <formula>NOT(ISERROR(SEARCH("Ghost",B2)))</formula>
    </cfRule>
    <cfRule type="containsText" dxfId="2072" priority="23" stopIfTrue="1" operator="containsText" text="Psychic">
      <formula>NOT(ISERROR(SEARCH("Psychic",B2)))</formula>
    </cfRule>
    <cfRule type="containsText" dxfId="2071" priority="24" stopIfTrue="1" operator="containsText" text="Normal">
      <formula>NOT(ISERROR(SEARCH("Normal",B2)))</formula>
    </cfRule>
    <cfRule type="containsText" dxfId="2070" priority="25" stopIfTrue="1" operator="containsText" text="Fire">
      <formula>NOT(ISERROR(SEARCH("Fire",B2)))</formula>
    </cfRule>
    <cfRule type="containsText" dxfId="2069" priority="26" stopIfTrue="1" operator="containsText" text="Bug">
      <formula>NOT(ISERROR(SEARCH("Bug",B2)))</formula>
    </cfRule>
    <cfRule type="containsText" dxfId="2068" priority="27" stopIfTrue="1" operator="containsText" text="Dark">
      <formula>NOT(ISERROR(SEARCH("Dark",B2)))</formula>
    </cfRule>
    <cfRule type="containsText" dxfId="2067" priority="28" stopIfTrue="1" operator="containsText" text="Dragon">
      <formula>NOT(ISERROR(SEARCH("Dragon",B2)))</formula>
    </cfRule>
    <cfRule type="containsText" dxfId="2066" priority="29" stopIfTrue="1" operator="containsText" text="Electric">
      <formula>NOT(ISERROR(SEARCH("Electric",B2)))</formula>
    </cfRule>
    <cfRule type="containsText" dxfId="2065" priority="30" stopIfTrue="1" operator="containsText" text="Fairy">
      <formula>NOT(ISERROR(SEARCH("Fairy",B2)))</formula>
    </cfRule>
    <cfRule type="containsText" dxfId="2064" priority="31" stopIfTrue="1" operator="containsText" text="Fighting">
      <formula>NOT(ISERROR(SEARCH("Fighting",B2)))</formula>
    </cfRule>
    <cfRule type="containsText" dxfId="2063" priority="32" stopIfTrue="1" operator="containsText" text="Flying">
      <formula>NOT(ISERROR(SEARCH("Flying",B2)))</formula>
    </cfRule>
    <cfRule type="containsText" dxfId="2062" priority="33" stopIfTrue="1" operator="containsText" text="Grass">
      <formula>NOT(ISERROR(SEARCH("Grass",B2)))</formula>
    </cfRule>
    <cfRule type="containsText" dxfId="2061" priority="34" stopIfTrue="1" operator="containsText" text="Ground">
      <formula>NOT(ISERROR(SEARCH("Ground",B2)))</formula>
    </cfRule>
    <cfRule type="containsText" dxfId="2060" priority="35" stopIfTrue="1" operator="containsText" text="Ice">
      <formula>NOT(ISERROR(SEARCH("Ice",B2)))</formula>
    </cfRule>
    <cfRule type="containsText" dxfId="2059" priority="36" stopIfTrue="1" operator="containsText" text="Poison">
      <formula>NOT(ISERROR(SEARCH("Poison",B2)))</formula>
    </cfRule>
    <cfRule type="containsText" dxfId="2058" priority="37" stopIfTrue="1" operator="containsText" text="Rock">
      <formula>NOT(ISERROR(SEARCH("Rock",B2)))</formula>
    </cfRule>
    <cfRule type="containsText" dxfId="2057" priority="38" stopIfTrue="1" operator="containsText" text="Steel">
      <formula>NOT(ISERROR(SEARCH("Steel",B2)))</formula>
    </cfRule>
    <cfRule type="containsText" dxfId="2056" priority="39" stopIfTrue="1" operator="containsText" text="Water">
      <formula>NOT(ISERROR(SEARCH("Water",B2)))</formula>
    </cfRule>
    <cfRule type="containsText" dxfId="2055" priority="40" stopIfTrue="1" operator="containsText" text="Status">
      <formula>NOT(ISERROR(SEARCH("Status",B2)))</formula>
    </cfRule>
    <cfRule type="containsText" dxfId="2054" priority="41" stopIfTrue="1" operator="containsText" text="Physical">
      <formula>NOT(ISERROR(SEARCH("Physical",B2)))</formula>
    </cfRule>
    <cfRule type="containsText" dxfId="2053" priority="42" stopIfTrue="1" operator="containsText" text="Special">
      <formula>NOT(ISERROR(SEARCH("Special",B2)))</formula>
    </cfRule>
    <cfRule type="containsText" dxfId="2052" priority="43" stopIfTrue="1" operator="containsText" text="Ghost">
      <formula>NOT(ISERROR(SEARCH("Ghost",B2)))</formula>
    </cfRule>
    <cfRule type="containsText" dxfId="2051" priority="44" stopIfTrue="1" operator="containsText" text="Psychic">
      <formula>NOT(ISERROR(SEARCH("Psychic",B2)))</formula>
    </cfRule>
    <cfRule type="containsText" dxfId="2050" priority="45" stopIfTrue="1" operator="containsText" text="Normal">
      <formula>NOT(ISERROR(SEARCH("Normal",B2)))</formula>
    </cfRule>
    <cfRule type="containsText" dxfId="2049" priority="46" stopIfTrue="1" operator="containsText" text="Fire">
      <formula>NOT(ISERROR(SEARCH("Fire",B2)))</formula>
    </cfRule>
    <cfRule type="containsText" dxfId="2048" priority="47" stopIfTrue="1" operator="containsText" text="Bug">
      <formula>NOT(ISERROR(SEARCH("Bug",B2)))</formula>
    </cfRule>
    <cfRule type="containsText" dxfId="2047" priority="48" stopIfTrue="1" operator="containsText" text="Dark">
      <formula>NOT(ISERROR(SEARCH("Dark",B2)))</formula>
    </cfRule>
    <cfRule type="containsText" dxfId="2046" priority="49" stopIfTrue="1" operator="containsText" text="Dragon">
      <formula>NOT(ISERROR(SEARCH("Dragon",B2)))</formula>
    </cfRule>
    <cfRule type="containsText" dxfId="2045" priority="50" stopIfTrue="1" operator="containsText" text="Electric">
      <formula>NOT(ISERROR(SEARCH("Electric",B2)))</formula>
    </cfRule>
    <cfRule type="containsText" dxfId="2044" priority="51" stopIfTrue="1" operator="containsText" text="Fairy">
      <formula>NOT(ISERROR(SEARCH("Fairy",B2)))</formula>
    </cfRule>
    <cfRule type="containsText" dxfId="2043" priority="52" stopIfTrue="1" operator="containsText" text="Fighting">
      <formula>NOT(ISERROR(SEARCH("Fighting",B2)))</formula>
    </cfRule>
    <cfRule type="containsText" dxfId="2042" priority="53" stopIfTrue="1" operator="containsText" text="Flying">
      <formula>NOT(ISERROR(SEARCH("Flying",B2)))</formula>
    </cfRule>
    <cfRule type="containsText" dxfId="2041" priority="54" stopIfTrue="1" operator="containsText" text="Grass">
      <formula>NOT(ISERROR(SEARCH("Grass",B2)))</formula>
    </cfRule>
    <cfRule type="containsText" dxfId="2040" priority="55" stopIfTrue="1" operator="containsText" text="Ground">
      <formula>NOT(ISERROR(SEARCH("Ground",B2)))</formula>
    </cfRule>
    <cfRule type="containsText" dxfId="2039" priority="56" stopIfTrue="1" operator="containsText" text="Ice">
      <formula>NOT(ISERROR(SEARCH("Ice",B2)))</formula>
    </cfRule>
    <cfRule type="containsText" dxfId="2038" priority="57" stopIfTrue="1" operator="containsText" text="Poison">
      <formula>NOT(ISERROR(SEARCH("Poison",B2)))</formula>
    </cfRule>
    <cfRule type="containsText" dxfId="2037" priority="58" stopIfTrue="1" operator="containsText" text="Rock">
      <formula>NOT(ISERROR(SEARCH("Rock",B2)))</formula>
    </cfRule>
    <cfRule type="containsText" dxfId="2036" priority="59" stopIfTrue="1" operator="containsText" text="Steel">
      <formula>NOT(ISERROR(SEARCH("Steel",B2)))</formula>
    </cfRule>
    <cfRule type="containsText" dxfId="2035" priority="60" stopIfTrue="1" operator="containsText" text="Water">
      <formula>NOT(ISERROR(SEARCH("Water",B2)))</formula>
    </cfRule>
    <cfRule type="containsText" dxfId="2034" priority="61" stopIfTrue="1" operator="containsText" text="Status">
      <formula>NOT(ISERROR(SEARCH("Status",B2)))</formula>
    </cfRule>
    <cfRule type="containsText" dxfId="2033" priority="62" stopIfTrue="1" operator="containsText" text="Physical">
      <formula>NOT(ISERROR(SEARCH("Physical",B2)))</formula>
    </cfRule>
    <cfRule type="containsText" dxfId="2032" priority="63" stopIfTrue="1" operator="containsText" text="Special">
      <formula>NOT(ISERROR(SEARCH("Special",B2)))</formula>
    </cfRule>
    <cfRule type="containsText" dxfId="2031" priority="64" stopIfTrue="1" operator="containsText" text="Ghost">
      <formula>NOT(ISERROR(SEARCH("Ghost",B2)))</formula>
    </cfRule>
    <cfRule type="containsText" dxfId="2030" priority="65" stopIfTrue="1" operator="containsText" text="Psychic">
      <formula>NOT(ISERROR(SEARCH("Psychic",B2)))</formula>
    </cfRule>
    <cfRule type="containsText" dxfId="2029" priority="66" stopIfTrue="1" operator="containsText" text="Normal">
      <formula>NOT(ISERROR(SEARCH("Normal",B2)))</formula>
    </cfRule>
    <cfRule type="containsText" dxfId="2028" priority="67" stopIfTrue="1" operator="containsText" text="Fire">
      <formula>NOT(ISERROR(SEARCH("Fire",B2)))</formula>
    </cfRule>
    <cfRule type="containsText" dxfId="2027" priority="68" stopIfTrue="1" operator="containsText" text="Bug">
      <formula>NOT(ISERROR(SEARCH("Bug",B2)))</formula>
    </cfRule>
    <cfRule type="containsText" dxfId="2026" priority="69" stopIfTrue="1" operator="containsText" text="Dark">
      <formula>NOT(ISERROR(SEARCH("Dark",B2)))</formula>
    </cfRule>
    <cfRule type="containsText" dxfId="2025" priority="70" stopIfTrue="1" operator="containsText" text="Dragon">
      <formula>NOT(ISERROR(SEARCH("Dragon",B2)))</formula>
    </cfRule>
    <cfRule type="containsText" dxfId="2024" priority="71" stopIfTrue="1" operator="containsText" text="Electric">
      <formula>NOT(ISERROR(SEARCH("Electric",B2)))</formula>
    </cfRule>
    <cfRule type="containsText" dxfId="2023" priority="72" stopIfTrue="1" operator="containsText" text="Fairy">
      <formula>NOT(ISERROR(SEARCH("Fairy",B2)))</formula>
    </cfRule>
    <cfRule type="containsText" dxfId="2022" priority="73" stopIfTrue="1" operator="containsText" text="Fighting">
      <formula>NOT(ISERROR(SEARCH("Fighting",B2)))</formula>
    </cfRule>
    <cfRule type="containsText" dxfId="2021" priority="74" stopIfTrue="1" operator="containsText" text="Flying">
      <formula>NOT(ISERROR(SEARCH("Flying",B2)))</formula>
    </cfRule>
    <cfRule type="containsText" dxfId="2020" priority="75" stopIfTrue="1" operator="containsText" text="Grass">
      <formula>NOT(ISERROR(SEARCH("Grass",B2)))</formula>
    </cfRule>
    <cfRule type="containsText" dxfId="2019" priority="76" stopIfTrue="1" operator="containsText" text="Ground">
      <formula>NOT(ISERROR(SEARCH("Ground",B2)))</formula>
    </cfRule>
    <cfRule type="containsText" dxfId="2018" priority="77" stopIfTrue="1" operator="containsText" text="Ice">
      <formula>NOT(ISERROR(SEARCH("Ice",B2)))</formula>
    </cfRule>
    <cfRule type="containsText" dxfId="2017" priority="78" stopIfTrue="1" operator="containsText" text="Poison">
      <formula>NOT(ISERROR(SEARCH("Poison",B2)))</formula>
    </cfRule>
    <cfRule type="containsText" dxfId="2016" priority="79" stopIfTrue="1" operator="containsText" text="Rock">
      <formula>NOT(ISERROR(SEARCH("Rock",B2)))</formula>
    </cfRule>
    <cfRule type="containsText" dxfId="2015" priority="80" stopIfTrue="1" operator="containsText" text="Steel">
      <formula>NOT(ISERROR(SEARCH("Steel",B2)))</formula>
    </cfRule>
    <cfRule type="containsText" dxfId="2014" priority="81" stopIfTrue="1" operator="containsText" text="Water">
      <formula>NOT(ISERROR(SEARCH("Water",B2)))</formula>
    </cfRule>
    <cfRule type="containsText" dxfId="2013" priority="82" stopIfTrue="1" operator="containsText" text="Status">
      <formula>NOT(ISERROR(SEARCH("Status",B2)))</formula>
    </cfRule>
    <cfRule type="containsText" dxfId="2012" priority="83" stopIfTrue="1" operator="containsText" text="Physical">
      <formula>NOT(ISERROR(SEARCH("Physical",B2)))</formula>
    </cfRule>
    <cfRule type="containsText" dxfId="2011" priority="84" stopIfTrue="1" operator="containsText" text="Special">
      <formula>NOT(ISERROR(SEARCH("Special",B2)))</formula>
    </cfRule>
    <cfRule type="containsText" dxfId="2010" priority="85" stopIfTrue="1" operator="containsText" text="Ghost">
      <formula>NOT(ISERROR(SEARCH("Ghost",B2)))</formula>
    </cfRule>
    <cfRule type="containsText" dxfId="2009" priority="86" stopIfTrue="1" operator="containsText" text="Psychic">
      <formula>NOT(ISERROR(SEARCH("Psychic",B2)))</formula>
    </cfRule>
    <cfRule type="containsText" dxfId="2008" priority="87" stopIfTrue="1" operator="containsText" text="Normal">
      <formula>NOT(ISERROR(SEARCH("Normal",B2)))</formula>
    </cfRule>
    <cfRule type="containsText" dxfId="2007" priority="88" stopIfTrue="1" operator="containsText" text="Fire">
      <formula>NOT(ISERROR(SEARCH("Fire",B2)))</formula>
    </cfRule>
    <cfRule type="containsText" dxfId="2006" priority="89" stopIfTrue="1" operator="containsText" text="Bug">
      <formula>NOT(ISERROR(SEARCH("Bug",B2)))</formula>
    </cfRule>
    <cfRule type="containsText" dxfId="2005" priority="90" stopIfTrue="1" operator="containsText" text="Dark">
      <formula>NOT(ISERROR(SEARCH("Dark",B2)))</formula>
    </cfRule>
    <cfRule type="containsText" dxfId="2004" priority="91" stopIfTrue="1" operator="containsText" text="Dragon">
      <formula>NOT(ISERROR(SEARCH("Dragon",B2)))</formula>
    </cfRule>
    <cfRule type="containsText" dxfId="2003" priority="92" stopIfTrue="1" operator="containsText" text="Electric">
      <formula>NOT(ISERROR(SEARCH("Electric",B2)))</formula>
    </cfRule>
    <cfRule type="containsText" dxfId="2002" priority="93" stopIfTrue="1" operator="containsText" text="Fairy">
      <formula>NOT(ISERROR(SEARCH("Fairy",B2)))</formula>
    </cfRule>
    <cfRule type="containsText" dxfId="2001" priority="94" stopIfTrue="1" operator="containsText" text="Fighting">
      <formula>NOT(ISERROR(SEARCH("Fighting",B2)))</formula>
    </cfRule>
    <cfRule type="containsText" dxfId="2000" priority="95" stopIfTrue="1" operator="containsText" text="Flying">
      <formula>NOT(ISERROR(SEARCH("Flying",B2)))</formula>
    </cfRule>
    <cfRule type="containsText" dxfId="1999" priority="96" stopIfTrue="1" operator="containsText" text="Grass">
      <formula>NOT(ISERROR(SEARCH("Grass",B2)))</formula>
    </cfRule>
    <cfRule type="containsText" dxfId="1998" priority="97" stopIfTrue="1" operator="containsText" text="Ground">
      <formula>NOT(ISERROR(SEARCH("Ground",B2)))</formula>
    </cfRule>
    <cfRule type="containsText" dxfId="1997" priority="98" stopIfTrue="1" operator="containsText" text="Ice">
      <formula>NOT(ISERROR(SEARCH("Ice",B2)))</formula>
    </cfRule>
    <cfRule type="containsText" dxfId="1996" priority="99" stopIfTrue="1" operator="containsText" text="Poison">
      <formula>NOT(ISERROR(SEARCH("Poison",B2)))</formula>
    </cfRule>
    <cfRule type="containsText" dxfId="1995" priority="100" stopIfTrue="1" operator="containsText" text="Rock">
      <formula>NOT(ISERROR(SEARCH("Rock",B2)))</formula>
    </cfRule>
    <cfRule type="containsText" dxfId="1994" priority="101" stopIfTrue="1" operator="containsText" text="Steel">
      <formula>NOT(ISERROR(SEARCH("Steel",B2)))</formula>
    </cfRule>
    <cfRule type="containsText" dxfId="1993" priority="102" stopIfTrue="1" operator="containsText" text="Water">
      <formula>NOT(ISERROR(SEARCH("Water",B2)))</formula>
    </cfRule>
    <cfRule type="containsText" dxfId="1992" priority="103" stopIfTrue="1" operator="containsText" text="Status">
      <formula>NOT(ISERROR(SEARCH("Status",B2)))</formula>
    </cfRule>
    <cfRule type="containsText" dxfId="1991" priority="104" stopIfTrue="1" operator="containsText" text="Physical">
      <formula>NOT(ISERROR(SEARCH("Physical",B2)))</formula>
    </cfRule>
    <cfRule type="containsText" dxfId="1990" priority="105" stopIfTrue="1" operator="containsText" text="Special">
      <formula>NOT(ISERROR(SEARCH("Special",B2)))</formula>
    </cfRule>
    <cfRule type="containsText" dxfId="1989" priority="106" stopIfTrue="1" operator="containsText" text="Ghost">
      <formula>NOT(ISERROR(SEARCH("Ghost",B2)))</formula>
    </cfRule>
    <cfRule type="containsText" dxfId="1988" priority="107" stopIfTrue="1" operator="containsText" text="Psychic">
      <formula>NOT(ISERROR(SEARCH("Psychic",B2)))</formula>
    </cfRule>
    <cfRule type="containsText" dxfId="1987" priority="108" stopIfTrue="1" operator="containsText" text="Normal">
      <formula>NOT(ISERROR(SEARCH("Normal",B2)))</formula>
    </cfRule>
    <cfRule type="containsText" dxfId="1986" priority="109" stopIfTrue="1" operator="containsText" text="Fire">
      <formula>NOT(ISERROR(SEARCH("Fire",B2)))</formula>
    </cfRule>
    <cfRule type="containsText" dxfId="1985" priority="110" stopIfTrue="1" operator="containsText" text="Bug">
      <formula>NOT(ISERROR(SEARCH("Bug",B2)))</formula>
    </cfRule>
    <cfRule type="containsText" dxfId="1984" priority="111" stopIfTrue="1" operator="containsText" text="Dark">
      <formula>NOT(ISERROR(SEARCH("Dark",B2)))</formula>
    </cfRule>
    <cfRule type="containsText" dxfId="1983" priority="112" stopIfTrue="1" operator="containsText" text="Dragon">
      <formula>NOT(ISERROR(SEARCH("Dragon",B2)))</formula>
    </cfRule>
    <cfRule type="containsText" dxfId="1982" priority="113" stopIfTrue="1" operator="containsText" text="Electric">
      <formula>NOT(ISERROR(SEARCH("Electric",B2)))</formula>
    </cfRule>
    <cfRule type="containsText" dxfId="1981" priority="114" stopIfTrue="1" operator="containsText" text="Fairy">
      <formula>NOT(ISERROR(SEARCH("Fairy",B2)))</formula>
    </cfRule>
    <cfRule type="containsText" dxfId="1980" priority="115" stopIfTrue="1" operator="containsText" text="Fighting">
      <formula>NOT(ISERROR(SEARCH("Fighting",B2)))</formula>
    </cfRule>
    <cfRule type="containsText" dxfId="1979" priority="116" stopIfTrue="1" operator="containsText" text="Flying">
      <formula>NOT(ISERROR(SEARCH("Flying",B2)))</formula>
    </cfRule>
    <cfRule type="containsText" dxfId="1978" priority="117" stopIfTrue="1" operator="containsText" text="Grass">
      <formula>NOT(ISERROR(SEARCH("Grass",B2)))</formula>
    </cfRule>
    <cfRule type="containsText" dxfId="1977" priority="118" stopIfTrue="1" operator="containsText" text="Ground">
      <formula>NOT(ISERROR(SEARCH("Ground",B2)))</formula>
    </cfRule>
    <cfRule type="containsText" dxfId="1976" priority="119" stopIfTrue="1" operator="containsText" text="Ice">
      <formula>NOT(ISERROR(SEARCH("Ice",B2)))</formula>
    </cfRule>
    <cfRule type="containsText" dxfId="1975" priority="120" stopIfTrue="1" operator="containsText" text="Poison">
      <formula>NOT(ISERROR(SEARCH("Poison",B2)))</formula>
    </cfRule>
    <cfRule type="containsText" dxfId="1974" priority="121" stopIfTrue="1" operator="containsText" text="Rock">
      <formula>NOT(ISERROR(SEARCH("Rock",B2)))</formula>
    </cfRule>
    <cfRule type="containsText" dxfId="1973" priority="122" stopIfTrue="1" operator="containsText" text="Steel">
      <formula>NOT(ISERROR(SEARCH("Steel",B2)))</formula>
    </cfRule>
    <cfRule type="containsText" dxfId="1972" priority="123" stopIfTrue="1" operator="containsText" text="Water">
      <formula>NOT(ISERROR(SEARCH("Water",B2)))</formula>
    </cfRule>
    <cfRule type="containsText" dxfId="1971" priority="124" stopIfTrue="1" operator="containsText" text="Status">
      <formula>NOT(ISERROR(SEARCH("Status",B2)))</formula>
    </cfRule>
    <cfRule type="containsText" dxfId="1970" priority="125" stopIfTrue="1" operator="containsText" text="Physical">
      <formula>NOT(ISERROR(SEARCH("Physical",B2)))</formula>
    </cfRule>
    <cfRule type="containsText" dxfId="1969" priority="126" stopIfTrue="1" operator="containsText" text="Special">
      <formula>NOT(ISERROR(SEARCH("Special",B2)))</formula>
    </cfRule>
    <cfRule type="containsText" dxfId="1968" priority="127" stopIfTrue="1" operator="containsText" text="Ghost">
      <formula>NOT(ISERROR(SEARCH("Ghost",B2)))</formula>
    </cfRule>
    <cfRule type="containsText" dxfId="1967" priority="128" stopIfTrue="1" operator="containsText" text="Psychic">
      <formula>NOT(ISERROR(SEARCH("Psychic",B2)))</formula>
    </cfRule>
    <cfRule type="containsText" dxfId="1966" priority="129" stopIfTrue="1" operator="containsText" text="Normal">
      <formula>NOT(ISERROR(SEARCH("Normal",B2)))</formula>
    </cfRule>
    <cfRule type="containsText" dxfId="1965" priority="130" stopIfTrue="1" operator="containsText" text="Fire">
      <formula>NOT(ISERROR(SEARCH("Fire",B2)))</formula>
    </cfRule>
    <cfRule type="containsText" dxfId="1964" priority="131" stopIfTrue="1" operator="containsText" text="Bug">
      <formula>NOT(ISERROR(SEARCH("Bug",B2)))</formula>
    </cfRule>
    <cfRule type="containsText" dxfId="1963" priority="132" stopIfTrue="1" operator="containsText" text="Dark">
      <formula>NOT(ISERROR(SEARCH("Dark",B2)))</formula>
    </cfRule>
    <cfRule type="containsText" dxfId="1962" priority="133" stopIfTrue="1" operator="containsText" text="Dragon">
      <formula>NOT(ISERROR(SEARCH("Dragon",B2)))</formula>
    </cfRule>
    <cfRule type="containsText" dxfId="1961" priority="134" stopIfTrue="1" operator="containsText" text="Electric">
      <formula>NOT(ISERROR(SEARCH("Electric",B2)))</formula>
    </cfRule>
    <cfRule type="containsText" dxfId="1960" priority="135" stopIfTrue="1" operator="containsText" text="Fairy">
      <formula>NOT(ISERROR(SEARCH("Fairy",B2)))</formula>
    </cfRule>
    <cfRule type="containsText" dxfId="1959" priority="136" stopIfTrue="1" operator="containsText" text="Fighting">
      <formula>NOT(ISERROR(SEARCH("Fighting",B2)))</formula>
    </cfRule>
    <cfRule type="containsText" dxfId="1958" priority="137" stopIfTrue="1" operator="containsText" text="Flying">
      <formula>NOT(ISERROR(SEARCH("Flying",B2)))</formula>
    </cfRule>
    <cfRule type="containsText" dxfId="1957" priority="138" stopIfTrue="1" operator="containsText" text="Grass">
      <formula>NOT(ISERROR(SEARCH("Grass",B2)))</formula>
    </cfRule>
    <cfRule type="containsText" dxfId="1956" priority="139" stopIfTrue="1" operator="containsText" text="Ground">
      <formula>NOT(ISERROR(SEARCH("Ground",B2)))</formula>
    </cfRule>
    <cfRule type="containsText" dxfId="1955" priority="140" stopIfTrue="1" operator="containsText" text="Ice">
      <formula>NOT(ISERROR(SEARCH("Ice",B2)))</formula>
    </cfRule>
    <cfRule type="containsText" dxfId="1954" priority="141" stopIfTrue="1" operator="containsText" text="Poison">
      <formula>NOT(ISERROR(SEARCH("Poison",B2)))</formula>
    </cfRule>
    <cfRule type="containsText" dxfId="1953" priority="142" stopIfTrue="1" operator="containsText" text="Rock">
      <formula>NOT(ISERROR(SEARCH("Rock",B2)))</formula>
    </cfRule>
    <cfRule type="containsText" dxfId="1952" priority="143" stopIfTrue="1" operator="containsText" text="Steel">
      <formula>NOT(ISERROR(SEARCH("Steel",B2)))</formula>
    </cfRule>
    <cfRule type="containsText" dxfId="1951" priority="144" stopIfTrue="1" operator="containsText" text="Water">
      <formula>NOT(ISERROR(SEARCH("Water",B2)))</formula>
    </cfRule>
    <cfRule type="containsText" dxfId="1950" priority="145" stopIfTrue="1" operator="containsText" text="Status">
      <formula>NOT(ISERROR(SEARCH("Status",B2)))</formula>
    </cfRule>
    <cfRule type="containsText" dxfId="1949" priority="146" stopIfTrue="1" operator="containsText" text="Physical">
      <formula>NOT(ISERROR(SEARCH("Physical",B2)))</formula>
    </cfRule>
    <cfRule type="containsText" dxfId="1948" priority="147" stopIfTrue="1" operator="containsText" text="Special">
      <formula>NOT(ISERROR(SEARCH("Special",B2)))</formula>
    </cfRule>
    <cfRule type="containsText" dxfId="1947" priority="148" stopIfTrue="1" operator="containsText" text="Ghost">
      <formula>NOT(ISERROR(SEARCH("Ghost",B2)))</formula>
    </cfRule>
    <cfRule type="containsText" dxfId="1946" priority="149" stopIfTrue="1" operator="containsText" text="Psychic">
      <formula>NOT(ISERROR(SEARCH("Psychic",B2)))</formula>
    </cfRule>
    <cfRule type="containsText" dxfId="1945" priority="150" stopIfTrue="1" operator="containsText" text="Normal">
      <formula>NOT(ISERROR(SEARCH("Normal",B2)))</formula>
    </cfRule>
    <cfRule type="containsText" dxfId="1944" priority="151" stopIfTrue="1" operator="containsText" text="Fire">
      <formula>NOT(ISERROR(SEARCH("Fire",B2)))</formula>
    </cfRule>
    <cfRule type="containsText" dxfId="1943" priority="152" stopIfTrue="1" operator="containsText" text="Bug">
      <formula>NOT(ISERROR(SEARCH("Bug",B2)))</formula>
    </cfRule>
    <cfRule type="containsText" dxfId="1942" priority="153" stopIfTrue="1" operator="containsText" text="Dark">
      <formula>NOT(ISERROR(SEARCH("Dark",B2)))</formula>
    </cfRule>
    <cfRule type="containsText" dxfId="1941" priority="154" stopIfTrue="1" operator="containsText" text="Dragon">
      <formula>NOT(ISERROR(SEARCH("Dragon",B2)))</formula>
    </cfRule>
    <cfRule type="containsText" dxfId="1940" priority="155" stopIfTrue="1" operator="containsText" text="Electric">
      <formula>NOT(ISERROR(SEARCH("Electric",B2)))</formula>
    </cfRule>
    <cfRule type="containsText" dxfId="1939" priority="156" stopIfTrue="1" operator="containsText" text="Fairy">
      <formula>NOT(ISERROR(SEARCH("Fairy",B2)))</formula>
    </cfRule>
    <cfRule type="containsText" dxfId="1938" priority="157" stopIfTrue="1" operator="containsText" text="Fighting">
      <formula>NOT(ISERROR(SEARCH("Fighting",B2)))</formula>
    </cfRule>
    <cfRule type="containsText" dxfId="1937" priority="158" stopIfTrue="1" operator="containsText" text="Flying">
      <formula>NOT(ISERROR(SEARCH("Flying",B2)))</formula>
    </cfRule>
    <cfRule type="containsText" dxfId="1936" priority="159" stopIfTrue="1" operator="containsText" text="Grass">
      <formula>NOT(ISERROR(SEARCH("Grass",B2)))</formula>
    </cfRule>
    <cfRule type="containsText" dxfId="1935" priority="160" stopIfTrue="1" operator="containsText" text="Ground">
      <formula>NOT(ISERROR(SEARCH("Ground",B2)))</formula>
    </cfRule>
    <cfRule type="containsText" dxfId="1934" priority="161" stopIfTrue="1" operator="containsText" text="Ice">
      <formula>NOT(ISERROR(SEARCH("Ice",B2)))</formula>
    </cfRule>
    <cfRule type="containsText" dxfId="1933" priority="162" stopIfTrue="1" operator="containsText" text="Poison">
      <formula>NOT(ISERROR(SEARCH("Poison",B2)))</formula>
    </cfRule>
    <cfRule type="containsText" dxfId="1932" priority="163" stopIfTrue="1" operator="containsText" text="Rock">
      <formula>NOT(ISERROR(SEARCH("Rock",B2)))</formula>
    </cfRule>
    <cfRule type="containsText" dxfId="1931" priority="164" stopIfTrue="1" operator="containsText" text="Steel">
      <formula>NOT(ISERROR(SEARCH("Steel",B2)))</formula>
    </cfRule>
    <cfRule type="containsText" dxfId="1930" priority="165" stopIfTrue="1" operator="containsText" text="Water">
      <formula>NOT(ISERROR(SEARCH("Water",B2)))</formula>
    </cfRule>
    <cfRule type="containsText" dxfId="1929" priority="166" stopIfTrue="1" operator="containsText" text="Status">
      <formula>NOT(ISERROR(SEARCH("Status",B2)))</formula>
    </cfRule>
    <cfRule type="containsText" dxfId="1928" priority="167" stopIfTrue="1" operator="containsText" text="Physical">
      <formula>NOT(ISERROR(SEARCH("Physical",B2)))</formula>
    </cfRule>
    <cfRule type="containsText" dxfId="1927" priority="168" stopIfTrue="1" operator="containsText" text="Special">
      <formula>NOT(ISERROR(SEARCH("Special",B2)))</formula>
    </cfRule>
    <cfRule type="containsText" dxfId="1926" priority="169" stopIfTrue="1" operator="containsText" text="Ghost">
      <formula>NOT(ISERROR(SEARCH("Ghost",B2)))</formula>
    </cfRule>
    <cfRule type="containsText" dxfId="1925" priority="170" stopIfTrue="1" operator="containsText" text="Psychic">
      <formula>NOT(ISERROR(SEARCH("Psychic",B2)))</formula>
    </cfRule>
    <cfRule type="containsText" dxfId="1924" priority="171" stopIfTrue="1" operator="containsText" text="Normal">
      <formula>NOT(ISERROR(SEARCH("Normal",B2)))</formula>
    </cfRule>
    <cfRule type="containsText" dxfId="1923" priority="172" stopIfTrue="1" operator="containsText" text="Fire">
      <formula>NOT(ISERROR(SEARCH("Fire",B2)))</formula>
    </cfRule>
    <cfRule type="containsText" dxfId="1922" priority="173" stopIfTrue="1" operator="containsText" text="Bug">
      <formula>NOT(ISERROR(SEARCH("Bug",B2)))</formula>
    </cfRule>
    <cfRule type="containsText" dxfId="1921" priority="174" stopIfTrue="1" operator="containsText" text="Dark">
      <formula>NOT(ISERROR(SEARCH("Dark",B2)))</formula>
    </cfRule>
    <cfRule type="containsText" dxfId="1920" priority="175" stopIfTrue="1" operator="containsText" text="Dragon">
      <formula>NOT(ISERROR(SEARCH("Dragon",B2)))</formula>
    </cfRule>
    <cfRule type="containsText" dxfId="1919" priority="176" stopIfTrue="1" operator="containsText" text="Electric">
      <formula>NOT(ISERROR(SEARCH("Electric",B2)))</formula>
    </cfRule>
    <cfRule type="containsText" dxfId="1918" priority="177" stopIfTrue="1" operator="containsText" text="Fairy">
      <formula>NOT(ISERROR(SEARCH("Fairy",B2)))</formula>
    </cfRule>
    <cfRule type="containsText" dxfId="1917" priority="178" stopIfTrue="1" operator="containsText" text="Fighting">
      <formula>NOT(ISERROR(SEARCH("Fighting",B2)))</formula>
    </cfRule>
    <cfRule type="containsText" dxfId="1916" priority="179" stopIfTrue="1" operator="containsText" text="Flying">
      <formula>NOT(ISERROR(SEARCH("Flying",B2)))</formula>
    </cfRule>
    <cfRule type="containsText" dxfId="1915" priority="180" stopIfTrue="1" operator="containsText" text="Grass">
      <formula>NOT(ISERROR(SEARCH("Grass",B2)))</formula>
    </cfRule>
    <cfRule type="containsText" dxfId="1914" priority="181" stopIfTrue="1" operator="containsText" text="Ground">
      <formula>NOT(ISERROR(SEARCH("Ground",B2)))</formula>
    </cfRule>
    <cfRule type="containsText" dxfId="1913" priority="182" stopIfTrue="1" operator="containsText" text="Ice">
      <formula>NOT(ISERROR(SEARCH("Ice",B2)))</formula>
    </cfRule>
    <cfRule type="containsText" dxfId="1912" priority="183" stopIfTrue="1" operator="containsText" text="Poison">
      <formula>NOT(ISERROR(SEARCH("Poison",B2)))</formula>
    </cfRule>
    <cfRule type="containsText" dxfId="1911" priority="184" stopIfTrue="1" operator="containsText" text="Rock">
      <formula>NOT(ISERROR(SEARCH("Rock",B2)))</formula>
    </cfRule>
    <cfRule type="containsText" dxfId="1910" priority="185" stopIfTrue="1" operator="containsText" text="Steel">
      <formula>NOT(ISERROR(SEARCH("Steel",B2)))</formula>
    </cfRule>
    <cfRule type="containsText" dxfId="1909" priority="186" stopIfTrue="1" operator="containsText" text="Water">
      <formula>NOT(ISERROR(SEARCH("Water",B2)))</formula>
    </cfRule>
    <cfRule type="containsText" dxfId="1908" priority="187" stopIfTrue="1" operator="containsText" text="Status">
      <formula>NOT(ISERROR(SEARCH("Status",B2)))</formula>
    </cfRule>
    <cfRule type="containsText" dxfId="1907" priority="188" stopIfTrue="1" operator="containsText" text="Physical">
      <formula>NOT(ISERROR(SEARCH("Physical",B2)))</formula>
    </cfRule>
    <cfRule type="containsText" dxfId="1906" priority="189" stopIfTrue="1" operator="containsText" text="Special">
      <formula>NOT(ISERROR(SEARCH("Special",B2)))</formula>
    </cfRule>
    <cfRule type="containsText" dxfId="1905" priority="190" stopIfTrue="1" operator="containsText" text="Ghost">
      <formula>NOT(ISERROR(SEARCH("Ghost",B2)))</formula>
    </cfRule>
    <cfRule type="containsText" dxfId="1904" priority="191" stopIfTrue="1" operator="containsText" text="Psychic">
      <formula>NOT(ISERROR(SEARCH("Psychic",B2)))</formula>
    </cfRule>
    <cfRule type="containsText" dxfId="1903" priority="192" stopIfTrue="1" operator="containsText" text="Normal">
      <formula>NOT(ISERROR(SEARCH("Normal",B2)))</formula>
    </cfRule>
    <cfRule type="containsText" dxfId="1902" priority="193" stopIfTrue="1" operator="containsText" text="Fire">
      <formula>NOT(ISERROR(SEARCH("Fire",B2)))</formula>
    </cfRule>
    <cfRule type="containsText" dxfId="1901" priority="194" stopIfTrue="1" operator="containsText" text="Bug">
      <formula>NOT(ISERROR(SEARCH("Bug",B2)))</formula>
    </cfRule>
    <cfRule type="containsText" dxfId="1900" priority="195" stopIfTrue="1" operator="containsText" text="Dark">
      <formula>NOT(ISERROR(SEARCH("Dark",B2)))</formula>
    </cfRule>
    <cfRule type="containsText" dxfId="1899" priority="196" stopIfTrue="1" operator="containsText" text="Dragon">
      <formula>NOT(ISERROR(SEARCH("Dragon",B2)))</formula>
    </cfRule>
    <cfRule type="containsText" dxfId="1898" priority="197" stopIfTrue="1" operator="containsText" text="Electric">
      <formula>NOT(ISERROR(SEARCH("Electric",B2)))</formula>
    </cfRule>
    <cfRule type="containsText" dxfId="1897" priority="198" stopIfTrue="1" operator="containsText" text="Fairy">
      <formula>NOT(ISERROR(SEARCH("Fairy",B2)))</formula>
    </cfRule>
    <cfRule type="containsText" dxfId="1896" priority="199" stopIfTrue="1" operator="containsText" text="Fighting">
      <formula>NOT(ISERROR(SEARCH("Fighting",B2)))</formula>
    </cfRule>
    <cfRule type="containsText" dxfId="1895" priority="200" stopIfTrue="1" operator="containsText" text="Flying">
      <formula>NOT(ISERROR(SEARCH("Flying",B2)))</formula>
    </cfRule>
    <cfRule type="containsText" dxfId="1894" priority="201" stopIfTrue="1" operator="containsText" text="Grass">
      <formula>NOT(ISERROR(SEARCH("Grass",B2)))</formula>
    </cfRule>
    <cfRule type="containsText" dxfId="1893" priority="202" stopIfTrue="1" operator="containsText" text="Ground">
      <formula>NOT(ISERROR(SEARCH("Ground",B2)))</formula>
    </cfRule>
    <cfRule type="containsText" dxfId="1892" priority="203" stopIfTrue="1" operator="containsText" text="Ice">
      <formula>NOT(ISERROR(SEARCH("Ice",B2)))</formula>
    </cfRule>
    <cfRule type="containsText" dxfId="1891" priority="204" stopIfTrue="1" operator="containsText" text="Poison">
      <formula>NOT(ISERROR(SEARCH("Poison",B2)))</formula>
    </cfRule>
    <cfRule type="containsText" dxfId="1890" priority="205" stopIfTrue="1" operator="containsText" text="Rock">
      <formula>NOT(ISERROR(SEARCH("Rock",B2)))</formula>
    </cfRule>
    <cfRule type="containsText" dxfId="1889" priority="206" stopIfTrue="1" operator="containsText" text="Steel">
      <formula>NOT(ISERROR(SEARCH("Steel",B2)))</formula>
    </cfRule>
    <cfRule type="containsText" dxfId="1888" priority="207" stopIfTrue="1" operator="containsText" text="Water">
      <formula>NOT(ISERROR(SEARCH("Water",B2)))</formula>
    </cfRule>
    <cfRule type="containsText" dxfId="1887" priority="208" stopIfTrue="1" operator="containsText" text="Status">
      <formula>NOT(ISERROR(SEARCH("Status",B2)))</formula>
    </cfRule>
    <cfRule type="containsText" dxfId="1886" priority="209" stopIfTrue="1" operator="containsText" text="Physical">
      <formula>NOT(ISERROR(SEARCH("Physical",B2)))</formula>
    </cfRule>
    <cfRule type="containsText" dxfId="1885" priority="210" stopIfTrue="1" operator="containsText" text="Special">
      <formula>NOT(ISERROR(SEARCH("Special",B2)))</formula>
    </cfRule>
    <cfRule type="containsText" dxfId="1884" priority="211" stopIfTrue="1" operator="containsText" text="Ghost">
      <formula>NOT(ISERROR(SEARCH("Ghost",B2)))</formula>
    </cfRule>
    <cfRule type="containsText" dxfId="1883" priority="212" stopIfTrue="1" operator="containsText" text="Psychic">
      <formula>NOT(ISERROR(SEARCH("Psychic",B2)))</formula>
    </cfRule>
    <cfRule type="containsText" dxfId="1882" priority="213" stopIfTrue="1" operator="containsText" text="Normal">
      <formula>NOT(ISERROR(SEARCH("Normal",B2)))</formula>
    </cfRule>
    <cfRule type="containsText" dxfId="1881" priority="214" stopIfTrue="1" operator="containsText" text="Fire">
      <formula>NOT(ISERROR(SEARCH("Fire",B2)))</formula>
    </cfRule>
    <cfRule type="containsText" dxfId="1880" priority="215" stopIfTrue="1" operator="containsText" text="Bug">
      <formula>NOT(ISERROR(SEARCH("Bug",B2)))</formula>
    </cfRule>
    <cfRule type="containsText" dxfId="1879" priority="216" stopIfTrue="1" operator="containsText" text="Dark">
      <formula>NOT(ISERROR(SEARCH("Dark",B2)))</formula>
    </cfRule>
    <cfRule type="containsText" dxfId="1878" priority="217" stopIfTrue="1" operator="containsText" text="Dragon">
      <formula>NOT(ISERROR(SEARCH("Dragon",B2)))</formula>
    </cfRule>
    <cfRule type="containsText" dxfId="1877" priority="218" stopIfTrue="1" operator="containsText" text="Electric">
      <formula>NOT(ISERROR(SEARCH("Electric",B2)))</formula>
    </cfRule>
    <cfRule type="containsText" dxfId="1876" priority="219" stopIfTrue="1" operator="containsText" text="Fairy">
      <formula>NOT(ISERROR(SEARCH("Fairy",B2)))</formula>
    </cfRule>
    <cfRule type="containsText" dxfId="1875" priority="220" stopIfTrue="1" operator="containsText" text="Fighting">
      <formula>NOT(ISERROR(SEARCH("Fighting",B2)))</formula>
    </cfRule>
    <cfRule type="containsText" dxfId="1874" priority="221" stopIfTrue="1" operator="containsText" text="Flying">
      <formula>NOT(ISERROR(SEARCH("Flying",B2)))</formula>
    </cfRule>
    <cfRule type="containsText" dxfId="1873" priority="222" stopIfTrue="1" operator="containsText" text="Grass">
      <formula>NOT(ISERROR(SEARCH("Grass",B2)))</formula>
    </cfRule>
    <cfRule type="containsText" dxfId="1872" priority="223" stopIfTrue="1" operator="containsText" text="Ground">
      <formula>NOT(ISERROR(SEARCH("Ground",B2)))</formula>
    </cfRule>
    <cfRule type="containsText" dxfId="1871" priority="224" stopIfTrue="1" operator="containsText" text="Ice">
      <formula>NOT(ISERROR(SEARCH("Ice",B2)))</formula>
    </cfRule>
    <cfRule type="containsText" dxfId="1870" priority="225" stopIfTrue="1" operator="containsText" text="Poison">
      <formula>NOT(ISERROR(SEARCH("Poison",B2)))</formula>
    </cfRule>
    <cfRule type="containsText" dxfId="1869" priority="226" stopIfTrue="1" operator="containsText" text="Rock">
      <formula>NOT(ISERROR(SEARCH("Rock",B2)))</formula>
    </cfRule>
    <cfRule type="containsText" dxfId="1868" priority="227" stopIfTrue="1" operator="containsText" text="Steel">
      <formula>NOT(ISERROR(SEARCH("Steel",B2)))</formula>
    </cfRule>
    <cfRule type="containsText" dxfId="1867" priority="228" stopIfTrue="1" operator="containsText" text="Water">
      <formula>NOT(ISERROR(SEARCH("Water",B2)))</formula>
    </cfRule>
    <cfRule type="containsText" dxfId="1866" priority="229" stopIfTrue="1" operator="containsText" text="Status">
      <formula>NOT(ISERROR(SEARCH("Status",B2)))</formula>
    </cfRule>
    <cfRule type="containsText" dxfId="1865" priority="230" stopIfTrue="1" operator="containsText" text="Physical">
      <formula>NOT(ISERROR(SEARCH("Physical",B2)))</formula>
    </cfRule>
    <cfRule type="containsText" dxfId="1864" priority="231" stopIfTrue="1" operator="containsText" text="Special">
      <formula>NOT(ISERROR(SEARCH("Special",B2)))</formula>
    </cfRule>
    <cfRule type="containsText" dxfId="1863" priority="232" stopIfTrue="1" operator="containsText" text="Ghost">
      <formula>NOT(ISERROR(SEARCH("Ghost",B2)))</formula>
    </cfRule>
    <cfRule type="containsText" dxfId="1862" priority="233" stopIfTrue="1" operator="containsText" text="Psychic">
      <formula>NOT(ISERROR(SEARCH("Psychic",B2)))</formula>
    </cfRule>
    <cfRule type="containsText" dxfId="1861" priority="234" stopIfTrue="1" operator="containsText" text="Normal">
      <formula>NOT(ISERROR(SEARCH("Normal",B2)))</formula>
    </cfRule>
    <cfRule type="containsText" dxfId="1860" priority="235" stopIfTrue="1" operator="containsText" text="Fire">
      <formula>NOT(ISERROR(SEARCH("Fire",B2)))</formula>
    </cfRule>
    <cfRule type="containsText" dxfId="1859" priority="236" stopIfTrue="1" operator="containsText" text="Bug">
      <formula>NOT(ISERROR(SEARCH("Bug",B2)))</formula>
    </cfRule>
    <cfRule type="containsText" dxfId="1858" priority="237" stopIfTrue="1" operator="containsText" text="Dark">
      <formula>NOT(ISERROR(SEARCH("Dark",B2)))</formula>
    </cfRule>
    <cfRule type="containsText" dxfId="1857" priority="238" stopIfTrue="1" operator="containsText" text="Dragon">
      <formula>NOT(ISERROR(SEARCH("Dragon",B2)))</formula>
    </cfRule>
    <cfRule type="containsText" dxfId="1856" priority="239" stopIfTrue="1" operator="containsText" text="Electric">
      <formula>NOT(ISERROR(SEARCH("Electric",B2)))</formula>
    </cfRule>
    <cfRule type="containsText" dxfId="1855" priority="240" stopIfTrue="1" operator="containsText" text="Fairy">
      <formula>NOT(ISERROR(SEARCH("Fairy",B2)))</formula>
    </cfRule>
    <cfRule type="containsText" dxfId="1854" priority="241" stopIfTrue="1" operator="containsText" text="Fighting">
      <formula>NOT(ISERROR(SEARCH("Fighting",B2)))</formula>
    </cfRule>
    <cfRule type="containsText" dxfId="1853" priority="242" stopIfTrue="1" operator="containsText" text="Flying">
      <formula>NOT(ISERROR(SEARCH("Flying",B2)))</formula>
    </cfRule>
    <cfRule type="containsText" dxfId="1852" priority="243" stopIfTrue="1" operator="containsText" text="Grass">
      <formula>NOT(ISERROR(SEARCH("Grass",B2)))</formula>
    </cfRule>
    <cfRule type="containsText" dxfId="1851" priority="244" stopIfTrue="1" operator="containsText" text="Ground">
      <formula>NOT(ISERROR(SEARCH("Ground",B2)))</formula>
    </cfRule>
    <cfRule type="containsText" dxfId="1850" priority="245" stopIfTrue="1" operator="containsText" text="Ice">
      <formula>NOT(ISERROR(SEARCH("Ice",B2)))</formula>
    </cfRule>
    <cfRule type="containsText" dxfId="1849" priority="246" stopIfTrue="1" operator="containsText" text="Poison">
      <formula>NOT(ISERROR(SEARCH("Poison",B2)))</formula>
    </cfRule>
    <cfRule type="containsText" dxfId="1848" priority="247" stopIfTrue="1" operator="containsText" text="Rock">
      <formula>NOT(ISERROR(SEARCH("Rock",B2)))</formula>
    </cfRule>
    <cfRule type="containsText" dxfId="1847" priority="248" stopIfTrue="1" operator="containsText" text="Steel">
      <formula>NOT(ISERROR(SEARCH("Steel",B2)))</formula>
    </cfRule>
    <cfRule type="containsText" dxfId="1846" priority="249" stopIfTrue="1" operator="containsText" text="Water">
      <formula>NOT(ISERROR(SEARCH("Water",B2)))</formula>
    </cfRule>
    <cfRule type="containsText" dxfId="1845" priority="250" stopIfTrue="1" operator="containsText" text="Status">
      <formula>NOT(ISERROR(SEARCH("Status",B2)))</formula>
    </cfRule>
    <cfRule type="containsText" dxfId="1844" priority="251" stopIfTrue="1" operator="containsText" text="Physical">
      <formula>NOT(ISERROR(SEARCH("Physical",B2)))</formula>
    </cfRule>
    <cfRule type="containsText" dxfId="1843" priority="252" stopIfTrue="1" operator="containsText" text="Special">
      <formula>NOT(ISERROR(SEARCH("Special",B2)))</formula>
    </cfRule>
    <cfRule type="containsText" dxfId="1842" priority="253" stopIfTrue="1" operator="containsText" text="Ghost">
      <formula>NOT(ISERROR(SEARCH("Ghost",B2)))</formula>
    </cfRule>
    <cfRule type="containsText" dxfId="1841" priority="254" stopIfTrue="1" operator="containsText" text="Psychic">
      <formula>NOT(ISERROR(SEARCH("Psychic",B2)))</formula>
    </cfRule>
    <cfRule type="containsText" dxfId="1840" priority="255" stopIfTrue="1" operator="containsText" text="Normal">
      <formula>NOT(ISERROR(SEARCH("Normal",B2)))</formula>
    </cfRule>
    <cfRule type="containsText" dxfId="1839" priority="256" stopIfTrue="1" operator="containsText" text="Fire">
      <formula>NOT(ISERROR(SEARCH("Fire",B2)))</formula>
    </cfRule>
    <cfRule type="containsText" dxfId="1838" priority="257" stopIfTrue="1" operator="containsText" text="Bug">
      <formula>NOT(ISERROR(SEARCH("Bug",B2)))</formula>
    </cfRule>
    <cfRule type="containsText" dxfId="1837" priority="258" stopIfTrue="1" operator="containsText" text="Dark">
      <formula>NOT(ISERROR(SEARCH("Dark",B2)))</formula>
    </cfRule>
    <cfRule type="containsText" dxfId="1836" priority="259" stopIfTrue="1" operator="containsText" text="Dragon">
      <formula>NOT(ISERROR(SEARCH("Dragon",B2)))</formula>
    </cfRule>
    <cfRule type="containsText" dxfId="1835" priority="260" stopIfTrue="1" operator="containsText" text="Electric">
      <formula>NOT(ISERROR(SEARCH("Electric",B2)))</formula>
    </cfRule>
    <cfRule type="containsText" dxfId="1834" priority="261" stopIfTrue="1" operator="containsText" text="Fairy">
      <formula>NOT(ISERROR(SEARCH("Fairy",B2)))</formula>
    </cfRule>
    <cfRule type="containsText" dxfId="1833" priority="262" stopIfTrue="1" operator="containsText" text="Fighting">
      <formula>NOT(ISERROR(SEARCH("Fighting",B2)))</formula>
    </cfRule>
    <cfRule type="containsText" dxfId="1832" priority="263" stopIfTrue="1" operator="containsText" text="Flying">
      <formula>NOT(ISERROR(SEARCH("Flying",B2)))</formula>
    </cfRule>
    <cfRule type="containsText" dxfId="1831" priority="264" stopIfTrue="1" operator="containsText" text="Grass">
      <formula>NOT(ISERROR(SEARCH("Grass",B2)))</formula>
    </cfRule>
    <cfRule type="containsText" dxfId="1830" priority="265" stopIfTrue="1" operator="containsText" text="Ground">
      <formula>NOT(ISERROR(SEARCH("Ground",B2)))</formula>
    </cfRule>
    <cfRule type="containsText" dxfId="1829" priority="266" stopIfTrue="1" operator="containsText" text="Ice">
      <formula>NOT(ISERROR(SEARCH("Ice",B2)))</formula>
    </cfRule>
    <cfRule type="containsText" dxfId="1828" priority="267" stopIfTrue="1" operator="containsText" text="Poison">
      <formula>NOT(ISERROR(SEARCH("Poison",B2)))</formula>
    </cfRule>
    <cfRule type="containsText" dxfId="1827" priority="268" stopIfTrue="1" operator="containsText" text="Rock">
      <formula>NOT(ISERROR(SEARCH("Rock",B2)))</formula>
    </cfRule>
    <cfRule type="containsText" dxfId="1826" priority="269" stopIfTrue="1" operator="containsText" text="Steel">
      <formula>NOT(ISERROR(SEARCH("Steel",B2)))</formula>
    </cfRule>
    <cfRule type="containsText" dxfId="1825" priority="270" stopIfTrue="1" operator="containsText" text="Water">
      <formula>NOT(ISERROR(SEARCH("Water",B2)))</formula>
    </cfRule>
    <cfRule type="containsText" dxfId="1824" priority="271" stopIfTrue="1" operator="containsText" text="Status">
      <formula>NOT(ISERROR(SEARCH("Status",B2)))</formula>
    </cfRule>
    <cfRule type="containsText" dxfId="1823" priority="272" stopIfTrue="1" operator="containsText" text="Physical">
      <formula>NOT(ISERROR(SEARCH("Physical",B2)))</formula>
    </cfRule>
    <cfRule type="containsText" dxfId="1822" priority="273" stopIfTrue="1" operator="containsText" text="Special">
      <formula>NOT(ISERROR(SEARCH("Special",B2)))</formula>
    </cfRule>
    <cfRule type="containsText" dxfId="1821" priority="274" stopIfTrue="1" operator="containsText" text="Ghost">
      <formula>NOT(ISERROR(SEARCH("Ghost",B2)))</formula>
    </cfRule>
    <cfRule type="containsText" dxfId="1820" priority="275" stopIfTrue="1" operator="containsText" text="Psychic">
      <formula>NOT(ISERROR(SEARCH("Psychic",B2)))</formula>
    </cfRule>
    <cfRule type="containsText" dxfId="1819" priority="276" stopIfTrue="1" operator="containsText" text="Normal">
      <formula>NOT(ISERROR(SEARCH("Normal",B2)))</formula>
    </cfRule>
    <cfRule type="containsText" dxfId="1818" priority="277" stopIfTrue="1" operator="containsText" text="Fire">
      <formula>NOT(ISERROR(SEARCH("Fire",B2)))</formula>
    </cfRule>
    <cfRule type="containsText" dxfId="1817" priority="278" stopIfTrue="1" operator="containsText" text="Bug">
      <formula>NOT(ISERROR(SEARCH("Bug",B2)))</formula>
    </cfRule>
    <cfRule type="containsText" dxfId="1816" priority="279" stopIfTrue="1" operator="containsText" text="Dark">
      <formula>NOT(ISERROR(SEARCH("Dark",B2)))</formula>
    </cfRule>
    <cfRule type="containsText" dxfId="1815" priority="280" stopIfTrue="1" operator="containsText" text="Dragon">
      <formula>NOT(ISERROR(SEARCH("Dragon",B2)))</formula>
    </cfRule>
    <cfRule type="containsText" dxfId="1814" priority="281" stopIfTrue="1" operator="containsText" text="Electric">
      <formula>NOT(ISERROR(SEARCH("Electric",B2)))</formula>
    </cfRule>
    <cfRule type="containsText" dxfId="1813" priority="282" stopIfTrue="1" operator="containsText" text="Fairy">
      <formula>NOT(ISERROR(SEARCH("Fairy",B2)))</formula>
    </cfRule>
    <cfRule type="containsText" dxfId="1812" priority="283" stopIfTrue="1" operator="containsText" text="Fighting">
      <formula>NOT(ISERROR(SEARCH("Fighting",B2)))</formula>
    </cfRule>
    <cfRule type="containsText" dxfId="1811" priority="284" stopIfTrue="1" operator="containsText" text="Flying">
      <formula>NOT(ISERROR(SEARCH("Flying",B2)))</formula>
    </cfRule>
    <cfRule type="containsText" dxfId="1810" priority="285" stopIfTrue="1" operator="containsText" text="Grass">
      <formula>NOT(ISERROR(SEARCH("Grass",B2)))</formula>
    </cfRule>
    <cfRule type="containsText" dxfId="1809" priority="286" stopIfTrue="1" operator="containsText" text="Ground">
      <formula>NOT(ISERROR(SEARCH("Ground",B2)))</formula>
    </cfRule>
    <cfRule type="containsText" dxfId="1808" priority="287" stopIfTrue="1" operator="containsText" text="Ice">
      <formula>NOT(ISERROR(SEARCH("Ice",B2)))</formula>
    </cfRule>
    <cfRule type="containsText" dxfId="1807" priority="288" stopIfTrue="1" operator="containsText" text="Poison">
      <formula>NOT(ISERROR(SEARCH("Poison",B2)))</formula>
    </cfRule>
    <cfRule type="containsText" dxfId="1806" priority="289" stopIfTrue="1" operator="containsText" text="Rock">
      <formula>NOT(ISERROR(SEARCH("Rock",B2)))</formula>
    </cfRule>
    <cfRule type="containsText" dxfId="1805" priority="290" stopIfTrue="1" operator="containsText" text="Steel">
      <formula>NOT(ISERROR(SEARCH("Steel",B2)))</formula>
    </cfRule>
    <cfRule type="containsText" dxfId="1804" priority="291" stopIfTrue="1" operator="containsText" text="Water">
      <formula>NOT(ISERROR(SEARCH("Water",B2)))</formula>
    </cfRule>
    <cfRule type="containsText" dxfId="1803" priority="292" stopIfTrue="1" operator="containsText" text="Status">
      <formula>NOT(ISERROR(SEARCH("Status",B2)))</formula>
    </cfRule>
    <cfRule type="containsText" dxfId="1802" priority="293" stopIfTrue="1" operator="containsText" text="Physical">
      <formula>NOT(ISERROR(SEARCH("Physical",B2)))</formula>
    </cfRule>
    <cfRule type="containsText" dxfId="1801" priority="294" stopIfTrue="1" operator="containsText" text="Special">
      <formula>NOT(ISERROR(SEARCH("Special",B2)))</formula>
    </cfRule>
    <cfRule type="containsText" dxfId="1800" priority="295" stopIfTrue="1" operator="containsText" text="Ghost">
      <formula>NOT(ISERROR(SEARCH("Ghost",B2)))</formula>
    </cfRule>
    <cfRule type="containsText" dxfId="1799" priority="296" stopIfTrue="1" operator="containsText" text="Psychic">
      <formula>NOT(ISERROR(SEARCH("Psychic",B2)))</formula>
    </cfRule>
    <cfRule type="containsText" dxfId="1798" priority="297" stopIfTrue="1" operator="containsText" text="Normal">
      <formula>NOT(ISERROR(SEARCH("Normal",B2)))</formula>
    </cfRule>
    <cfRule type="containsText" dxfId="1797" priority="298" stopIfTrue="1" operator="containsText" text="Fire">
      <formula>NOT(ISERROR(SEARCH("Fire",B2)))</formula>
    </cfRule>
    <cfRule type="containsText" dxfId="1796" priority="299" stopIfTrue="1" operator="containsText" text="Bug">
      <formula>NOT(ISERROR(SEARCH("Bug",B2)))</formula>
    </cfRule>
    <cfRule type="containsText" dxfId="1795" priority="300" stopIfTrue="1" operator="containsText" text="Dark">
      <formula>NOT(ISERROR(SEARCH("Dark",B2)))</formula>
    </cfRule>
    <cfRule type="containsText" dxfId="1794" priority="301" stopIfTrue="1" operator="containsText" text="Dragon">
      <formula>NOT(ISERROR(SEARCH("Dragon",B2)))</formula>
    </cfRule>
    <cfRule type="containsText" dxfId="1793" priority="302" stopIfTrue="1" operator="containsText" text="Electric">
      <formula>NOT(ISERROR(SEARCH("Electric",B2)))</formula>
    </cfRule>
    <cfRule type="containsText" dxfId="1792" priority="303" stopIfTrue="1" operator="containsText" text="Fairy">
      <formula>NOT(ISERROR(SEARCH("Fairy",B2)))</formula>
    </cfRule>
    <cfRule type="containsText" dxfId="1791" priority="304" stopIfTrue="1" operator="containsText" text="Fighting">
      <formula>NOT(ISERROR(SEARCH("Fighting",B2)))</formula>
    </cfRule>
    <cfRule type="containsText" dxfId="1790" priority="305" stopIfTrue="1" operator="containsText" text="Flying">
      <formula>NOT(ISERROR(SEARCH("Flying",B2)))</formula>
    </cfRule>
    <cfRule type="containsText" dxfId="1789" priority="306" stopIfTrue="1" operator="containsText" text="Grass">
      <formula>NOT(ISERROR(SEARCH("Grass",B2)))</formula>
    </cfRule>
    <cfRule type="containsText" dxfId="1788" priority="307" stopIfTrue="1" operator="containsText" text="Ground">
      <formula>NOT(ISERROR(SEARCH("Ground",B2)))</formula>
    </cfRule>
    <cfRule type="containsText" dxfId="1787" priority="308" stopIfTrue="1" operator="containsText" text="Ice">
      <formula>NOT(ISERROR(SEARCH("Ice",B2)))</formula>
    </cfRule>
    <cfRule type="containsText" dxfId="1786" priority="309" stopIfTrue="1" operator="containsText" text="Poison">
      <formula>NOT(ISERROR(SEARCH("Poison",B2)))</formula>
    </cfRule>
    <cfRule type="containsText" dxfId="1785" priority="310" stopIfTrue="1" operator="containsText" text="Rock">
      <formula>NOT(ISERROR(SEARCH("Rock",B2)))</formula>
    </cfRule>
    <cfRule type="containsText" dxfId="1784" priority="311" stopIfTrue="1" operator="containsText" text="Steel">
      <formula>NOT(ISERROR(SEARCH("Steel",B2)))</formula>
    </cfRule>
    <cfRule type="containsText" dxfId="1783" priority="312" stopIfTrue="1" operator="containsText" text="Water">
      <formula>NOT(ISERROR(SEARCH("Water",B2)))</formula>
    </cfRule>
    <cfRule type="containsText" dxfId="1782" priority="313" stopIfTrue="1" operator="containsText" text="Status">
      <formula>NOT(ISERROR(SEARCH("Status",B2)))</formula>
    </cfRule>
    <cfRule type="containsText" dxfId="1781" priority="314" stopIfTrue="1" operator="containsText" text="Physical">
      <formula>NOT(ISERROR(SEARCH("Physical",B2)))</formula>
    </cfRule>
    <cfRule type="containsText" dxfId="1780" priority="315" stopIfTrue="1" operator="containsText" text="Special">
      <formula>NOT(ISERROR(SEARCH("Special",B2)))</formula>
    </cfRule>
    <cfRule type="containsText" dxfId="1779" priority="316" stopIfTrue="1" operator="containsText" text="Ghost">
      <formula>NOT(ISERROR(SEARCH("Ghost",B2)))</formula>
    </cfRule>
    <cfRule type="containsText" dxfId="1778" priority="317" stopIfTrue="1" operator="containsText" text="Psychic">
      <formula>NOT(ISERROR(SEARCH("Psychic",B2)))</formula>
    </cfRule>
    <cfRule type="containsText" dxfId="1777" priority="318" stopIfTrue="1" operator="containsText" text="Normal">
      <formula>NOT(ISERROR(SEARCH("Normal",B2)))</formula>
    </cfRule>
    <cfRule type="containsText" dxfId="1776" priority="319" stopIfTrue="1" operator="containsText" text="Fire">
      <formula>NOT(ISERROR(SEARCH("Fire",B2)))</formula>
    </cfRule>
    <cfRule type="containsText" dxfId="1775" priority="320" stopIfTrue="1" operator="containsText" text="Bug">
      <formula>NOT(ISERROR(SEARCH("Bug",B2)))</formula>
    </cfRule>
    <cfRule type="containsText" dxfId="1774" priority="321" stopIfTrue="1" operator="containsText" text="Dark">
      <formula>NOT(ISERROR(SEARCH("Dark",B2)))</formula>
    </cfRule>
    <cfRule type="containsText" dxfId="1773" priority="322" stopIfTrue="1" operator="containsText" text="Dragon">
      <formula>NOT(ISERROR(SEARCH("Dragon",B2)))</formula>
    </cfRule>
    <cfRule type="containsText" dxfId="1772" priority="323" stopIfTrue="1" operator="containsText" text="Electric">
      <formula>NOT(ISERROR(SEARCH("Electric",B2)))</formula>
    </cfRule>
    <cfRule type="containsText" dxfId="1771" priority="324" stopIfTrue="1" operator="containsText" text="Fairy">
      <formula>NOT(ISERROR(SEARCH("Fairy",B2)))</formula>
    </cfRule>
    <cfRule type="containsText" dxfId="1770" priority="325" stopIfTrue="1" operator="containsText" text="Fighting">
      <formula>NOT(ISERROR(SEARCH("Fighting",B2)))</formula>
    </cfRule>
    <cfRule type="containsText" dxfId="1769" priority="326" stopIfTrue="1" operator="containsText" text="Flying">
      <formula>NOT(ISERROR(SEARCH("Flying",B2)))</formula>
    </cfRule>
    <cfRule type="containsText" dxfId="1768" priority="327" stopIfTrue="1" operator="containsText" text="Grass">
      <formula>NOT(ISERROR(SEARCH("Grass",B2)))</formula>
    </cfRule>
    <cfRule type="containsText" dxfId="1767" priority="328" stopIfTrue="1" operator="containsText" text="Ground">
      <formula>NOT(ISERROR(SEARCH("Ground",B2)))</formula>
    </cfRule>
    <cfRule type="containsText" dxfId="1766" priority="329" stopIfTrue="1" operator="containsText" text="Ice">
      <formula>NOT(ISERROR(SEARCH("Ice",B2)))</formula>
    </cfRule>
    <cfRule type="containsText" dxfId="1765" priority="330" stopIfTrue="1" operator="containsText" text="Poison">
      <formula>NOT(ISERROR(SEARCH("Poison",B2)))</formula>
    </cfRule>
    <cfRule type="containsText" dxfId="1764" priority="331" stopIfTrue="1" operator="containsText" text="Rock">
      <formula>NOT(ISERROR(SEARCH("Rock",B2)))</formula>
    </cfRule>
    <cfRule type="containsText" dxfId="1763" priority="332" stopIfTrue="1" operator="containsText" text="Steel">
      <formula>NOT(ISERROR(SEARCH("Steel",B2)))</formula>
    </cfRule>
    <cfRule type="containsText" dxfId="1762" priority="333" stopIfTrue="1" operator="containsText" text="Water">
      <formula>NOT(ISERROR(SEARCH("Water",B2)))</formula>
    </cfRule>
    <cfRule type="containsText" dxfId="1761" priority="334" stopIfTrue="1" operator="containsText" text="Status">
      <formula>NOT(ISERROR(SEARCH("Status",B2)))</formula>
    </cfRule>
    <cfRule type="containsText" dxfId="1760" priority="335" stopIfTrue="1" operator="containsText" text="Physical">
      <formula>NOT(ISERROR(SEARCH("Physical",B2)))</formula>
    </cfRule>
    <cfRule type="containsText" dxfId="1759" priority="336" stopIfTrue="1" operator="containsText" text="Special">
      <formula>NOT(ISERROR(SEARCH("Special",B2)))</formula>
    </cfRule>
    <cfRule type="containsText" dxfId="1758" priority="337" stopIfTrue="1" operator="containsText" text="Ghost">
      <formula>NOT(ISERROR(SEARCH("Ghost",B2)))</formula>
    </cfRule>
    <cfRule type="containsText" dxfId="1757" priority="338" stopIfTrue="1" operator="containsText" text="Psychic">
      <formula>NOT(ISERROR(SEARCH("Psychic",B2)))</formula>
    </cfRule>
    <cfRule type="containsText" dxfId="1756" priority="339" stopIfTrue="1" operator="containsText" text="Normal">
      <formula>NOT(ISERROR(SEARCH("Normal",B2)))</formula>
    </cfRule>
    <cfRule type="containsText" dxfId="1755" priority="340" stopIfTrue="1" operator="containsText" text="Fire">
      <formula>NOT(ISERROR(SEARCH("Fire",B2)))</formula>
    </cfRule>
    <cfRule type="containsText" dxfId="1754" priority="341" stopIfTrue="1" operator="containsText" text="Bug">
      <formula>NOT(ISERROR(SEARCH("Bug",B2)))</formula>
    </cfRule>
    <cfRule type="containsText" dxfId="1753" priority="342" stopIfTrue="1" operator="containsText" text="Dark">
      <formula>NOT(ISERROR(SEARCH("Dark",B2)))</formula>
    </cfRule>
    <cfRule type="containsText" dxfId="1752" priority="343" stopIfTrue="1" operator="containsText" text="Dragon">
      <formula>NOT(ISERROR(SEARCH("Dragon",B2)))</formula>
    </cfRule>
    <cfRule type="containsText" dxfId="1751" priority="344" stopIfTrue="1" operator="containsText" text="Electric">
      <formula>NOT(ISERROR(SEARCH("Electric",B2)))</formula>
    </cfRule>
    <cfRule type="containsText" dxfId="1750" priority="345" stopIfTrue="1" operator="containsText" text="Fairy">
      <formula>NOT(ISERROR(SEARCH("Fairy",B2)))</formula>
    </cfRule>
    <cfRule type="containsText" dxfId="1749" priority="346" stopIfTrue="1" operator="containsText" text="Fighting">
      <formula>NOT(ISERROR(SEARCH("Fighting",B2)))</formula>
    </cfRule>
    <cfRule type="containsText" dxfId="1748" priority="347" stopIfTrue="1" operator="containsText" text="Flying">
      <formula>NOT(ISERROR(SEARCH("Flying",B2)))</formula>
    </cfRule>
    <cfRule type="containsText" dxfId="1747" priority="348" stopIfTrue="1" operator="containsText" text="Grass">
      <formula>NOT(ISERROR(SEARCH("Grass",B2)))</formula>
    </cfRule>
    <cfRule type="containsText" dxfId="1746" priority="349" stopIfTrue="1" operator="containsText" text="Ground">
      <formula>NOT(ISERROR(SEARCH("Ground",B2)))</formula>
    </cfRule>
    <cfRule type="containsText" dxfId="1745" priority="350" stopIfTrue="1" operator="containsText" text="Ice">
      <formula>NOT(ISERROR(SEARCH("Ice",B2)))</formula>
    </cfRule>
    <cfRule type="containsText" dxfId="1744" priority="351" stopIfTrue="1" operator="containsText" text="Poison">
      <formula>NOT(ISERROR(SEARCH("Poison",B2)))</formula>
    </cfRule>
    <cfRule type="containsText" dxfId="1743" priority="352" stopIfTrue="1" operator="containsText" text="Rock">
      <formula>NOT(ISERROR(SEARCH("Rock",B2)))</formula>
    </cfRule>
    <cfRule type="containsText" dxfId="1742" priority="353" stopIfTrue="1" operator="containsText" text="Steel">
      <formula>NOT(ISERROR(SEARCH("Steel",B2)))</formula>
    </cfRule>
    <cfRule type="containsText" dxfId="1741" priority="354" stopIfTrue="1" operator="containsText" text="Water">
      <formula>NOT(ISERROR(SEARCH("Water",B2)))</formula>
    </cfRule>
    <cfRule type="containsText" dxfId="1740" priority="355" stopIfTrue="1" operator="containsText" text="Status">
      <formula>NOT(ISERROR(SEARCH("Status",B2)))</formula>
    </cfRule>
    <cfRule type="containsText" dxfId="1739" priority="356" stopIfTrue="1" operator="containsText" text="Physical">
      <formula>NOT(ISERROR(SEARCH("Physical",B2)))</formula>
    </cfRule>
    <cfRule type="containsText" dxfId="1738" priority="357" stopIfTrue="1" operator="containsText" text="Special">
      <formula>NOT(ISERROR(SEARCH("Special",B2)))</formula>
    </cfRule>
    <cfRule type="containsText" dxfId="1737" priority="358" stopIfTrue="1" operator="containsText" text="Ghost">
      <formula>NOT(ISERROR(SEARCH("Ghost",B2)))</formula>
    </cfRule>
    <cfRule type="containsText" dxfId="1736" priority="359" stopIfTrue="1" operator="containsText" text="Psychic">
      <formula>NOT(ISERROR(SEARCH("Psychic",B2)))</formula>
    </cfRule>
    <cfRule type="containsText" dxfId="1735" priority="360" stopIfTrue="1" operator="containsText" text="Normal">
      <formula>NOT(ISERROR(SEARCH("Normal",B2)))</formula>
    </cfRule>
    <cfRule type="containsText" dxfId="1734" priority="361" stopIfTrue="1" operator="containsText" text="Fire">
      <formula>NOT(ISERROR(SEARCH("Fire",B2)))</formula>
    </cfRule>
    <cfRule type="containsText" dxfId="1733" priority="362" stopIfTrue="1" operator="containsText" text="Bug">
      <formula>NOT(ISERROR(SEARCH("Bug",B2)))</formula>
    </cfRule>
    <cfRule type="containsText" dxfId="1732" priority="363" stopIfTrue="1" operator="containsText" text="Dark">
      <formula>NOT(ISERROR(SEARCH("Dark",B2)))</formula>
    </cfRule>
    <cfRule type="containsText" dxfId="1731" priority="364" stopIfTrue="1" operator="containsText" text="Dragon">
      <formula>NOT(ISERROR(SEARCH("Dragon",B2)))</formula>
    </cfRule>
    <cfRule type="containsText" dxfId="1730" priority="365" stopIfTrue="1" operator="containsText" text="Electric">
      <formula>NOT(ISERROR(SEARCH("Electric",B2)))</formula>
    </cfRule>
    <cfRule type="containsText" dxfId="1729" priority="366" stopIfTrue="1" operator="containsText" text="Fairy">
      <formula>NOT(ISERROR(SEARCH("Fairy",B2)))</formula>
    </cfRule>
    <cfRule type="containsText" dxfId="1728" priority="367" stopIfTrue="1" operator="containsText" text="Fighting">
      <formula>NOT(ISERROR(SEARCH("Fighting",B2)))</formula>
    </cfRule>
    <cfRule type="containsText" dxfId="1727" priority="368" stopIfTrue="1" operator="containsText" text="Flying">
      <formula>NOT(ISERROR(SEARCH("Flying",B2)))</formula>
    </cfRule>
    <cfRule type="containsText" dxfId="1726" priority="369" stopIfTrue="1" operator="containsText" text="Grass">
      <formula>NOT(ISERROR(SEARCH("Grass",B2)))</formula>
    </cfRule>
    <cfRule type="containsText" dxfId="1725" priority="370" stopIfTrue="1" operator="containsText" text="Ground">
      <formula>NOT(ISERROR(SEARCH("Ground",B2)))</formula>
    </cfRule>
    <cfRule type="containsText" dxfId="1724" priority="371" stopIfTrue="1" operator="containsText" text="Ice">
      <formula>NOT(ISERROR(SEARCH("Ice",B2)))</formula>
    </cfRule>
    <cfRule type="containsText" dxfId="1723" priority="372" stopIfTrue="1" operator="containsText" text="Poison">
      <formula>NOT(ISERROR(SEARCH("Poison",B2)))</formula>
    </cfRule>
    <cfRule type="containsText" dxfId="1722" priority="373" stopIfTrue="1" operator="containsText" text="Rock">
      <formula>NOT(ISERROR(SEARCH("Rock",B2)))</formula>
    </cfRule>
    <cfRule type="containsText" dxfId="1721" priority="374" stopIfTrue="1" operator="containsText" text="Steel">
      <formula>NOT(ISERROR(SEARCH("Steel",B2)))</formula>
    </cfRule>
    <cfRule type="containsText" dxfId="1720" priority="375" stopIfTrue="1" operator="containsText" text="Water">
      <formula>NOT(ISERROR(SEARCH("Water",B2)))</formula>
    </cfRule>
    <cfRule type="containsText" dxfId="1719" priority="376" stopIfTrue="1" operator="containsText" text="Status">
      <formula>NOT(ISERROR(SEARCH("Status",B2)))</formula>
    </cfRule>
    <cfRule type="containsText" dxfId="1718" priority="377" stopIfTrue="1" operator="containsText" text="Physical">
      <formula>NOT(ISERROR(SEARCH("Physical",B2)))</formula>
    </cfRule>
    <cfRule type="containsText" dxfId="1717" priority="378" stopIfTrue="1" operator="containsText" text="Special">
      <formula>NOT(ISERROR(SEARCH("Special",B2)))</formula>
    </cfRule>
    <cfRule type="containsText" dxfId="1716" priority="379" stopIfTrue="1" operator="containsText" text="Ghost">
      <formula>NOT(ISERROR(SEARCH("Ghost",B2)))</formula>
    </cfRule>
    <cfRule type="containsText" dxfId="1715" priority="380" stopIfTrue="1" operator="containsText" text="Psychic">
      <formula>NOT(ISERROR(SEARCH("Psychic",B2)))</formula>
    </cfRule>
    <cfRule type="containsText" dxfId="1714" priority="381" stopIfTrue="1" operator="containsText" text="Normal">
      <formula>NOT(ISERROR(SEARCH("Normal",B2)))</formula>
    </cfRule>
    <cfRule type="containsText" dxfId="1713" priority="382" stopIfTrue="1" operator="containsText" text="Fire">
      <formula>NOT(ISERROR(SEARCH("Fire",B2)))</formula>
    </cfRule>
    <cfRule type="containsText" dxfId="1712" priority="383" stopIfTrue="1" operator="containsText" text="Bug">
      <formula>NOT(ISERROR(SEARCH("Bug",B2)))</formula>
    </cfRule>
    <cfRule type="containsText" dxfId="1711" priority="384" stopIfTrue="1" operator="containsText" text="Dark">
      <formula>NOT(ISERROR(SEARCH("Dark",B2)))</formula>
    </cfRule>
    <cfRule type="containsText" dxfId="1710" priority="385" stopIfTrue="1" operator="containsText" text="Dragon">
      <formula>NOT(ISERROR(SEARCH("Dragon",B2)))</formula>
    </cfRule>
    <cfRule type="containsText" dxfId="1709" priority="386" stopIfTrue="1" operator="containsText" text="Electric">
      <formula>NOT(ISERROR(SEARCH("Electric",B2)))</formula>
    </cfRule>
    <cfRule type="containsText" dxfId="1708" priority="387" stopIfTrue="1" operator="containsText" text="Fairy">
      <formula>NOT(ISERROR(SEARCH("Fairy",B2)))</formula>
    </cfRule>
    <cfRule type="containsText" dxfId="1707" priority="388" stopIfTrue="1" operator="containsText" text="Fighting">
      <formula>NOT(ISERROR(SEARCH("Fighting",B2)))</formula>
    </cfRule>
    <cfRule type="containsText" dxfId="1706" priority="389" stopIfTrue="1" operator="containsText" text="Flying">
      <formula>NOT(ISERROR(SEARCH("Flying",B2)))</formula>
    </cfRule>
    <cfRule type="containsText" dxfId="1705" priority="390" stopIfTrue="1" operator="containsText" text="Grass">
      <formula>NOT(ISERROR(SEARCH("Grass",B2)))</formula>
    </cfRule>
    <cfRule type="containsText" dxfId="1704" priority="391" stopIfTrue="1" operator="containsText" text="Ground">
      <formula>NOT(ISERROR(SEARCH("Ground",B2)))</formula>
    </cfRule>
    <cfRule type="containsText" dxfId="1703" priority="392" stopIfTrue="1" operator="containsText" text="Ice">
      <formula>NOT(ISERROR(SEARCH("Ice",B2)))</formula>
    </cfRule>
    <cfRule type="containsText" dxfId="1702" priority="393" stopIfTrue="1" operator="containsText" text="Poison">
      <formula>NOT(ISERROR(SEARCH("Poison",B2)))</formula>
    </cfRule>
    <cfRule type="containsText" dxfId="1701" priority="394" stopIfTrue="1" operator="containsText" text="Rock">
      <formula>NOT(ISERROR(SEARCH("Rock",B2)))</formula>
    </cfRule>
    <cfRule type="containsText" dxfId="1700" priority="395" stopIfTrue="1" operator="containsText" text="Steel">
      <formula>NOT(ISERROR(SEARCH("Steel",B2)))</formula>
    </cfRule>
    <cfRule type="containsText" dxfId="1699" priority="396" stopIfTrue="1" operator="containsText" text="Water">
      <formula>NOT(ISERROR(SEARCH("Water",B2)))</formula>
    </cfRule>
    <cfRule type="containsText" dxfId="1698" priority="397" stopIfTrue="1" operator="containsText" text="Status">
      <formula>NOT(ISERROR(SEARCH("Status",B2)))</formula>
    </cfRule>
    <cfRule type="containsText" dxfId="1697" priority="398" stopIfTrue="1" operator="containsText" text="Physical">
      <formula>NOT(ISERROR(SEARCH("Physical",B2)))</formula>
    </cfRule>
    <cfRule type="containsText" dxfId="1696" priority="399" stopIfTrue="1" operator="containsText" text="Special">
      <formula>NOT(ISERROR(SEARCH("Special",B2)))</formula>
    </cfRule>
    <cfRule type="containsText" dxfId="1695" priority="400" stopIfTrue="1" operator="containsText" text="Ghost">
      <formula>NOT(ISERROR(SEARCH("Ghost",B2)))</formula>
    </cfRule>
    <cfRule type="containsText" dxfId="1694" priority="401" stopIfTrue="1" operator="containsText" text="Psychic">
      <formula>NOT(ISERROR(SEARCH("Psychic",B2)))</formula>
    </cfRule>
    <cfRule type="containsText" dxfId="1693" priority="402" stopIfTrue="1" operator="containsText" text="Normal">
      <formula>NOT(ISERROR(SEARCH("Normal",B2)))</formula>
    </cfRule>
    <cfRule type="containsText" dxfId="1692" priority="403" stopIfTrue="1" operator="containsText" text="Fire">
      <formula>NOT(ISERROR(SEARCH("Fire",B2)))</formula>
    </cfRule>
    <cfRule type="containsText" dxfId="1691" priority="404" stopIfTrue="1" operator="containsText" text="Bug">
      <formula>NOT(ISERROR(SEARCH("Bug",B2)))</formula>
    </cfRule>
    <cfRule type="containsText" dxfId="1690" priority="405" stopIfTrue="1" operator="containsText" text="Dark">
      <formula>NOT(ISERROR(SEARCH("Dark",B2)))</formula>
    </cfRule>
    <cfRule type="containsText" dxfId="1689" priority="406" stopIfTrue="1" operator="containsText" text="Dragon">
      <formula>NOT(ISERROR(SEARCH("Dragon",B2)))</formula>
    </cfRule>
    <cfRule type="containsText" dxfId="1688" priority="407" stopIfTrue="1" operator="containsText" text="Electric">
      <formula>NOT(ISERROR(SEARCH("Electric",B2)))</formula>
    </cfRule>
    <cfRule type="containsText" dxfId="1687" priority="408" stopIfTrue="1" operator="containsText" text="Fairy">
      <formula>NOT(ISERROR(SEARCH("Fairy",B2)))</formula>
    </cfRule>
    <cfRule type="containsText" dxfId="1686" priority="409" stopIfTrue="1" operator="containsText" text="Fighting">
      <formula>NOT(ISERROR(SEARCH("Fighting",B2)))</formula>
    </cfRule>
    <cfRule type="containsText" dxfId="1685" priority="410" stopIfTrue="1" operator="containsText" text="Flying">
      <formula>NOT(ISERROR(SEARCH("Flying",B2)))</formula>
    </cfRule>
    <cfRule type="containsText" dxfId="1684" priority="411" stopIfTrue="1" operator="containsText" text="Grass">
      <formula>NOT(ISERROR(SEARCH("Grass",B2)))</formula>
    </cfRule>
    <cfRule type="containsText" dxfId="1683" priority="412" stopIfTrue="1" operator="containsText" text="Ground">
      <formula>NOT(ISERROR(SEARCH("Ground",B2)))</formula>
    </cfRule>
    <cfRule type="containsText" dxfId="1682" priority="413" stopIfTrue="1" operator="containsText" text="Ice">
      <formula>NOT(ISERROR(SEARCH("Ice",B2)))</formula>
    </cfRule>
    <cfRule type="containsText" dxfId="1681" priority="414" stopIfTrue="1" operator="containsText" text="Poison">
      <formula>NOT(ISERROR(SEARCH("Poison",B2)))</formula>
    </cfRule>
    <cfRule type="containsText" dxfId="1680" priority="415" stopIfTrue="1" operator="containsText" text="Rock">
      <formula>NOT(ISERROR(SEARCH("Rock",B2)))</formula>
    </cfRule>
    <cfRule type="containsText" dxfId="1679" priority="416" stopIfTrue="1" operator="containsText" text="Steel">
      <formula>NOT(ISERROR(SEARCH("Steel",B2)))</formula>
    </cfRule>
    <cfRule type="containsText" dxfId="1678" priority="417" stopIfTrue="1" operator="containsText" text="Water">
      <formula>NOT(ISERROR(SEARCH("Water",B2)))</formula>
    </cfRule>
    <cfRule type="containsText" dxfId="1677" priority="418" stopIfTrue="1" operator="containsText" text="Status">
      <formula>NOT(ISERROR(SEARCH("Status",B2)))</formula>
    </cfRule>
    <cfRule type="containsText" dxfId="1676" priority="419" stopIfTrue="1" operator="containsText" text="Physical">
      <formula>NOT(ISERROR(SEARCH("Physical",B2)))</formula>
    </cfRule>
    <cfRule type="containsText" dxfId="1675" priority="420" stopIfTrue="1" operator="containsText" text="Special">
      <formula>NOT(ISERROR(SEARCH("Special",B2)))</formula>
    </cfRule>
    <cfRule type="containsText" dxfId="1674" priority="421" stopIfTrue="1" operator="containsText" text="Ghost">
      <formula>NOT(ISERROR(SEARCH("Ghost",B2)))</formula>
    </cfRule>
    <cfRule type="containsText" dxfId="1673" priority="422" stopIfTrue="1" operator="containsText" text="Psychic">
      <formula>NOT(ISERROR(SEARCH("Psychic",B2)))</formula>
    </cfRule>
    <cfRule type="containsText" dxfId="1672" priority="423" stopIfTrue="1" operator="containsText" text="Normal">
      <formula>NOT(ISERROR(SEARCH("Normal",B2)))</formula>
    </cfRule>
    <cfRule type="containsText" dxfId="1671" priority="424" stopIfTrue="1" operator="containsText" text="Fire">
      <formula>NOT(ISERROR(SEARCH("Fire",B2)))</formula>
    </cfRule>
    <cfRule type="containsText" dxfId="1670" priority="425" stopIfTrue="1" operator="containsText" text="Bug">
      <formula>NOT(ISERROR(SEARCH("Bug",B2)))</formula>
    </cfRule>
    <cfRule type="containsText" dxfId="1669" priority="426" stopIfTrue="1" operator="containsText" text="Dark">
      <formula>NOT(ISERROR(SEARCH("Dark",B2)))</formula>
    </cfRule>
    <cfRule type="containsText" dxfId="1668" priority="427" stopIfTrue="1" operator="containsText" text="Dragon">
      <formula>NOT(ISERROR(SEARCH("Dragon",B2)))</formula>
    </cfRule>
    <cfRule type="containsText" dxfId="1667" priority="428" stopIfTrue="1" operator="containsText" text="Electric">
      <formula>NOT(ISERROR(SEARCH("Electric",B2)))</formula>
    </cfRule>
    <cfRule type="containsText" dxfId="1666" priority="429" stopIfTrue="1" operator="containsText" text="Fairy">
      <formula>NOT(ISERROR(SEARCH("Fairy",B2)))</formula>
    </cfRule>
    <cfRule type="containsText" dxfId="1665" priority="430" stopIfTrue="1" operator="containsText" text="Fighting">
      <formula>NOT(ISERROR(SEARCH("Fighting",B2)))</formula>
    </cfRule>
    <cfRule type="containsText" dxfId="1664" priority="431" stopIfTrue="1" operator="containsText" text="Flying">
      <formula>NOT(ISERROR(SEARCH("Flying",B2)))</formula>
    </cfRule>
    <cfRule type="containsText" dxfId="1663" priority="432" stopIfTrue="1" operator="containsText" text="Grass">
      <formula>NOT(ISERROR(SEARCH("Grass",B2)))</formula>
    </cfRule>
    <cfRule type="containsText" dxfId="1662" priority="433" stopIfTrue="1" operator="containsText" text="Ground">
      <formula>NOT(ISERROR(SEARCH("Ground",B2)))</formula>
    </cfRule>
    <cfRule type="containsText" dxfId="1661" priority="434" stopIfTrue="1" operator="containsText" text="Ice">
      <formula>NOT(ISERROR(SEARCH("Ice",B2)))</formula>
    </cfRule>
    <cfRule type="containsText" dxfId="1660" priority="435" stopIfTrue="1" operator="containsText" text="Poison">
      <formula>NOT(ISERROR(SEARCH("Poison",B2)))</formula>
    </cfRule>
    <cfRule type="containsText" dxfId="1659" priority="436" stopIfTrue="1" operator="containsText" text="Rock">
      <formula>NOT(ISERROR(SEARCH("Rock",B2)))</formula>
    </cfRule>
    <cfRule type="containsText" dxfId="1658" priority="437" stopIfTrue="1" operator="containsText" text="Steel">
      <formula>NOT(ISERROR(SEARCH("Steel",B2)))</formula>
    </cfRule>
    <cfRule type="containsText" dxfId="1657" priority="438" stopIfTrue="1" operator="containsText" text="Water">
      <formula>NOT(ISERROR(SEARCH("Water",B2)))</formula>
    </cfRule>
    <cfRule type="containsText" dxfId="1656" priority="439" stopIfTrue="1" operator="containsText" text="Status">
      <formula>NOT(ISERROR(SEARCH("Status",B2)))</formula>
    </cfRule>
    <cfRule type="containsText" dxfId="1655" priority="440" stopIfTrue="1" operator="containsText" text="Physical">
      <formula>NOT(ISERROR(SEARCH("Physical",B2)))</formula>
    </cfRule>
    <cfRule type="containsText" dxfId="1654" priority="441" stopIfTrue="1" operator="containsText" text="Special">
      <formula>NOT(ISERROR(SEARCH("Special",B2)))</formula>
    </cfRule>
    <cfRule type="containsText" dxfId="1653" priority="442" stopIfTrue="1" operator="containsText" text="Ghost">
      <formula>NOT(ISERROR(SEARCH("Ghost",B2)))</formula>
    </cfRule>
    <cfRule type="containsText" dxfId="1652" priority="443" stopIfTrue="1" operator="containsText" text="Psychic">
      <formula>NOT(ISERROR(SEARCH("Psychic",B2)))</formula>
    </cfRule>
    <cfRule type="containsText" dxfId="1651" priority="444" stopIfTrue="1" operator="containsText" text="Normal">
      <formula>NOT(ISERROR(SEARCH("Normal",B2)))</formula>
    </cfRule>
    <cfRule type="containsText" dxfId="1650" priority="445" stopIfTrue="1" operator="containsText" text="Fire">
      <formula>NOT(ISERROR(SEARCH("Fire",B2)))</formula>
    </cfRule>
    <cfRule type="containsText" dxfId="1649" priority="446" stopIfTrue="1" operator="containsText" text="Bug">
      <formula>NOT(ISERROR(SEARCH("Bug",B2)))</formula>
    </cfRule>
    <cfRule type="containsText" dxfId="1648" priority="447" stopIfTrue="1" operator="containsText" text="Dark">
      <formula>NOT(ISERROR(SEARCH("Dark",B2)))</formula>
    </cfRule>
    <cfRule type="containsText" dxfId="1647" priority="448" stopIfTrue="1" operator="containsText" text="Dragon">
      <formula>NOT(ISERROR(SEARCH("Dragon",B2)))</formula>
    </cfRule>
    <cfRule type="containsText" dxfId="1646" priority="449" stopIfTrue="1" operator="containsText" text="Electric">
      <formula>NOT(ISERROR(SEARCH("Electric",B2)))</formula>
    </cfRule>
    <cfRule type="containsText" dxfId="1645" priority="450" stopIfTrue="1" operator="containsText" text="Fairy">
      <formula>NOT(ISERROR(SEARCH("Fairy",B2)))</formula>
    </cfRule>
    <cfRule type="containsText" dxfId="1644" priority="451" stopIfTrue="1" operator="containsText" text="Fighting">
      <formula>NOT(ISERROR(SEARCH("Fighting",B2)))</formula>
    </cfRule>
    <cfRule type="containsText" dxfId="1643" priority="452" stopIfTrue="1" operator="containsText" text="Flying">
      <formula>NOT(ISERROR(SEARCH("Flying",B2)))</formula>
    </cfRule>
    <cfRule type="containsText" dxfId="1642" priority="453" stopIfTrue="1" operator="containsText" text="Grass">
      <formula>NOT(ISERROR(SEARCH("Grass",B2)))</formula>
    </cfRule>
    <cfRule type="containsText" dxfId="1641" priority="454" stopIfTrue="1" operator="containsText" text="Ground">
      <formula>NOT(ISERROR(SEARCH("Ground",B2)))</formula>
    </cfRule>
    <cfRule type="containsText" dxfId="1640" priority="455" stopIfTrue="1" operator="containsText" text="Ice">
      <formula>NOT(ISERROR(SEARCH("Ice",B2)))</formula>
    </cfRule>
    <cfRule type="containsText" dxfId="1639" priority="456" stopIfTrue="1" operator="containsText" text="Poison">
      <formula>NOT(ISERROR(SEARCH("Poison",B2)))</formula>
    </cfRule>
    <cfRule type="containsText" dxfId="1638" priority="457" stopIfTrue="1" operator="containsText" text="Rock">
      <formula>NOT(ISERROR(SEARCH("Rock",B2)))</formula>
    </cfRule>
    <cfRule type="containsText" dxfId="1637" priority="458" stopIfTrue="1" operator="containsText" text="Steel">
      <formula>NOT(ISERROR(SEARCH("Steel",B2)))</formula>
    </cfRule>
    <cfRule type="containsText" dxfId="1636" priority="459" stopIfTrue="1" operator="containsText" text="Water">
      <formula>NOT(ISERROR(SEARCH("Water",B2)))</formula>
    </cfRule>
    <cfRule type="containsText" dxfId="1635" priority="460" stopIfTrue="1" operator="containsText" text="Status">
      <formula>NOT(ISERROR(SEARCH("Status",B2)))</formula>
    </cfRule>
    <cfRule type="containsText" dxfId="1634" priority="461" stopIfTrue="1" operator="containsText" text="Physical">
      <formula>NOT(ISERROR(SEARCH("Physical",B2)))</formula>
    </cfRule>
    <cfRule type="containsText" dxfId="1633" priority="462" stopIfTrue="1" operator="containsText" text="Special">
      <formula>NOT(ISERROR(SEARCH("Special",B2)))</formula>
    </cfRule>
    <cfRule type="containsText" dxfId="1632" priority="463" stopIfTrue="1" operator="containsText" text="Ghost">
      <formula>NOT(ISERROR(SEARCH("Ghost",B2)))</formula>
    </cfRule>
    <cfRule type="containsText" dxfId="1631" priority="464" stopIfTrue="1" operator="containsText" text="Psychic">
      <formula>NOT(ISERROR(SEARCH("Psychic",B2)))</formula>
    </cfRule>
    <cfRule type="containsText" dxfId="1630" priority="465" stopIfTrue="1" operator="containsText" text="Normal">
      <formula>NOT(ISERROR(SEARCH("Normal",B2)))</formula>
    </cfRule>
    <cfRule type="containsText" dxfId="1629" priority="466" stopIfTrue="1" operator="containsText" text="Fire">
      <formula>NOT(ISERROR(SEARCH("Fire",B2)))</formula>
    </cfRule>
    <cfRule type="containsText" dxfId="1628" priority="467" stopIfTrue="1" operator="containsText" text="Bug">
      <formula>NOT(ISERROR(SEARCH("Bug",B2)))</formula>
    </cfRule>
    <cfRule type="containsText" dxfId="1627" priority="468" stopIfTrue="1" operator="containsText" text="Dark">
      <formula>NOT(ISERROR(SEARCH("Dark",B2)))</formula>
    </cfRule>
    <cfRule type="containsText" dxfId="1626" priority="469" stopIfTrue="1" operator="containsText" text="Dragon">
      <formula>NOT(ISERROR(SEARCH("Dragon",B2)))</formula>
    </cfRule>
    <cfRule type="containsText" dxfId="1625" priority="470" stopIfTrue="1" operator="containsText" text="Electric">
      <formula>NOT(ISERROR(SEARCH("Electric",B2)))</formula>
    </cfRule>
    <cfRule type="containsText" dxfId="1624" priority="471" stopIfTrue="1" operator="containsText" text="Fairy">
      <formula>NOT(ISERROR(SEARCH("Fairy",B2)))</formula>
    </cfRule>
    <cfRule type="containsText" dxfId="1623" priority="472" stopIfTrue="1" operator="containsText" text="Fighting">
      <formula>NOT(ISERROR(SEARCH("Fighting",B2)))</formula>
    </cfRule>
    <cfRule type="containsText" dxfId="1622" priority="473" stopIfTrue="1" operator="containsText" text="Flying">
      <formula>NOT(ISERROR(SEARCH("Flying",B2)))</formula>
    </cfRule>
    <cfRule type="containsText" dxfId="1621" priority="474" stopIfTrue="1" operator="containsText" text="Grass">
      <formula>NOT(ISERROR(SEARCH("Grass",B2)))</formula>
    </cfRule>
    <cfRule type="containsText" dxfId="1620" priority="475" stopIfTrue="1" operator="containsText" text="Ground">
      <formula>NOT(ISERROR(SEARCH("Ground",B2)))</formula>
    </cfRule>
    <cfRule type="containsText" dxfId="1619" priority="476" stopIfTrue="1" operator="containsText" text="Ice">
      <formula>NOT(ISERROR(SEARCH("Ice",B2)))</formula>
    </cfRule>
    <cfRule type="containsText" dxfId="1618" priority="477" stopIfTrue="1" operator="containsText" text="Poison">
      <formula>NOT(ISERROR(SEARCH("Poison",B2)))</formula>
    </cfRule>
    <cfRule type="containsText" dxfId="1617" priority="478" stopIfTrue="1" operator="containsText" text="Rock">
      <formula>NOT(ISERROR(SEARCH("Rock",B2)))</formula>
    </cfRule>
    <cfRule type="containsText" dxfId="1616" priority="479" stopIfTrue="1" operator="containsText" text="Steel">
      <formula>NOT(ISERROR(SEARCH("Steel",B2)))</formula>
    </cfRule>
    <cfRule type="containsText" dxfId="1615" priority="480" stopIfTrue="1" operator="containsText" text="Water">
      <formula>NOT(ISERROR(SEARCH("Water",B2)))</formula>
    </cfRule>
    <cfRule type="containsText" dxfId="1614" priority="481" stopIfTrue="1" operator="containsText" text="Status">
      <formula>NOT(ISERROR(SEARCH("Status",B2)))</formula>
    </cfRule>
    <cfRule type="containsText" dxfId="1613" priority="482" stopIfTrue="1" operator="containsText" text="Physical">
      <formula>NOT(ISERROR(SEARCH("Physical",B2)))</formula>
    </cfRule>
    <cfRule type="containsText" dxfId="1612" priority="483" stopIfTrue="1" operator="containsText" text="Special">
      <formula>NOT(ISERROR(SEARCH("Special",B2)))</formula>
    </cfRule>
    <cfRule type="containsText" dxfId="1611" priority="484" stopIfTrue="1" operator="containsText" text="Ghost">
      <formula>NOT(ISERROR(SEARCH("Ghost",B2)))</formula>
    </cfRule>
    <cfRule type="containsText" dxfId="1610" priority="485" stopIfTrue="1" operator="containsText" text="Psychic">
      <formula>NOT(ISERROR(SEARCH("Psychic",B2)))</formula>
    </cfRule>
    <cfRule type="containsText" dxfId="1609" priority="486" stopIfTrue="1" operator="containsText" text="Normal">
      <formula>NOT(ISERROR(SEARCH("Normal",B2)))</formula>
    </cfRule>
    <cfRule type="containsText" dxfId="1608" priority="487" stopIfTrue="1" operator="containsText" text="Fire">
      <formula>NOT(ISERROR(SEARCH("Fire",B2)))</formula>
    </cfRule>
    <cfRule type="containsText" dxfId="1607" priority="488" stopIfTrue="1" operator="containsText" text="Bug">
      <formula>NOT(ISERROR(SEARCH("Bug",B2)))</formula>
    </cfRule>
    <cfRule type="containsText" dxfId="1606" priority="489" stopIfTrue="1" operator="containsText" text="Dark">
      <formula>NOT(ISERROR(SEARCH("Dark",B2)))</formula>
    </cfRule>
    <cfRule type="containsText" dxfId="1605" priority="490" stopIfTrue="1" operator="containsText" text="Dragon">
      <formula>NOT(ISERROR(SEARCH("Dragon",B2)))</formula>
    </cfRule>
    <cfRule type="containsText" dxfId="1604" priority="491" stopIfTrue="1" operator="containsText" text="Electric">
      <formula>NOT(ISERROR(SEARCH("Electric",B2)))</formula>
    </cfRule>
    <cfRule type="containsText" dxfId="1603" priority="492" stopIfTrue="1" operator="containsText" text="Fairy">
      <formula>NOT(ISERROR(SEARCH("Fairy",B2)))</formula>
    </cfRule>
    <cfRule type="containsText" dxfId="1602" priority="493" stopIfTrue="1" operator="containsText" text="Fighting">
      <formula>NOT(ISERROR(SEARCH("Fighting",B2)))</formula>
    </cfRule>
    <cfRule type="containsText" dxfId="1601" priority="494" stopIfTrue="1" operator="containsText" text="Flying">
      <formula>NOT(ISERROR(SEARCH("Flying",B2)))</formula>
    </cfRule>
    <cfRule type="containsText" dxfId="1600" priority="495" stopIfTrue="1" operator="containsText" text="Grass">
      <formula>NOT(ISERROR(SEARCH("Grass",B2)))</formula>
    </cfRule>
    <cfRule type="containsText" dxfId="1599" priority="496" stopIfTrue="1" operator="containsText" text="Ground">
      <formula>NOT(ISERROR(SEARCH("Ground",B2)))</formula>
    </cfRule>
    <cfRule type="containsText" dxfId="1598" priority="497" stopIfTrue="1" operator="containsText" text="Ice">
      <formula>NOT(ISERROR(SEARCH("Ice",B2)))</formula>
    </cfRule>
    <cfRule type="containsText" dxfId="1597" priority="498" stopIfTrue="1" operator="containsText" text="Poison">
      <formula>NOT(ISERROR(SEARCH("Poison",B2)))</formula>
    </cfRule>
    <cfRule type="containsText" dxfId="1596" priority="499" stopIfTrue="1" operator="containsText" text="Rock">
      <formula>NOT(ISERROR(SEARCH("Rock",B2)))</formula>
    </cfRule>
    <cfRule type="containsText" dxfId="1595" priority="500" stopIfTrue="1" operator="containsText" text="Steel">
      <formula>NOT(ISERROR(SEARCH("Steel",B2)))</formula>
    </cfRule>
    <cfRule type="containsText" dxfId="1594" priority="501" stopIfTrue="1" operator="containsText" text="Water">
      <formula>NOT(ISERROR(SEARCH("Water",B2)))</formula>
    </cfRule>
    <cfRule type="containsText" dxfId="1593" priority="502" stopIfTrue="1" operator="containsText" text="Status">
      <formula>NOT(ISERROR(SEARCH("Status",B2)))</formula>
    </cfRule>
    <cfRule type="containsText" dxfId="1592" priority="503" stopIfTrue="1" operator="containsText" text="Physical">
      <formula>NOT(ISERROR(SEARCH("Physical",B2)))</formula>
    </cfRule>
    <cfRule type="containsText" dxfId="1591" priority="504" stopIfTrue="1" operator="containsText" text="Special">
      <formula>NOT(ISERROR(SEARCH("Special",B2)))</formula>
    </cfRule>
    <cfRule type="containsText" dxfId="1590" priority="505" stopIfTrue="1" operator="containsText" text="Ghost">
      <formula>NOT(ISERROR(SEARCH("Ghost",B2)))</formula>
    </cfRule>
    <cfRule type="containsText" dxfId="1589" priority="506" stopIfTrue="1" operator="containsText" text="Psychic">
      <formula>NOT(ISERROR(SEARCH("Psychic",B2)))</formula>
    </cfRule>
    <cfRule type="containsText" dxfId="1588" priority="507" stopIfTrue="1" operator="containsText" text="Normal">
      <formula>NOT(ISERROR(SEARCH("Normal",B2)))</formula>
    </cfRule>
    <cfRule type="containsText" dxfId="1587" priority="508" stopIfTrue="1" operator="containsText" text="Fire">
      <formula>NOT(ISERROR(SEARCH("Fire",B2)))</formula>
    </cfRule>
    <cfRule type="containsText" dxfId="1586" priority="509" stopIfTrue="1" operator="containsText" text="Bug">
      <formula>NOT(ISERROR(SEARCH("Bug",B2)))</formula>
    </cfRule>
    <cfRule type="containsText" dxfId="1585" priority="510" stopIfTrue="1" operator="containsText" text="Dark">
      <formula>NOT(ISERROR(SEARCH("Dark",B2)))</formula>
    </cfRule>
    <cfRule type="containsText" dxfId="1584" priority="511" stopIfTrue="1" operator="containsText" text="Dragon">
      <formula>NOT(ISERROR(SEARCH("Dragon",B2)))</formula>
    </cfRule>
    <cfRule type="containsText" dxfId="1583" priority="512" stopIfTrue="1" operator="containsText" text="Electric">
      <formula>NOT(ISERROR(SEARCH("Electric",B2)))</formula>
    </cfRule>
    <cfRule type="containsText" dxfId="1582" priority="513" stopIfTrue="1" operator="containsText" text="Fairy">
      <formula>NOT(ISERROR(SEARCH("Fairy",B2)))</formula>
    </cfRule>
    <cfRule type="containsText" dxfId="1581" priority="514" stopIfTrue="1" operator="containsText" text="Fighting">
      <formula>NOT(ISERROR(SEARCH("Fighting",B2)))</formula>
    </cfRule>
    <cfRule type="containsText" dxfId="1580" priority="515" stopIfTrue="1" operator="containsText" text="Flying">
      <formula>NOT(ISERROR(SEARCH("Flying",B2)))</formula>
    </cfRule>
    <cfRule type="containsText" dxfId="1579" priority="516" stopIfTrue="1" operator="containsText" text="Grass">
      <formula>NOT(ISERROR(SEARCH("Grass",B2)))</formula>
    </cfRule>
    <cfRule type="containsText" dxfId="1578" priority="517" stopIfTrue="1" operator="containsText" text="Ground">
      <formula>NOT(ISERROR(SEARCH("Ground",B2)))</formula>
    </cfRule>
    <cfRule type="containsText" dxfId="1577" priority="518" stopIfTrue="1" operator="containsText" text="Ice">
      <formula>NOT(ISERROR(SEARCH("Ice",B2)))</formula>
    </cfRule>
    <cfRule type="containsText" dxfId="1576" priority="519" stopIfTrue="1" operator="containsText" text="Poison">
      <formula>NOT(ISERROR(SEARCH("Poison",B2)))</formula>
    </cfRule>
    <cfRule type="containsText" dxfId="1575" priority="520" stopIfTrue="1" operator="containsText" text="Rock">
      <formula>NOT(ISERROR(SEARCH("Rock",B2)))</formula>
    </cfRule>
    <cfRule type="containsText" dxfId="1574" priority="521" stopIfTrue="1" operator="containsText" text="Steel">
      <formula>NOT(ISERROR(SEARCH("Steel",B2)))</formula>
    </cfRule>
    <cfRule type="containsText" dxfId="1573" priority="522" stopIfTrue="1" operator="containsText" text="Water">
      <formula>NOT(ISERROR(SEARCH("Water",B2)))</formula>
    </cfRule>
    <cfRule type="containsText" dxfId="1572" priority="523" stopIfTrue="1" operator="containsText" text="Status">
      <formula>NOT(ISERROR(SEARCH("Status",B2)))</formula>
    </cfRule>
    <cfRule type="containsText" dxfId="1571" priority="524" stopIfTrue="1" operator="containsText" text="Physical">
      <formula>NOT(ISERROR(SEARCH("Physical",B2)))</formula>
    </cfRule>
    <cfRule type="containsText" dxfId="1570" priority="525" stopIfTrue="1" operator="containsText" text="Special">
      <formula>NOT(ISERROR(SEARCH("Special",B2)))</formula>
    </cfRule>
    <cfRule type="containsText" dxfId="1569" priority="526" stopIfTrue="1" operator="containsText" text="Ghost">
      <formula>NOT(ISERROR(SEARCH("Ghost",B2)))</formula>
    </cfRule>
    <cfRule type="containsText" dxfId="1568" priority="527" stopIfTrue="1" operator="containsText" text="Psychic">
      <formula>NOT(ISERROR(SEARCH("Psychic",B2)))</formula>
    </cfRule>
    <cfRule type="containsText" dxfId="1567" priority="528" stopIfTrue="1" operator="containsText" text="Normal">
      <formula>NOT(ISERROR(SEARCH("Normal",B2)))</formula>
    </cfRule>
    <cfRule type="containsText" dxfId="1566" priority="529" stopIfTrue="1" operator="containsText" text="Fire">
      <formula>NOT(ISERROR(SEARCH("Fire",B2)))</formula>
    </cfRule>
    <cfRule type="containsText" dxfId="1565" priority="530" stopIfTrue="1" operator="containsText" text="Bug">
      <formula>NOT(ISERROR(SEARCH("Bug",B2)))</formula>
    </cfRule>
    <cfRule type="containsText" dxfId="1564" priority="531" stopIfTrue="1" operator="containsText" text="Dark">
      <formula>NOT(ISERROR(SEARCH("Dark",B2)))</formula>
    </cfRule>
    <cfRule type="containsText" dxfId="1563" priority="532" stopIfTrue="1" operator="containsText" text="Dragon">
      <formula>NOT(ISERROR(SEARCH("Dragon",B2)))</formula>
    </cfRule>
    <cfRule type="containsText" dxfId="1562" priority="533" stopIfTrue="1" operator="containsText" text="Electric">
      <formula>NOT(ISERROR(SEARCH("Electric",B2)))</formula>
    </cfRule>
    <cfRule type="containsText" dxfId="1561" priority="534" stopIfTrue="1" operator="containsText" text="Fairy">
      <formula>NOT(ISERROR(SEARCH("Fairy",B2)))</formula>
    </cfRule>
    <cfRule type="containsText" dxfId="1560" priority="535" stopIfTrue="1" operator="containsText" text="Fighting">
      <formula>NOT(ISERROR(SEARCH("Fighting",B2)))</formula>
    </cfRule>
    <cfRule type="containsText" dxfId="1559" priority="536" stopIfTrue="1" operator="containsText" text="Flying">
      <formula>NOT(ISERROR(SEARCH("Flying",B2)))</formula>
    </cfRule>
    <cfRule type="containsText" dxfId="1558" priority="537" stopIfTrue="1" operator="containsText" text="Grass">
      <formula>NOT(ISERROR(SEARCH("Grass",B2)))</formula>
    </cfRule>
    <cfRule type="containsText" dxfId="1557" priority="538" stopIfTrue="1" operator="containsText" text="Ground">
      <formula>NOT(ISERROR(SEARCH("Ground",B2)))</formula>
    </cfRule>
    <cfRule type="containsText" dxfId="1556" priority="539" stopIfTrue="1" operator="containsText" text="Ice">
      <formula>NOT(ISERROR(SEARCH("Ice",B2)))</formula>
    </cfRule>
    <cfRule type="containsText" dxfId="1555" priority="540" stopIfTrue="1" operator="containsText" text="Poison">
      <formula>NOT(ISERROR(SEARCH("Poison",B2)))</formula>
    </cfRule>
    <cfRule type="containsText" dxfId="1554" priority="541" stopIfTrue="1" operator="containsText" text="Rock">
      <formula>NOT(ISERROR(SEARCH("Rock",B2)))</formula>
    </cfRule>
    <cfRule type="containsText" dxfId="1553" priority="542" stopIfTrue="1" operator="containsText" text="Steel">
      <formula>NOT(ISERROR(SEARCH("Steel",B2)))</formula>
    </cfRule>
    <cfRule type="containsText" dxfId="1552" priority="543" stopIfTrue="1" operator="containsText" text="Water">
      <formula>NOT(ISERROR(SEARCH("Water",B2)))</formula>
    </cfRule>
    <cfRule type="containsText" dxfId="1551" priority="544" stopIfTrue="1" operator="containsText" text="Status">
      <formula>NOT(ISERROR(SEARCH("Status",B2)))</formula>
    </cfRule>
    <cfRule type="containsText" dxfId="1550" priority="545" stopIfTrue="1" operator="containsText" text="Physical">
      <formula>NOT(ISERROR(SEARCH("Physical",B2)))</formula>
    </cfRule>
    <cfRule type="containsText" dxfId="1549" priority="546" stopIfTrue="1" operator="containsText" text="Special">
      <formula>NOT(ISERROR(SEARCH("Special",B2)))</formula>
    </cfRule>
    <cfRule type="containsText" dxfId="1548" priority="547" stopIfTrue="1" operator="containsText" text="Ghost">
      <formula>NOT(ISERROR(SEARCH("Ghost",B2)))</formula>
    </cfRule>
    <cfRule type="containsText" dxfId="1547" priority="548" stopIfTrue="1" operator="containsText" text="Psychic">
      <formula>NOT(ISERROR(SEARCH("Psychic",B2)))</formula>
    </cfRule>
    <cfRule type="containsText" dxfId="1546" priority="549" stopIfTrue="1" operator="containsText" text="Normal">
      <formula>NOT(ISERROR(SEARCH("Normal",B2)))</formula>
    </cfRule>
    <cfRule type="containsText" dxfId="1545" priority="550" stopIfTrue="1" operator="containsText" text="Fire">
      <formula>NOT(ISERROR(SEARCH("Fire",B2)))</formula>
    </cfRule>
    <cfRule type="containsText" dxfId="1544" priority="551" stopIfTrue="1" operator="containsText" text="Bug">
      <formula>NOT(ISERROR(SEARCH("Bug",B2)))</formula>
    </cfRule>
    <cfRule type="containsText" dxfId="1543" priority="552" stopIfTrue="1" operator="containsText" text="Dark">
      <formula>NOT(ISERROR(SEARCH("Dark",B2)))</formula>
    </cfRule>
    <cfRule type="containsText" dxfId="1542" priority="553" stopIfTrue="1" operator="containsText" text="Dragon">
      <formula>NOT(ISERROR(SEARCH("Dragon",B2)))</formula>
    </cfRule>
    <cfRule type="containsText" dxfId="1541" priority="554" stopIfTrue="1" operator="containsText" text="Electric">
      <formula>NOT(ISERROR(SEARCH("Electric",B2)))</formula>
    </cfRule>
    <cfRule type="containsText" dxfId="1540" priority="555" stopIfTrue="1" operator="containsText" text="Fairy">
      <formula>NOT(ISERROR(SEARCH("Fairy",B2)))</formula>
    </cfRule>
    <cfRule type="containsText" dxfId="1539" priority="556" stopIfTrue="1" operator="containsText" text="Fighting">
      <formula>NOT(ISERROR(SEARCH("Fighting",B2)))</formula>
    </cfRule>
    <cfRule type="containsText" dxfId="1538" priority="557" stopIfTrue="1" operator="containsText" text="Flying">
      <formula>NOT(ISERROR(SEARCH("Flying",B2)))</formula>
    </cfRule>
    <cfRule type="containsText" dxfId="1537" priority="558" stopIfTrue="1" operator="containsText" text="Grass">
      <formula>NOT(ISERROR(SEARCH("Grass",B2)))</formula>
    </cfRule>
    <cfRule type="containsText" dxfId="1536" priority="559" stopIfTrue="1" operator="containsText" text="Ground">
      <formula>NOT(ISERROR(SEARCH("Ground",B2)))</formula>
    </cfRule>
    <cfRule type="containsText" dxfId="1535" priority="560" stopIfTrue="1" operator="containsText" text="Ice">
      <formula>NOT(ISERROR(SEARCH("Ice",B2)))</formula>
    </cfRule>
    <cfRule type="containsText" dxfId="1534" priority="561" stopIfTrue="1" operator="containsText" text="Poison">
      <formula>NOT(ISERROR(SEARCH("Poison",B2)))</formula>
    </cfRule>
    <cfRule type="containsText" dxfId="1533" priority="562" stopIfTrue="1" operator="containsText" text="Rock">
      <formula>NOT(ISERROR(SEARCH("Rock",B2)))</formula>
    </cfRule>
    <cfRule type="containsText" dxfId="1532" priority="563" stopIfTrue="1" operator="containsText" text="Steel">
      <formula>NOT(ISERROR(SEARCH("Steel",B2)))</formula>
    </cfRule>
    <cfRule type="containsText" dxfId="1531" priority="564" stopIfTrue="1" operator="containsText" text="Water">
      <formula>NOT(ISERROR(SEARCH("Water",B2)))</formula>
    </cfRule>
    <cfRule type="containsText" dxfId="1530" priority="565" stopIfTrue="1" operator="containsText" text="Status">
      <formula>NOT(ISERROR(SEARCH("Status",B2)))</formula>
    </cfRule>
    <cfRule type="containsText" dxfId="1529" priority="566" stopIfTrue="1" operator="containsText" text="Physical">
      <formula>NOT(ISERROR(SEARCH("Physical",B2)))</formula>
    </cfRule>
    <cfRule type="containsText" dxfId="1528" priority="567" stopIfTrue="1" operator="containsText" text="Special">
      <formula>NOT(ISERROR(SEARCH("Special",B2)))</formula>
    </cfRule>
    <cfRule type="containsText" dxfId="1527" priority="568" stopIfTrue="1" operator="containsText" text="Ghost">
      <formula>NOT(ISERROR(SEARCH("Ghost",B2)))</formula>
    </cfRule>
    <cfRule type="containsText" dxfId="1526" priority="569" stopIfTrue="1" operator="containsText" text="Psychic">
      <formula>NOT(ISERROR(SEARCH("Psychic",B2)))</formula>
    </cfRule>
    <cfRule type="containsText" dxfId="1525" priority="570" stopIfTrue="1" operator="containsText" text="Normal">
      <formula>NOT(ISERROR(SEARCH("Normal",B2)))</formula>
    </cfRule>
    <cfRule type="containsText" dxfId="1524" priority="571" stopIfTrue="1" operator="containsText" text="Fire">
      <formula>NOT(ISERROR(SEARCH("Fire",B2)))</formula>
    </cfRule>
    <cfRule type="containsText" dxfId="1523" priority="572" stopIfTrue="1" operator="containsText" text="Bug">
      <formula>NOT(ISERROR(SEARCH("Bug",B2)))</formula>
    </cfRule>
    <cfRule type="containsText" dxfId="1522" priority="573" stopIfTrue="1" operator="containsText" text="Dark">
      <formula>NOT(ISERROR(SEARCH("Dark",B2)))</formula>
    </cfRule>
    <cfRule type="containsText" dxfId="1521" priority="574" stopIfTrue="1" operator="containsText" text="Dragon">
      <formula>NOT(ISERROR(SEARCH("Dragon",B2)))</formula>
    </cfRule>
    <cfRule type="containsText" dxfId="1520" priority="575" stopIfTrue="1" operator="containsText" text="Electric">
      <formula>NOT(ISERROR(SEARCH("Electric",B2)))</formula>
    </cfRule>
    <cfRule type="containsText" dxfId="1519" priority="576" stopIfTrue="1" operator="containsText" text="Fairy">
      <formula>NOT(ISERROR(SEARCH("Fairy",B2)))</formula>
    </cfRule>
    <cfRule type="containsText" dxfId="1518" priority="577" stopIfTrue="1" operator="containsText" text="Fighting">
      <formula>NOT(ISERROR(SEARCH("Fighting",B2)))</formula>
    </cfRule>
    <cfRule type="containsText" dxfId="1517" priority="578" stopIfTrue="1" operator="containsText" text="Flying">
      <formula>NOT(ISERROR(SEARCH("Flying",B2)))</formula>
    </cfRule>
    <cfRule type="containsText" dxfId="1516" priority="579" stopIfTrue="1" operator="containsText" text="Grass">
      <formula>NOT(ISERROR(SEARCH("Grass",B2)))</formula>
    </cfRule>
    <cfRule type="containsText" dxfId="1515" priority="580" stopIfTrue="1" operator="containsText" text="Ground">
      <formula>NOT(ISERROR(SEARCH("Ground",B2)))</formula>
    </cfRule>
    <cfRule type="containsText" dxfId="1514" priority="581" stopIfTrue="1" operator="containsText" text="Ice">
      <formula>NOT(ISERROR(SEARCH("Ice",B2)))</formula>
    </cfRule>
    <cfRule type="containsText" dxfId="1513" priority="582" stopIfTrue="1" operator="containsText" text="Poison">
      <formula>NOT(ISERROR(SEARCH("Poison",B2)))</formula>
    </cfRule>
    <cfRule type="containsText" dxfId="1512" priority="583" stopIfTrue="1" operator="containsText" text="Rock">
      <formula>NOT(ISERROR(SEARCH("Rock",B2)))</formula>
    </cfRule>
    <cfRule type="containsText" dxfId="1511" priority="584" stopIfTrue="1" operator="containsText" text="Steel">
      <formula>NOT(ISERROR(SEARCH("Steel",B2)))</formula>
    </cfRule>
    <cfRule type="containsText" dxfId="1510" priority="585" stopIfTrue="1" operator="containsText" text="Water">
      <formula>NOT(ISERROR(SEARCH("Water",B2)))</formula>
    </cfRule>
    <cfRule type="containsText" dxfId="1509" priority="586" stopIfTrue="1" operator="containsText" text="Status">
      <formula>NOT(ISERROR(SEARCH("Status",B2)))</formula>
    </cfRule>
    <cfRule type="containsText" dxfId="1508" priority="587" stopIfTrue="1" operator="containsText" text="Physical">
      <formula>NOT(ISERROR(SEARCH("Physical",B2)))</formula>
    </cfRule>
    <cfRule type="containsText" dxfId="1507" priority="588" stopIfTrue="1" operator="containsText" text="Special">
      <formula>NOT(ISERROR(SEARCH("Special",B2)))</formula>
    </cfRule>
    <cfRule type="containsText" dxfId="1506" priority="589" stopIfTrue="1" operator="containsText" text="Ghost">
      <formula>NOT(ISERROR(SEARCH("Ghost",B2)))</formula>
    </cfRule>
    <cfRule type="containsText" dxfId="1505" priority="590" stopIfTrue="1" operator="containsText" text="Psychic">
      <formula>NOT(ISERROR(SEARCH("Psychic",B2)))</formula>
    </cfRule>
    <cfRule type="containsText" dxfId="1504" priority="591" stopIfTrue="1" operator="containsText" text="Normal">
      <formula>NOT(ISERROR(SEARCH("Normal",B2)))</formula>
    </cfRule>
    <cfRule type="containsText" dxfId="1503" priority="592" stopIfTrue="1" operator="containsText" text="Fire">
      <formula>NOT(ISERROR(SEARCH("Fire",B2)))</formula>
    </cfRule>
    <cfRule type="containsText" dxfId="1502" priority="593" stopIfTrue="1" operator="containsText" text="Bug">
      <formula>NOT(ISERROR(SEARCH("Bug",B2)))</formula>
    </cfRule>
    <cfRule type="containsText" dxfId="1501" priority="594" stopIfTrue="1" operator="containsText" text="Dark">
      <formula>NOT(ISERROR(SEARCH("Dark",B2)))</formula>
    </cfRule>
    <cfRule type="containsText" dxfId="1500" priority="595" stopIfTrue="1" operator="containsText" text="Dragon">
      <formula>NOT(ISERROR(SEARCH("Dragon",B2)))</formula>
    </cfRule>
    <cfRule type="containsText" dxfId="1499" priority="596" stopIfTrue="1" operator="containsText" text="Electric">
      <formula>NOT(ISERROR(SEARCH("Electric",B2)))</formula>
    </cfRule>
    <cfRule type="containsText" dxfId="1498" priority="597" stopIfTrue="1" operator="containsText" text="Fairy">
      <formula>NOT(ISERROR(SEARCH("Fairy",B2)))</formula>
    </cfRule>
    <cfRule type="containsText" dxfId="1497" priority="598" stopIfTrue="1" operator="containsText" text="Fighting">
      <formula>NOT(ISERROR(SEARCH("Fighting",B2)))</formula>
    </cfRule>
    <cfRule type="containsText" dxfId="1496" priority="599" stopIfTrue="1" operator="containsText" text="Flying">
      <formula>NOT(ISERROR(SEARCH("Flying",B2)))</formula>
    </cfRule>
    <cfRule type="containsText" dxfId="1495" priority="600" stopIfTrue="1" operator="containsText" text="Grass">
      <formula>NOT(ISERROR(SEARCH("Grass",B2)))</formula>
    </cfRule>
    <cfRule type="containsText" dxfId="1494" priority="601" stopIfTrue="1" operator="containsText" text="Ground">
      <formula>NOT(ISERROR(SEARCH("Ground",B2)))</formula>
    </cfRule>
    <cfRule type="containsText" dxfId="1493" priority="602" stopIfTrue="1" operator="containsText" text="Ice">
      <formula>NOT(ISERROR(SEARCH("Ice",B2)))</formula>
    </cfRule>
    <cfRule type="containsText" dxfId="1492" priority="603" stopIfTrue="1" operator="containsText" text="Poison">
      <formula>NOT(ISERROR(SEARCH("Poison",B2)))</formula>
    </cfRule>
    <cfRule type="containsText" dxfId="1491" priority="604" stopIfTrue="1" operator="containsText" text="Rock">
      <formula>NOT(ISERROR(SEARCH("Rock",B2)))</formula>
    </cfRule>
    <cfRule type="containsText" dxfId="1490" priority="605" stopIfTrue="1" operator="containsText" text="Steel">
      <formula>NOT(ISERROR(SEARCH("Steel",B2)))</formula>
    </cfRule>
    <cfRule type="containsText" dxfId="1489" priority="606" stopIfTrue="1" operator="containsText" text="Water">
      <formula>NOT(ISERROR(SEARCH("Water",B2)))</formula>
    </cfRule>
    <cfRule type="containsText" dxfId="1488" priority="607" stopIfTrue="1" operator="containsText" text="Status">
      <formula>NOT(ISERROR(SEARCH("Status",B2)))</formula>
    </cfRule>
    <cfRule type="containsText" dxfId="1487" priority="608" stopIfTrue="1" operator="containsText" text="Physical">
      <formula>NOT(ISERROR(SEARCH("Physical",B2)))</formula>
    </cfRule>
    <cfRule type="containsText" dxfId="1486" priority="609" stopIfTrue="1" operator="containsText" text="Special">
      <formula>NOT(ISERROR(SEARCH("Special",B2)))</formula>
    </cfRule>
    <cfRule type="containsText" dxfId="1485" priority="610" stopIfTrue="1" operator="containsText" text="Ghost">
      <formula>NOT(ISERROR(SEARCH("Ghost",B2)))</formula>
    </cfRule>
    <cfRule type="containsText" dxfId="1484" priority="611" stopIfTrue="1" operator="containsText" text="Psychic">
      <formula>NOT(ISERROR(SEARCH("Psychic",B2)))</formula>
    </cfRule>
    <cfRule type="containsText" dxfId="1483" priority="612" stopIfTrue="1" operator="containsText" text="Normal">
      <formula>NOT(ISERROR(SEARCH("Normal",B2)))</formula>
    </cfRule>
    <cfRule type="containsText" dxfId="1482" priority="613" stopIfTrue="1" operator="containsText" text="Fire">
      <formula>NOT(ISERROR(SEARCH("Fire",B2)))</formula>
    </cfRule>
    <cfRule type="containsText" dxfId="1481" priority="614" stopIfTrue="1" operator="containsText" text="Bug">
      <formula>NOT(ISERROR(SEARCH("Bug",B2)))</formula>
    </cfRule>
    <cfRule type="containsText" dxfId="1480" priority="615" stopIfTrue="1" operator="containsText" text="Dark">
      <formula>NOT(ISERROR(SEARCH("Dark",B2)))</formula>
    </cfRule>
    <cfRule type="containsText" dxfId="1479" priority="616" stopIfTrue="1" operator="containsText" text="Dragon">
      <formula>NOT(ISERROR(SEARCH("Dragon",B2)))</formula>
    </cfRule>
    <cfRule type="containsText" dxfId="1478" priority="617" stopIfTrue="1" operator="containsText" text="Electric">
      <formula>NOT(ISERROR(SEARCH("Electric",B2)))</formula>
    </cfRule>
    <cfRule type="containsText" dxfId="1477" priority="618" stopIfTrue="1" operator="containsText" text="Fairy">
      <formula>NOT(ISERROR(SEARCH("Fairy",B2)))</formula>
    </cfRule>
    <cfRule type="containsText" dxfId="1476" priority="619" stopIfTrue="1" operator="containsText" text="Fighting">
      <formula>NOT(ISERROR(SEARCH("Fighting",B2)))</formula>
    </cfRule>
    <cfRule type="containsText" dxfId="1475" priority="620" stopIfTrue="1" operator="containsText" text="Flying">
      <formula>NOT(ISERROR(SEARCH("Flying",B2)))</formula>
    </cfRule>
    <cfRule type="containsText" dxfId="1474" priority="621" stopIfTrue="1" operator="containsText" text="Grass">
      <formula>NOT(ISERROR(SEARCH("Grass",B2)))</formula>
    </cfRule>
    <cfRule type="containsText" dxfId="1473" priority="622" stopIfTrue="1" operator="containsText" text="Ground">
      <formula>NOT(ISERROR(SEARCH("Ground",B2)))</formula>
    </cfRule>
    <cfRule type="containsText" dxfId="1472" priority="623" stopIfTrue="1" operator="containsText" text="Ice">
      <formula>NOT(ISERROR(SEARCH("Ice",B2)))</formula>
    </cfRule>
    <cfRule type="containsText" dxfId="1471" priority="624" stopIfTrue="1" operator="containsText" text="Poison">
      <formula>NOT(ISERROR(SEARCH("Poison",B2)))</formula>
    </cfRule>
    <cfRule type="containsText" dxfId="1470" priority="625" stopIfTrue="1" operator="containsText" text="Rock">
      <formula>NOT(ISERROR(SEARCH("Rock",B2)))</formula>
    </cfRule>
    <cfRule type="containsText" dxfId="1469" priority="626" stopIfTrue="1" operator="containsText" text="Steel">
      <formula>NOT(ISERROR(SEARCH("Steel",B2)))</formula>
    </cfRule>
    <cfRule type="containsText" dxfId="1468" priority="627" stopIfTrue="1" operator="containsText" text="Water">
      <formula>NOT(ISERROR(SEARCH("Water",B2)))</formula>
    </cfRule>
    <cfRule type="containsText" dxfId="1467" priority="628" stopIfTrue="1" operator="containsText" text="Status">
      <formula>NOT(ISERROR(SEARCH("Status",B2)))</formula>
    </cfRule>
    <cfRule type="containsText" dxfId="1466" priority="629" stopIfTrue="1" operator="containsText" text="Physical">
      <formula>NOT(ISERROR(SEARCH("Physical",B2)))</formula>
    </cfRule>
    <cfRule type="containsText" dxfId="1465" priority="630" stopIfTrue="1" operator="containsText" text="Special">
      <formula>NOT(ISERROR(SEARCH("Special",B2)))</formula>
    </cfRule>
    <cfRule type="containsText" dxfId="1464" priority="631" stopIfTrue="1" operator="containsText" text="Ghost">
      <formula>NOT(ISERROR(SEARCH("Ghost",B2)))</formula>
    </cfRule>
    <cfRule type="containsText" dxfId="1463" priority="632" stopIfTrue="1" operator="containsText" text="Psychic">
      <formula>NOT(ISERROR(SEARCH("Psychic",B2)))</formula>
    </cfRule>
    <cfRule type="containsText" dxfId="1462" priority="633" stopIfTrue="1" operator="containsText" text="Normal">
      <formula>NOT(ISERROR(SEARCH("Normal",B2)))</formula>
    </cfRule>
    <cfRule type="containsText" dxfId="1461" priority="634" stopIfTrue="1" operator="containsText" text="Fire">
      <formula>NOT(ISERROR(SEARCH("Fire",B2)))</formula>
    </cfRule>
    <cfRule type="containsText" dxfId="1460" priority="635" stopIfTrue="1" operator="containsText" text="Bug">
      <formula>NOT(ISERROR(SEARCH("Bug",B2)))</formula>
    </cfRule>
    <cfRule type="containsText" dxfId="1459" priority="636" stopIfTrue="1" operator="containsText" text="Dark">
      <formula>NOT(ISERROR(SEARCH("Dark",B2)))</formula>
    </cfRule>
    <cfRule type="containsText" dxfId="1458" priority="637" stopIfTrue="1" operator="containsText" text="Dragon">
      <formula>NOT(ISERROR(SEARCH("Dragon",B2)))</formula>
    </cfRule>
    <cfRule type="containsText" dxfId="1457" priority="638" stopIfTrue="1" operator="containsText" text="Electric">
      <formula>NOT(ISERROR(SEARCH("Electric",B2)))</formula>
    </cfRule>
    <cfRule type="containsText" dxfId="1456" priority="639" stopIfTrue="1" operator="containsText" text="Fairy">
      <formula>NOT(ISERROR(SEARCH("Fairy",B2)))</formula>
    </cfRule>
    <cfRule type="containsText" dxfId="1455" priority="640" stopIfTrue="1" operator="containsText" text="Fighting">
      <formula>NOT(ISERROR(SEARCH("Fighting",B2)))</formula>
    </cfRule>
    <cfRule type="containsText" dxfId="1454" priority="641" stopIfTrue="1" operator="containsText" text="Flying">
      <formula>NOT(ISERROR(SEARCH("Flying",B2)))</formula>
    </cfRule>
    <cfRule type="containsText" dxfId="1453" priority="642" stopIfTrue="1" operator="containsText" text="Grass">
      <formula>NOT(ISERROR(SEARCH("Grass",B2)))</formula>
    </cfRule>
    <cfRule type="containsText" dxfId="1452" priority="643" stopIfTrue="1" operator="containsText" text="Ground">
      <formula>NOT(ISERROR(SEARCH("Ground",B2)))</formula>
    </cfRule>
    <cfRule type="containsText" dxfId="1451" priority="644" stopIfTrue="1" operator="containsText" text="Ice">
      <formula>NOT(ISERROR(SEARCH("Ice",B2)))</formula>
    </cfRule>
    <cfRule type="containsText" dxfId="1450" priority="645" stopIfTrue="1" operator="containsText" text="Poison">
      <formula>NOT(ISERROR(SEARCH("Poison",B2)))</formula>
    </cfRule>
    <cfRule type="containsText" dxfId="1449" priority="646" stopIfTrue="1" operator="containsText" text="Rock">
      <formula>NOT(ISERROR(SEARCH("Rock",B2)))</formula>
    </cfRule>
    <cfRule type="containsText" dxfId="1448" priority="647" stopIfTrue="1" operator="containsText" text="Steel">
      <formula>NOT(ISERROR(SEARCH("Steel",B2)))</formula>
    </cfRule>
    <cfRule type="containsText" dxfId="1447" priority="648" stopIfTrue="1" operator="containsText" text="Water">
      <formula>NOT(ISERROR(SEARCH("Water",B2)))</formula>
    </cfRule>
    <cfRule type="containsText" dxfId="1446" priority="649" stopIfTrue="1" operator="containsText" text="Status">
      <formula>NOT(ISERROR(SEARCH("Status",B2)))</formula>
    </cfRule>
    <cfRule type="containsText" dxfId="1445" priority="650" stopIfTrue="1" operator="containsText" text="Physical">
      <formula>NOT(ISERROR(SEARCH("Physical",B2)))</formula>
    </cfRule>
    <cfRule type="containsText" dxfId="1444" priority="651" stopIfTrue="1" operator="containsText" text="Special">
      <formula>NOT(ISERROR(SEARCH("Special",B2)))</formula>
    </cfRule>
    <cfRule type="containsText" dxfId="1443" priority="652" stopIfTrue="1" operator="containsText" text="Ghost">
      <formula>NOT(ISERROR(SEARCH("Ghost",B2)))</formula>
    </cfRule>
    <cfRule type="containsText" dxfId="1442" priority="653" stopIfTrue="1" operator="containsText" text="Psychic">
      <formula>NOT(ISERROR(SEARCH("Psychic",B2)))</formula>
    </cfRule>
    <cfRule type="containsText" dxfId="1441" priority="654" stopIfTrue="1" operator="containsText" text="Normal">
      <formula>NOT(ISERROR(SEARCH("Normal",B2)))</formula>
    </cfRule>
    <cfRule type="containsText" dxfId="1440" priority="655" stopIfTrue="1" operator="containsText" text="Fire">
      <formula>NOT(ISERROR(SEARCH("Fire",B2)))</formula>
    </cfRule>
    <cfRule type="containsText" dxfId="1439" priority="656" stopIfTrue="1" operator="containsText" text="Bug">
      <formula>NOT(ISERROR(SEARCH("Bug",B2)))</formula>
    </cfRule>
    <cfRule type="containsText" dxfId="1438" priority="657" stopIfTrue="1" operator="containsText" text="Dark">
      <formula>NOT(ISERROR(SEARCH("Dark",B2)))</formula>
    </cfRule>
    <cfRule type="containsText" dxfId="1437" priority="658" stopIfTrue="1" operator="containsText" text="Dragon">
      <formula>NOT(ISERROR(SEARCH("Dragon",B2)))</formula>
    </cfRule>
    <cfRule type="containsText" dxfId="1436" priority="659" stopIfTrue="1" operator="containsText" text="Electric">
      <formula>NOT(ISERROR(SEARCH("Electric",B2)))</formula>
    </cfRule>
    <cfRule type="containsText" dxfId="1435" priority="660" stopIfTrue="1" operator="containsText" text="Fairy">
      <formula>NOT(ISERROR(SEARCH("Fairy",B2)))</formula>
    </cfRule>
    <cfRule type="containsText" dxfId="1434" priority="661" stopIfTrue="1" operator="containsText" text="Fighting">
      <formula>NOT(ISERROR(SEARCH("Fighting",B2)))</formula>
    </cfRule>
    <cfRule type="containsText" dxfId="1433" priority="662" stopIfTrue="1" operator="containsText" text="Flying">
      <formula>NOT(ISERROR(SEARCH("Flying",B2)))</formula>
    </cfRule>
    <cfRule type="containsText" dxfId="1432" priority="663" stopIfTrue="1" operator="containsText" text="Grass">
      <formula>NOT(ISERROR(SEARCH("Grass",B2)))</formula>
    </cfRule>
    <cfRule type="containsText" dxfId="1431" priority="664" stopIfTrue="1" operator="containsText" text="Ground">
      <formula>NOT(ISERROR(SEARCH("Ground",B2)))</formula>
    </cfRule>
    <cfRule type="containsText" dxfId="1430" priority="665" stopIfTrue="1" operator="containsText" text="Ice">
      <formula>NOT(ISERROR(SEARCH("Ice",B2)))</formula>
    </cfRule>
    <cfRule type="containsText" dxfId="1429" priority="666" stopIfTrue="1" operator="containsText" text="Poison">
      <formula>NOT(ISERROR(SEARCH("Poison",B2)))</formula>
    </cfRule>
    <cfRule type="containsText" dxfId="1428" priority="667" stopIfTrue="1" operator="containsText" text="Rock">
      <formula>NOT(ISERROR(SEARCH("Rock",B2)))</formula>
    </cfRule>
    <cfRule type="containsText" dxfId="1427" priority="668" stopIfTrue="1" operator="containsText" text="Steel">
      <formula>NOT(ISERROR(SEARCH("Steel",B2)))</formula>
    </cfRule>
    <cfRule type="containsText" dxfId="1426" priority="669" stopIfTrue="1" operator="containsText" text="Water">
      <formula>NOT(ISERROR(SEARCH("Water",B2)))</formula>
    </cfRule>
    <cfRule type="containsText" dxfId="1425" priority="670" stopIfTrue="1" operator="containsText" text="Status">
      <formula>NOT(ISERROR(SEARCH("Status",B2)))</formula>
    </cfRule>
    <cfRule type="containsText" dxfId="1424" priority="671" stopIfTrue="1" operator="containsText" text="Physical">
      <formula>NOT(ISERROR(SEARCH("Physical",B2)))</formula>
    </cfRule>
    <cfRule type="containsText" dxfId="1423" priority="672" stopIfTrue="1" operator="containsText" text="Special">
      <formula>NOT(ISERROR(SEARCH("Special",B2)))</formula>
    </cfRule>
    <cfRule type="containsText" dxfId="1422" priority="673" stopIfTrue="1" operator="containsText" text="Ghost">
      <formula>NOT(ISERROR(SEARCH("Ghost",B2)))</formula>
    </cfRule>
    <cfRule type="containsText" dxfId="1421" priority="674" stopIfTrue="1" operator="containsText" text="Psychic">
      <formula>NOT(ISERROR(SEARCH("Psychic",B2)))</formula>
    </cfRule>
    <cfRule type="containsText" dxfId="1420" priority="675" stopIfTrue="1" operator="containsText" text="Normal">
      <formula>NOT(ISERROR(SEARCH("Normal",B2)))</formula>
    </cfRule>
    <cfRule type="containsText" dxfId="1419" priority="676" stopIfTrue="1" operator="containsText" text="Fire">
      <formula>NOT(ISERROR(SEARCH("Fire",B2)))</formula>
    </cfRule>
    <cfRule type="containsText" dxfId="1418" priority="677" stopIfTrue="1" operator="containsText" text="Bug">
      <formula>NOT(ISERROR(SEARCH("Bug",B2)))</formula>
    </cfRule>
    <cfRule type="containsText" dxfId="1417" priority="678" stopIfTrue="1" operator="containsText" text="Dark">
      <formula>NOT(ISERROR(SEARCH("Dark",B2)))</formula>
    </cfRule>
    <cfRule type="containsText" dxfId="1416" priority="679" stopIfTrue="1" operator="containsText" text="Dragon">
      <formula>NOT(ISERROR(SEARCH("Dragon",B2)))</formula>
    </cfRule>
    <cfRule type="containsText" dxfId="1415" priority="680" stopIfTrue="1" operator="containsText" text="Electric">
      <formula>NOT(ISERROR(SEARCH("Electric",B2)))</formula>
    </cfRule>
    <cfRule type="containsText" dxfId="1414" priority="681" stopIfTrue="1" operator="containsText" text="Fairy">
      <formula>NOT(ISERROR(SEARCH("Fairy",B2)))</formula>
    </cfRule>
    <cfRule type="containsText" dxfId="1413" priority="682" stopIfTrue="1" operator="containsText" text="Fighting">
      <formula>NOT(ISERROR(SEARCH("Fighting",B2)))</formula>
    </cfRule>
    <cfRule type="containsText" dxfId="1412" priority="683" stopIfTrue="1" operator="containsText" text="Flying">
      <formula>NOT(ISERROR(SEARCH("Flying",B2)))</formula>
    </cfRule>
    <cfRule type="containsText" dxfId="1411" priority="684" stopIfTrue="1" operator="containsText" text="Grass">
      <formula>NOT(ISERROR(SEARCH("Grass",B2)))</formula>
    </cfRule>
    <cfRule type="containsText" dxfId="1410" priority="685" stopIfTrue="1" operator="containsText" text="Ground">
      <formula>NOT(ISERROR(SEARCH("Ground",B2)))</formula>
    </cfRule>
    <cfRule type="containsText" dxfId="1409" priority="686" stopIfTrue="1" operator="containsText" text="Ice">
      <formula>NOT(ISERROR(SEARCH("Ice",B2)))</formula>
    </cfRule>
    <cfRule type="containsText" dxfId="1408" priority="687" stopIfTrue="1" operator="containsText" text="Poison">
      <formula>NOT(ISERROR(SEARCH("Poison",B2)))</formula>
    </cfRule>
    <cfRule type="containsText" dxfId="1407" priority="688" stopIfTrue="1" operator="containsText" text="Rock">
      <formula>NOT(ISERROR(SEARCH("Rock",B2)))</formula>
    </cfRule>
    <cfRule type="containsText" dxfId="1406" priority="689" stopIfTrue="1" operator="containsText" text="Steel">
      <formula>NOT(ISERROR(SEARCH("Steel",B2)))</formula>
    </cfRule>
    <cfRule type="containsText" dxfId="1405" priority="690" stopIfTrue="1" operator="containsText" text="Water">
      <formula>NOT(ISERROR(SEARCH("Water",B2)))</formula>
    </cfRule>
    <cfRule type="containsText" dxfId="1404" priority="691" stopIfTrue="1" operator="containsText" text="Status">
      <formula>NOT(ISERROR(SEARCH("Status",B2)))</formula>
    </cfRule>
    <cfRule type="containsText" dxfId="1403" priority="692" stopIfTrue="1" operator="containsText" text="Physical">
      <formula>NOT(ISERROR(SEARCH("Physical",B2)))</formula>
    </cfRule>
    <cfRule type="containsText" dxfId="1402" priority="693" stopIfTrue="1" operator="containsText" text="Special">
      <formula>NOT(ISERROR(SEARCH("Special",B2)))</formula>
    </cfRule>
    <cfRule type="containsText" dxfId="1401" priority="694" stopIfTrue="1" operator="containsText" text="Ghost">
      <formula>NOT(ISERROR(SEARCH("Ghost",B2)))</formula>
    </cfRule>
    <cfRule type="containsText" dxfId="1400" priority="695" stopIfTrue="1" operator="containsText" text="Psychic">
      <formula>NOT(ISERROR(SEARCH("Psychic",B2)))</formula>
    </cfRule>
    <cfRule type="containsText" dxfId="1399" priority="696" stopIfTrue="1" operator="containsText" text="Normal">
      <formula>NOT(ISERROR(SEARCH("Normal",B2)))</formula>
    </cfRule>
    <cfRule type="containsText" dxfId="1398" priority="697" stopIfTrue="1" operator="containsText" text="Fire">
      <formula>NOT(ISERROR(SEARCH("Fire",B2)))</formula>
    </cfRule>
    <cfRule type="containsText" dxfId="1397" priority="698" stopIfTrue="1" operator="containsText" text="Bug">
      <formula>NOT(ISERROR(SEARCH("Bug",B2)))</formula>
    </cfRule>
    <cfRule type="containsText" dxfId="1396" priority="699" stopIfTrue="1" operator="containsText" text="Dark">
      <formula>NOT(ISERROR(SEARCH("Dark",B2)))</formula>
    </cfRule>
    <cfRule type="containsText" dxfId="1395" priority="700" stopIfTrue="1" operator="containsText" text="Dragon">
      <formula>NOT(ISERROR(SEARCH("Dragon",B2)))</formula>
    </cfRule>
    <cfRule type="containsText" dxfId="1394" priority="701" stopIfTrue="1" operator="containsText" text="Electric">
      <formula>NOT(ISERROR(SEARCH("Electric",B2)))</formula>
    </cfRule>
    <cfRule type="containsText" dxfId="1393" priority="702" stopIfTrue="1" operator="containsText" text="Fairy">
      <formula>NOT(ISERROR(SEARCH("Fairy",B2)))</formula>
    </cfRule>
    <cfRule type="containsText" dxfId="1392" priority="703" stopIfTrue="1" operator="containsText" text="Fighting">
      <formula>NOT(ISERROR(SEARCH("Fighting",B2)))</formula>
    </cfRule>
    <cfRule type="containsText" dxfId="1391" priority="704" stopIfTrue="1" operator="containsText" text="Flying">
      <formula>NOT(ISERROR(SEARCH("Flying",B2)))</formula>
    </cfRule>
    <cfRule type="containsText" dxfId="1390" priority="705" stopIfTrue="1" operator="containsText" text="Grass">
      <formula>NOT(ISERROR(SEARCH("Grass",B2)))</formula>
    </cfRule>
    <cfRule type="containsText" dxfId="1389" priority="706" stopIfTrue="1" operator="containsText" text="Ground">
      <formula>NOT(ISERROR(SEARCH("Ground",B2)))</formula>
    </cfRule>
    <cfRule type="containsText" dxfId="1388" priority="707" stopIfTrue="1" operator="containsText" text="Ice">
      <formula>NOT(ISERROR(SEARCH("Ice",B2)))</formula>
    </cfRule>
    <cfRule type="containsText" dxfId="1387" priority="708" stopIfTrue="1" operator="containsText" text="Poison">
      <formula>NOT(ISERROR(SEARCH("Poison",B2)))</formula>
    </cfRule>
    <cfRule type="containsText" dxfId="1386" priority="709" stopIfTrue="1" operator="containsText" text="Rock">
      <formula>NOT(ISERROR(SEARCH("Rock",B2)))</formula>
    </cfRule>
    <cfRule type="containsText" dxfId="1385" priority="710" stopIfTrue="1" operator="containsText" text="Steel">
      <formula>NOT(ISERROR(SEARCH("Steel",B2)))</formula>
    </cfRule>
    <cfRule type="containsText" dxfId="1384" priority="711" stopIfTrue="1" operator="containsText" text="Water">
      <formula>NOT(ISERROR(SEARCH("Water",B2)))</formula>
    </cfRule>
    <cfRule type="containsText" dxfId="1383" priority="712" stopIfTrue="1" operator="containsText" text="Status">
      <formula>NOT(ISERROR(SEARCH("Status",B2)))</formula>
    </cfRule>
    <cfRule type="containsText" dxfId="1382" priority="713" stopIfTrue="1" operator="containsText" text="Physical">
      <formula>NOT(ISERROR(SEARCH("Physical",B2)))</formula>
    </cfRule>
    <cfRule type="containsText" dxfId="1381" priority="714" stopIfTrue="1" operator="containsText" text="Special">
      <formula>NOT(ISERROR(SEARCH("Special",B2)))</formula>
    </cfRule>
    <cfRule type="containsText" dxfId="1380" priority="715" stopIfTrue="1" operator="containsText" text="Ghost">
      <formula>NOT(ISERROR(SEARCH("Ghost",B2)))</formula>
    </cfRule>
    <cfRule type="containsText" dxfId="1379" priority="716" stopIfTrue="1" operator="containsText" text="Psychic">
      <formula>NOT(ISERROR(SEARCH("Psychic",B2)))</formula>
    </cfRule>
    <cfRule type="containsText" dxfId="1378" priority="717" stopIfTrue="1" operator="containsText" text="Normal">
      <formula>NOT(ISERROR(SEARCH("Normal",B2)))</formula>
    </cfRule>
    <cfRule type="containsText" dxfId="1377" priority="718" stopIfTrue="1" operator="containsText" text="Fire">
      <formula>NOT(ISERROR(SEARCH("Fire",B2)))</formula>
    </cfRule>
    <cfRule type="containsText" dxfId="1376" priority="719" stopIfTrue="1" operator="containsText" text="Bug">
      <formula>NOT(ISERROR(SEARCH("Bug",B2)))</formula>
    </cfRule>
    <cfRule type="containsText" dxfId="1375" priority="720" stopIfTrue="1" operator="containsText" text="Dark">
      <formula>NOT(ISERROR(SEARCH("Dark",B2)))</formula>
    </cfRule>
    <cfRule type="containsText" dxfId="1374" priority="721" stopIfTrue="1" operator="containsText" text="Dragon">
      <formula>NOT(ISERROR(SEARCH("Dragon",B2)))</formula>
    </cfRule>
    <cfRule type="containsText" dxfId="1373" priority="722" stopIfTrue="1" operator="containsText" text="Electric">
      <formula>NOT(ISERROR(SEARCH("Electric",B2)))</formula>
    </cfRule>
    <cfRule type="containsText" dxfId="1372" priority="723" stopIfTrue="1" operator="containsText" text="Fairy">
      <formula>NOT(ISERROR(SEARCH("Fairy",B2)))</formula>
    </cfRule>
    <cfRule type="containsText" dxfId="1371" priority="724" stopIfTrue="1" operator="containsText" text="Fighting">
      <formula>NOT(ISERROR(SEARCH("Fighting",B2)))</formula>
    </cfRule>
    <cfRule type="containsText" dxfId="1370" priority="725" stopIfTrue="1" operator="containsText" text="Flying">
      <formula>NOT(ISERROR(SEARCH("Flying",B2)))</formula>
    </cfRule>
    <cfRule type="containsText" dxfId="1369" priority="726" stopIfTrue="1" operator="containsText" text="Grass">
      <formula>NOT(ISERROR(SEARCH("Grass",B2)))</formula>
    </cfRule>
    <cfRule type="containsText" dxfId="1368" priority="727" stopIfTrue="1" operator="containsText" text="Ground">
      <formula>NOT(ISERROR(SEARCH("Ground",B2)))</formula>
    </cfRule>
    <cfRule type="containsText" dxfId="1367" priority="728" stopIfTrue="1" operator="containsText" text="Ice">
      <formula>NOT(ISERROR(SEARCH("Ice",B2)))</formula>
    </cfRule>
    <cfRule type="containsText" dxfId="1366" priority="729" stopIfTrue="1" operator="containsText" text="Poison">
      <formula>NOT(ISERROR(SEARCH("Poison",B2)))</formula>
    </cfRule>
    <cfRule type="containsText" dxfId="1365" priority="730" stopIfTrue="1" operator="containsText" text="Rock">
      <formula>NOT(ISERROR(SEARCH("Rock",B2)))</formula>
    </cfRule>
    <cfRule type="containsText" dxfId="1364" priority="731" stopIfTrue="1" operator="containsText" text="Steel">
      <formula>NOT(ISERROR(SEARCH("Steel",B2)))</formula>
    </cfRule>
    <cfRule type="containsText" dxfId="1363" priority="732" stopIfTrue="1" operator="containsText" text="Water">
      <formula>NOT(ISERROR(SEARCH("Water",B2)))</formula>
    </cfRule>
    <cfRule type="containsText" dxfId="1362" priority="733" stopIfTrue="1" operator="containsText" text="Status">
      <formula>NOT(ISERROR(SEARCH("Status",B2)))</formula>
    </cfRule>
    <cfRule type="containsText" dxfId="1361" priority="734" stopIfTrue="1" operator="containsText" text="Physical">
      <formula>NOT(ISERROR(SEARCH("Physical",B2)))</formula>
    </cfRule>
    <cfRule type="containsText" dxfId="1360" priority="735" stopIfTrue="1" operator="containsText" text="Special">
      <formula>NOT(ISERROR(SEARCH("Special",B2)))</formula>
    </cfRule>
    <cfRule type="containsText" dxfId="1359" priority="736" stopIfTrue="1" operator="containsText" text="Ghost">
      <formula>NOT(ISERROR(SEARCH("Ghost",B2)))</formula>
    </cfRule>
    <cfRule type="containsText" dxfId="1358" priority="737" stopIfTrue="1" operator="containsText" text="Psychic">
      <formula>NOT(ISERROR(SEARCH("Psychic",B2)))</formula>
    </cfRule>
    <cfRule type="containsText" dxfId="1357" priority="738" stopIfTrue="1" operator="containsText" text="Normal">
      <formula>NOT(ISERROR(SEARCH("Normal",B2)))</formula>
    </cfRule>
    <cfRule type="containsText" dxfId="1356" priority="739" stopIfTrue="1" operator="containsText" text="Fire">
      <formula>NOT(ISERROR(SEARCH("Fire",B2)))</formula>
    </cfRule>
    <cfRule type="containsText" dxfId="1355" priority="740" stopIfTrue="1" operator="containsText" text="Bug">
      <formula>NOT(ISERROR(SEARCH("Bug",B2)))</formula>
    </cfRule>
    <cfRule type="containsText" dxfId="1354" priority="741" stopIfTrue="1" operator="containsText" text="Dark">
      <formula>NOT(ISERROR(SEARCH("Dark",B2)))</formula>
    </cfRule>
    <cfRule type="containsText" dxfId="1353" priority="742" stopIfTrue="1" operator="containsText" text="Dragon">
      <formula>NOT(ISERROR(SEARCH("Dragon",B2)))</formula>
    </cfRule>
    <cfRule type="containsText" dxfId="1352" priority="743" stopIfTrue="1" operator="containsText" text="Electric">
      <formula>NOT(ISERROR(SEARCH("Electric",B2)))</formula>
    </cfRule>
    <cfRule type="containsText" dxfId="1351" priority="744" stopIfTrue="1" operator="containsText" text="Fairy">
      <formula>NOT(ISERROR(SEARCH("Fairy",B2)))</formula>
    </cfRule>
    <cfRule type="containsText" dxfId="1350" priority="745" stopIfTrue="1" operator="containsText" text="Fighting">
      <formula>NOT(ISERROR(SEARCH("Fighting",B2)))</formula>
    </cfRule>
    <cfRule type="containsText" dxfId="1349" priority="746" stopIfTrue="1" operator="containsText" text="Flying">
      <formula>NOT(ISERROR(SEARCH("Flying",B2)))</formula>
    </cfRule>
    <cfRule type="containsText" dxfId="1348" priority="747" stopIfTrue="1" operator="containsText" text="Grass">
      <formula>NOT(ISERROR(SEARCH("Grass",B2)))</formula>
    </cfRule>
    <cfRule type="containsText" dxfId="1347" priority="748" stopIfTrue="1" operator="containsText" text="Ground">
      <formula>NOT(ISERROR(SEARCH("Ground",B2)))</formula>
    </cfRule>
    <cfRule type="containsText" dxfId="1346" priority="749" stopIfTrue="1" operator="containsText" text="Ice">
      <formula>NOT(ISERROR(SEARCH("Ice",B2)))</formula>
    </cfRule>
    <cfRule type="containsText" dxfId="1345" priority="750" stopIfTrue="1" operator="containsText" text="Poison">
      <formula>NOT(ISERROR(SEARCH("Poison",B2)))</formula>
    </cfRule>
    <cfRule type="containsText" dxfId="1344" priority="751" stopIfTrue="1" operator="containsText" text="Rock">
      <formula>NOT(ISERROR(SEARCH("Rock",B2)))</formula>
    </cfRule>
    <cfRule type="containsText" dxfId="1343" priority="752" stopIfTrue="1" operator="containsText" text="Steel">
      <formula>NOT(ISERROR(SEARCH("Steel",B2)))</formula>
    </cfRule>
    <cfRule type="containsText" dxfId="1342" priority="753" stopIfTrue="1" operator="containsText" text="Water">
      <formula>NOT(ISERROR(SEARCH("Water",B2)))</formula>
    </cfRule>
    <cfRule type="containsText" dxfId="1341" priority="754" stopIfTrue="1" operator="containsText" text="Status">
      <formula>NOT(ISERROR(SEARCH("Status",B2)))</formula>
    </cfRule>
    <cfRule type="containsText" dxfId="1340" priority="755" stopIfTrue="1" operator="containsText" text="Physical">
      <formula>NOT(ISERROR(SEARCH("Physical",B2)))</formula>
    </cfRule>
    <cfRule type="containsText" dxfId="1339" priority="756" stopIfTrue="1" operator="containsText" text="Special">
      <formula>NOT(ISERROR(SEARCH("Special",B2)))</formula>
    </cfRule>
    <cfRule type="containsText" dxfId="1338" priority="757" stopIfTrue="1" operator="containsText" text="Ghost">
      <formula>NOT(ISERROR(SEARCH("Ghost",B2)))</formula>
    </cfRule>
    <cfRule type="containsText" dxfId="1337" priority="758" stopIfTrue="1" operator="containsText" text="Psychic">
      <formula>NOT(ISERROR(SEARCH("Psychic",B2)))</formula>
    </cfRule>
    <cfRule type="containsText" dxfId="1336" priority="759" stopIfTrue="1" operator="containsText" text="Normal">
      <formula>NOT(ISERROR(SEARCH("Normal",B2)))</formula>
    </cfRule>
    <cfRule type="containsText" dxfId="1335" priority="760" stopIfTrue="1" operator="containsText" text="Fire">
      <formula>NOT(ISERROR(SEARCH("Fire",B2)))</formula>
    </cfRule>
    <cfRule type="containsText" dxfId="1334" priority="761" stopIfTrue="1" operator="containsText" text="Bug">
      <formula>NOT(ISERROR(SEARCH("Bug",B2)))</formula>
    </cfRule>
    <cfRule type="containsText" dxfId="1333" priority="762" stopIfTrue="1" operator="containsText" text="Dark">
      <formula>NOT(ISERROR(SEARCH("Dark",B2)))</formula>
    </cfRule>
    <cfRule type="containsText" dxfId="1332" priority="763" stopIfTrue="1" operator="containsText" text="Dragon">
      <formula>NOT(ISERROR(SEARCH("Dragon",B2)))</formula>
    </cfRule>
    <cfRule type="containsText" dxfId="1331" priority="764" stopIfTrue="1" operator="containsText" text="Electric">
      <formula>NOT(ISERROR(SEARCH("Electric",B2)))</formula>
    </cfRule>
    <cfRule type="containsText" dxfId="1330" priority="765" stopIfTrue="1" operator="containsText" text="Fairy">
      <formula>NOT(ISERROR(SEARCH("Fairy",B2)))</formula>
    </cfRule>
    <cfRule type="containsText" dxfId="1329" priority="766" stopIfTrue="1" operator="containsText" text="Fighting">
      <formula>NOT(ISERROR(SEARCH("Fighting",B2)))</formula>
    </cfRule>
    <cfRule type="containsText" dxfId="1328" priority="767" stopIfTrue="1" operator="containsText" text="Flying">
      <formula>NOT(ISERROR(SEARCH("Flying",B2)))</formula>
    </cfRule>
    <cfRule type="containsText" dxfId="1327" priority="768" stopIfTrue="1" operator="containsText" text="Grass">
      <formula>NOT(ISERROR(SEARCH("Grass",B2)))</formula>
    </cfRule>
    <cfRule type="containsText" dxfId="1326" priority="769" stopIfTrue="1" operator="containsText" text="Ground">
      <formula>NOT(ISERROR(SEARCH("Ground",B2)))</formula>
    </cfRule>
    <cfRule type="containsText" dxfId="1325" priority="770" stopIfTrue="1" operator="containsText" text="Ice">
      <formula>NOT(ISERROR(SEARCH("Ice",B2)))</formula>
    </cfRule>
    <cfRule type="containsText" dxfId="1324" priority="771" stopIfTrue="1" operator="containsText" text="Poison">
      <formula>NOT(ISERROR(SEARCH("Poison",B2)))</formula>
    </cfRule>
    <cfRule type="containsText" dxfId="1323" priority="772" stopIfTrue="1" operator="containsText" text="Rock">
      <formula>NOT(ISERROR(SEARCH("Rock",B2)))</formula>
    </cfRule>
    <cfRule type="containsText" dxfId="1322" priority="773" stopIfTrue="1" operator="containsText" text="Steel">
      <formula>NOT(ISERROR(SEARCH("Steel",B2)))</formula>
    </cfRule>
    <cfRule type="containsText" dxfId="1321" priority="774" stopIfTrue="1" operator="containsText" text="Water">
      <formula>NOT(ISERROR(SEARCH("Water",B2)))</formula>
    </cfRule>
    <cfRule type="containsText" dxfId="1320" priority="775" stopIfTrue="1" operator="containsText" text="Status">
      <formula>NOT(ISERROR(SEARCH("Status",B2)))</formula>
    </cfRule>
    <cfRule type="containsText" dxfId="1319" priority="776" stopIfTrue="1" operator="containsText" text="Physical">
      <formula>NOT(ISERROR(SEARCH("Physical",B2)))</formula>
    </cfRule>
    <cfRule type="containsText" dxfId="1318" priority="777" stopIfTrue="1" operator="containsText" text="Special">
      <formula>NOT(ISERROR(SEARCH("Special",B2)))</formula>
    </cfRule>
    <cfRule type="containsText" dxfId="1317" priority="778" stopIfTrue="1" operator="containsText" text="Ghost">
      <formula>NOT(ISERROR(SEARCH("Ghost",B2)))</formula>
    </cfRule>
    <cfRule type="containsText" dxfId="1316" priority="779" stopIfTrue="1" operator="containsText" text="Psychic">
      <formula>NOT(ISERROR(SEARCH("Psychic",B2)))</formula>
    </cfRule>
    <cfRule type="containsText" dxfId="1315" priority="780" stopIfTrue="1" operator="containsText" text="Normal">
      <formula>NOT(ISERROR(SEARCH("Normal",B2)))</formula>
    </cfRule>
    <cfRule type="containsText" dxfId="1314" priority="781" stopIfTrue="1" operator="containsText" text="Fire">
      <formula>NOT(ISERROR(SEARCH("Fire",B2)))</formula>
    </cfRule>
    <cfRule type="containsText" dxfId="1313" priority="782" stopIfTrue="1" operator="containsText" text="Bug">
      <formula>NOT(ISERROR(SEARCH("Bug",B2)))</formula>
    </cfRule>
    <cfRule type="containsText" dxfId="1312" priority="783" stopIfTrue="1" operator="containsText" text="Dark">
      <formula>NOT(ISERROR(SEARCH("Dark",B2)))</formula>
    </cfRule>
    <cfRule type="containsText" dxfId="1311" priority="784" stopIfTrue="1" operator="containsText" text="Dragon">
      <formula>NOT(ISERROR(SEARCH("Dragon",B2)))</formula>
    </cfRule>
    <cfRule type="containsText" dxfId="1310" priority="785" stopIfTrue="1" operator="containsText" text="Electric">
      <formula>NOT(ISERROR(SEARCH("Electric",B2)))</formula>
    </cfRule>
    <cfRule type="containsText" dxfId="1309" priority="786" stopIfTrue="1" operator="containsText" text="Fairy">
      <formula>NOT(ISERROR(SEARCH("Fairy",B2)))</formula>
    </cfRule>
    <cfRule type="containsText" dxfId="1308" priority="787" stopIfTrue="1" operator="containsText" text="Fighting">
      <formula>NOT(ISERROR(SEARCH("Fighting",B2)))</formula>
    </cfRule>
    <cfRule type="containsText" dxfId="1307" priority="788" stopIfTrue="1" operator="containsText" text="Flying">
      <formula>NOT(ISERROR(SEARCH("Flying",B2)))</formula>
    </cfRule>
    <cfRule type="containsText" dxfId="1306" priority="789" stopIfTrue="1" operator="containsText" text="Grass">
      <formula>NOT(ISERROR(SEARCH("Grass",B2)))</formula>
    </cfRule>
    <cfRule type="containsText" dxfId="1305" priority="790" stopIfTrue="1" operator="containsText" text="Ground">
      <formula>NOT(ISERROR(SEARCH("Ground",B2)))</formula>
    </cfRule>
    <cfRule type="containsText" dxfId="1304" priority="791" stopIfTrue="1" operator="containsText" text="Ice">
      <formula>NOT(ISERROR(SEARCH("Ice",B2)))</formula>
    </cfRule>
    <cfRule type="containsText" dxfId="1303" priority="792" stopIfTrue="1" operator="containsText" text="Poison">
      <formula>NOT(ISERROR(SEARCH("Poison",B2)))</formula>
    </cfRule>
    <cfRule type="containsText" dxfId="1302" priority="793" stopIfTrue="1" operator="containsText" text="Rock">
      <formula>NOT(ISERROR(SEARCH("Rock",B2)))</formula>
    </cfRule>
    <cfRule type="containsText" dxfId="1301" priority="794" stopIfTrue="1" operator="containsText" text="Steel">
      <formula>NOT(ISERROR(SEARCH("Steel",B2)))</formula>
    </cfRule>
    <cfRule type="containsText" dxfId="1300" priority="795" stopIfTrue="1" operator="containsText" text="Water">
      <formula>NOT(ISERROR(SEARCH("Water",B2)))</formula>
    </cfRule>
    <cfRule type="containsText" dxfId="1299" priority="796" stopIfTrue="1" operator="containsText" text="Status">
      <formula>NOT(ISERROR(SEARCH("Status",B2)))</formula>
    </cfRule>
    <cfRule type="containsText" dxfId="1298" priority="797" stopIfTrue="1" operator="containsText" text="Physical">
      <formula>NOT(ISERROR(SEARCH("Physical",B2)))</formula>
    </cfRule>
    <cfRule type="containsText" dxfId="1297" priority="798" stopIfTrue="1" operator="containsText" text="Special">
      <formula>NOT(ISERROR(SEARCH("Special",B2)))</formula>
    </cfRule>
    <cfRule type="containsText" dxfId="1296" priority="799" stopIfTrue="1" operator="containsText" text="Ghost">
      <formula>NOT(ISERROR(SEARCH("Ghost",B2)))</formula>
    </cfRule>
    <cfRule type="containsText" dxfId="1295" priority="800" stopIfTrue="1" operator="containsText" text="Psychic">
      <formula>NOT(ISERROR(SEARCH("Psychic",B2)))</formula>
    </cfRule>
    <cfRule type="containsText" dxfId="1294" priority="801" stopIfTrue="1" operator="containsText" text="Normal">
      <formula>NOT(ISERROR(SEARCH("Normal",B2)))</formula>
    </cfRule>
    <cfRule type="containsText" dxfId="1293" priority="802" stopIfTrue="1" operator="containsText" text="Fire">
      <formula>NOT(ISERROR(SEARCH("Fire",B2)))</formula>
    </cfRule>
    <cfRule type="containsText" dxfId="1292" priority="803" stopIfTrue="1" operator="containsText" text="Bug">
      <formula>NOT(ISERROR(SEARCH("Bug",B2)))</formula>
    </cfRule>
    <cfRule type="containsText" dxfId="1291" priority="804" stopIfTrue="1" operator="containsText" text="Dark">
      <formula>NOT(ISERROR(SEARCH("Dark",B2)))</formula>
    </cfRule>
    <cfRule type="containsText" dxfId="1290" priority="805" stopIfTrue="1" operator="containsText" text="Dragon">
      <formula>NOT(ISERROR(SEARCH("Dragon",B2)))</formula>
    </cfRule>
    <cfRule type="containsText" dxfId="1289" priority="806" stopIfTrue="1" operator="containsText" text="Electric">
      <formula>NOT(ISERROR(SEARCH("Electric",B2)))</formula>
    </cfRule>
    <cfRule type="containsText" dxfId="1288" priority="807" stopIfTrue="1" operator="containsText" text="Fairy">
      <formula>NOT(ISERROR(SEARCH("Fairy",B2)))</formula>
    </cfRule>
    <cfRule type="containsText" dxfId="1287" priority="808" stopIfTrue="1" operator="containsText" text="Fighting">
      <formula>NOT(ISERROR(SEARCH("Fighting",B2)))</formula>
    </cfRule>
    <cfRule type="containsText" dxfId="1286" priority="809" stopIfTrue="1" operator="containsText" text="Flying">
      <formula>NOT(ISERROR(SEARCH("Flying",B2)))</formula>
    </cfRule>
    <cfRule type="containsText" dxfId="1285" priority="810" stopIfTrue="1" operator="containsText" text="Grass">
      <formula>NOT(ISERROR(SEARCH("Grass",B2)))</formula>
    </cfRule>
    <cfRule type="containsText" dxfId="1284" priority="811" stopIfTrue="1" operator="containsText" text="Ground">
      <formula>NOT(ISERROR(SEARCH("Ground",B2)))</formula>
    </cfRule>
    <cfRule type="containsText" dxfId="1283" priority="812" stopIfTrue="1" operator="containsText" text="Ice">
      <formula>NOT(ISERROR(SEARCH("Ice",B2)))</formula>
    </cfRule>
    <cfRule type="containsText" dxfId="1282" priority="813" stopIfTrue="1" operator="containsText" text="Poison">
      <formula>NOT(ISERROR(SEARCH("Poison",B2)))</formula>
    </cfRule>
    <cfRule type="containsText" dxfId="1281" priority="814" stopIfTrue="1" operator="containsText" text="Rock">
      <formula>NOT(ISERROR(SEARCH("Rock",B2)))</formula>
    </cfRule>
    <cfRule type="containsText" dxfId="1280" priority="815" stopIfTrue="1" operator="containsText" text="Steel">
      <formula>NOT(ISERROR(SEARCH("Steel",B2)))</formula>
    </cfRule>
    <cfRule type="containsText" dxfId="1279" priority="816" stopIfTrue="1" operator="containsText" text="Water">
      <formula>NOT(ISERROR(SEARCH("Water",B2)))</formula>
    </cfRule>
    <cfRule type="containsText" dxfId="1278" priority="817" stopIfTrue="1" operator="containsText" text="Status">
      <formula>NOT(ISERROR(SEARCH("Status",B2)))</formula>
    </cfRule>
    <cfRule type="containsText" dxfId="1277" priority="818" stopIfTrue="1" operator="containsText" text="Physical">
      <formula>NOT(ISERROR(SEARCH("Physical",B2)))</formula>
    </cfRule>
    <cfRule type="containsText" dxfId="1276" priority="819" stopIfTrue="1" operator="containsText" text="Special">
      <formula>NOT(ISERROR(SEARCH("Special",B2)))</formula>
    </cfRule>
    <cfRule type="containsText" dxfId="1275" priority="820" stopIfTrue="1" operator="containsText" text="Ghost">
      <formula>NOT(ISERROR(SEARCH("Ghost",B2)))</formula>
    </cfRule>
    <cfRule type="containsText" dxfId="1274" priority="821" stopIfTrue="1" operator="containsText" text="Psychic">
      <formula>NOT(ISERROR(SEARCH("Psychic",B2)))</formula>
    </cfRule>
    <cfRule type="containsText" dxfId="1273" priority="822" stopIfTrue="1" operator="containsText" text="Normal">
      <formula>NOT(ISERROR(SEARCH("Normal",B2)))</formula>
    </cfRule>
    <cfRule type="containsText" dxfId="1272" priority="823" stopIfTrue="1" operator="containsText" text="Fire">
      <formula>NOT(ISERROR(SEARCH("Fire",B2)))</formula>
    </cfRule>
    <cfRule type="containsText" dxfId="1271" priority="824" stopIfTrue="1" operator="containsText" text="Bug">
      <formula>NOT(ISERROR(SEARCH("Bug",B2)))</formula>
    </cfRule>
    <cfRule type="containsText" dxfId="1270" priority="825" stopIfTrue="1" operator="containsText" text="Dark">
      <formula>NOT(ISERROR(SEARCH("Dark",B2)))</formula>
    </cfRule>
    <cfRule type="containsText" dxfId="1269" priority="826" stopIfTrue="1" operator="containsText" text="Dragon">
      <formula>NOT(ISERROR(SEARCH("Dragon",B2)))</formula>
    </cfRule>
    <cfRule type="containsText" dxfId="1268" priority="827" stopIfTrue="1" operator="containsText" text="Electric">
      <formula>NOT(ISERROR(SEARCH("Electric",B2)))</formula>
    </cfRule>
    <cfRule type="containsText" dxfId="1267" priority="828" stopIfTrue="1" operator="containsText" text="Fairy">
      <formula>NOT(ISERROR(SEARCH("Fairy",B2)))</formula>
    </cfRule>
    <cfRule type="containsText" dxfId="1266" priority="829" stopIfTrue="1" operator="containsText" text="Fighting">
      <formula>NOT(ISERROR(SEARCH("Fighting",B2)))</formula>
    </cfRule>
    <cfRule type="containsText" dxfId="1265" priority="830" stopIfTrue="1" operator="containsText" text="Flying">
      <formula>NOT(ISERROR(SEARCH("Flying",B2)))</formula>
    </cfRule>
    <cfRule type="containsText" dxfId="1264" priority="831" stopIfTrue="1" operator="containsText" text="Grass">
      <formula>NOT(ISERROR(SEARCH("Grass",B2)))</formula>
    </cfRule>
    <cfRule type="containsText" dxfId="1263" priority="832" stopIfTrue="1" operator="containsText" text="Ground">
      <formula>NOT(ISERROR(SEARCH("Ground",B2)))</formula>
    </cfRule>
    <cfRule type="containsText" dxfId="1262" priority="833" stopIfTrue="1" operator="containsText" text="Ice">
      <formula>NOT(ISERROR(SEARCH("Ice",B2)))</formula>
    </cfRule>
    <cfRule type="containsText" dxfId="1261" priority="834" stopIfTrue="1" operator="containsText" text="Poison">
      <formula>NOT(ISERROR(SEARCH("Poison",B2)))</formula>
    </cfRule>
    <cfRule type="containsText" dxfId="1260" priority="835" stopIfTrue="1" operator="containsText" text="Rock">
      <formula>NOT(ISERROR(SEARCH("Rock",B2)))</formula>
    </cfRule>
    <cfRule type="containsText" dxfId="1259" priority="836" stopIfTrue="1" operator="containsText" text="Steel">
      <formula>NOT(ISERROR(SEARCH("Steel",B2)))</formula>
    </cfRule>
    <cfRule type="containsText" dxfId="1258" priority="837" stopIfTrue="1" operator="containsText" text="Water">
      <formula>NOT(ISERROR(SEARCH("Water",B2)))</formula>
    </cfRule>
    <cfRule type="containsText" dxfId="1257" priority="838" stopIfTrue="1" operator="containsText" text="Status">
      <formula>NOT(ISERROR(SEARCH("Status",B2)))</formula>
    </cfRule>
    <cfRule type="containsText" dxfId="1256" priority="839" stopIfTrue="1" operator="containsText" text="Physical">
      <formula>NOT(ISERROR(SEARCH("Physical",B2)))</formula>
    </cfRule>
    <cfRule type="containsText" dxfId="1255" priority="840" stopIfTrue="1" operator="containsText" text="Special">
      <formula>NOT(ISERROR(SEARCH("Special",B2)))</formula>
    </cfRule>
    <cfRule type="containsText" dxfId="1254" priority="841" stopIfTrue="1" operator="containsText" text="Ghost">
      <formula>NOT(ISERROR(SEARCH("Ghost",B2)))</formula>
    </cfRule>
    <cfRule type="containsText" dxfId="1253" priority="842" stopIfTrue="1" operator="containsText" text="Psychic">
      <formula>NOT(ISERROR(SEARCH("Psychic",B2)))</formula>
    </cfRule>
    <cfRule type="containsText" dxfId="1252" priority="843" stopIfTrue="1" operator="containsText" text="Normal">
      <formula>NOT(ISERROR(SEARCH("Normal",B2)))</formula>
    </cfRule>
    <cfRule type="containsText" dxfId="1251" priority="844" stopIfTrue="1" operator="containsText" text="Fire">
      <formula>NOT(ISERROR(SEARCH("Fire",B2)))</formula>
    </cfRule>
    <cfRule type="containsText" dxfId="1250" priority="845" stopIfTrue="1" operator="containsText" text="Bug">
      <formula>NOT(ISERROR(SEARCH("Bug",B2)))</formula>
    </cfRule>
    <cfRule type="containsText" dxfId="1249" priority="846" stopIfTrue="1" operator="containsText" text="Dark">
      <formula>NOT(ISERROR(SEARCH("Dark",B2)))</formula>
    </cfRule>
    <cfRule type="containsText" dxfId="1248" priority="847" stopIfTrue="1" operator="containsText" text="Dragon">
      <formula>NOT(ISERROR(SEARCH("Dragon",B2)))</formula>
    </cfRule>
    <cfRule type="containsText" dxfId="1247" priority="848" stopIfTrue="1" operator="containsText" text="Electric">
      <formula>NOT(ISERROR(SEARCH("Electric",B2)))</formula>
    </cfRule>
    <cfRule type="containsText" dxfId="1246" priority="849" stopIfTrue="1" operator="containsText" text="Fairy">
      <formula>NOT(ISERROR(SEARCH("Fairy",B2)))</formula>
    </cfRule>
    <cfRule type="containsText" dxfId="1245" priority="850" stopIfTrue="1" operator="containsText" text="Fighting">
      <formula>NOT(ISERROR(SEARCH("Fighting",B2)))</formula>
    </cfRule>
    <cfRule type="containsText" dxfId="1244" priority="851" stopIfTrue="1" operator="containsText" text="Flying">
      <formula>NOT(ISERROR(SEARCH("Flying",B2)))</formula>
    </cfRule>
    <cfRule type="containsText" dxfId="1243" priority="852" stopIfTrue="1" operator="containsText" text="Grass">
      <formula>NOT(ISERROR(SEARCH("Grass",B2)))</formula>
    </cfRule>
    <cfRule type="containsText" dxfId="1242" priority="853" stopIfTrue="1" operator="containsText" text="Ground">
      <formula>NOT(ISERROR(SEARCH("Ground",B2)))</formula>
    </cfRule>
    <cfRule type="containsText" dxfId="1241" priority="854" stopIfTrue="1" operator="containsText" text="Ice">
      <formula>NOT(ISERROR(SEARCH("Ice",B2)))</formula>
    </cfRule>
    <cfRule type="containsText" dxfId="1240" priority="855" stopIfTrue="1" operator="containsText" text="Poison">
      <formula>NOT(ISERROR(SEARCH("Poison",B2)))</formula>
    </cfRule>
    <cfRule type="containsText" dxfId="1239" priority="856" stopIfTrue="1" operator="containsText" text="Rock">
      <formula>NOT(ISERROR(SEARCH("Rock",B2)))</formula>
    </cfRule>
    <cfRule type="containsText" dxfId="1238" priority="857" stopIfTrue="1" operator="containsText" text="Steel">
      <formula>NOT(ISERROR(SEARCH("Steel",B2)))</formula>
    </cfRule>
    <cfRule type="containsText" dxfId="1237" priority="858" stopIfTrue="1" operator="containsText" text="Water">
      <formula>NOT(ISERROR(SEARCH("Water",B2)))</formula>
    </cfRule>
    <cfRule type="containsText" dxfId="1236" priority="859" stopIfTrue="1" operator="containsText" text="Status">
      <formula>NOT(ISERROR(SEARCH("Status",B2)))</formula>
    </cfRule>
    <cfRule type="containsText" dxfId="1235" priority="860" stopIfTrue="1" operator="containsText" text="Physical">
      <formula>NOT(ISERROR(SEARCH("Physical",B2)))</formula>
    </cfRule>
    <cfRule type="containsText" dxfId="1234" priority="861" stopIfTrue="1" operator="containsText" text="Special">
      <formula>NOT(ISERROR(SEARCH("Special",B2)))</formula>
    </cfRule>
    <cfRule type="containsText" dxfId="1233" priority="862" stopIfTrue="1" operator="containsText" text="Ghost">
      <formula>NOT(ISERROR(SEARCH("Ghost",B2)))</formula>
    </cfRule>
    <cfRule type="containsText" dxfId="1232" priority="863" stopIfTrue="1" operator="containsText" text="Psychic">
      <formula>NOT(ISERROR(SEARCH("Psychic",B2)))</formula>
    </cfRule>
    <cfRule type="containsText" dxfId="1231" priority="864" stopIfTrue="1" operator="containsText" text="Normal">
      <formula>NOT(ISERROR(SEARCH("Normal",B2)))</formula>
    </cfRule>
    <cfRule type="containsText" dxfId="1230" priority="865" stopIfTrue="1" operator="containsText" text="Fire">
      <formula>NOT(ISERROR(SEARCH("Fire",B2)))</formula>
    </cfRule>
    <cfRule type="containsText" dxfId="1229" priority="866" stopIfTrue="1" operator="containsText" text="Bug">
      <formula>NOT(ISERROR(SEARCH("Bug",B2)))</formula>
    </cfRule>
    <cfRule type="containsText" dxfId="1228" priority="867" stopIfTrue="1" operator="containsText" text="Dark">
      <formula>NOT(ISERROR(SEARCH("Dark",B2)))</formula>
    </cfRule>
    <cfRule type="containsText" dxfId="1227" priority="868" stopIfTrue="1" operator="containsText" text="Dragon">
      <formula>NOT(ISERROR(SEARCH("Dragon",B2)))</formula>
    </cfRule>
    <cfRule type="containsText" dxfId="1226" priority="869" stopIfTrue="1" operator="containsText" text="Electric">
      <formula>NOT(ISERROR(SEARCH("Electric",B2)))</formula>
    </cfRule>
    <cfRule type="containsText" dxfId="1225" priority="870" stopIfTrue="1" operator="containsText" text="Fairy">
      <formula>NOT(ISERROR(SEARCH("Fairy",B2)))</formula>
    </cfRule>
    <cfRule type="containsText" dxfId="1224" priority="871" stopIfTrue="1" operator="containsText" text="Fighting">
      <formula>NOT(ISERROR(SEARCH("Fighting",B2)))</formula>
    </cfRule>
    <cfRule type="containsText" dxfId="1223" priority="872" stopIfTrue="1" operator="containsText" text="Flying">
      <formula>NOT(ISERROR(SEARCH("Flying",B2)))</formula>
    </cfRule>
    <cfRule type="containsText" dxfId="1222" priority="873" stopIfTrue="1" operator="containsText" text="Grass">
      <formula>NOT(ISERROR(SEARCH("Grass",B2)))</formula>
    </cfRule>
    <cfRule type="containsText" dxfId="1221" priority="874" stopIfTrue="1" operator="containsText" text="Ground">
      <formula>NOT(ISERROR(SEARCH("Ground",B2)))</formula>
    </cfRule>
    <cfRule type="containsText" dxfId="1220" priority="875" stopIfTrue="1" operator="containsText" text="Ice">
      <formula>NOT(ISERROR(SEARCH("Ice",B2)))</formula>
    </cfRule>
    <cfRule type="containsText" dxfId="1219" priority="876" stopIfTrue="1" operator="containsText" text="Poison">
      <formula>NOT(ISERROR(SEARCH("Poison",B2)))</formula>
    </cfRule>
    <cfRule type="containsText" dxfId="1218" priority="877" stopIfTrue="1" operator="containsText" text="Rock">
      <formula>NOT(ISERROR(SEARCH("Rock",B2)))</formula>
    </cfRule>
    <cfRule type="containsText" dxfId="1217" priority="878" stopIfTrue="1" operator="containsText" text="Steel">
      <formula>NOT(ISERROR(SEARCH("Steel",B2)))</formula>
    </cfRule>
    <cfRule type="containsText" dxfId="1216" priority="879" stopIfTrue="1" operator="containsText" text="Water">
      <formula>NOT(ISERROR(SEARCH("Water",B2)))</formula>
    </cfRule>
    <cfRule type="containsText" dxfId="1215" priority="880" stopIfTrue="1" operator="containsText" text="Status">
      <formula>NOT(ISERROR(SEARCH("Status",B2)))</formula>
    </cfRule>
    <cfRule type="containsText" dxfId="1214" priority="881" stopIfTrue="1" operator="containsText" text="Physical">
      <formula>NOT(ISERROR(SEARCH("Physical",B2)))</formula>
    </cfRule>
    <cfRule type="containsText" dxfId="1213" priority="882" stopIfTrue="1" operator="containsText" text="Special">
      <formula>NOT(ISERROR(SEARCH("Special",B2)))</formula>
    </cfRule>
    <cfRule type="containsText" dxfId="1212" priority="883" stopIfTrue="1" operator="containsText" text="Ghost">
      <formula>NOT(ISERROR(SEARCH("Ghost",B2)))</formula>
    </cfRule>
    <cfRule type="containsText" dxfId="1211" priority="884" stopIfTrue="1" operator="containsText" text="Psychic">
      <formula>NOT(ISERROR(SEARCH("Psychic",B2)))</formula>
    </cfRule>
    <cfRule type="containsText" dxfId="1210" priority="885" stopIfTrue="1" operator="containsText" text="Normal">
      <formula>NOT(ISERROR(SEARCH("Normal",B2)))</formula>
    </cfRule>
    <cfRule type="containsText" dxfId="1209" priority="886" stopIfTrue="1" operator="containsText" text="Fire">
      <formula>NOT(ISERROR(SEARCH("Fire",B2)))</formula>
    </cfRule>
    <cfRule type="containsText" dxfId="1208" priority="887" stopIfTrue="1" operator="containsText" text="Bug">
      <formula>NOT(ISERROR(SEARCH("Bug",B2)))</formula>
    </cfRule>
    <cfRule type="containsText" dxfId="1207" priority="888" stopIfTrue="1" operator="containsText" text="Dark">
      <formula>NOT(ISERROR(SEARCH("Dark",B2)))</formula>
    </cfRule>
    <cfRule type="containsText" dxfId="1206" priority="889" stopIfTrue="1" operator="containsText" text="Dragon">
      <formula>NOT(ISERROR(SEARCH("Dragon",B2)))</formula>
    </cfRule>
    <cfRule type="containsText" dxfId="1205" priority="890" stopIfTrue="1" operator="containsText" text="Electric">
      <formula>NOT(ISERROR(SEARCH("Electric",B2)))</formula>
    </cfRule>
    <cfRule type="containsText" dxfId="1204" priority="891" stopIfTrue="1" operator="containsText" text="Fairy">
      <formula>NOT(ISERROR(SEARCH("Fairy",B2)))</formula>
    </cfRule>
    <cfRule type="containsText" dxfId="1203" priority="892" stopIfTrue="1" operator="containsText" text="Fighting">
      <formula>NOT(ISERROR(SEARCH("Fighting",B2)))</formula>
    </cfRule>
    <cfRule type="containsText" dxfId="1202" priority="893" stopIfTrue="1" operator="containsText" text="Flying">
      <formula>NOT(ISERROR(SEARCH("Flying",B2)))</formula>
    </cfRule>
    <cfRule type="containsText" dxfId="1201" priority="894" stopIfTrue="1" operator="containsText" text="Grass">
      <formula>NOT(ISERROR(SEARCH("Grass",B2)))</formula>
    </cfRule>
    <cfRule type="containsText" dxfId="1200" priority="895" stopIfTrue="1" operator="containsText" text="Ground">
      <formula>NOT(ISERROR(SEARCH("Ground",B2)))</formula>
    </cfRule>
    <cfRule type="containsText" dxfId="1199" priority="896" stopIfTrue="1" operator="containsText" text="Ice">
      <formula>NOT(ISERROR(SEARCH("Ice",B2)))</formula>
    </cfRule>
    <cfRule type="containsText" dxfId="1198" priority="897" stopIfTrue="1" operator="containsText" text="Poison">
      <formula>NOT(ISERROR(SEARCH("Poison",B2)))</formula>
    </cfRule>
    <cfRule type="containsText" dxfId="1197" priority="898" stopIfTrue="1" operator="containsText" text="Rock">
      <formula>NOT(ISERROR(SEARCH("Rock",B2)))</formula>
    </cfRule>
    <cfRule type="containsText" dxfId="1196" priority="899" stopIfTrue="1" operator="containsText" text="Steel">
      <formula>NOT(ISERROR(SEARCH("Steel",B2)))</formula>
    </cfRule>
    <cfRule type="containsText" dxfId="1195" priority="900" stopIfTrue="1" operator="containsText" text="Water">
      <formula>NOT(ISERROR(SEARCH("Water",B2)))</formula>
    </cfRule>
    <cfRule type="containsText" dxfId="1194" priority="901" stopIfTrue="1" operator="containsText" text="Status">
      <formula>NOT(ISERROR(SEARCH("Status",B2)))</formula>
    </cfRule>
    <cfRule type="containsText" dxfId="1193" priority="902" stopIfTrue="1" operator="containsText" text="Physical">
      <formula>NOT(ISERROR(SEARCH("Physical",B2)))</formula>
    </cfRule>
    <cfRule type="containsText" dxfId="1192" priority="903" stopIfTrue="1" operator="containsText" text="Special">
      <formula>NOT(ISERROR(SEARCH("Special",B2)))</formula>
    </cfRule>
    <cfRule type="containsText" dxfId="1191" priority="904" stopIfTrue="1" operator="containsText" text="Ghost">
      <formula>NOT(ISERROR(SEARCH("Ghost",B2)))</formula>
    </cfRule>
    <cfRule type="containsText" dxfId="1190" priority="905" stopIfTrue="1" operator="containsText" text="Psychic">
      <formula>NOT(ISERROR(SEARCH("Psychic",B2)))</formula>
    </cfRule>
    <cfRule type="containsText" dxfId="1189" priority="906" stopIfTrue="1" operator="containsText" text="Normal">
      <formula>NOT(ISERROR(SEARCH("Normal",B2)))</formula>
    </cfRule>
    <cfRule type="containsText" dxfId="1188" priority="907" stopIfTrue="1" operator="containsText" text="Fire">
      <formula>NOT(ISERROR(SEARCH("Fire",B2)))</formula>
    </cfRule>
    <cfRule type="containsText" dxfId="1187" priority="908" stopIfTrue="1" operator="containsText" text="Bug">
      <formula>NOT(ISERROR(SEARCH("Bug",B2)))</formula>
    </cfRule>
    <cfRule type="containsText" dxfId="1186" priority="909" stopIfTrue="1" operator="containsText" text="Dark">
      <formula>NOT(ISERROR(SEARCH("Dark",B2)))</formula>
    </cfRule>
    <cfRule type="containsText" dxfId="1185" priority="910" stopIfTrue="1" operator="containsText" text="Dragon">
      <formula>NOT(ISERROR(SEARCH("Dragon",B2)))</formula>
    </cfRule>
    <cfRule type="containsText" dxfId="1184" priority="911" stopIfTrue="1" operator="containsText" text="Electric">
      <formula>NOT(ISERROR(SEARCH("Electric",B2)))</formula>
    </cfRule>
    <cfRule type="containsText" dxfId="1183" priority="912" stopIfTrue="1" operator="containsText" text="Fairy">
      <formula>NOT(ISERROR(SEARCH("Fairy",B2)))</formula>
    </cfRule>
    <cfRule type="containsText" dxfId="1182" priority="913" stopIfTrue="1" operator="containsText" text="Fighting">
      <formula>NOT(ISERROR(SEARCH("Fighting",B2)))</formula>
    </cfRule>
    <cfRule type="containsText" dxfId="1181" priority="914" stopIfTrue="1" operator="containsText" text="Flying">
      <formula>NOT(ISERROR(SEARCH("Flying",B2)))</formula>
    </cfRule>
    <cfRule type="containsText" dxfId="1180" priority="915" stopIfTrue="1" operator="containsText" text="Grass">
      <formula>NOT(ISERROR(SEARCH("Grass",B2)))</formula>
    </cfRule>
    <cfRule type="containsText" dxfId="1179" priority="916" stopIfTrue="1" operator="containsText" text="Ground">
      <formula>NOT(ISERROR(SEARCH("Ground",B2)))</formula>
    </cfRule>
    <cfRule type="containsText" dxfId="1178" priority="917" stopIfTrue="1" operator="containsText" text="Ice">
      <formula>NOT(ISERROR(SEARCH("Ice",B2)))</formula>
    </cfRule>
    <cfRule type="containsText" dxfId="1177" priority="918" stopIfTrue="1" operator="containsText" text="Poison">
      <formula>NOT(ISERROR(SEARCH("Poison",B2)))</formula>
    </cfRule>
    <cfRule type="containsText" dxfId="1176" priority="919" stopIfTrue="1" operator="containsText" text="Rock">
      <formula>NOT(ISERROR(SEARCH("Rock",B2)))</formula>
    </cfRule>
    <cfRule type="containsText" dxfId="1175" priority="920" stopIfTrue="1" operator="containsText" text="Steel">
      <formula>NOT(ISERROR(SEARCH("Steel",B2)))</formula>
    </cfRule>
    <cfRule type="containsText" dxfId="1174" priority="921" stopIfTrue="1" operator="containsText" text="Water">
      <formula>NOT(ISERROR(SEARCH("Water",B2)))</formula>
    </cfRule>
    <cfRule type="containsText" dxfId="1173" priority="922" stopIfTrue="1" operator="containsText" text="Status">
      <formula>NOT(ISERROR(SEARCH("Status",B2)))</formula>
    </cfRule>
    <cfRule type="containsText" dxfId="1172" priority="923" stopIfTrue="1" operator="containsText" text="Physical">
      <formula>NOT(ISERROR(SEARCH("Physical",B2)))</formula>
    </cfRule>
    <cfRule type="containsText" dxfId="1171" priority="924" stopIfTrue="1" operator="containsText" text="Special">
      <formula>NOT(ISERROR(SEARCH("Special",B2)))</formula>
    </cfRule>
    <cfRule type="containsText" dxfId="1170" priority="925" stopIfTrue="1" operator="containsText" text="Ghost">
      <formula>NOT(ISERROR(SEARCH("Ghost",B2)))</formula>
    </cfRule>
    <cfRule type="containsText" dxfId="1169" priority="926" stopIfTrue="1" operator="containsText" text="Psychic">
      <formula>NOT(ISERROR(SEARCH("Psychic",B2)))</formula>
    </cfRule>
    <cfRule type="containsText" dxfId="1168" priority="927" stopIfTrue="1" operator="containsText" text="Normal">
      <formula>NOT(ISERROR(SEARCH("Normal",B2)))</formula>
    </cfRule>
    <cfRule type="containsText" dxfId="1167" priority="928" stopIfTrue="1" operator="containsText" text="Fire">
      <formula>NOT(ISERROR(SEARCH("Fire",B2)))</formula>
    </cfRule>
    <cfRule type="containsText" dxfId="1166" priority="929" stopIfTrue="1" operator="containsText" text="Bug">
      <formula>NOT(ISERROR(SEARCH("Bug",B2)))</formula>
    </cfRule>
    <cfRule type="containsText" dxfId="1165" priority="930" stopIfTrue="1" operator="containsText" text="Dark">
      <formula>NOT(ISERROR(SEARCH("Dark",B2)))</formula>
    </cfRule>
    <cfRule type="containsText" dxfId="1164" priority="931" stopIfTrue="1" operator="containsText" text="Dragon">
      <formula>NOT(ISERROR(SEARCH("Dragon",B2)))</formula>
    </cfRule>
    <cfRule type="containsText" dxfId="1163" priority="932" stopIfTrue="1" operator="containsText" text="Electric">
      <formula>NOT(ISERROR(SEARCH("Electric",B2)))</formula>
    </cfRule>
    <cfRule type="containsText" dxfId="1162" priority="933" stopIfTrue="1" operator="containsText" text="Fairy">
      <formula>NOT(ISERROR(SEARCH("Fairy",B2)))</formula>
    </cfRule>
    <cfRule type="containsText" dxfId="1161" priority="934" stopIfTrue="1" operator="containsText" text="Fighting">
      <formula>NOT(ISERROR(SEARCH("Fighting",B2)))</formula>
    </cfRule>
    <cfRule type="containsText" dxfId="1160" priority="935" stopIfTrue="1" operator="containsText" text="Flying">
      <formula>NOT(ISERROR(SEARCH("Flying",B2)))</formula>
    </cfRule>
    <cfRule type="containsText" dxfId="1159" priority="936" stopIfTrue="1" operator="containsText" text="Grass">
      <formula>NOT(ISERROR(SEARCH("Grass",B2)))</formula>
    </cfRule>
    <cfRule type="containsText" dxfId="1158" priority="937" stopIfTrue="1" operator="containsText" text="Ground">
      <formula>NOT(ISERROR(SEARCH("Ground",B2)))</formula>
    </cfRule>
    <cfRule type="containsText" dxfId="1157" priority="938" stopIfTrue="1" operator="containsText" text="Ice">
      <formula>NOT(ISERROR(SEARCH("Ice",B2)))</formula>
    </cfRule>
    <cfRule type="containsText" dxfId="1156" priority="939" stopIfTrue="1" operator="containsText" text="Poison">
      <formula>NOT(ISERROR(SEARCH("Poison",B2)))</formula>
    </cfRule>
    <cfRule type="containsText" dxfId="1155" priority="940" stopIfTrue="1" operator="containsText" text="Rock">
      <formula>NOT(ISERROR(SEARCH("Rock",B2)))</formula>
    </cfRule>
    <cfRule type="containsText" dxfId="1154" priority="941" stopIfTrue="1" operator="containsText" text="Steel">
      <formula>NOT(ISERROR(SEARCH("Steel",B2)))</formula>
    </cfRule>
    <cfRule type="containsText" dxfId="1153" priority="942" stopIfTrue="1" operator="containsText" text="Water">
      <formula>NOT(ISERROR(SEARCH("Water",B2)))</formula>
    </cfRule>
    <cfRule type="containsText" dxfId="1152" priority="943" stopIfTrue="1" operator="containsText" text="Status">
      <formula>NOT(ISERROR(SEARCH("Status",B2)))</formula>
    </cfRule>
    <cfRule type="containsText" dxfId="1151" priority="944" stopIfTrue="1" operator="containsText" text="Physical">
      <formula>NOT(ISERROR(SEARCH("Physical",B2)))</formula>
    </cfRule>
    <cfRule type="containsText" dxfId="1150" priority="945" stopIfTrue="1" operator="containsText" text="Special">
      <formula>NOT(ISERROR(SEARCH("Special",B2)))</formula>
    </cfRule>
    <cfRule type="containsText" dxfId="1149" priority="946" stopIfTrue="1" operator="containsText" text="Ghost">
      <formula>NOT(ISERROR(SEARCH("Ghost",B2)))</formula>
    </cfRule>
    <cfRule type="containsText" dxfId="1148" priority="947" stopIfTrue="1" operator="containsText" text="Psychic">
      <formula>NOT(ISERROR(SEARCH("Psychic",B2)))</formula>
    </cfRule>
    <cfRule type="containsText" dxfId="1147" priority="948" stopIfTrue="1" operator="containsText" text="Normal">
      <formula>NOT(ISERROR(SEARCH("Normal",B2)))</formula>
    </cfRule>
    <cfRule type="containsText" dxfId="1146" priority="949" stopIfTrue="1" operator="containsText" text="Fire">
      <formula>NOT(ISERROR(SEARCH("Fire",B2)))</formula>
    </cfRule>
    <cfRule type="containsText" dxfId="1145" priority="950" stopIfTrue="1" operator="containsText" text="Bug">
      <formula>NOT(ISERROR(SEARCH("Bug",B2)))</formula>
    </cfRule>
    <cfRule type="containsText" dxfId="1144" priority="951" stopIfTrue="1" operator="containsText" text="Dark">
      <formula>NOT(ISERROR(SEARCH("Dark",B2)))</formula>
    </cfRule>
    <cfRule type="containsText" dxfId="1143" priority="952" stopIfTrue="1" operator="containsText" text="Dragon">
      <formula>NOT(ISERROR(SEARCH("Dragon",B2)))</formula>
    </cfRule>
    <cfRule type="containsText" dxfId="1142" priority="953" stopIfTrue="1" operator="containsText" text="Electric">
      <formula>NOT(ISERROR(SEARCH("Electric",B2)))</formula>
    </cfRule>
    <cfRule type="containsText" dxfId="1141" priority="954" stopIfTrue="1" operator="containsText" text="Fairy">
      <formula>NOT(ISERROR(SEARCH("Fairy",B2)))</formula>
    </cfRule>
    <cfRule type="containsText" dxfId="1140" priority="955" stopIfTrue="1" operator="containsText" text="Fighting">
      <formula>NOT(ISERROR(SEARCH("Fighting",B2)))</formula>
    </cfRule>
    <cfRule type="containsText" dxfId="1139" priority="956" stopIfTrue="1" operator="containsText" text="Flying">
      <formula>NOT(ISERROR(SEARCH("Flying",B2)))</formula>
    </cfRule>
    <cfRule type="containsText" dxfId="1138" priority="957" stopIfTrue="1" operator="containsText" text="Grass">
      <formula>NOT(ISERROR(SEARCH("Grass",B2)))</formula>
    </cfRule>
    <cfRule type="containsText" dxfId="1137" priority="958" stopIfTrue="1" operator="containsText" text="Ground">
      <formula>NOT(ISERROR(SEARCH("Ground",B2)))</formula>
    </cfRule>
    <cfRule type="containsText" dxfId="1136" priority="959" stopIfTrue="1" operator="containsText" text="Ice">
      <formula>NOT(ISERROR(SEARCH("Ice",B2)))</formula>
    </cfRule>
    <cfRule type="containsText" dxfId="1135" priority="960" stopIfTrue="1" operator="containsText" text="Poison">
      <formula>NOT(ISERROR(SEARCH("Poison",B2)))</formula>
    </cfRule>
    <cfRule type="containsText" dxfId="1134" priority="961" stopIfTrue="1" operator="containsText" text="Rock">
      <formula>NOT(ISERROR(SEARCH("Rock",B2)))</formula>
    </cfRule>
    <cfRule type="containsText" dxfId="1133" priority="962" stopIfTrue="1" operator="containsText" text="Steel">
      <formula>NOT(ISERROR(SEARCH("Steel",B2)))</formula>
    </cfRule>
    <cfRule type="containsText" dxfId="1132" priority="963" stopIfTrue="1" operator="containsText" text="Water">
      <formula>NOT(ISERROR(SEARCH("Water",B2)))</formula>
    </cfRule>
    <cfRule type="containsText" dxfId="1131" priority="964" stopIfTrue="1" operator="containsText" text="Status">
      <formula>NOT(ISERROR(SEARCH("Status",B2)))</formula>
    </cfRule>
    <cfRule type="containsText" dxfId="1130" priority="965" stopIfTrue="1" operator="containsText" text="Physical">
      <formula>NOT(ISERROR(SEARCH("Physical",B2)))</formula>
    </cfRule>
    <cfRule type="containsText" dxfId="1129" priority="966" stopIfTrue="1" operator="containsText" text="Special">
      <formula>NOT(ISERROR(SEARCH("Special",B2)))</formula>
    </cfRule>
    <cfRule type="containsText" dxfId="1128" priority="967" stopIfTrue="1" operator="containsText" text="Ghost">
      <formula>NOT(ISERROR(SEARCH("Ghost",B2)))</formula>
    </cfRule>
    <cfRule type="containsText" dxfId="1127" priority="968" stopIfTrue="1" operator="containsText" text="Psychic">
      <formula>NOT(ISERROR(SEARCH("Psychic",B2)))</formula>
    </cfRule>
    <cfRule type="containsText" dxfId="1126" priority="969" stopIfTrue="1" operator="containsText" text="Normal">
      <formula>NOT(ISERROR(SEARCH("Normal",B2)))</formula>
    </cfRule>
    <cfRule type="containsText" dxfId="1125" priority="970" stopIfTrue="1" operator="containsText" text="Fire">
      <formula>NOT(ISERROR(SEARCH("Fire",B2)))</formula>
    </cfRule>
    <cfRule type="containsText" dxfId="1124" priority="971" stopIfTrue="1" operator="containsText" text="Bug">
      <formula>NOT(ISERROR(SEARCH("Bug",B2)))</formula>
    </cfRule>
    <cfRule type="containsText" dxfId="1123" priority="972" stopIfTrue="1" operator="containsText" text="Dark">
      <formula>NOT(ISERROR(SEARCH("Dark",B2)))</formula>
    </cfRule>
    <cfRule type="containsText" dxfId="1122" priority="973" stopIfTrue="1" operator="containsText" text="Dragon">
      <formula>NOT(ISERROR(SEARCH("Dragon",B2)))</formula>
    </cfRule>
    <cfRule type="containsText" dxfId="1121" priority="974" stopIfTrue="1" operator="containsText" text="Electric">
      <formula>NOT(ISERROR(SEARCH("Electric",B2)))</formula>
    </cfRule>
    <cfRule type="containsText" dxfId="1120" priority="975" stopIfTrue="1" operator="containsText" text="Fairy">
      <formula>NOT(ISERROR(SEARCH("Fairy",B2)))</formula>
    </cfRule>
    <cfRule type="containsText" dxfId="1119" priority="976" stopIfTrue="1" operator="containsText" text="Fighting">
      <formula>NOT(ISERROR(SEARCH("Fighting",B2)))</formula>
    </cfRule>
    <cfRule type="containsText" dxfId="1118" priority="977" stopIfTrue="1" operator="containsText" text="Flying">
      <formula>NOT(ISERROR(SEARCH("Flying",B2)))</formula>
    </cfRule>
    <cfRule type="containsText" dxfId="1117" priority="978" stopIfTrue="1" operator="containsText" text="Grass">
      <formula>NOT(ISERROR(SEARCH("Grass",B2)))</formula>
    </cfRule>
    <cfRule type="containsText" dxfId="1116" priority="979" stopIfTrue="1" operator="containsText" text="Ground">
      <formula>NOT(ISERROR(SEARCH("Ground",B2)))</formula>
    </cfRule>
    <cfRule type="containsText" dxfId="1115" priority="980" stopIfTrue="1" operator="containsText" text="Ice">
      <formula>NOT(ISERROR(SEARCH("Ice",B2)))</formula>
    </cfRule>
    <cfRule type="containsText" dxfId="1114" priority="981" stopIfTrue="1" operator="containsText" text="Poison">
      <formula>NOT(ISERROR(SEARCH("Poison",B2)))</formula>
    </cfRule>
    <cfRule type="containsText" dxfId="1113" priority="982" stopIfTrue="1" operator="containsText" text="Rock">
      <formula>NOT(ISERROR(SEARCH("Rock",B2)))</formula>
    </cfRule>
    <cfRule type="containsText" dxfId="1112" priority="983" stopIfTrue="1" operator="containsText" text="Steel">
      <formula>NOT(ISERROR(SEARCH("Steel",B2)))</formula>
    </cfRule>
    <cfRule type="containsText" dxfId="1111" priority="984" stopIfTrue="1" operator="containsText" text="Water">
      <formula>NOT(ISERROR(SEARCH("Water",B2)))</formula>
    </cfRule>
    <cfRule type="containsText" dxfId="1110" priority="985" stopIfTrue="1" operator="containsText" text="Status">
      <formula>NOT(ISERROR(SEARCH("Status",B2)))</formula>
    </cfRule>
    <cfRule type="containsText" dxfId="1109" priority="986" stopIfTrue="1" operator="containsText" text="Physical">
      <formula>NOT(ISERROR(SEARCH("Physical",B2)))</formula>
    </cfRule>
    <cfRule type="containsText" dxfId="1108" priority="987" stopIfTrue="1" operator="containsText" text="Special">
      <formula>NOT(ISERROR(SEARCH("Special",B2)))</formula>
    </cfRule>
    <cfRule type="containsText" dxfId="1107" priority="988" stopIfTrue="1" operator="containsText" text="Ghost">
      <formula>NOT(ISERROR(SEARCH("Ghost",B2)))</formula>
    </cfRule>
    <cfRule type="containsText" dxfId="1106" priority="989" stopIfTrue="1" operator="containsText" text="Psychic">
      <formula>NOT(ISERROR(SEARCH("Psychic",B2)))</formula>
    </cfRule>
    <cfRule type="containsText" dxfId="1105" priority="990" stopIfTrue="1" operator="containsText" text="Normal">
      <formula>NOT(ISERROR(SEARCH("Normal",B2)))</formula>
    </cfRule>
    <cfRule type="containsText" dxfId="1104" priority="991" stopIfTrue="1" operator="containsText" text="Fire">
      <formula>NOT(ISERROR(SEARCH("Fire",B2)))</formula>
    </cfRule>
    <cfRule type="containsText" dxfId="1103" priority="992" stopIfTrue="1" operator="containsText" text="Bug">
      <formula>NOT(ISERROR(SEARCH("Bug",B2)))</formula>
    </cfRule>
    <cfRule type="containsText" dxfId="1102" priority="993" stopIfTrue="1" operator="containsText" text="Dark">
      <formula>NOT(ISERROR(SEARCH("Dark",B2)))</formula>
    </cfRule>
    <cfRule type="containsText" dxfId="1101" priority="994" stopIfTrue="1" operator="containsText" text="Dragon">
      <formula>NOT(ISERROR(SEARCH("Dragon",B2)))</formula>
    </cfRule>
    <cfRule type="containsText" dxfId="1100" priority="995" stopIfTrue="1" operator="containsText" text="Electric">
      <formula>NOT(ISERROR(SEARCH("Electric",B2)))</formula>
    </cfRule>
    <cfRule type="containsText" dxfId="1099" priority="996" stopIfTrue="1" operator="containsText" text="Fairy">
      <formula>NOT(ISERROR(SEARCH("Fairy",B2)))</formula>
    </cfRule>
    <cfRule type="containsText" dxfId="1098" priority="997" stopIfTrue="1" operator="containsText" text="Fighting">
      <formula>NOT(ISERROR(SEARCH("Fighting",B2)))</formula>
    </cfRule>
    <cfRule type="containsText" dxfId="1097" priority="998" stopIfTrue="1" operator="containsText" text="Flying">
      <formula>NOT(ISERROR(SEARCH("Flying",B2)))</formula>
    </cfRule>
    <cfRule type="containsText" dxfId="1096" priority="999" stopIfTrue="1" operator="containsText" text="Grass">
      <formula>NOT(ISERROR(SEARCH("Grass",B2)))</formula>
    </cfRule>
    <cfRule type="containsText" dxfId="1095" priority="1000" stopIfTrue="1" operator="containsText" text="Ground">
      <formula>NOT(ISERROR(SEARCH("Ground",B2)))</formula>
    </cfRule>
    <cfRule type="containsText" dxfId="1094" priority="1001" stopIfTrue="1" operator="containsText" text="Ice">
      <formula>NOT(ISERROR(SEARCH("Ice",B2)))</formula>
    </cfRule>
    <cfRule type="containsText" dxfId="1093" priority="1002" stopIfTrue="1" operator="containsText" text="Poison">
      <formula>NOT(ISERROR(SEARCH("Poison",B2)))</formula>
    </cfRule>
    <cfRule type="containsText" dxfId="1092" priority="1003" stopIfTrue="1" operator="containsText" text="Rock">
      <formula>NOT(ISERROR(SEARCH("Rock",B2)))</formula>
    </cfRule>
    <cfRule type="containsText" dxfId="1091" priority="1004" stopIfTrue="1" operator="containsText" text="Steel">
      <formula>NOT(ISERROR(SEARCH("Steel",B2)))</formula>
    </cfRule>
    <cfRule type="containsText" dxfId="1090" priority="1005" stopIfTrue="1" operator="containsText" text="Water">
      <formula>NOT(ISERROR(SEARCH("Water",B2)))</formula>
    </cfRule>
    <cfRule type="containsText" dxfId="1089" priority="1006" stopIfTrue="1" operator="containsText" text="Status">
      <formula>NOT(ISERROR(SEARCH("Status",B2)))</formula>
    </cfRule>
    <cfRule type="containsText" dxfId="1088" priority="1007" stopIfTrue="1" operator="containsText" text="Physical">
      <formula>NOT(ISERROR(SEARCH("Physical",B2)))</formula>
    </cfRule>
    <cfRule type="containsText" dxfId="1087" priority="1008" stopIfTrue="1" operator="containsText" text="Special">
      <formula>NOT(ISERROR(SEARCH("Special",B2)))</formula>
    </cfRule>
    <cfRule type="containsText" dxfId="1086" priority="1009" stopIfTrue="1" operator="containsText" text="Ghost">
      <formula>NOT(ISERROR(SEARCH("Ghost",B2)))</formula>
    </cfRule>
    <cfRule type="containsText" dxfId="1085" priority="1010" stopIfTrue="1" operator="containsText" text="Psychic">
      <formula>NOT(ISERROR(SEARCH("Psychic",B2)))</formula>
    </cfRule>
    <cfRule type="containsText" dxfId="1084" priority="1011" stopIfTrue="1" operator="containsText" text="Normal">
      <formula>NOT(ISERROR(SEARCH("Normal",B2)))</formula>
    </cfRule>
    <cfRule type="containsText" dxfId="1083" priority="1012" stopIfTrue="1" operator="containsText" text="Fire">
      <formula>NOT(ISERROR(SEARCH("Fire",B2)))</formula>
    </cfRule>
    <cfRule type="containsText" dxfId="1082" priority="1013" stopIfTrue="1" operator="containsText" text="Bug">
      <formula>NOT(ISERROR(SEARCH("Bug",B2)))</formula>
    </cfRule>
    <cfRule type="containsText" dxfId="1081" priority="1014" stopIfTrue="1" operator="containsText" text="Dark">
      <formula>NOT(ISERROR(SEARCH("Dark",B2)))</formula>
    </cfRule>
    <cfRule type="containsText" dxfId="1080" priority="1015" stopIfTrue="1" operator="containsText" text="Dragon">
      <formula>NOT(ISERROR(SEARCH("Dragon",B2)))</formula>
    </cfRule>
    <cfRule type="containsText" dxfId="1079" priority="1016" stopIfTrue="1" operator="containsText" text="Electric">
      <formula>NOT(ISERROR(SEARCH("Electric",B2)))</formula>
    </cfRule>
    <cfRule type="containsText" dxfId="1078" priority="1017" stopIfTrue="1" operator="containsText" text="Fairy">
      <formula>NOT(ISERROR(SEARCH("Fairy",B2)))</formula>
    </cfRule>
    <cfRule type="containsText" dxfId="1077" priority="1018" stopIfTrue="1" operator="containsText" text="Fighting">
      <formula>NOT(ISERROR(SEARCH("Fighting",B2)))</formula>
    </cfRule>
    <cfRule type="containsText" dxfId="1076" priority="1019" stopIfTrue="1" operator="containsText" text="Flying">
      <formula>NOT(ISERROR(SEARCH("Flying",B2)))</formula>
    </cfRule>
    <cfRule type="containsText" dxfId="1075" priority="1020" stopIfTrue="1" operator="containsText" text="Grass">
      <formula>NOT(ISERROR(SEARCH("Grass",B2)))</formula>
    </cfRule>
    <cfRule type="containsText" dxfId="1074" priority="1021" stopIfTrue="1" operator="containsText" text="Ground">
      <formula>NOT(ISERROR(SEARCH("Ground",B2)))</formula>
    </cfRule>
    <cfRule type="containsText" dxfId="1073" priority="1022" stopIfTrue="1" operator="containsText" text="Ice">
      <formula>NOT(ISERROR(SEARCH("Ice",B2)))</formula>
    </cfRule>
    <cfRule type="containsText" dxfId="1072" priority="1023" stopIfTrue="1" operator="containsText" text="Poison">
      <formula>NOT(ISERROR(SEARCH("Poison",B2)))</formula>
    </cfRule>
    <cfRule type="containsText" dxfId="1071" priority="1024" stopIfTrue="1" operator="containsText" text="Rock">
      <formula>NOT(ISERROR(SEARCH("Rock",B2)))</formula>
    </cfRule>
    <cfRule type="containsText" dxfId="1070" priority="1025" stopIfTrue="1" operator="containsText" text="Steel">
      <formula>NOT(ISERROR(SEARCH("Steel",B2)))</formula>
    </cfRule>
    <cfRule type="containsText" dxfId="1069" priority="1026" stopIfTrue="1" operator="containsText" text="Water">
      <formula>NOT(ISERROR(SEARCH("Water",B2)))</formula>
    </cfRule>
    <cfRule type="containsText" dxfId="1068" priority="1027" stopIfTrue="1" operator="containsText" text="Status">
      <formula>NOT(ISERROR(SEARCH("Status",B2)))</formula>
    </cfRule>
    <cfRule type="containsText" dxfId="1067" priority="1028" stopIfTrue="1" operator="containsText" text="Physical">
      <formula>NOT(ISERROR(SEARCH("Physical",B2)))</formula>
    </cfRule>
    <cfRule type="containsText" dxfId="1066" priority="1029" stopIfTrue="1" operator="containsText" text="Special">
      <formula>NOT(ISERROR(SEARCH("Special",B2)))</formula>
    </cfRule>
    <cfRule type="containsText" dxfId="1065" priority="1030" stopIfTrue="1" operator="containsText" text="Ghost">
      <formula>NOT(ISERROR(SEARCH("Ghost",B2)))</formula>
    </cfRule>
    <cfRule type="containsText" dxfId="1064" priority="1031" stopIfTrue="1" operator="containsText" text="Psychic">
      <formula>NOT(ISERROR(SEARCH("Psychic",B2)))</formula>
    </cfRule>
    <cfRule type="containsText" dxfId="1063" priority="1032" stopIfTrue="1" operator="containsText" text="Normal">
      <formula>NOT(ISERROR(SEARCH("Normal",B2)))</formula>
    </cfRule>
    <cfRule type="containsText" dxfId="1062" priority="1033" stopIfTrue="1" operator="containsText" text="Fire">
      <formula>NOT(ISERROR(SEARCH("Fire",B2)))</formula>
    </cfRule>
    <cfRule type="containsText" dxfId="1061" priority="1034" stopIfTrue="1" operator="containsText" text="Bug">
      <formula>NOT(ISERROR(SEARCH("Bug",B2)))</formula>
    </cfRule>
    <cfRule type="containsText" dxfId="1060" priority="1035" stopIfTrue="1" operator="containsText" text="Dark">
      <formula>NOT(ISERROR(SEARCH("Dark",B2)))</formula>
    </cfRule>
    <cfRule type="containsText" dxfId="1059" priority="1036" stopIfTrue="1" operator="containsText" text="Dragon">
      <formula>NOT(ISERROR(SEARCH("Dragon",B2)))</formula>
    </cfRule>
    <cfRule type="containsText" dxfId="1058" priority="1037" stopIfTrue="1" operator="containsText" text="Electric">
      <formula>NOT(ISERROR(SEARCH("Electric",B2)))</formula>
    </cfRule>
    <cfRule type="containsText" dxfId="1057" priority="1038" stopIfTrue="1" operator="containsText" text="Fairy">
      <formula>NOT(ISERROR(SEARCH("Fairy",B2)))</formula>
    </cfRule>
    <cfRule type="containsText" dxfId="1056" priority="1039" stopIfTrue="1" operator="containsText" text="Fighting">
      <formula>NOT(ISERROR(SEARCH("Fighting",B2)))</formula>
    </cfRule>
    <cfRule type="containsText" dxfId="1055" priority="1040" stopIfTrue="1" operator="containsText" text="Flying">
      <formula>NOT(ISERROR(SEARCH("Flying",B2)))</formula>
    </cfRule>
    <cfRule type="containsText" dxfId="1054" priority="1041" stopIfTrue="1" operator="containsText" text="Grass">
      <formula>NOT(ISERROR(SEARCH("Grass",B2)))</formula>
    </cfRule>
    <cfRule type="containsText" dxfId="1053" priority="1042" stopIfTrue="1" operator="containsText" text="Ground">
      <formula>NOT(ISERROR(SEARCH("Ground",B2)))</formula>
    </cfRule>
    <cfRule type="containsText" dxfId="1052" priority="1043" stopIfTrue="1" operator="containsText" text="Ice">
      <formula>NOT(ISERROR(SEARCH("Ice",B2)))</formula>
    </cfRule>
    <cfRule type="containsText" dxfId="1051" priority="1044" stopIfTrue="1" operator="containsText" text="Poison">
      <formula>NOT(ISERROR(SEARCH("Poison",B2)))</formula>
    </cfRule>
    <cfRule type="containsText" dxfId="1050" priority="1045" stopIfTrue="1" operator="containsText" text="Rock">
      <formula>NOT(ISERROR(SEARCH("Rock",B2)))</formula>
    </cfRule>
    <cfRule type="containsText" dxfId="1049" priority="1046" stopIfTrue="1" operator="containsText" text="Steel">
      <formula>NOT(ISERROR(SEARCH("Steel",B2)))</formula>
    </cfRule>
    <cfRule type="containsText" dxfId="1048" priority="1047" stopIfTrue="1" operator="containsText" text="Water">
      <formula>NOT(ISERROR(SEARCH("Water",B2)))</formula>
    </cfRule>
    <cfRule type="containsText" dxfId="1047" priority="1048" stopIfTrue="1" operator="containsText" text="Status">
      <formula>NOT(ISERROR(SEARCH("Status",B2)))</formula>
    </cfRule>
    <cfRule type="containsText" dxfId="1046" priority="1049" stopIfTrue="1" operator="containsText" text="Physical">
      <formula>NOT(ISERROR(SEARCH("Physical",B2)))</formula>
    </cfRule>
    <cfRule type="containsText" dxfId="1045" priority="1050" stopIfTrue="1" operator="containsText" text="Special">
      <formula>NOT(ISERROR(SEARCH("Special",B2)))</formula>
    </cfRule>
    <cfRule type="containsText" dxfId="1044" priority="1051" stopIfTrue="1" operator="containsText" text="Ghost">
      <formula>NOT(ISERROR(SEARCH("Ghost",B2)))</formula>
    </cfRule>
    <cfRule type="containsText" dxfId="1043" priority="1052" stopIfTrue="1" operator="containsText" text="Psychic">
      <formula>NOT(ISERROR(SEARCH("Psychic",B2)))</formula>
    </cfRule>
    <cfRule type="containsText" dxfId="1042" priority="1053" stopIfTrue="1" operator="containsText" text="Normal">
      <formula>NOT(ISERROR(SEARCH("Normal",B2)))</formula>
    </cfRule>
    <cfRule type="containsText" dxfId="1041" priority="1054" stopIfTrue="1" operator="containsText" text="Fire">
      <formula>NOT(ISERROR(SEARCH("Fire",B2)))</formula>
    </cfRule>
    <cfRule type="containsText" dxfId="1040" priority="1055" stopIfTrue="1" operator="containsText" text="Bug">
      <formula>NOT(ISERROR(SEARCH("Bug",B2)))</formula>
    </cfRule>
    <cfRule type="containsText" dxfId="1039" priority="1056" stopIfTrue="1" operator="containsText" text="Dark">
      <formula>NOT(ISERROR(SEARCH("Dark",B2)))</formula>
    </cfRule>
    <cfRule type="containsText" dxfId="1038" priority="1057" stopIfTrue="1" operator="containsText" text="Dragon">
      <formula>NOT(ISERROR(SEARCH("Dragon",B2)))</formula>
    </cfRule>
    <cfRule type="containsText" dxfId="1037" priority="1058" stopIfTrue="1" operator="containsText" text="Electric">
      <formula>NOT(ISERROR(SEARCH("Electric",B2)))</formula>
    </cfRule>
    <cfRule type="containsText" dxfId="1036" priority="1059" stopIfTrue="1" operator="containsText" text="Fairy">
      <formula>NOT(ISERROR(SEARCH("Fairy",B2)))</formula>
    </cfRule>
    <cfRule type="containsText" dxfId="1035" priority="1060" stopIfTrue="1" operator="containsText" text="Fighting">
      <formula>NOT(ISERROR(SEARCH("Fighting",B2)))</formula>
    </cfRule>
    <cfRule type="containsText" dxfId="1034" priority="1061" stopIfTrue="1" operator="containsText" text="Flying">
      <formula>NOT(ISERROR(SEARCH("Flying",B2)))</formula>
    </cfRule>
    <cfRule type="containsText" dxfId="1033" priority="1062" stopIfTrue="1" operator="containsText" text="Grass">
      <formula>NOT(ISERROR(SEARCH("Grass",B2)))</formula>
    </cfRule>
    <cfRule type="containsText" dxfId="1032" priority="1063" stopIfTrue="1" operator="containsText" text="Ground">
      <formula>NOT(ISERROR(SEARCH("Ground",B2)))</formula>
    </cfRule>
    <cfRule type="containsText" dxfId="1031" priority="1064" stopIfTrue="1" operator="containsText" text="Ice">
      <formula>NOT(ISERROR(SEARCH("Ice",B2)))</formula>
    </cfRule>
    <cfRule type="containsText" dxfId="1030" priority="1065" stopIfTrue="1" operator="containsText" text="Poison">
      <formula>NOT(ISERROR(SEARCH("Poison",B2)))</formula>
    </cfRule>
    <cfRule type="containsText" dxfId="1029" priority="1066" stopIfTrue="1" operator="containsText" text="Rock">
      <formula>NOT(ISERROR(SEARCH("Rock",B2)))</formula>
    </cfRule>
    <cfRule type="containsText" dxfId="1028" priority="1067" stopIfTrue="1" operator="containsText" text="Steel">
      <formula>NOT(ISERROR(SEARCH("Steel",B2)))</formula>
    </cfRule>
    <cfRule type="containsText" dxfId="1027" priority="1068" stopIfTrue="1" operator="containsText" text="Water">
      <formula>NOT(ISERROR(SEARCH("Water",B2)))</formula>
    </cfRule>
    <cfRule type="containsText" dxfId="1026" priority="1069" stopIfTrue="1" operator="containsText" text="Status">
      <formula>NOT(ISERROR(SEARCH("Status",B2)))</formula>
    </cfRule>
    <cfRule type="containsText" dxfId="1025" priority="1070" stopIfTrue="1" operator="containsText" text="Physical">
      <formula>NOT(ISERROR(SEARCH("Physical",B2)))</formula>
    </cfRule>
    <cfRule type="containsText" dxfId="1024" priority="1071" stopIfTrue="1" operator="containsText" text="Special">
      <formula>NOT(ISERROR(SEARCH("Special",B2)))</formula>
    </cfRule>
    <cfRule type="containsText" dxfId="1023" priority="1072" stopIfTrue="1" operator="containsText" text="Ghost">
      <formula>NOT(ISERROR(SEARCH("Ghost",B2)))</formula>
    </cfRule>
    <cfRule type="containsText" dxfId="1022" priority="1073" stopIfTrue="1" operator="containsText" text="Psychic">
      <formula>NOT(ISERROR(SEARCH("Psychic",B2)))</formula>
    </cfRule>
    <cfRule type="containsText" dxfId="1021" priority="1074" stopIfTrue="1" operator="containsText" text="Normal">
      <formula>NOT(ISERROR(SEARCH("Normal",B2)))</formula>
    </cfRule>
    <cfRule type="containsText" dxfId="1020" priority="1075" stopIfTrue="1" operator="containsText" text="Fire">
      <formula>NOT(ISERROR(SEARCH("Fire",B2)))</formula>
    </cfRule>
    <cfRule type="containsText" dxfId="1019" priority="1076" stopIfTrue="1" operator="containsText" text="Bug">
      <formula>NOT(ISERROR(SEARCH("Bug",B2)))</formula>
    </cfRule>
    <cfRule type="containsText" dxfId="1018" priority="1077" stopIfTrue="1" operator="containsText" text="Dark">
      <formula>NOT(ISERROR(SEARCH("Dark",B2)))</formula>
    </cfRule>
    <cfRule type="containsText" dxfId="1017" priority="1078" stopIfTrue="1" operator="containsText" text="Dragon">
      <formula>NOT(ISERROR(SEARCH("Dragon",B2)))</formula>
    </cfRule>
    <cfRule type="containsText" dxfId="1016" priority="1079" stopIfTrue="1" operator="containsText" text="Electric">
      <formula>NOT(ISERROR(SEARCH("Electric",B2)))</formula>
    </cfRule>
    <cfRule type="containsText" dxfId="1015" priority="1080" stopIfTrue="1" operator="containsText" text="Fairy">
      <formula>NOT(ISERROR(SEARCH("Fairy",B2)))</formula>
    </cfRule>
    <cfRule type="containsText" dxfId="1014" priority="1081" stopIfTrue="1" operator="containsText" text="Fighting">
      <formula>NOT(ISERROR(SEARCH("Fighting",B2)))</formula>
    </cfRule>
    <cfRule type="containsText" dxfId="1013" priority="1082" stopIfTrue="1" operator="containsText" text="Flying">
      <formula>NOT(ISERROR(SEARCH("Flying",B2)))</formula>
    </cfRule>
    <cfRule type="containsText" dxfId="1012" priority="1083" stopIfTrue="1" operator="containsText" text="Grass">
      <formula>NOT(ISERROR(SEARCH("Grass",B2)))</formula>
    </cfRule>
    <cfRule type="containsText" dxfId="1011" priority="1084" stopIfTrue="1" operator="containsText" text="Ground">
      <formula>NOT(ISERROR(SEARCH("Ground",B2)))</formula>
    </cfRule>
    <cfRule type="containsText" dxfId="1010" priority="1085" stopIfTrue="1" operator="containsText" text="Ice">
      <formula>NOT(ISERROR(SEARCH("Ice",B2)))</formula>
    </cfRule>
    <cfRule type="containsText" dxfId="1009" priority="1086" stopIfTrue="1" operator="containsText" text="Poison">
      <formula>NOT(ISERROR(SEARCH("Poison",B2)))</formula>
    </cfRule>
    <cfRule type="containsText" dxfId="1008" priority="1087" stopIfTrue="1" operator="containsText" text="Rock">
      <formula>NOT(ISERROR(SEARCH("Rock",B2)))</formula>
    </cfRule>
    <cfRule type="containsText" dxfId="1007" priority="1088" stopIfTrue="1" operator="containsText" text="Steel">
      <formula>NOT(ISERROR(SEARCH("Steel",B2)))</formula>
    </cfRule>
    <cfRule type="containsText" dxfId="1006" priority="1089" stopIfTrue="1" operator="containsText" text="Water">
      <formula>NOT(ISERROR(SEARCH("Water",B2)))</formula>
    </cfRule>
    <cfRule type="containsText" dxfId="1005" priority="1090" stopIfTrue="1" operator="containsText" text="Status">
      <formula>NOT(ISERROR(SEARCH("Status",B2)))</formula>
    </cfRule>
    <cfRule type="containsText" dxfId="1004" priority="1091" stopIfTrue="1" operator="containsText" text="Physical">
      <formula>NOT(ISERROR(SEARCH("Physical",B2)))</formula>
    </cfRule>
    <cfRule type="containsText" dxfId="1003" priority="1092" stopIfTrue="1" operator="containsText" text="Special">
      <formula>NOT(ISERROR(SEARCH("Special",B2)))</formula>
    </cfRule>
    <cfRule type="containsText" dxfId="1002" priority="1093" stopIfTrue="1" operator="containsText" text="Ghost">
      <formula>NOT(ISERROR(SEARCH("Ghost",B2)))</formula>
    </cfRule>
    <cfRule type="containsText" dxfId="1001" priority="1094" stopIfTrue="1" operator="containsText" text="Psychic">
      <formula>NOT(ISERROR(SEARCH("Psychic",B2)))</formula>
    </cfRule>
    <cfRule type="containsText" dxfId="1000" priority="1095" stopIfTrue="1" operator="containsText" text="Normal">
      <formula>NOT(ISERROR(SEARCH("Normal",B2)))</formula>
    </cfRule>
    <cfRule type="containsText" dxfId="999" priority="1096" stopIfTrue="1" operator="containsText" text="Fire">
      <formula>NOT(ISERROR(SEARCH("Fire",B2)))</formula>
    </cfRule>
    <cfRule type="containsText" dxfId="998" priority="1097" stopIfTrue="1" operator="containsText" text="Bug">
      <formula>NOT(ISERROR(SEARCH("Bug",B2)))</formula>
    </cfRule>
    <cfRule type="containsText" dxfId="997" priority="1098" stopIfTrue="1" operator="containsText" text="Dark">
      <formula>NOT(ISERROR(SEARCH("Dark",B2)))</formula>
    </cfRule>
    <cfRule type="containsText" dxfId="996" priority="1099" stopIfTrue="1" operator="containsText" text="Dragon">
      <formula>NOT(ISERROR(SEARCH("Dragon",B2)))</formula>
    </cfRule>
    <cfRule type="containsText" dxfId="995" priority="1100" stopIfTrue="1" operator="containsText" text="Electric">
      <formula>NOT(ISERROR(SEARCH("Electric",B2)))</formula>
    </cfRule>
    <cfRule type="containsText" dxfId="994" priority="1101" stopIfTrue="1" operator="containsText" text="Fairy">
      <formula>NOT(ISERROR(SEARCH("Fairy",B2)))</formula>
    </cfRule>
    <cfRule type="containsText" dxfId="993" priority="1102" stopIfTrue="1" operator="containsText" text="Fighting">
      <formula>NOT(ISERROR(SEARCH("Fighting",B2)))</formula>
    </cfRule>
    <cfRule type="containsText" dxfId="992" priority="1103" stopIfTrue="1" operator="containsText" text="Flying">
      <formula>NOT(ISERROR(SEARCH("Flying",B2)))</formula>
    </cfRule>
    <cfRule type="containsText" dxfId="991" priority="1104" stopIfTrue="1" operator="containsText" text="Grass">
      <formula>NOT(ISERROR(SEARCH("Grass",B2)))</formula>
    </cfRule>
    <cfRule type="containsText" dxfId="990" priority="1105" stopIfTrue="1" operator="containsText" text="Ground">
      <formula>NOT(ISERROR(SEARCH("Ground",B2)))</formula>
    </cfRule>
    <cfRule type="containsText" dxfId="989" priority="1106" stopIfTrue="1" operator="containsText" text="Ice">
      <formula>NOT(ISERROR(SEARCH("Ice",B2)))</formula>
    </cfRule>
    <cfRule type="containsText" dxfId="988" priority="1107" stopIfTrue="1" operator="containsText" text="Poison">
      <formula>NOT(ISERROR(SEARCH("Poison",B2)))</formula>
    </cfRule>
    <cfRule type="containsText" dxfId="987" priority="1108" stopIfTrue="1" operator="containsText" text="Rock">
      <formula>NOT(ISERROR(SEARCH("Rock",B2)))</formula>
    </cfRule>
    <cfRule type="containsText" dxfId="986" priority="1109" stopIfTrue="1" operator="containsText" text="Steel">
      <formula>NOT(ISERROR(SEARCH("Steel",B2)))</formula>
    </cfRule>
    <cfRule type="containsText" dxfId="985" priority="1110" stopIfTrue="1" operator="containsText" text="Water">
      <formula>NOT(ISERROR(SEARCH("Water",B2)))</formula>
    </cfRule>
    <cfRule type="containsText" dxfId="984" priority="1111" stopIfTrue="1" operator="containsText" text="Status">
      <formula>NOT(ISERROR(SEARCH("Status",B2)))</formula>
    </cfRule>
    <cfRule type="containsText" dxfId="983" priority="1112" stopIfTrue="1" operator="containsText" text="Physical">
      <formula>NOT(ISERROR(SEARCH("Physical",B2)))</formula>
    </cfRule>
    <cfRule type="containsText" dxfId="982" priority="1113" stopIfTrue="1" operator="containsText" text="Special">
      <formula>NOT(ISERROR(SEARCH("Special",B2)))</formula>
    </cfRule>
    <cfRule type="containsText" dxfId="981" priority="1114" stopIfTrue="1" operator="containsText" text="Ghost">
      <formula>NOT(ISERROR(SEARCH("Ghost",B2)))</formula>
    </cfRule>
    <cfRule type="containsText" dxfId="980" priority="1115" stopIfTrue="1" operator="containsText" text="Psychic">
      <formula>NOT(ISERROR(SEARCH("Psychic",B2)))</formula>
    </cfRule>
    <cfRule type="containsText" dxfId="979" priority="1116" stopIfTrue="1" operator="containsText" text="Normal">
      <formula>NOT(ISERROR(SEARCH("Normal",B2)))</formula>
    </cfRule>
    <cfRule type="containsText" dxfId="978" priority="1117" stopIfTrue="1" operator="containsText" text="Fire">
      <formula>NOT(ISERROR(SEARCH("Fire",B2)))</formula>
    </cfRule>
    <cfRule type="containsText" dxfId="977" priority="1118" stopIfTrue="1" operator="containsText" text="Bug">
      <formula>NOT(ISERROR(SEARCH("Bug",B2)))</formula>
    </cfRule>
    <cfRule type="containsText" dxfId="976" priority="1119" stopIfTrue="1" operator="containsText" text="Dark">
      <formula>NOT(ISERROR(SEARCH("Dark",B2)))</formula>
    </cfRule>
    <cfRule type="containsText" dxfId="975" priority="1120" stopIfTrue="1" operator="containsText" text="Dragon">
      <formula>NOT(ISERROR(SEARCH("Dragon",B2)))</formula>
    </cfRule>
    <cfRule type="containsText" dxfId="974" priority="1121" stopIfTrue="1" operator="containsText" text="Electric">
      <formula>NOT(ISERROR(SEARCH("Electric",B2)))</formula>
    </cfRule>
    <cfRule type="containsText" dxfId="973" priority="1122" stopIfTrue="1" operator="containsText" text="Fairy">
      <formula>NOT(ISERROR(SEARCH("Fairy",B2)))</formula>
    </cfRule>
    <cfRule type="containsText" dxfId="972" priority="1123" stopIfTrue="1" operator="containsText" text="Fighting">
      <formula>NOT(ISERROR(SEARCH("Fighting",B2)))</formula>
    </cfRule>
    <cfRule type="containsText" dxfId="971" priority="1124" stopIfTrue="1" operator="containsText" text="Flying">
      <formula>NOT(ISERROR(SEARCH("Flying",B2)))</formula>
    </cfRule>
    <cfRule type="containsText" dxfId="970" priority="1125" stopIfTrue="1" operator="containsText" text="Grass">
      <formula>NOT(ISERROR(SEARCH("Grass",B2)))</formula>
    </cfRule>
    <cfRule type="containsText" dxfId="969" priority="1126" stopIfTrue="1" operator="containsText" text="Ground">
      <formula>NOT(ISERROR(SEARCH("Ground",B2)))</formula>
    </cfRule>
    <cfRule type="containsText" dxfId="968" priority="1127" stopIfTrue="1" operator="containsText" text="Ice">
      <formula>NOT(ISERROR(SEARCH("Ice",B2)))</formula>
    </cfRule>
    <cfRule type="containsText" dxfId="967" priority="1128" stopIfTrue="1" operator="containsText" text="Poison">
      <formula>NOT(ISERROR(SEARCH("Poison",B2)))</formula>
    </cfRule>
    <cfRule type="containsText" dxfId="966" priority="1129" stopIfTrue="1" operator="containsText" text="Rock">
      <formula>NOT(ISERROR(SEARCH("Rock",B2)))</formula>
    </cfRule>
    <cfRule type="containsText" dxfId="965" priority="1130" stopIfTrue="1" operator="containsText" text="Steel">
      <formula>NOT(ISERROR(SEARCH("Steel",B2)))</formula>
    </cfRule>
    <cfRule type="containsText" dxfId="964" priority="1131" stopIfTrue="1" operator="containsText" text="Water">
      <formula>NOT(ISERROR(SEARCH("Water",B2)))</formula>
    </cfRule>
    <cfRule type="containsText" dxfId="963" priority="1132" stopIfTrue="1" operator="containsText" text="Status">
      <formula>NOT(ISERROR(SEARCH("Status",B2)))</formula>
    </cfRule>
    <cfRule type="containsText" dxfId="962" priority="1133" stopIfTrue="1" operator="containsText" text="Physical">
      <formula>NOT(ISERROR(SEARCH("Physical",B2)))</formula>
    </cfRule>
    <cfRule type="containsText" dxfId="961" priority="1134" stopIfTrue="1" operator="containsText" text="Special">
      <formula>NOT(ISERROR(SEARCH("Special",B2)))</formula>
    </cfRule>
    <cfRule type="containsText" dxfId="960" priority="1135" stopIfTrue="1" operator="containsText" text="Ghost">
      <formula>NOT(ISERROR(SEARCH("Ghost",B2)))</formula>
    </cfRule>
    <cfRule type="containsText" dxfId="959" priority="1136" stopIfTrue="1" operator="containsText" text="Psychic">
      <formula>NOT(ISERROR(SEARCH("Psychic",B2)))</formula>
    </cfRule>
    <cfRule type="containsText" dxfId="958" priority="1137" stopIfTrue="1" operator="containsText" text="Normal">
      <formula>NOT(ISERROR(SEARCH("Normal",B2)))</formula>
    </cfRule>
    <cfRule type="containsText" dxfId="957" priority="1138" stopIfTrue="1" operator="containsText" text="Fire">
      <formula>NOT(ISERROR(SEARCH("Fire",B2)))</formula>
    </cfRule>
    <cfRule type="containsText" dxfId="956" priority="1139" stopIfTrue="1" operator="containsText" text="Bug">
      <formula>NOT(ISERROR(SEARCH("Bug",B2)))</formula>
    </cfRule>
    <cfRule type="containsText" dxfId="955" priority="1140" stopIfTrue="1" operator="containsText" text="Dark">
      <formula>NOT(ISERROR(SEARCH("Dark",B2)))</formula>
    </cfRule>
    <cfRule type="containsText" dxfId="954" priority="1141" stopIfTrue="1" operator="containsText" text="Dragon">
      <formula>NOT(ISERROR(SEARCH("Dragon",B2)))</formula>
    </cfRule>
    <cfRule type="containsText" dxfId="953" priority="1142" stopIfTrue="1" operator="containsText" text="Electric">
      <formula>NOT(ISERROR(SEARCH("Electric",B2)))</formula>
    </cfRule>
    <cfRule type="containsText" dxfId="952" priority="1143" stopIfTrue="1" operator="containsText" text="Fairy">
      <formula>NOT(ISERROR(SEARCH("Fairy",B2)))</formula>
    </cfRule>
    <cfRule type="containsText" dxfId="951" priority="1144" stopIfTrue="1" operator="containsText" text="Fighting">
      <formula>NOT(ISERROR(SEARCH("Fighting",B2)))</formula>
    </cfRule>
    <cfRule type="containsText" dxfId="950" priority="1145" stopIfTrue="1" operator="containsText" text="Flying">
      <formula>NOT(ISERROR(SEARCH("Flying",B2)))</formula>
    </cfRule>
    <cfRule type="containsText" dxfId="949" priority="1146" stopIfTrue="1" operator="containsText" text="Grass">
      <formula>NOT(ISERROR(SEARCH("Grass",B2)))</formula>
    </cfRule>
    <cfRule type="containsText" dxfId="948" priority="1147" stopIfTrue="1" operator="containsText" text="Ground">
      <formula>NOT(ISERROR(SEARCH("Ground",B2)))</formula>
    </cfRule>
    <cfRule type="containsText" dxfId="947" priority="1148" stopIfTrue="1" operator="containsText" text="Ice">
      <formula>NOT(ISERROR(SEARCH("Ice",B2)))</formula>
    </cfRule>
    <cfRule type="containsText" dxfId="946" priority="1149" stopIfTrue="1" operator="containsText" text="Poison">
      <formula>NOT(ISERROR(SEARCH("Poison",B2)))</formula>
    </cfRule>
    <cfRule type="containsText" dxfId="945" priority="1150" stopIfTrue="1" operator="containsText" text="Rock">
      <formula>NOT(ISERROR(SEARCH("Rock",B2)))</formula>
    </cfRule>
    <cfRule type="containsText" dxfId="944" priority="1151" stopIfTrue="1" operator="containsText" text="Steel">
      <formula>NOT(ISERROR(SEARCH("Steel",B2)))</formula>
    </cfRule>
    <cfRule type="containsText" dxfId="943" priority="1152" stopIfTrue="1" operator="containsText" text="Water">
      <formula>NOT(ISERROR(SEARCH("Water",B2)))</formula>
    </cfRule>
    <cfRule type="containsText" dxfId="942" priority="1153" stopIfTrue="1" operator="containsText" text="Status">
      <formula>NOT(ISERROR(SEARCH("Status",B2)))</formula>
    </cfRule>
    <cfRule type="containsText" dxfId="941" priority="1154" stopIfTrue="1" operator="containsText" text="Physical">
      <formula>NOT(ISERROR(SEARCH("Physical",B2)))</formula>
    </cfRule>
    <cfRule type="containsText" dxfId="940" priority="1155" stopIfTrue="1" operator="containsText" text="Special">
      <formula>NOT(ISERROR(SEARCH("Special",B2)))</formula>
    </cfRule>
    <cfRule type="containsText" dxfId="939" priority="1156" stopIfTrue="1" operator="containsText" text="Ghost">
      <formula>NOT(ISERROR(SEARCH("Ghost",B2)))</formula>
    </cfRule>
    <cfRule type="containsText" dxfId="938" priority="1157" stopIfTrue="1" operator="containsText" text="Psychic">
      <formula>NOT(ISERROR(SEARCH("Psychic",B2)))</formula>
    </cfRule>
    <cfRule type="containsText" dxfId="937" priority="1158" stopIfTrue="1" operator="containsText" text="Normal">
      <formula>NOT(ISERROR(SEARCH("Normal",B2)))</formula>
    </cfRule>
    <cfRule type="containsText" dxfId="936" priority="1159" stopIfTrue="1" operator="containsText" text="Fire">
      <formula>NOT(ISERROR(SEARCH("Fire",B2)))</formula>
    </cfRule>
    <cfRule type="containsText" dxfId="935" priority="1160" stopIfTrue="1" operator="containsText" text="Bug">
      <formula>NOT(ISERROR(SEARCH("Bug",B2)))</formula>
    </cfRule>
    <cfRule type="containsText" dxfId="934" priority="1161" stopIfTrue="1" operator="containsText" text="Dark">
      <formula>NOT(ISERROR(SEARCH("Dark",B2)))</formula>
    </cfRule>
    <cfRule type="containsText" dxfId="933" priority="1162" stopIfTrue="1" operator="containsText" text="Dragon">
      <formula>NOT(ISERROR(SEARCH("Dragon",B2)))</formula>
    </cfRule>
    <cfRule type="containsText" dxfId="932" priority="1163" stopIfTrue="1" operator="containsText" text="Electric">
      <formula>NOT(ISERROR(SEARCH("Electric",B2)))</formula>
    </cfRule>
    <cfRule type="containsText" dxfId="931" priority="1164" stopIfTrue="1" operator="containsText" text="Fairy">
      <formula>NOT(ISERROR(SEARCH("Fairy",B2)))</formula>
    </cfRule>
    <cfRule type="containsText" dxfId="930" priority="1165" stopIfTrue="1" operator="containsText" text="Fighting">
      <formula>NOT(ISERROR(SEARCH("Fighting",B2)))</formula>
    </cfRule>
    <cfRule type="containsText" dxfId="929" priority="1166" stopIfTrue="1" operator="containsText" text="Flying">
      <formula>NOT(ISERROR(SEARCH("Flying",B2)))</formula>
    </cfRule>
    <cfRule type="containsText" dxfId="928" priority="1167" stopIfTrue="1" operator="containsText" text="Grass">
      <formula>NOT(ISERROR(SEARCH("Grass",B2)))</formula>
    </cfRule>
    <cfRule type="containsText" dxfId="927" priority="1168" stopIfTrue="1" operator="containsText" text="Ground">
      <formula>NOT(ISERROR(SEARCH("Ground",B2)))</formula>
    </cfRule>
    <cfRule type="containsText" dxfId="926" priority="1169" stopIfTrue="1" operator="containsText" text="Ice">
      <formula>NOT(ISERROR(SEARCH("Ice",B2)))</formula>
    </cfRule>
    <cfRule type="containsText" dxfId="925" priority="1170" stopIfTrue="1" operator="containsText" text="Poison">
      <formula>NOT(ISERROR(SEARCH("Poison",B2)))</formula>
    </cfRule>
    <cfRule type="containsText" dxfId="924" priority="1171" stopIfTrue="1" operator="containsText" text="Rock">
      <formula>NOT(ISERROR(SEARCH("Rock",B2)))</formula>
    </cfRule>
    <cfRule type="containsText" dxfId="923" priority="1172" stopIfTrue="1" operator="containsText" text="Steel">
      <formula>NOT(ISERROR(SEARCH("Steel",B2)))</formula>
    </cfRule>
    <cfRule type="containsText" dxfId="922" priority="1173" stopIfTrue="1" operator="containsText" text="Water">
      <formula>NOT(ISERROR(SEARCH("Water",B2)))</formula>
    </cfRule>
    <cfRule type="containsText" dxfId="921" priority="1174" stopIfTrue="1" operator="containsText" text="Status">
      <formula>NOT(ISERROR(SEARCH("Status",B2)))</formula>
    </cfRule>
    <cfRule type="containsText" dxfId="920" priority="1175" stopIfTrue="1" operator="containsText" text="Physical">
      <formula>NOT(ISERROR(SEARCH("Physical",B2)))</formula>
    </cfRule>
    <cfRule type="containsText" dxfId="919" priority="1176" stopIfTrue="1" operator="containsText" text="Special">
      <formula>NOT(ISERROR(SEARCH("Special",B2)))</formula>
    </cfRule>
    <cfRule type="containsText" dxfId="918" priority="1177" stopIfTrue="1" operator="containsText" text="Ghost">
      <formula>NOT(ISERROR(SEARCH("Ghost",B2)))</formula>
    </cfRule>
    <cfRule type="containsText" dxfId="917" priority="1178" stopIfTrue="1" operator="containsText" text="Psychic">
      <formula>NOT(ISERROR(SEARCH("Psychic",B2)))</formula>
    </cfRule>
    <cfRule type="containsText" dxfId="916" priority="1179" stopIfTrue="1" operator="containsText" text="Normal">
      <formula>NOT(ISERROR(SEARCH("Normal",B2)))</formula>
    </cfRule>
    <cfRule type="containsText" dxfId="915" priority="1180" stopIfTrue="1" operator="containsText" text="Fire">
      <formula>NOT(ISERROR(SEARCH("Fire",B2)))</formula>
    </cfRule>
    <cfRule type="containsText" dxfId="914" priority="1181" stopIfTrue="1" operator="containsText" text="Bug">
      <formula>NOT(ISERROR(SEARCH("Bug",B2)))</formula>
    </cfRule>
    <cfRule type="containsText" dxfId="913" priority="1182" stopIfTrue="1" operator="containsText" text="Dark">
      <formula>NOT(ISERROR(SEARCH("Dark",B2)))</formula>
    </cfRule>
    <cfRule type="containsText" dxfId="912" priority="1183" stopIfTrue="1" operator="containsText" text="Dragon">
      <formula>NOT(ISERROR(SEARCH("Dragon",B2)))</formula>
    </cfRule>
    <cfRule type="containsText" dxfId="911" priority="1184" stopIfTrue="1" operator="containsText" text="Electric">
      <formula>NOT(ISERROR(SEARCH("Electric",B2)))</formula>
    </cfRule>
    <cfRule type="containsText" dxfId="910" priority="1185" stopIfTrue="1" operator="containsText" text="Fairy">
      <formula>NOT(ISERROR(SEARCH("Fairy",B2)))</formula>
    </cfRule>
    <cfRule type="containsText" dxfId="909" priority="1186" stopIfTrue="1" operator="containsText" text="Fighting">
      <formula>NOT(ISERROR(SEARCH("Fighting",B2)))</formula>
    </cfRule>
    <cfRule type="containsText" dxfId="908" priority="1187" stopIfTrue="1" operator="containsText" text="Flying">
      <formula>NOT(ISERROR(SEARCH("Flying",B2)))</formula>
    </cfRule>
    <cfRule type="containsText" dxfId="907" priority="1188" stopIfTrue="1" operator="containsText" text="Grass">
      <formula>NOT(ISERROR(SEARCH("Grass",B2)))</formula>
    </cfRule>
    <cfRule type="containsText" dxfId="906" priority="1189" stopIfTrue="1" operator="containsText" text="Ground">
      <formula>NOT(ISERROR(SEARCH("Ground",B2)))</formula>
    </cfRule>
    <cfRule type="containsText" dxfId="905" priority="1190" stopIfTrue="1" operator="containsText" text="Ice">
      <formula>NOT(ISERROR(SEARCH("Ice",B2)))</formula>
    </cfRule>
    <cfRule type="containsText" dxfId="904" priority="1191" stopIfTrue="1" operator="containsText" text="Poison">
      <formula>NOT(ISERROR(SEARCH("Poison",B2)))</formula>
    </cfRule>
    <cfRule type="containsText" dxfId="903" priority="1192" stopIfTrue="1" operator="containsText" text="Rock">
      <formula>NOT(ISERROR(SEARCH("Rock",B2)))</formula>
    </cfRule>
    <cfRule type="containsText" dxfId="902" priority="1193" stopIfTrue="1" operator="containsText" text="Steel">
      <formula>NOT(ISERROR(SEARCH("Steel",B2)))</formula>
    </cfRule>
    <cfRule type="containsText" dxfId="901" priority="1194" stopIfTrue="1" operator="containsText" text="Water">
      <formula>NOT(ISERROR(SEARCH("Water",B2)))</formula>
    </cfRule>
    <cfRule type="containsText" dxfId="900" priority="1195" stopIfTrue="1" operator="containsText" text="Status">
      <formula>NOT(ISERROR(SEARCH("Status",B2)))</formula>
    </cfRule>
    <cfRule type="containsText" dxfId="899" priority="1196" stopIfTrue="1" operator="containsText" text="Physical">
      <formula>NOT(ISERROR(SEARCH("Physical",B2)))</formula>
    </cfRule>
    <cfRule type="containsText" dxfId="898" priority="1197" stopIfTrue="1" operator="containsText" text="Special">
      <formula>NOT(ISERROR(SEARCH("Special",B2)))</formula>
    </cfRule>
    <cfRule type="containsText" dxfId="897" priority="1198" stopIfTrue="1" operator="containsText" text="Ghost">
      <formula>NOT(ISERROR(SEARCH("Ghost",B2)))</formula>
    </cfRule>
    <cfRule type="containsText" dxfId="896" priority="1199" stopIfTrue="1" operator="containsText" text="Psychic">
      <formula>NOT(ISERROR(SEARCH("Psychic",B2)))</formula>
    </cfRule>
    <cfRule type="containsText" dxfId="895" priority="1200" stopIfTrue="1" operator="containsText" text="Normal">
      <formula>NOT(ISERROR(SEARCH("Normal",B2)))</formula>
    </cfRule>
    <cfRule type="containsText" dxfId="894" priority="1201" stopIfTrue="1" operator="containsText" text="Fire">
      <formula>NOT(ISERROR(SEARCH("Fire",B2)))</formula>
    </cfRule>
    <cfRule type="containsText" dxfId="893" priority="1202" stopIfTrue="1" operator="containsText" text="Bug">
      <formula>NOT(ISERROR(SEARCH("Bug",B2)))</formula>
    </cfRule>
    <cfRule type="containsText" dxfId="892" priority="1203" stopIfTrue="1" operator="containsText" text="Dark">
      <formula>NOT(ISERROR(SEARCH("Dark",B2)))</formula>
    </cfRule>
    <cfRule type="containsText" dxfId="891" priority="1204" stopIfTrue="1" operator="containsText" text="Dragon">
      <formula>NOT(ISERROR(SEARCH("Dragon",B2)))</formula>
    </cfRule>
    <cfRule type="containsText" dxfId="890" priority="1205" stopIfTrue="1" operator="containsText" text="Electric">
      <formula>NOT(ISERROR(SEARCH("Electric",B2)))</formula>
    </cfRule>
    <cfRule type="containsText" dxfId="889" priority="1206" stopIfTrue="1" operator="containsText" text="Fairy">
      <formula>NOT(ISERROR(SEARCH("Fairy",B2)))</formula>
    </cfRule>
    <cfRule type="containsText" dxfId="888" priority="1207" stopIfTrue="1" operator="containsText" text="Fighting">
      <formula>NOT(ISERROR(SEARCH("Fighting",B2)))</formula>
    </cfRule>
    <cfRule type="containsText" dxfId="887" priority="1208" stopIfTrue="1" operator="containsText" text="Flying">
      <formula>NOT(ISERROR(SEARCH("Flying",B2)))</formula>
    </cfRule>
    <cfRule type="containsText" dxfId="886" priority="1209" stopIfTrue="1" operator="containsText" text="Grass">
      <formula>NOT(ISERROR(SEARCH("Grass",B2)))</formula>
    </cfRule>
    <cfRule type="containsText" dxfId="885" priority="1210" stopIfTrue="1" operator="containsText" text="Ground">
      <formula>NOT(ISERROR(SEARCH("Ground",B2)))</formula>
    </cfRule>
    <cfRule type="containsText" dxfId="884" priority="1211" stopIfTrue="1" operator="containsText" text="Ice">
      <formula>NOT(ISERROR(SEARCH("Ice",B2)))</formula>
    </cfRule>
    <cfRule type="containsText" dxfId="883" priority="1212" stopIfTrue="1" operator="containsText" text="Poison">
      <formula>NOT(ISERROR(SEARCH("Poison",B2)))</formula>
    </cfRule>
    <cfRule type="containsText" dxfId="882" priority="1213" stopIfTrue="1" operator="containsText" text="Rock">
      <formula>NOT(ISERROR(SEARCH("Rock",B2)))</formula>
    </cfRule>
    <cfRule type="containsText" dxfId="881" priority="1214" stopIfTrue="1" operator="containsText" text="Steel">
      <formula>NOT(ISERROR(SEARCH("Steel",B2)))</formula>
    </cfRule>
    <cfRule type="containsText" dxfId="880" priority="1215" stopIfTrue="1" operator="containsText" text="Water">
      <formula>NOT(ISERROR(SEARCH("Water",B2)))</formula>
    </cfRule>
    <cfRule type="containsText" dxfId="879" priority="1216" stopIfTrue="1" operator="containsText" text="Status">
      <formula>NOT(ISERROR(SEARCH("Status",B2)))</formula>
    </cfRule>
    <cfRule type="containsText" dxfId="878" priority="1217" stopIfTrue="1" operator="containsText" text="Physical">
      <formula>NOT(ISERROR(SEARCH("Physical",B2)))</formula>
    </cfRule>
    <cfRule type="containsText" dxfId="877" priority="1218" stopIfTrue="1" operator="containsText" text="Special">
      <formula>NOT(ISERROR(SEARCH("Special",B2)))</formula>
    </cfRule>
    <cfRule type="containsText" dxfId="876" priority="1219" stopIfTrue="1" operator="containsText" text="Ghost">
      <formula>NOT(ISERROR(SEARCH("Ghost",B2)))</formula>
    </cfRule>
    <cfRule type="containsText" dxfId="875" priority="1220" stopIfTrue="1" operator="containsText" text="Psychic">
      <formula>NOT(ISERROR(SEARCH("Psychic",B2)))</formula>
    </cfRule>
    <cfRule type="containsText" dxfId="874" priority="1221" stopIfTrue="1" operator="containsText" text="Normal">
      <formula>NOT(ISERROR(SEARCH("Normal",B2)))</formula>
    </cfRule>
    <cfRule type="containsText" dxfId="873" priority="1222" stopIfTrue="1" operator="containsText" text="Fire">
      <formula>NOT(ISERROR(SEARCH("Fire",B2)))</formula>
    </cfRule>
    <cfRule type="containsText" dxfId="872" priority="1223" stopIfTrue="1" operator="containsText" text="Bug">
      <formula>NOT(ISERROR(SEARCH("Bug",B2)))</formula>
    </cfRule>
    <cfRule type="containsText" dxfId="871" priority="1224" stopIfTrue="1" operator="containsText" text="Dark">
      <formula>NOT(ISERROR(SEARCH("Dark",B2)))</formula>
    </cfRule>
    <cfRule type="containsText" dxfId="870" priority="1225" stopIfTrue="1" operator="containsText" text="Dragon">
      <formula>NOT(ISERROR(SEARCH("Dragon",B2)))</formula>
    </cfRule>
    <cfRule type="containsText" dxfId="869" priority="1226" stopIfTrue="1" operator="containsText" text="Electric">
      <formula>NOT(ISERROR(SEARCH("Electric",B2)))</formula>
    </cfRule>
    <cfRule type="containsText" dxfId="868" priority="1227" stopIfTrue="1" operator="containsText" text="Fairy">
      <formula>NOT(ISERROR(SEARCH("Fairy",B2)))</formula>
    </cfRule>
    <cfRule type="containsText" dxfId="867" priority="1228" stopIfTrue="1" operator="containsText" text="Fighting">
      <formula>NOT(ISERROR(SEARCH("Fighting",B2)))</formula>
    </cfRule>
    <cfRule type="containsText" dxfId="866" priority="1229" stopIfTrue="1" operator="containsText" text="Flying">
      <formula>NOT(ISERROR(SEARCH("Flying",B2)))</formula>
    </cfRule>
    <cfRule type="containsText" dxfId="865" priority="1230" stopIfTrue="1" operator="containsText" text="Grass">
      <formula>NOT(ISERROR(SEARCH("Grass",B2)))</formula>
    </cfRule>
    <cfRule type="containsText" dxfId="864" priority="1231" stopIfTrue="1" operator="containsText" text="Ground">
      <formula>NOT(ISERROR(SEARCH("Ground",B2)))</formula>
    </cfRule>
    <cfRule type="containsText" dxfId="863" priority="1232" stopIfTrue="1" operator="containsText" text="Ice">
      <formula>NOT(ISERROR(SEARCH("Ice",B2)))</formula>
    </cfRule>
    <cfRule type="containsText" dxfId="862" priority="1233" stopIfTrue="1" operator="containsText" text="Poison">
      <formula>NOT(ISERROR(SEARCH("Poison",B2)))</formula>
    </cfRule>
    <cfRule type="containsText" dxfId="861" priority="1234" stopIfTrue="1" operator="containsText" text="Rock">
      <formula>NOT(ISERROR(SEARCH("Rock",B2)))</formula>
    </cfRule>
    <cfRule type="containsText" dxfId="860" priority="1235" stopIfTrue="1" operator="containsText" text="Steel">
      <formula>NOT(ISERROR(SEARCH("Steel",B2)))</formula>
    </cfRule>
    <cfRule type="containsText" dxfId="859" priority="1236" stopIfTrue="1" operator="containsText" text="Water">
      <formula>NOT(ISERROR(SEARCH("Water",B2)))</formula>
    </cfRule>
    <cfRule type="containsText" dxfId="858" priority="1237" stopIfTrue="1" operator="containsText" text="Status">
      <formula>NOT(ISERROR(SEARCH("Status",B2)))</formula>
    </cfRule>
    <cfRule type="containsText" dxfId="857" priority="1238" stopIfTrue="1" operator="containsText" text="Physical">
      <formula>NOT(ISERROR(SEARCH("Physical",B2)))</formula>
    </cfRule>
    <cfRule type="containsText" dxfId="856" priority="1239" stopIfTrue="1" operator="containsText" text="Special">
      <formula>NOT(ISERROR(SEARCH("Special",B2)))</formula>
    </cfRule>
    <cfRule type="containsText" dxfId="855" priority="1240" stopIfTrue="1" operator="containsText" text="Ghost">
      <formula>NOT(ISERROR(SEARCH("Ghost",B2)))</formula>
    </cfRule>
    <cfRule type="containsText" dxfId="854" priority="1241" stopIfTrue="1" operator="containsText" text="Psychic">
      <formula>NOT(ISERROR(SEARCH("Psychic",B2)))</formula>
    </cfRule>
    <cfRule type="containsText" dxfId="853" priority="1242" stopIfTrue="1" operator="containsText" text="Normal">
      <formula>NOT(ISERROR(SEARCH("Normal",B2)))</formula>
    </cfRule>
    <cfRule type="containsText" dxfId="852" priority="1243" stopIfTrue="1" operator="containsText" text="Fire">
      <formula>NOT(ISERROR(SEARCH("Fire",B2)))</formula>
    </cfRule>
    <cfRule type="containsText" dxfId="851" priority="1244" stopIfTrue="1" operator="containsText" text="Bug">
      <formula>NOT(ISERROR(SEARCH("Bug",B2)))</formula>
    </cfRule>
    <cfRule type="containsText" dxfId="850" priority="1245" stopIfTrue="1" operator="containsText" text="Dark">
      <formula>NOT(ISERROR(SEARCH("Dark",B2)))</formula>
    </cfRule>
    <cfRule type="containsText" dxfId="849" priority="1246" stopIfTrue="1" operator="containsText" text="Dragon">
      <formula>NOT(ISERROR(SEARCH("Dragon",B2)))</formula>
    </cfRule>
    <cfRule type="containsText" dxfId="848" priority="1247" stopIfTrue="1" operator="containsText" text="Electric">
      <formula>NOT(ISERROR(SEARCH("Electric",B2)))</formula>
    </cfRule>
    <cfRule type="containsText" dxfId="847" priority="1248" stopIfTrue="1" operator="containsText" text="Fairy">
      <formula>NOT(ISERROR(SEARCH("Fairy",B2)))</formula>
    </cfRule>
    <cfRule type="containsText" dxfId="846" priority="1249" stopIfTrue="1" operator="containsText" text="Fighting">
      <formula>NOT(ISERROR(SEARCH("Fighting",B2)))</formula>
    </cfRule>
    <cfRule type="containsText" dxfId="845" priority="1250" stopIfTrue="1" operator="containsText" text="Flying">
      <formula>NOT(ISERROR(SEARCH("Flying",B2)))</formula>
    </cfRule>
    <cfRule type="containsText" dxfId="844" priority="1251" stopIfTrue="1" operator="containsText" text="Grass">
      <formula>NOT(ISERROR(SEARCH("Grass",B2)))</formula>
    </cfRule>
    <cfRule type="containsText" dxfId="843" priority="1252" stopIfTrue="1" operator="containsText" text="Ground">
      <formula>NOT(ISERROR(SEARCH("Ground",B2)))</formula>
    </cfRule>
    <cfRule type="containsText" dxfId="842" priority="1253" stopIfTrue="1" operator="containsText" text="Ice">
      <formula>NOT(ISERROR(SEARCH("Ice",B2)))</formula>
    </cfRule>
    <cfRule type="containsText" dxfId="841" priority="1254" stopIfTrue="1" operator="containsText" text="Poison">
      <formula>NOT(ISERROR(SEARCH("Poison",B2)))</formula>
    </cfRule>
    <cfRule type="containsText" dxfId="840" priority="1255" stopIfTrue="1" operator="containsText" text="Rock">
      <formula>NOT(ISERROR(SEARCH("Rock",B2)))</formula>
    </cfRule>
    <cfRule type="containsText" dxfId="839" priority="1256" stopIfTrue="1" operator="containsText" text="Steel">
      <formula>NOT(ISERROR(SEARCH("Steel",B2)))</formula>
    </cfRule>
    <cfRule type="containsText" dxfId="838" priority="1257" stopIfTrue="1" operator="containsText" text="Water">
      <formula>NOT(ISERROR(SEARCH("Water",B2)))</formula>
    </cfRule>
    <cfRule type="containsText" dxfId="837" priority="1258" stopIfTrue="1" operator="containsText" text="Status">
      <formula>NOT(ISERROR(SEARCH("Status",B2)))</formula>
    </cfRule>
    <cfRule type="containsText" dxfId="836" priority="1259" stopIfTrue="1" operator="containsText" text="Physical">
      <formula>NOT(ISERROR(SEARCH("Physical",B2)))</formula>
    </cfRule>
    <cfRule type="containsText" dxfId="835" priority="1260" stopIfTrue="1" operator="containsText" text="Special">
      <formula>NOT(ISERROR(SEARCH("Special",B2)))</formula>
    </cfRule>
    <cfRule type="containsText" dxfId="834" priority="1261" stopIfTrue="1" operator="containsText" text="Ghost">
      <formula>NOT(ISERROR(SEARCH("Ghost",B2)))</formula>
    </cfRule>
    <cfRule type="containsText" dxfId="833" priority="1262" stopIfTrue="1" operator="containsText" text="Psychic">
      <formula>NOT(ISERROR(SEARCH("Psychic",B2)))</formula>
    </cfRule>
    <cfRule type="containsText" dxfId="832" priority="1263" stopIfTrue="1" operator="containsText" text="Normal">
      <formula>NOT(ISERROR(SEARCH("Normal",B2)))</formula>
    </cfRule>
    <cfRule type="containsText" dxfId="831" priority="1264" stopIfTrue="1" operator="containsText" text="Fire">
      <formula>NOT(ISERROR(SEARCH("Fire",B2)))</formula>
    </cfRule>
    <cfRule type="containsText" dxfId="830" priority="1265" stopIfTrue="1" operator="containsText" text="Bug">
      <formula>NOT(ISERROR(SEARCH("Bug",B2)))</formula>
    </cfRule>
    <cfRule type="containsText" dxfId="829" priority="1266" stopIfTrue="1" operator="containsText" text="Dark">
      <formula>NOT(ISERROR(SEARCH("Dark",B2)))</formula>
    </cfRule>
    <cfRule type="containsText" dxfId="828" priority="1267" stopIfTrue="1" operator="containsText" text="Dragon">
      <formula>NOT(ISERROR(SEARCH("Dragon",B2)))</formula>
    </cfRule>
    <cfRule type="containsText" dxfId="827" priority="1268" stopIfTrue="1" operator="containsText" text="Electric">
      <formula>NOT(ISERROR(SEARCH("Electric",B2)))</formula>
    </cfRule>
    <cfRule type="containsText" dxfId="826" priority="1269" stopIfTrue="1" operator="containsText" text="Fairy">
      <formula>NOT(ISERROR(SEARCH("Fairy",B2)))</formula>
    </cfRule>
    <cfRule type="containsText" dxfId="825" priority="1270" stopIfTrue="1" operator="containsText" text="Fighting">
      <formula>NOT(ISERROR(SEARCH("Fighting",B2)))</formula>
    </cfRule>
    <cfRule type="containsText" dxfId="824" priority="1271" stopIfTrue="1" operator="containsText" text="Flying">
      <formula>NOT(ISERROR(SEARCH("Flying",B2)))</formula>
    </cfRule>
    <cfRule type="containsText" dxfId="823" priority="1272" stopIfTrue="1" operator="containsText" text="Grass">
      <formula>NOT(ISERROR(SEARCH("Grass",B2)))</formula>
    </cfRule>
    <cfRule type="containsText" dxfId="822" priority="1273" stopIfTrue="1" operator="containsText" text="Ground">
      <formula>NOT(ISERROR(SEARCH("Ground",B2)))</formula>
    </cfRule>
    <cfRule type="containsText" dxfId="821" priority="1274" stopIfTrue="1" operator="containsText" text="Ice">
      <formula>NOT(ISERROR(SEARCH("Ice",B2)))</formula>
    </cfRule>
    <cfRule type="containsText" dxfId="820" priority="1275" stopIfTrue="1" operator="containsText" text="Poison">
      <formula>NOT(ISERROR(SEARCH("Poison",B2)))</formula>
    </cfRule>
    <cfRule type="containsText" dxfId="819" priority="1276" stopIfTrue="1" operator="containsText" text="Rock">
      <formula>NOT(ISERROR(SEARCH("Rock",B2)))</formula>
    </cfRule>
    <cfRule type="containsText" dxfId="818" priority="1277" stopIfTrue="1" operator="containsText" text="Steel">
      <formula>NOT(ISERROR(SEARCH("Steel",B2)))</formula>
    </cfRule>
    <cfRule type="containsText" dxfId="817" priority="1278" stopIfTrue="1" operator="containsText" text="Water">
      <formula>NOT(ISERROR(SEARCH("Water",B2)))</formula>
    </cfRule>
    <cfRule type="containsText" dxfId="816" priority="1279" stopIfTrue="1" operator="containsText" text="Status">
      <formula>NOT(ISERROR(SEARCH("Status",B2)))</formula>
    </cfRule>
    <cfRule type="containsText" dxfId="815" priority="1280" stopIfTrue="1" operator="containsText" text="Physical">
      <formula>NOT(ISERROR(SEARCH("Physical",B2)))</formula>
    </cfRule>
    <cfRule type="containsText" dxfId="814" priority="1281" stopIfTrue="1" operator="containsText" text="Special">
      <formula>NOT(ISERROR(SEARCH("Special",B2)))</formula>
    </cfRule>
    <cfRule type="containsText" dxfId="813" priority="1282" stopIfTrue="1" operator="containsText" text="Ghost">
      <formula>NOT(ISERROR(SEARCH("Ghost",B2)))</formula>
    </cfRule>
    <cfRule type="containsText" dxfId="812" priority="1283" stopIfTrue="1" operator="containsText" text="Psychic">
      <formula>NOT(ISERROR(SEARCH("Psychic",B2)))</formula>
    </cfRule>
    <cfRule type="containsText" dxfId="811" priority="1284" stopIfTrue="1" operator="containsText" text="Normal">
      <formula>NOT(ISERROR(SEARCH("Normal",B2)))</formula>
    </cfRule>
    <cfRule type="containsText" dxfId="810" priority="1285" stopIfTrue="1" operator="containsText" text="Fire">
      <formula>NOT(ISERROR(SEARCH("Fire",B2)))</formula>
    </cfRule>
    <cfRule type="containsText" dxfId="809" priority="1286" stopIfTrue="1" operator="containsText" text="Bug">
      <formula>NOT(ISERROR(SEARCH("Bug",B2)))</formula>
    </cfRule>
    <cfRule type="containsText" dxfId="808" priority="1287" stopIfTrue="1" operator="containsText" text="Dark">
      <formula>NOT(ISERROR(SEARCH("Dark",B2)))</formula>
    </cfRule>
    <cfRule type="containsText" dxfId="807" priority="1288" stopIfTrue="1" operator="containsText" text="Dragon">
      <formula>NOT(ISERROR(SEARCH("Dragon",B2)))</formula>
    </cfRule>
    <cfRule type="containsText" dxfId="806" priority="1289" stopIfTrue="1" operator="containsText" text="Electric">
      <formula>NOT(ISERROR(SEARCH("Electric",B2)))</formula>
    </cfRule>
    <cfRule type="containsText" dxfId="805" priority="1290" stopIfTrue="1" operator="containsText" text="Fairy">
      <formula>NOT(ISERROR(SEARCH("Fairy",B2)))</formula>
    </cfRule>
    <cfRule type="containsText" dxfId="804" priority="1291" stopIfTrue="1" operator="containsText" text="Fighting">
      <formula>NOT(ISERROR(SEARCH("Fighting",B2)))</formula>
    </cfRule>
    <cfRule type="containsText" dxfId="803" priority="1292" stopIfTrue="1" operator="containsText" text="Flying">
      <formula>NOT(ISERROR(SEARCH("Flying",B2)))</formula>
    </cfRule>
    <cfRule type="containsText" dxfId="802" priority="1293" stopIfTrue="1" operator="containsText" text="Grass">
      <formula>NOT(ISERROR(SEARCH("Grass",B2)))</formula>
    </cfRule>
    <cfRule type="containsText" dxfId="801" priority="1294" stopIfTrue="1" operator="containsText" text="Ground">
      <formula>NOT(ISERROR(SEARCH("Ground",B2)))</formula>
    </cfRule>
    <cfRule type="containsText" dxfId="800" priority="1295" stopIfTrue="1" operator="containsText" text="Ice">
      <formula>NOT(ISERROR(SEARCH("Ice",B2)))</formula>
    </cfRule>
    <cfRule type="containsText" dxfId="799" priority="1296" stopIfTrue="1" operator="containsText" text="Poison">
      <formula>NOT(ISERROR(SEARCH("Poison",B2)))</formula>
    </cfRule>
    <cfRule type="containsText" dxfId="798" priority="1297" stopIfTrue="1" operator="containsText" text="Rock">
      <formula>NOT(ISERROR(SEARCH("Rock",B2)))</formula>
    </cfRule>
    <cfRule type="containsText" dxfId="797" priority="1298" stopIfTrue="1" operator="containsText" text="Steel">
      <formula>NOT(ISERROR(SEARCH("Steel",B2)))</formula>
    </cfRule>
    <cfRule type="containsText" dxfId="796" priority="1299" stopIfTrue="1" operator="containsText" text="Water">
      <formula>NOT(ISERROR(SEARCH("Water",B2)))</formula>
    </cfRule>
    <cfRule type="containsText" dxfId="795" priority="1300" stopIfTrue="1" operator="containsText" text="Status">
      <formula>NOT(ISERROR(SEARCH("Status",B2)))</formula>
    </cfRule>
    <cfRule type="containsText" dxfId="794" priority="1301" stopIfTrue="1" operator="containsText" text="Physical">
      <formula>NOT(ISERROR(SEARCH("Physical",B2)))</formula>
    </cfRule>
    <cfRule type="containsText" dxfId="793" priority="1302" stopIfTrue="1" operator="containsText" text="Special">
      <formula>NOT(ISERROR(SEARCH("Special",B2)))</formula>
    </cfRule>
    <cfRule type="containsText" dxfId="792" priority="1303" stopIfTrue="1" operator="containsText" text="Ghost">
      <formula>NOT(ISERROR(SEARCH("Ghost",B2)))</formula>
    </cfRule>
    <cfRule type="containsText" dxfId="791" priority="1304" stopIfTrue="1" operator="containsText" text="Psychic">
      <formula>NOT(ISERROR(SEARCH("Psychic",B2)))</formula>
    </cfRule>
    <cfRule type="containsText" dxfId="790" priority="1305" stopIfTrue="1" operator="containsText" text="Normal">
      <formula>NOT(ISERROR(SEARCH("Normal",B2)))</formula>
    </cfRule>
    <cfRule type="containsText" dxfId="789" priority="1306" stopIfTrue="1" operator="containsText" text="Fire">
      <formula>NOT(ISERROR(SEARCH("Fire",B2)))</formula>
    </cfRule>
    <cfRule type="containsText" dxfId="788" priority="1307" stopIfTrue="1" operator="containsText" text="Bug">
      <formula>NOT(ISERROR(SEARCH("Bug",B2)))</formula>
    </cfRule>
    <cfRule type="containsText" dxfId="787" priority="1308" stopIfTrue="1" operator="containsText" text="Dark">
      <formula>NOT(ISERROR(SEARCH("Dark",B2)))</formula>
    </cfRule>
    <cfRule type="containsText" dxfId="786" priority="1309" stopIfTrue="1" operator="containsText" text="Dragon">
      <formula>NOT(ISERROR(SEARCH("Dragon",B2)))</formula>
    </cfRule>
    <cfRule type="containsText" dxfId="785" priority="1310" stopIfTrue="1" operator="containsText" text="Electric">
      <formula>NOT(ISERROR(SEARCH("Electric",B2)))</formula>
    </cfRule>
    <cfRule type="containsText" dxfId="784" priority="1311" stopIfTrue="1" operator="containsText" text="Fairy">
      <formula>NOT(ISERROR(SEARCH("Fairy",B2)))</formula>
    </cfRule>
    <cfRule type="containsText" dxfId="783" priority="1312" stopIfTrue="1" operator="containsText" text="Fighting">
      <formula>NOT(ISERROR(SEARCH("Fighting",B2)))</formula>
    </cfRule>
    <cfRule type="containsText" dxfId="782" priority="1313" stopIfTrue="1" operator="containsText" text="Flying">
      <formula>NOT(ISERROR(SEARCH("Flying",B2)))</formula>
    </cfRule>
    <cfRule type="containsText" dxfId="781" priority="1314" stopIfTrue="1" operator="containsText" text="Grass">
      <formula>NOT(ISERROR(SEARCH("Grass",B2)))</formula>
    </cfRule>
    <cfRule type="containsText" dxfId="780" priority="1315" stopIfTrue="1" operator="containsText" text="Ground">
      <formula>NOT(ISERROR(SEARCH("Ground",B2)))</formula>
    </cfRule>
    <cfRule type="containsText" dxfId="779" priority="1316" stopIfTrue="1" operator="containsText" text="Ice">
      <formula>NOT(ISERROR(SEARCH("Ice",B2)))</formula>
    </cfRule>
    <cfRule type="containsText" dxfId="778" priority="1317" stopIfTrue="1" operator="containsText" text="Poison">
      <formula>NOT(ISERROR(SEARCH("Poison",B2)))</formula>
    </cfRule>
    <cfRule type="containsText" dxfId="777" priority="1318" stopIfTrue="1" operator="containsText" text="Rock">
      <formula>NOT(ISERROR(SEARCH("Rock",B2)))</formula>
    </cfRule>
    <cfRule type="containsText" dxfId="776" priority="1319" stopIfTrue="1" operator="containsText" text="Steel">
      <formula>NOT(ISERROR(SEARCH("Steel",B2)))</formula>
    </cfRule>
    <cfRule type="containsText" dxfId="775" priority="1320" stopIfTrue="1" operator="containsText" text="Water">
      <formula>NOT(ISERROR(SEARCH("Water",B2)))</formula>
    </cfRule>
    <cfRule type="containsText" dxfId="774" priority="1321" stopIfTrue="1" operator="containsText" text="Status">
      <formula>NOT(ISERROR(SEARCH("Status",B2)))</formula>
    </cfRule>
    <cfRule type="containsText" dxfId="773" priority="1322" stopIfTrue="1" operator="containsText" text="Physical">
      <formula>NOT(ISERROR(SEARCH("Physical",B2)))</formula>
    </cfRule>
    <cfRule type="containsText" dxfId="772" priority="1323" stopIfTrue="1" operator="containsText" text="Special">
      <formula>NOT(ISERROR(SEARCH("Special",B2)))</formula>
    </cfRule>
    <cfRule type="containsText" dxfId="771" priority="1324" stopIfTrue="1" operator="containsText" text="Ghost">
      <formula>NOT(ISERROR(SEARCH("Ghost",B2)))</formula>
    </cfRule>
    <cfRule type="containsText" dxfId="770" priority="1325" stopIfTrue="1" operator="containsText" text="Psychic">
      <formula>NOT(ISERROR(SEARCH("Psychic",B2)))</formula>
    </cfRule>
    <cfRule type="containsText" dxfId="769" priority="1326" stopIfTrue="1" operator="containsText" text="Normal">
      <formula>NOT(ISERROR(SEARCH("Normal",B2)))</formula>
    </cfRule>
    <cfRule type="containsText" dxfId="768" priority="1327" stopIfTrue="1" operator="containsText" text="Fire">
      <formula>NOT(ISERROR(SEARCH("Fire",B2)))</formula>
    </cfRule>
    <cfRule type="containsText" dxfId="767" priority="1328" stopIfTrue="1" operator="containsText" text="Bug">
      <formula>NOT(ISERROR(SEARCH("Bug",B2)))</formula>
    </cfRule>
    <cfRule type="containsText" dxfId="766" priority="1329" stopIfTrue="1" operator="containsText" text="Dark">
      <formula>NOT(ISERROR(SEARCH("Dark",B2)))</formula>
    </cfRule>
    <cfRule type="containsText" dxfId="765" priority="1330" stopIfTrue="1" operator="containsText" text="Dragon">
      <formula>NOT(ISERROR(SEARCH("Dragon",B2)))</formula>
    </cfRule>
    <cfRule type="containsText" dxfId="764" priority="1331" stopIfTrue="1" operator="containsText" text="Electric">
      <formula>NOT(ISERROR(SEARCH("Electric",B2)))</formula>
    </cfRule>
    <cfRule type="containsText" dxfId="763" priority="1332" stopIfTrue="1" operator="containsText" text="Fairy">
      <formula>NOT(ISERROR(SEARCH("Fairy",B2)))</formula>
    </cfRule>
    <cfRule type="containsText" dxfId="762" priority="1333" stopIfTrue="1" operator="containsText" text="Fighting">
      <formula>NOT(ISERROR(SEARCH("Fighting",B2)))</formula>
    </cfRule>
    <cfRule type="containsText" dxfId="761" priority="1334" stopIfTrue="1" operator="containsText" text="Flying">
      <formula>NOT(ISERROR(SEARCH("Flying",B2)))</formula>
    </cfRule>
    <cfRule type="containsText" dxfId="760" priority="1335" stopIfTrue="1" operator="containsText" text="Grass">
      <formula>NOT(ISERROR(SEARCH("Grass",B2)))</formula>
    </cfRule>
    <cfRule type="containsText" dxfId="759" priority="1336" stopIfTrue="1" operator="containsText" text="Ground">
      <formula>NOT(ISERROR(SEARCH("Ground",B2)))</formula>
    </cfRule>
    <cfRule type="containsText" dxfId="758" priority="1337" stopIfTrue="1" operator="containsText" text="Ice">
      <formula>NOT(ISERROR(SEARCH("Ice",B2)))</formula>
    </cfRule>
    <cfRule type="containsText" dxfId="757" priority="1338" stopIfTrue="1" operator="containsText" text="Poison">
      <formula>NOT(ISERROR(SEARCH("Poison",B2)))</formula>
    </cfRule>
    <cfRule type="containsText" dxfId="756" priority="1339" stopIfTrue="1" operator="containsText" text="Rock">
      <formula>NOT(ISERROR(SEARCH("Rock",B2)))</formula>
    </cfRule>
    <cfRule type="containsText" dxfId="755" priority="1340" stopIfTrue="1" operator="containsText" text="Steel">
      <formula>NOT(ISERROR(SEARCH("Steel",B2)))</formula>
    </cfRule>
    <cfRule type="containsText" dxfId="754" priority="1341" stopIfTrue="1" operator="containsText" text="Water">
      <formula>NOT(ISERROR(SEARCH("Water",B2)))</formula>
    </cfRule>
    <cfRule type="containsText" dxfId="753" priority="1342" stopIfTrue="1" operator="containsText" text="Status">
      <formula>NOT(ISERROR(SEARCH("Status",B2)))</formula>
    </cfRule>
    <cfRule type="containsText" dxfId="752" priority="1343" stopIfTrue="1" operator="containsText" text="Physical">
      <formula>NOT(ISERROR(SEARCH("Physical",B2)))</formula>
    </cfRule>
    <cfRule type="containsText" dxfId="751" priority="1344" stopIfTrue="1" operator="containsText" text="Special">
      <formula>NOT(ISERROR(SEARCH("Special",B2)))</formula>
    </cfRule>
    <cfRule type="containsText" dxfId="750" priority="1345" stopIfTrue="1" operator="containsText" text="Ghost">
      <formula>NOT(ISERROR(SEARCH("Ghost",B2)))</formula>
    </cfRule>
    <cfRule type="containsText" dxfId="749" priority="1346" stopIfTrue="1" operator="containsText" text="Psychic">
      <formula>NOT(ISERROR(SEARCH("Psychic",B2)))</formula>
    </cfRule>
    <cfRule type="containsText" dxfId="748" priority="1347" stopIfTrue="1" operator="containsText" text="Normal">
      <formula>NOT(ISERROR(SEARCH("Normal",B2)))</formula>
    </cfRule>
    <cfRule type="containsText" dxfId="747" priority="1348" stopIfTrue="1" operator="containsText" text="Fire">
      <formula>NOT(ISERROR(SEARCH("Fire",B2)))</formula>
    </cfRule>
    <cfRule type="containsText" dxfId="746" priority="1349" stopIfTrue="1" operator="containsText" text="Bug">
      <formula>NOT(ISERROR(SEARCH("Bug",B2)))</formula>
    </cfRule>
    <cfRule type="containsText" dxfId="745" priority="1350" stopIfTrue="1" operator="containsText" text="Dark">
      <formula>NOT(ISERROR(SEARCH("Dark",B2)))</formula>
    </cfRule>
    <cfRule type="containsText" dxfId="744" priority="1351" stopIfTrue="1" operator="containsText" text="Dragon">
      <formula>NOT(ISERROR(SEARCH("Dragon",B2)))</formula>
    </cfRule>
    <cfRule type="containsText" dxfId="743" priority="1352" stopIfTrue="1" operator="containsText" text="Electric">
      <formula>NOT(ISERROR(SEARCH("Electric",B2)))</formula>
    </cfRule>
    <cfRule type="containsText" dxfId="742" priority="1353" stopIfTrue="1" operator="containsText" text="Fairy">
      <formula>NOT(ISERROR(SEARCH("Fairy",B2)))</formula>
    </cfRule>
    <cfRule type="containsText" dxfId="741" priority="1354" stopIfTrue="1" operator="containsText" text="Fighting">
      <formula>NOT(ISERROR(SEARCH("Fighting",B2)))</formula>
    </cfRule>
    <cfRule type="containsText" dxfId="740" priority="1355" stopIfTrue="1" operator="containsText" text="Flying">
      <formula>NOT(ISERROR(SEARCH("Flying",B2)))</formula>
    </cfRule>
    <cfRule type="containsText" dxfId="739" priority="1356" stopIfTrue="1" operator="containsText" text="Grass">
      <formula>NOT(ISERROR(SEARCH("Grass",B2)))</formula>
    </cfRule>
    <cfRule type="containsText" dxfId="738" priority="1357" stopIfTrue="1" operator="containsText" text="Ground">
      <formula>NOT(ISERROR(SEARCH("Ground",B2)))</formula>
    </cfRule>
    <cfRule type="containsText" dxfId="737" priority="1358" stopIfTrue="1" operator="containsText" text="Ice">
      <formula>NOT(ISERROR(SEARCH("Ice",B2)))</formula>
    </cfRule>
    <cfRule type="containsText" dxfId="736" priority="1359" stopIfTrue="1" operator="containsText" text="Poison">
      <formula>NOT(ISERROR(SEARCH("Poison",B2)))</formula>
    </cfRule>
    <cfRule type="containsText" dxfId="735" priority="1360" stopIfTrue="1" operator="containsText" text="Rock">
      <formula>NOT(ISERROR(SEARCH("Rock",B2)))</formula>
    </cfRule>
    <cfRule type="containsText" dxfId="734" priority="1361" stopIfTrue="1" operator="containsText" text="Steel">
      <formula>NOT(ISERROR(SEARCH("Steel",B2)))</formula>
    </cfRule>
    <cfRule type="containsText" dxfId="733" priority="1362" stopIfTrue="1" operator="containsText" text="Water">
      <formula>NOT(ISERROR(SEARCH("Water",B2)))</formula>
    </cfRule>
    <cfRule type="containsText" dxfId="732" priority="1363" stopIfTrue="1" operator="containsText" text="Status">
      <formula>NOT(ISERROR(SEARCH("Status",B2)))</formula>
    </cfRule>
    <cfRule type="containsText" dxfId="731" priority="1364" stopIfTrue="1" operator="containsText" text="Physical">
      <formula>NOT(ISERROR(SEARCH("Physical",B2)))</formula>
    </cfRule>
    <cfRule type="containsText" dxfId="730" priority="1365" stopIfTrue="1" operator="containsText" text="Special">
      <formula>NOT(ISERROR(SEARCH("Special",B2)))</formula>
    </cfRule>
    <cfRule type="containsText" dxfId="729" priority="1366" stopIfTrue="1" operator="containsText" text="Ghost">
      <formula>NOT(ISERROR(SEARCH("Ghost",B2)))</formula>
    </cfRule>
    <cfRule type="containsText" dxfId="728" priority="1367" stopIfTrue="1" operator="containsText" text="Psychic">
      <formula>NOT(ISERROR(SEARCH("Psychic",B2)))</formula>
    </cfRule>
    <cfRule type="containsText" dxfId="727" priority="1368" stopIfTrue="1" operator="containsText" text="Normal">
      <formula>NOT(ISERROR(SEARCH("Normal",B2)))</formula>
    </cfRule>
    <cfRule type="containsText" dxfId="726" priority="1369" stopIfTrue="1" operator="containsText" text="Fire">
      <formula>NOT(ISERROR(SEARCH("Fire",B2)))</formula>
    </cfRule>
    <cfRule type="containsText" dxfId="725" priority="1370" stopIfTrue="1" operator="containsText" text="Bug">
      <formula>NOT(ISERROR(SEARCH("Bug",B2)))</formula>
    </cfRule>
    <cfRule type="containsText" dxfId="724" priority="1371" stopIfTrue="1" operator="containsText" text="Dark">
      <formula>NOT(ISERROR(SEARCH("Dark",B2)))</formula>
    </cfRule>
    <cfRule type="containsText" dxfId="723" priority="1372" stopIfTrue="1" operator="containsText" text="Dragon">
      <formula>NOT(ISERROR(SEARCH("Dragon",B2)))</formula>
    </cfRule>
    <cfRule type="containsText" dxfId="722" priority="1373" stopIfTrue="1" operator="containsText" text="Electric">
      <formula>NOT(ISERROR(SEARCH("Electric",B2)))</formula>
    </cfRule>
    <cfRule type="containsText" dxfId="721" priority="1374" stopIfTrue="1" operator="containsText" text="Fairy">
      <formula>NOT(ISERROR(SEARCH("Fairy",B2)))</formula>
    </cfRule>
    <cfRule type="containsText" dxfId="720" priority="1375" stopIfTrue="1" operator="containsText" text="Fighting">
      <formula>NOT(ISERROR(SEARCH("Fighting",B2)))</formula>
    </cfRule>
    <cfRule type="containsText" dxfId="719" priority="1376" stopIfTrue="1" operator="containsText" text="Flying">
      <formula>NOT(ISERROR(SEARCH("Flying",B2)))</formula>
    </cfRule>
    <cfRule type="containsText" dxfId="718" priority="1377" stopIfTrue="1" operator="containsText" text="Grass">
      <formula>NOT(ISERROR(SEARCH("Grass",B2)))</formula>
    </cfRule>
    <cfRule type="containsText" dxfId="717" priority="1378" stopIfTrue="1" operator="containsText" text="Ground">
      <formula>NOT(ISERROR(SEARCH("Ground",B2)))</formula>
    </cfRule>
    <cfRule type="containsText" dxfId="716" priority="1379" stopIfTrue="1" operator="containsText" text="Ice">
      <formula>NOT(ISERROR(SEARCH("Ice",B2)))</formula>
    </cfRule>
    <cfRule type="containsText" dxfId="715" priority="1380" stopIfTrue="1" operator="containsText" text="Poison">
      <formula>NOT(ISERROR(SEARCH("Poison",B2)))</formula>
    </cfRule>
    <cfRule type="containsText" dxfId="714" priority="1381" stopIfTrue="1" operator="containsText" text="Rock">
      <formula>NOT(ISERROR(SEARCH("Rock",B2)))</formula>
    </cfRule>
    <cfRule type="containsText" dxfId="713" priority="1382" stopIfTrue="1" operator="containsText" text="Steel">
      <formula>NOT(ISERROR(SEARCH("Steel",B2)))</formula>
    </cfRule>
    <cfRule type="containsText" dxfId="712" priority="1383" stopIfTrue="1" operator="containsText" text="Water">
      <formula>NOT(ISERROR(SEARCH("Water",B2)))</formula>
    </cfRule>
    <cfRule type="containsText" dxfId="711" priority="1384" stopIfTrue="1" operator="containsText" text="Status">
      <formula>NOT(ISERROR(SEARCH("Status",B2)))</formula>
    </cfRule>
    <cfRule type="containsText" dxfId="710" priority="1385" stopIfTrue="1" operator="containsText" text="Physical">
      <formula>NOT(ISERROR(SEARCH("Physical",B2)))</formula>
    </cfRule>
    <cfRule type="containsText" dxfId="709" priority="1386" stopIfTrue="1" operator="containsText" text="Special">
      <formula>NOT(ISERROR(SEARCH("Special",B2)))</formula>
    </cfRule>
    <cfRule type="containsText" dxfId="708" priority="1387" stopIfTrue="1" operator="containsText" text="Ghost">
      <formula>NOT(ISERROR(SEARCH("Ghost",B2)))</formula>
    </cfRule>
    <cfRule type="containsText" dxfId="707" priority="1388" stopIfTrue="1" operator="containsText" text="Psychic">
      <formula>NOT(ISERROR(SEARCH("Psychic",B2)))</formula>
    </cfRule>
    <cfRule type="containsText" dxfId="706" priority="1389" stopIfTrue="1" operator="containsText" text="Normal">
      <formula>NOT(ISERROR(SEARCH("Normal",B2)))</formula>
    </cfRule>
    <cfRule type="containsText" dxfId="705" priority="1390" stopIfTrue="1" operator="containsText" text="Fire">
      <formula>NOT(ISERROR(SEARCH("Fire",B2)))</formula>
    </cfRule>
    <cfRule type="containsText" dxfId="704" priority="1391" stopIfTrue="1" operator="containsText" text="Bug">
      <formula>NOT(ISERROR(SEARCH("Bug",B2)))</formula>
    </cfRule>
    <cfRule type="containsText" dxfId="703" priority="1392" stopIfTrue="1" operator="containsText" text="Dark">
      <formula>NOT(ISERROR(SEARCH("Dark",B2)))</formula>
    </cfRule>
    <cfRule type="containsText" dxfId="702" priority="1393" stopIfTrue="1" operator="containsText" text="Dragon">
      <formula>NOT(ISERROR(SEARCH("Dragon",B2)))</formula>
    </cfRule>
    <cfRule type="containsText" dxfId="701" priority="1394" stopIfTrue="1" operator="containsText" text="Electric">
      <formula>NOT(ISERROR(SEARCH("Electric",B2)))</formula>
    </cfRule>
    <cfRule type="containsText" dxfId="700" priority="1395" stopIfTrue="1" operator="containsText" text="Fairy">
      <formula>NOT(ISERROR(SEARCH("Fairy",B2)))</formula>
    </cfRule>
    <cfRule type="containsText" dxfId="699" priority="1396" stopIfTrue="1" operator="containsText" text="Fighting">
      <formula>NOT(ISERROR(SEARCH("Fighting",B2)))</formula>
    </cfRule>
    <cfRule type="containsText" dxfId="698" priority="1397" stopIfTrue="1" operator="containsText" text="Flying">
      <formula>NOT(ISERROR(SEARCH("Flying",B2)))</formula>
    </cfRule>
    <cfRule type="containsText" dxfId="697" priority="1398" stopIfTrue="1" operator="containsText" text="Grass">
      <formula>NOT(ISERROR(SEARCH("Grass",B2)))</formula>
    </cfRule>
    <cfRule type="containsText" dxfId="696" priority="1399" stopIfTrue="1" operator="containsText" text="Ground">
      <formula>NOT(ISERROR(SEARCH("Ground",B2)))</formula>
    </cfRule>
    <cfRule type="containsText" dxfId="695" priority="1400" stopIfTrue="1" operator="containsText" text="Ice">
      <formula>NOT(ISERROR(SEARCH("Ice",B2)))</formula>
    </cfRule>
    <cfRule type="containsText" dxfId="694" priority="1401" stopIfTrue="1" operator="containsText" text="Poison">
      <formula>NOT(ISERROR(SEARCH("Poison",B2)))</formula>
    </cfRule>
    <cfRule type="containsText" dxfId="693" priority="1402" stopIfTrue="1" operator="containsText" text="Rock">
      <formula>NOT(ISERROR(SEARCH("Rock",B2)))</formula>
    </cfRule>
    <cfRule type="containsText" dxfId="692" priority="1403" stopIfTrue="1" operator="containsText" text="Steel">
      <formula>NOT(ISERROR(SEARCH("Steel",B2)))</formula>
    </cfRule>
    <cfRule type="containsText" dxfId="691" priority="1404" stopIfTrue="1" operator="containsText" text="Water">
      <formula>NOT(ISERROR(SEARCH("Water",B2)))</formula>
    </cfRule>
    <cfRule type="containsText" dxfId="690" priority="1405" stopIfTrue="1" operator="containsText" text="Status">
      <formula>NOT(ISERROR(SEARCH("Status",B2)))</formula>
    </cfRule>
    <cfRule type="containsText" dxfId="689" priority="1406" stopIfTrue="1" operator="containsText" text="Physical">
      <formula>NOT(ISERROR(SEARCH("Physical",B2)))</formula>
    </cfRule>
    <cfRule type="containsText" dxfId="688" priority="1407" stopIfTrue="1" operator="containsText" text="Special">
      <formula>NOT(ISERROR(SEARCH("Special",B2)))</formula>
    </cfRule>
    <cfRule type="containsText" dxfId="687" priority="1408" stopIfTrue="1" operator="containsText" text="Ghost">
      <formula>NOT(ISERROR(SEARCH("Ghost",B2)))</formula>
    </cfRule>
    <cfRule type="containsText" dxfId="686" priority="1409" stopIfTrue="1" operator="containsText" text="Psychic">
      <formula>NOT(ISERROR(SEARCH("Psychic",B2)))</formula>
    </cfRule>
    <cfRule type="containsText" dxfId="685" priority="1410" stopIfTrue="1" operator="containsText" text="Normal">
      <formula>NOT(ISERROR(SEARCH("Normal",B2)))</formula>
    </cfRule>
    <cfRule type="containsText" dxfId="684" priority="1411" stopIfTrue="1" operator="containsText" text="Fire">
      <formula>NOT(ISERROR(SEARCH("Fire",B2)))</formula>
    </cfRule>
    <cfRule type="containsText" dxfId="683" priority="1412" stopIfTrue="1" operator="containsText" text="Bug">
      <formula>NOT(ISERROR(SEARCH("Bug",B2)))</formula>
    </cfRule>
    <cfRule type="containsText" dxfId="682" priority="1413" stopIfTrue="1" operator="containsText" text="Dark">
      <formula>NOT(ISERROR(SEARCH("Dark",B2)))</formula>
    </cfRule>
    <cfRule type="containsText" dxfId="681" priority="1414" stopIfTrue="1" operator="containsText" text="Dragon">
      <formula>NOT(ISERROR(SEARCH("Dragon",B2)))</formula>
    </cfRule>
    <cfRule type="containsText" dxfId="680" priority="1415" stopIfTrue="1" operator="containsText" text="Electric">
      <formula>NOT(ISERROR(SEARCH("Electric",B2)))</formula>
    </cfRule>
    <cfRule type="containsText" dxfId="679" priority="1416" stopIfTrue="1" operator="containsText" text="Fairy">
      <formula>NOT(ISERROR(SEARCH("Fairy",B2)))</formula>
    </cfRule>
    <cfRule type="containsText" dxfId="678" priority="1417" stopIfTrue="1" operator="containsText" text="Fighting">
      <formula>NOT(ISERROR(SEARCH("Fighting",B2)))</formula>
    </cfRule>
    <cfRule type="containsText" dxfId="677" priority="1418" stopIfTrue="1" operator="containsText" text="Flying">
      <formula>NOT(ISERROR(SEARCH("Flying",B2)))</formula>
    </cfRule>
    <cfRule type="containsText" dxfId="676" priority="1419" stopIfTrue="1" operator="containsText" text="Grass">
      <formula>NOT(ISERROR(SEARCH("Grass",B2)))</formula>
    </cfRule>
    <cfRule type="containsText" dxfId="675" priority="1420" stopIfTrue="1" operator="containsText" text="Ground">
      <formula>NOT(ISERROR(SEARCH("Ground",B2)))</formula>
    </cfRule>
    <cfRule type="containsText" dxfId="674" priority="1421" stopIfTrue="1" operator="containsText" text="Ice">
      <formula>NOT(ISERROR(SEARCH("Ice",B2)))</formula>
    </cfRule>
    <cfRule type="containsText" dxfId="673" priority="1422" stopIfTrue="1" operator="containsText" text="Poison">
      <formula>NOT(ISERROR(SEARCH("Poison",B2)))</formula>
    </cfRule>
    <cfRule type="containsText" dxfId="672" priority="1423" stopIfTrue="1" operator="containsText" text="Rock">
      <formula>NOT(ISERROR(SEARCH("Rock",B2)))</formula>
    </cfRule>
    <cfRule type="containsText" dxfId="671" priority="1424" stopIfTrue="1" operator="containsText" text="Steel">
      <formula>NOT(ISERROR(SEARCH("Steel",B2)))</formula>
    </cfRule>
    <cfRule type="containsText" dxfId="670" priority="1425" stopIfTrue="1" operator="containsText" text="Water">
      <formula>NOT(ISERROR(SEARCH("Water",B2)))</formula>
    </cfRule>
    <cfRule type="containsText" dxfId="669" priority="1426" stopIfTrue="1" operator="containsText" text="Status">
      <formula>NOT(ISERROR(SEARCH("Status",B2)))</formula>
    </cfRule>
    <cfRule type="containsText" dxfId="668" priority="1427" stopIfTrue="1" operator="containsText" text="Physical">
      <formula>NOT(ISERROR(SEARCH("Physical",B2)))</formula>
    </cfRule>
    <cfRule type="containsText" dxfId="667" priority="1428" stopIfTrue="1" operator="containsText" text="Special">
      <formula>NOT(ISERROR(SEARCH("Special",B2)))</formula>
    </cfRule>
    <cfRule type="containsText" dxfId="666" priority="1429" stopIfTrue="1" operator="containsText" text="Ghost">
      <formula>NOT(ISERROR(SEARCH("Ghost",B2)))</formula>
    </cfRule>
    <cfRule type="containsText" dxfId="665" priority="1430" stopIfTrue="1" operator="containsText" text="Psychic">
      <formula>NOT(ISERROR(SEARCH("Psychic",B2)))</formula>
    </cfRule>
    <cfRule type="containsText" dxfId="664" priority="1431" stopIfTrue="1" operator="containsText" text="Normal">
      <formula>NOT(ISERROR(SEARCH("Normal",B2)))</formula>
    </cfRule>
    <cfRule type="containsText" dxfId="663" priority="1432" stopIfTrue="1" operator="containsText" text="Fire">
      <formula>NOT(ISERROR(SEARCH("Fire",B2)))</formula>
    </cfRule>
    <cfRule type="containsText" dxfId="662" priority="1433" stopIfTrue="1" operator="containsText" text="Bug">
      <formula>NOT(ISERROR(SEARCH("Bug",B2)))</formula>
    </cfRule>
    <cfRule type="containsText" dxfId="661" priority="1434" stopIfTrue="1" operator="containsText" text="Dark">
      <formula>NOT(ISERROR(SEARCH("Dark",B2)))</formula>
    </cfRule>
    <cfRule type="containsText" dxfId="660" priority="1435" stopIfTrue="1" operator="containsText" text="Dragon">
      <formula>NOT(ISERROR(SEARCH("Dragon",B2)))</formula>
    </cfRule>
    <cfRule type="containsText" dxfId="659" priority="1436" stopIfTrue="1" operator="containsText" text="Electric">
      <formula>NOT(ISERROR(SEARCH("Electric",B2)))</formula>
    </cfRule>
    <cfRule type="containsText" dxfId="658" priority="1437" stopIfTrue="1" operator="containsText" text="Fairy">
      <formula>NOT(ISERROR(SEARCH("Fairy",B2)))</formula>
    </cfRule>
    <cfRule type="containsText" dxfId="657" priority="1438" stopIfTrue="1" operator="containsText" text="Fighting">
      <formula>NOT(ISERROR(SEARCH("Fighting",B2)))</formula>
    </cfRule>
    <cfRule type="containsText" dxfId="656" priority="1439" stopIfTrue="1" operator="containsText" text="Flying">
      <formula>NOT(ISERROR(SEARCH("Flying",B2)))</formula>
    </cfRule>
    <cfRule type="containsText" dxfId="655" priority="1440" stopIfTrue="1" operator="containsText" text="Grass">
      <formula>NOT(ISERROR(SEARCH("Grass",B2)))</formula>
    </cfRule>
    <cfRule type="containsText" dxfId="654" priority="1441" stopIfTrue="1" operator="containsText" text="Ground">
      <formula>NOT(ISERROR(SEARCH("Ground",B2)))</formula>
    </cfRule>
    <cfRule type="containsText" dxfId="653" priority="1442" stopIfTrue="1" operator="containsText" text="Ice">
      <formula>NOT(ISERROR(SEARCH("Ice",B2)))</formula>
    </cfRule>
    <cfRule type="containsText" dxfId="652" priority="1443" stopIfTrue="1" operator="containsText" text="Poison">
      <formula>NOT(ISERROR(SEARCH("Poison",B2)))</formula>
    </cfRule>
    <cfRule type="containsText" dxfId="651" priority="1444" stopIfTrue="1" operator="containsText" text="Rock">
      <formula>NOT(ISERROR(SEARCH("Rock",B2)))</formula>
    </cfRule>
    <cfRule type="containsText" dxfId="650" priority="1445" stopIfTrue="1" operator="containsText" text="Steel">
      <formula>NOT(ISERROR(SEARCH("Steel",B2)))</formula>
    </cfRule>
    <cfRule type="containsText" dxfId="649" priority="1446" stopIfTrue="1" operator="containsText" text="Water">
      <formula>NOT(ISERROR(SEARCH("Water",B2)))</formula>
    </cfRule>
    <cfRule type="containsText" dxfId="648" priority="1447" stopIfTrue="1" operator="containsText" text="Status">
      <formula>NOT(ISERROR(SEARCH("Status",B2)))</formula>
    </cfRule>
    <cfRule type="containsText" dxfId="647" priority="1448" stopIfTrue="1" operator="containsText" text="Physical">
      <formula>NOT(ISERROR(SEARCH("Physical",B2)))</formula>
    </cfRule>
    <cfRule type="containsText" dxfId="646" priority="1449" stopIfTrue="1" operator="containsText" text="Special">
      <formula>NOT(ISERROR(SEARCH("Special",B2)))</formula>
    </cfRule>
    <cfRule type="containsText" dxfId="645" priority="1450" stopIfTrue="1" operator="containsText" text="Ghost">
      <formula>NOT(ISERROR(SEARCH("Ghost",B2)))</formula>
    </cfRule>
    <cfRule type="containsText" dxfId="644" priority="1451" stopIfTrue="1" operator="containsText" text="Psychic">
      <formula>NOT(ISERROR(SEARCH("Psychic",B2)))</formula>
    </cfRule>
    <cfRule type="containsText" dxfId="643" priority="1452" stopIfTrue="1" operator="containsText" text="Normal">
      <formula>NOT(ISERROR(SEARCH("Normal",B2)))</formula>
    </cfRule>
    <cfRule type="containsText" dxfId="642" priority="1453" stopIfTrue="1" operator="containsText" text="Fire">
      <formula>NOT(ISERROR(SEARCH("Fire",B2)))</formula>
    </cfRule>
    <cfRule type="containsText" dxfId="641" priority="1454" stopIfTrue="1" operator="containsText" text="Bug">
      <formula>NOT(ISERROR(SEARCH("Bug",B2)))</formula>
    </cfRule>
    <cfRule type="containsText" dxfId="640" priority="1455" stopIfTrue="1" operator="containsText" text="Dark">
      <formula>NOT(ISERROR(SEARCH("Dark",B2)))</formula>
    </cfRule>
    <cfRule type="containsText" dxfId="639" priority="1456" stopIfTrue="1" operator="containsText" text="Dragon">
      <formula>NOT(ISERROR(SEARCH("Dragon",B2)))</formula>
    </cfRule>
    <cfRule type="containsText" dxfId="638" priority="1457" stopIfTrue="1" operator="containsText" text="Electric">
      <formula>NOT(ISERROR(SEARCH("Electric",B2)))</formula>
    </cfRule>
    <cfRule type="containsText" dxfId="637" priority="1458" stopIfTrue="1" operator="containsText" text="Fairy">
      <formula>NOT(ISERROR(SEARCH("Fairy",B2)))</formula>
    </cfRule>
    <cfRule type="containsText" dxfId="636" priority="1459" stopIfTrue="1" operator="containsText" text="Fighting">
      <formula>NOT(ISERROR(SEARCH("Fighting",B2)))</formula>
    </cfRule>
    <cfRule type="containsText" dxfId="635" priority="1460" stopIfTrue="1" operator="containsText" text="Flying">
      <formula>NOT(ISERROR(SEARCH("Flying",B2)))</formula>
    </cfRule>
    <cfRule type="containsText" dxfId="634" priority="1461" stopIfTrue="1" operator="containsText" text="Grass">
      <formula>NOT(ISERROR(SEARCH("Grass",B2)))</formula>
    </cfRule>
    <cfRule type="containsText" dxfId="633" priority="1462" stopIfTrue="1" operator="containsText" text="Ground">
      <formula>NOT(ISERROR(SEARCH("Ground",B2)))</formula>
    </cfRule>
    <cfRule type="containsText" dxfId="632" priority="1463" stopIfTrue="1" operator="containsText" text="Ice">
      <formula>NOT(ISERROR(SEARCH("Ice",B2)))</formula>
    </cfRule>
    <cfRule type="containsText" dxfId="631" priority="1464" stopIfTrue="1" operator="containsText" text="Poison">
      <formula>NOT(ISERROR(SEARCH("Poison",B2)))</formula>
    </cfRule>
    <cfRule type="containsText" dxfId="630" priority="1465" stopIfTrue="1" operator="containsText" text="Rock">
      <formula>NOT(ISERROR(SEARCH("Rock",B2)))</formula>
    </cfRule>
    <cfRule type="containsText" dxfId="629" priority="1466" stopIfTrue="1" operator="containsText" text="Steel">
      <formula>NOT(ISERROR(SEARCH("Steel",B2)))</formula>
    </cfRule>
    <cfRule type="containsText" dxfId="628" priority="1467" stopIfTrue="1" operator="containsText" text="Water">
      <formula>NOT(ISERROR(SEARCH("Water",B2)))</formula>
    </cfRule>
    <cfRule type="containsText" dxfId="627" priority="1468" stopIfTrue="1" operator="containsText" text="Status">
      <formula>NOT(ISERROR(SEARCH("Status",B2)))</formula>
    </cfRule>
    <cfRule type="containsText" dxfId="626" priority="1469" stopIfTrue="1" operator="containsText" text="Physical">
      <formula>NOT(ISERROR(SEARCH("Physical",B2)))</formula>
    </cfRule>
    <cfRule type="containsText" dxfId="625" priority="1470" stopIfTrue="1" operator="containsText" text="Special">
      <formula>NOT(ISERROR(SEARCH("Special",B2)))</formula>
    </cfRule>
    <cfRule type="containsText" dxfId="624" priority="1471" stopIfTrue="1" operator="containsText" text="Ghost">
      <formula>NOT(ISERROR(SEARCH("Ghost",B2)))</formula>
    </cfRule>
    <cfRule type="containsText" dxfId="623" priority="1472" stopIfTrue="1" operator="containsText" text="Psychic">
      <formula>NOT(ISERROR(SEARCH("Psychic",B2)))</formula>
    </cfRule>
    <cfRule type="containsText" dxfId="622" priority="1473" stopIfTrue="1" operator="containsText" text="Normal">
      <formula>NOT(ISERROR(SEARCH("Normal",B2)))</formula>
    </cfRule>
    <cfRule type="containsText" dxfId="621" priority="1474" stopIfTrue="1" operator="containsText" text="Fire">
      <formula>NOT(ISERROR(SEARCH("Fire",B2)))</formula>
    </cfRule>
    <cfRule type="containsText" dxfId="620" priority="1475" stopIfTrue="1" operator="containsText" text="Bug">
      <formula>NOT(ISERROR(SEARCH("Bug",B2)))</formula>
    </cfRule>
    <cfRule type="containsText" dxfId="619" priority="1476" stopIfTrue="1" operator="containsText" text="Dark">
      <formula>NOT(ISERROR(SEARCH("Dark",B2)))</formula>
    </cfRule>
    <cfRule type="containsText" dxfId="618" priority="1477" stopIfTrue="1" operator="containsText" text="Dragon">
      <formula>NOT(ISERROR(SEARCH("Dragon",B2)))</formula>
    </cfRule>
    <cfRule type="containsText" dxfId="617" priority="1478" stopIfTrue="1" operator="containsText" text="Electric">
      <formula>NOT(ISERROR(SEARCH("Electric",B2)))</formula>
    </cfRule>
    <cfRule type="containsText" dxfId="616" priority="1479" stopIfTrue="1" operator="containsText" text="Fairy">
      <formula>NOT(ISERROR(SEARCH("Fairy",B2)))</formula>
    </cfRule>
    <cfRule type="containsText" dxfId="615" priority="1480" stopIfTrue="1" operator="containsText" text="Fighting">
      <formula>NOT(ISERROR(SEARCH("Fighting",B2)))</formula>
    </cfRule>
    <cfRule type="containsText" dxfId="614" priority="1481" stopIfTrue="1" operator="containsText" text="Flying">
      <formula>NOT(ISERROR(SEARCH("Flying",B2)))</formula>
    </cfRule>
    <cfRule type="containsText" dxfId="613" priority="1482" stopIfTrue="1" operator="containsText" text="Grass">
      <formula>NOT(ISERROR(SEARCH("Grass",B2)))</formula>
    </cfRule>
    <cfRule type="containsText" dxfId="612" priority="1483" stopIfTrue="1" operator="containsText" text="Ground">
      <formula>NOT(ISERROR(SEARCH("Ground",B2)))</formula>
    </cfRule>
    <cfRule type="containsText" dxfId="611" priority="1484" stopIfTrue="1" operator="containsText" text="Ice">
      <formula>NOT(ISERROR(SEARCH("Ice",B2)))</formula>
    </cfRule>
    <cfRule type="containsText" dxfId="610" priority="1485" stopIfTrue="1" operator="containsText" text="Poison">
      <formula>NOT(ISERROR(SEARCH("Poison",B2)))</formula>
    </cfRule>
    <cfRule type="containsText" dxfId="609" priority="1486" stopIfTrue="1" operator="containsText" text="Rock">
      <formula>NOT(ISERROR(SEARCH("Rock",B2)))</formula>
    </cfRule>
    <cfRule type="containsText" dxfId="608" priority="1487" stopIfTrue="1" operator="containsText" text="Steel">
      <formula>NOT(ISERROR(SEARCH("Steel",B2)))</formula>
    </cfRule>
    <cfRule type="containsText" dxfId="607" priority="1488" stopIfTrue="1" operator="containsText" text="Water">
      <formula>NOT(ISERROR(SEARCH("Water",B2)))</formula>
    </cfRule>
    <cfRule type="containsText" dxfId="606" priority="1489" stopIfTrue="1" operator="containsText" text="Status">
      <formula>NOT(ISERROR(SEARCH("Status",B2)))</formula>
    </cfRule>
    <cfRule type="containsText" dxfId="605" priority="1490" stopIfTrue="1" operator="containsText" text="Physical">
      <formula>NOT(ISERROR(SEARCH("Physical",B2)))</formula>
    </cfRule>
    <cfRule type="containsText" dxfId="604" priority="1491" stopIfTrue="1" operator="containsText" text="Special">
      <formula>NOT(ISERROR(SEARCH("Special",B2)))</formula>
    </cfRule>
    <cfRule type="containsText" dxfId="603" priority="1492" stopIfTrue="1" operator="containsText" text="Ghost">
      <formula>NOT(ISERROR(SEARCH("Ghost",B2)))</formula>
    </cfRule>
    <cfRule type="containsText" dxfId="602" priority="1493" stopIfTrue="1" operator="containsText" text="Psychic">
      <formula>NOT(ISERROR(SEARCH("Psychic",B2)))</formula>
    </cfRule>
    <cfRule type="containsText" dxfId="601" priority="1494" stopIfTrue="1" operator="containsText" text="Normal">
      <formula>NOT(ISERROR(SEARCH("Normal",B2)))</formula>
    </cfRule>
    <cfRule type="containsText" dxfId="600" priority="1495" stopIfTrue="1" operator="containsText" text="Fire">
      <formula>NOT(ISERROR(SEARCH("Fire",B2)))</formula>
    </cfRule>
    <cfRule type="containsText" dxfId="599" priority="1496" stopIfTrue="1" operator="containsText" text="Bug">
      <formula>NOT(ISERROR(SEARCH("Bug",B2)))</formula>
    </cfRule>
    <cfRule type="containsText" dxfId="598" priority="1497" stopIfTrue="1" operator="containsText" text="Dark">
      <formula>NOT(ISERROR(SEARCH("Dark",B2)))</formula>
    </cfRule>
    <cfRule type="containsText" dxfId="597" priority="1498" stopIfTrue="1" operator="containsText" text="Dragon">
      <formula>NOT(ISERROR(SEARCH("Dragon",B2)))</formula>
    </cfRule>
    <cfRule type="containsText" dxfId="596" priority="1499" stopIfTrue="1" operator="containsText" text="Electric">
      <formula>NOT(ISERROR(SEARCH("Electric",B2)))</formula>
    </cfRule>
    <cfRule type="containsText" dxfId="595" priority="1500" stopIfTrue="1" operator="containsText" text="Fairy">
      <formula>NOT(ISERROR(SEARCH("Fairy",B2)))</formula>
    </cfRule>
    <cfRule type="containsText" dxfId="594" priority="1501" stopIfTrue="1" operator="containsText" text="Fighting">
      <formula>NOT(ISERROR(SEARCH("Fighting",B2)))</formula>
    </cfRule>
    <cfRule type="containsText" dxfId="593" priority="1502" stopIfTrue="1" operator="containsText" text="Flying">
      <formula>NOT(ISERROR(SEARCH("Flying",B2)))</formula>
    </cfRule>
    <cfRule type="containsText" dxfId="592" priority="1503" stopIfTrue="1" operator="containsText" text="Grass">
      <formula>NOT(ISERROR(SEARCH("Grass",B2)))</formula>
    </cfRule>
    <cfRule type="containsText" dxfId="591" priority="1504" stopIfTrue="1" operator="containsText" text="Ground">
      <formula>NOT(ISERROR(SEARCH("Ground",B2)))</formula>
    </cfRule>
    <cfRule type="containsText" dxfId="590" priority="1505" stopIfTrue="1" operator="containsText" text="Ice">
      <formula>NOT(ISERROR(SEARCH("Ice",B2)))</formula>
    </cfRule>
    <cfRule type="containsText" dxfId="589" priority="1506" stopIfTrue="1" operator="containsText" text="Poison">
      <formula>NOT(ISERROR(SEARCH("Poison",B2)))</formula>
    </cfRule>
    <cfRule type="containsText" dxfId="588" priority="1507" stopIfTrue="1" operator="containsText" text="Rock">
      <formula>NOT(ISERROR(SEARCH("Rock",B2)))</formula>
    </cfRule>
    <cfRule type="containsText" dxfId="587" priority="1508" stopIfTrue="1" operator="containsText" text="Steel">
      <formula>NOT(ISERROR(SEARCH("Steel",B2)))</formula>
    </cfRule>
    <cfRule type="containsText" dxfId="586" priority="1509" stopIfTrue="1" operator="containsText" text="Water">
      <formula>NOT(ISERROR(SEARCH("Water",B2)))</formula>
    </cfRule>
    <cfRule type="containsText" dxfId="585" priority="1510" stopIfTrue="1" operator="containsText" text="Status">
      <formula>NOT(ISERROR(SEARCH("Status",B2)))</formula>
    </cfRule>
    <cfRule type="containsText" dxfId="584" priority="1511" stopIfTrue="1" operator="containsText" text="Physical">
      <formula>NOT(ISERROR(SEARCH("Physical",B2)))</formula>
    </cfRule>
    <cfRule type="containsText" dxfId="583" priority="1512" stopIfTrue="1" operator="containsText" text="Special">
      <formula>NOT(ISERROR(SEARCH("Special",B2)))</formula>
    </cfRule>
    <cfRule type="containsText" dxfId="582" priority="1513" stopIfTrue="1" operator="containsText" text="Ghost">
      <formula>NOT(ISERROR(SEARCH("Ghost",B2)))</formula>
    </cfRule>
    <cfRule type="containsText" dxfId="581" priority="1514" stopIfTrue="1" operator="containsText" text="Psychic">
      <formula>NOT(ISERROR(SEARCH("Psychic",B2)))</formula>
    </cfRule>
    <cfRule type="containsText" dxfId="580" priority="1515" stopIfTrue="1" operator="containsText" text="Normal">
      <formula>NOT(ISERROR(SEARCH("Normal",B2)))</formula>
    </cfRule>
    <cfRule type="containsText" dxfId="579" priority="1516" stopIfTrue="1" operator="containsText" text="Fire">
      <formula>NOT(ISERROR(SEARCH("Fire",B2)))</formula>
    </cfRule>
    <cfRule type="containsText" dxfId="578" priority="1517" stopIfTrue="1" operator="containsText" text="Bug">
      <formula>NOT(ISERROR(SEARCH("Bug",B2)))</formula>
    </cfRule>
    <cfRule type="containsText" dxfId="577" priority="1518" stopIfTrue="1" operator="containsText" text="Dark">
      <formula>NOT(ISERROR(SEARCH("Dark",B2)))</formula>
    </cfRule>
    <cfRule type="containsText" dxfId="576" priority="1519" stopIfTrue="1" operator="containsText" text="Dragon">
      <formula>NOT(ISERROR(SEARCH("Dragon",B2)))</formula>
    </cfRule>
    <cfRule type="containsText" dxfId="575" priority="1520" stopIfTrue="1" operator="containsText" text="Electric">
      <formula>NOT(ISERROR(SEARCH("Electric",B2)))</formula>
    </cfRule>
    <cfRule type="containsText" dxfId="574" priority="1521" stopIfTrue="1" operator="containsText" text="Fairy">
      <formula>NOT(ISERROR(SEARCH("Fairy",B2)))</formula>
    </cfRule>
    <cfRule type="containsText" dxfId="573" priority="1522" stopIfTrue="1" operator="containsText" text="Fighting">
      <formula>NOT(ISERROR(SEARCH("Fighting",B2)))</formula>
    </cfRule>
    <cfRule type="containsText" dxfId="572" priority="1523" stopIfTrue="1" operator="containsText" text="Flying">
      <formula>NOT(ISERROR(SEARCH("Flying",B2)))</formula>
    </cfRule>
    <cfRule type="containsText" dxfId="571" priority="1524" stopIfTrue="1" operator="containsText" text="Grass">
      <formula>NOT(ISERROR(SEARCH("Grass",B2)))</formula>
    </cfRule>
    <cfRule type="containsText" dxfId="570" priority="1525" stopIfTrue="1" operator="containsText" text="Ground">
      <formula>NOT(ISERROR(SEARCH("Ground",B2)))</formula>
    </cfRule>
    <cfRule type="containsText" dxfId="569" priority="1526" stopIfTrue="1" operator="containsText" text="Ice">
      <formula>NOT(ISERROR(SEARCH("Ice",B2)))</formula>
    </cfRule>
    <cfRule type="containsText" dxfId="568" priority="1527" stopIfTrue="1" operator="containsText" text="Poison">
      <formula>NOT(ISERROR(SEARCH("Poison",B2)))</formula>
    </cfRule>
    <cfRule type="containsText" dxfId="567" priority="1528" stopIfTrue="1" operator="containsText" text="Rock">
      <formula>NOT(ISERROR(SEARCH("Rock",B2)))</formula>
    </cfRule>
    <cfRule type="containsText" dxfId="566" priority="1529" stopIfTrue="1" operator="containsText" text="Steel">
      <formula>NOT(ISERROR(SEARCH("Steel",B2)))</formula>
    </cfRule>
    <cfRule type="containsText" dxfId="565" priority="1530" stopIfTrue="1" operator="containsText" text="Water">
      <formula>NOT(ISERROR(SEARCH("Water",B2)))</formula>
    </cfRule>
    <cfRule type="containsText" dxfId="564" priority="1531" stopIfTrue="1" operator="containsText" text="Status">
      <formula>NOT(ISERROR(SEARCH("Status",B2)))</formula>
    </cfRule>
    <cfRule type="containsText" dxfId="563" priority="1532" stopIfTrue="1" operator="containsText" text="Physical">
      <formula>NOT(ISERROR(SEARCH("Physical",B2)))</formula>
    </cfRule>
    <cfRule type="containsText" dxfId="562" priority="1533" stopIfTrue="1" operator="containsText" text="Special">
      <formula>NOT(ISERROR(SEARCH("Special",B2)))</formula>
    </cfRule>
    <cfRule type="containsText" dxfId="561" priority="1534" stopIfTrue="1" operator="containsText" text="Ghost">
      <formula>NOT(ISERROR(SEARCH("Ghost",B2)))</formula>
    </cfRule>
    <cfRule type="containsText" dxfId="560" priority="1535" stopIfTrue="1" operator="containsText" text="Psychic">
      <formula>NOT(ISERROR(SEARCH("Psychic",B2)))</formula>
    </cfRule>
    <cfRule type="containsText" dxfId="559" priority="1536" stopIfTrue="1" operator="containsText" text="Normal">
      <formula>NOT(ISERROR(SEARCH("Normal",B2)))</formula>
    </cfRule>
    <cfRule type="containsText" dxfId="558" priority="1537" stopIfTrue="1" operator="containsText" text="Fire">
      <formula>NOT(ISERROR(SEARCH("Fire",B2)))</formula>
    </cfRule>
    <cfRule type="containsText" dxfId="557" priority="1538" stopIfTrue="1" operator="containsText" text="Bug">
      <formula>NOT(ISERROR(SEARCH("Bug",B2)))</formula>
    </cfRule>
    <cfRule type="containsText" dxfId="556" priority="1539" stopIfTrue="1" operator="containsText" text="Dark">
      <formula>NOT(ISERROR(SEARCH("Dark",B2)))</formula>
    </cfRule>
    <cfRule type="containsText" dxfId="555" priority="1540" stopIfTrue="1" operator="containsText" text="Dragon">
      <formula>NOT(ISERROR(SEARCH("Dragon",B2)))</formula>
    </cfRule>
    <cfRule type="containsText" dxfId="554" priority="1541" stopIfTrue="1" operator="containsText" text="Electric">
      <formula>NOT(ISERROR(SEARCH("Electric",B2)))</formula>
    </cfRule>
    <cfRule type="containsText" dxfId="553" priority="1542" stopIfTrue="1" operator="containsText" text="Fairy">
      <formula>NOT(ISERROR(SEARCH("Fairy",B2)))</formula>
    </cfRule>
    <cfRule type="containsText" dxfId="552" priority="1543" stopIfTrue="1" operator="containsText" text="Fighting">
      <formula>NOT(ISERROR(SEARCH("Fighting",B2)))</formula>
    </cfRule>
    <cfRule type="containsText" dxfId="551" priority="1544" stopIfTrue="1" operator="containsText" text="Flying">
      <formula>NOT(ISERROR(SEARCH("Flying",B2)))</formula>
    </cfRule>
    <cfRule type="containsText" dxfId="550" priority="1545" stopIfTrue="1" operator="containsText" text="Grass">
      <formula>NOT(ISERROR(SEARCH("Grass",B2)))</formula>
    </cfRule>
    <cfRule type="containsText" dxfId="549" priority="1546" stopIfTrue="1" operator="containsText" text="Ground">
      <formula>NOT(ISERROR(SEARCH("Ground",B2)))</formula>
    </cfRule>
    <cfRule type="containsText" dxfId="548" priority="1547" stopIfTrue="1" operator="containsText" text="Ice">
      <formula>NOT(ISERROR(SEARCH("Ice",B2)))</formula>
    </cfRule>
    <cfRule type="containsText" dxfId="547" priority="1548" stopIfTrue="1" operator="containsText" text="Poison">
      <formula>NOT(ISERROR(SEARCH("Poison",B2)))</formula>
    </cfRule>
    <cfRule type="containsText" dxfId="546" priority="1549" stopIfTrue="1" operator="containsText" text="Rock">
      <formula>NOT(ISERROR(SEARCH("Rock",B2)))</formula>
    </cfRule>
    <cfRule type="containsText" dxfId="545" priority="1550" stopIfTrue="1" operator="containsText" text="Steel">
      <formula>NOT(ISERROR(SEARCH("Steel",B2)))</formula>
    </cfRule>
    <cfRule type="containsText" dxfId="544" priority="1551" stopIfTrue="1" operator="containsText" text="Water">
      <formula>NOT(ISERROR(SEARCH("Water",B2)))</formula>
    </cfRule>
    <cfRule type="containsText" dxfId="543" priority="1552" stopIfTrue="1" operator="containsText" text="Status">
      <formula>NOT(ISERROR(SEARCH("Status",B2)))</formula>
    </cfRule>
    <cfRule type="containsText" dxfId="542" priority="1553" stopIfTrue="1" operator="containsText" text="Physical">
      <formula>NOT(ISERROR(SEARCH("Physical",B2)))</formula>
    </cfRule>
    <cfRule type="containsText" dxfId="541" priority="1554" stopIfTrue="1" operator="containsText" text="Special">
      <formula>NOT(ISERROR(SEARCH("Special",B2)))</formula>
    </cfRule>
    <cfRule type="containsText" dxfId="540" priority="1555" stopIfTrue="1" operator="containsText" text="Ghost">
      <formula>NOT(ISERROR(SEARCH("Ghost",B2)))</formula>
    </cfRule>
    <cfRule type="containsText" dxfId="539" priority="1556" stopIfTrue="1" operator="containsText" text="Psychic">
      <formula>NOT(ISERROR(SEARCH("Psychic",B2)))</formula>
    </cfRule>
    <cfRule type="containsText" dxfId="538" priority="1557" stopIfTrue="1" operator="containsText" text="Normal">
      <formula>NOT(ISERROR(SEARCH("Normal",B2)))</formula>
    </cfRule>
    <cfRule type="containsText" dxfId="537" priority="1558" stopIfTrue="1" operator="containsText" text="Fire">
      <formula>NOT(ISERROR(SEARCH("Fire",B2)))</formula>
    </cfRule>
    <cfRule type="containsText" dxfId="536" priority="1559" stopIfTrue="1" operator="containsText" text="Bug">
      <formula>NOT(ISERROR(SEARCH("Bug",B2)))</formula>
    </cfRule>
    <cfRule type="containsText" dxfId="535" priority="1560" stopIfTrue="1" operator="containsText" text="Dark">
      <formula>NOT(ISERROR(SEARCH("Dark",B2)))</formula>
    </cfRule>
    <cfRule type="containsText" dxfId="534" priority="1561" stopIfTrue="1" operator="containsText" text="Dragon">
      <formula>NOT(ISERROR(SEARCH("Dragon",B2)))</formula>
    </cfRule>
    <cfRule type="containsText" dxfId="533" priority="1562" stopIfTrue="1" operator="containsText" text="Electric">
      <formula>NOT(ISERROR(SEARCH("Electric",B2)))</formula>
    </cfRule>
    <cfRule type="containsText" dxfId="532" priority="1563" stopIfTrue="1" operator="containsText" text="Fairy">
      <formula>NOT(ISERROR(SEARCH("Fairy",B2)))</formula>
    </cfRule>
    <cfRule type="containsText" dxfId="531" priority="1564" stopIfTrue="1" operator="containsText" text="Fighting">
      <formula>NOT(ISERROR(SEARCH("Fighting",B2)))</formula>
    </cfRule>
    <cfRule type="containsText" dxfId="530" priority="1565" stopIfTrue="1" operator="containsText" text="Flying">
      <formula>NOT(ISERROR(SEARCH("Flying",B2)))</formula>
    </cfRule>
    <cfRule type="containsText" dxfId="529" priority="1566" stopIfTrue="1" operator="containsText" text="Grass">
      <formula>NOT(ISERROR(SEARCH("Grass",B2)))</formula>
    </cfRule>
    <cfRule type="containsText" dxfId="528" priority="1567" stopIfTrue="1" operator="containsText" text="Ground">
      <formula>NOT(ISERROR(SEARCH("Ground",B2)))</formula>
    </cfRule>
    <cfRule type="containsText" dxfId="527" priority="1568" stopIfTrue="1" operator="containsText" text="Ice">
      <formula>NOT(ISERROR(SEARCH("Ice",B2)))</formula>
    </cfRule>
    <cfRule type="containsText" dxfId="526" priority="1569" stopIfTrue="1" operator="containsText" text="Poison">
      <formula>NOT(ISERROR(SEARCH("Poison",B2)))</formula>
    </cfRule>
    <cfRule type="containsText" dxfId="525" priority="1570" stopIfTrue="1" operator="containsText" text="Rock">
      <formula>NOT(ISERROR(SEARCH("Rock",B2)))</formula>
    </cfRule>
    <cfRule type="containsText" dxfId="524" priority="1571" stopIfTrue="1" operator="containsText" text="Steel">
      <formula>NOT(ISERROR(SEARCH("Steel",B2)))</formula>
    </cfRule>
    <cfRule type="containsText" dxfId="523" priority="1572" stopIfTrue="1" operator="containsText" text="Water">
      <formula>NOT(ISERROR(SEARCH("Water",B2)))</formula>
    </cfRule>
    <cfRule type="containsText" dxfId="522" priority="1573" stopIfTrue="1" operator="containsText" text="Status">
      <formula>NOT(ISERROR(SEARCH("Status",B2)))</formula>
    </cfRule>
    <cfRule type="containsText" dxfId="521" priority="1574" stopIfTrue="1" operator="containsText" text="Physical">
      <formula>NOT(ISERROR(SEARCH("Physical",B2)))</formula>
    </cfRule>
    <cfRule type="containsText" dxfId="520" priority="1575" stopIfTrue="1" operator="containsText" text="Special">
      <formula>NOT(ISERROR(SEARCH("Special",B2)))</formula>
    </cfRule>
    <cfRule type="containsText" dxfId="519" priority="1576" stopIfTrue="1" operator="containsText" text="Ghost">
      <formula>NOT(ISERROR(SEARCH("Ghost",B2)))</formula>
    </cfRule>
    <cfRule type="containsText" dxfId="518" priority="1577" stopIfTrue="1" operator="containsText" text="Psychic">
      <formula>NOT(ISERROR(SEARCH("Psychic",B2)))</formula>
    </cfRule>
    <cfRule type="containsText" dxfId="517" priority="1578" stopIfTrue="1" operator="containsText" text="Normal">
      <formula>NOT(ISERROR(SEARCH("Normal",B2)))</formula>
    </cfRule>
    <cfRule type="containsText" dxfId="516" priority="1579" stopIfTrue="1" operator="containsText" text="Fire">
      <formula>NOT(ISERROR(SEARCH("Fire",B2)))</formula>
    </cfRule>
    <cfRule type="containsText" dxfId="515" priority="1580" stopIfTrue="1" operator="containsText" text="Bug">
      <formula>NOT(ISERROR(SEARCH("Bug",B2)))</formula>
    </cfRule>
    <cfRule type="containsText" dxfId="514" priority="1581" stopIfTrue="1" operator="containsText" text="Dark">
      <formula>NOT(ISERROR(SEARCH("Dark",B2)))</formula>
    </cfRule>
    <cfRule type="containsText" dxfId="513" priority="1582" stopIfTrue="1" operator="containsText" text="Dragon">
      <formula>NOT(ISERROR(SEARCH("Dragon",B2)))</formula>
    </cfRule>
    <cfRule type="containsText" dxfId="512" priority="1583" stopIfTrue="1" operator="containsText" text="Electric">
      <formula>NOT(ISERROR(SEARCH("Electric",B2)))</formula>
    </cfRule>
    <cfRule type="containsText" dxfId="511" priority="1584" stopIfTrue="1" operator="containsText" text="Fairy">
      <formula>NOT(ISERROR(SEARCH("Fairy",B2)))</formula>
    </cfRule>
    <cfRule type="containsText" dxfId="510" priority="1585" stopIfTrue="1" operator="containsText" text="Fighting">
      <formula>NOT(ISERROR(SEARCH("Fighting",B2)))</formula>
    </cfRule>
    <cfRule type="containsText" dxfId="509" priority="1586" stopIfTrue="1" operator="containsText" text="Flying">
      <formula>NOT(ISERROR(SEARCH("Flying",B2)))</formula>
    </cfRule>
    <cfRule type="containsText" dxfId="508" priority="1587" stopIfTrue="1" operator="containsText" text="Grass">
      <formula>NOT(ISERROR(SEARCH("Grass",B2)))</formula>
    </cfRule>
    <cfRule type="containsText" dxfId="507" priority="1588" stopIfTrue="1" operator="containsText" text="Ground">
      <formula>NOT(ISERROR(SEARCH("Ground",B2)))</formula>
    </cfRule>
    <cfRule type="containsText" dxfId="506" priority="1589" stopIfTrue="1" operator="containsText" text="Ice">
      <formula>NOT(ISERROR(SEARCH("Ice",B2)))</formula>
    </cfRule>
    <cfRule type="containsText" dxfId="505" priority="1590" stopIfTrue="1" operator="containsText" text="Poison">
      <formula>NOT(ISERROR(SEARCH("Poison",B2)))</formula>
    </cfRule>
    <cfRule type="containsText" dxfId="504" priority="1591" stopIfTrue="1" operator="containsText" text="Rock">
      <formula>NOT(ISERROR(SEARCH("Rock",B2)))</formula>
    </cfRule>
    <cfRule type="containsText" dxfId="503" priority="1592" stopIfTrue="1" operator="containsText" text="Steel">
      <formula>NOT(ISERROR(SEARCH("Steel",B2)))</formula>
    </cfRule>
    <cfRule type="containsText" dxfId="502" priority="1593" stopIfTrue="1" operator="containsText" text="Water">
      <formula>NOT(ISERROR(SEARCH("Water",B2)))</formula>
    </cfRule>
    <cfRule type="containsText" dxfId="501" priority="1594" stopIfTrue="1" operator="containsText" text="Status">
      <formula>NOT(ISERROR(SEARCH("Status",B2)))</formula>
    </cfRule>
    <cfRule type="containsText" dxfId="500" priority="1595" stopIfTrue="1" operator="containsText" text="Physical">
      <formula>NOT(ISERROR(SEARCH("Physical",B2)))</formula>
    </cfRule>
    <cfRule type="containsText" dxfId="499" priority="1596" stopIfTrue="1" operator="containsText" text="Special">
      <formula>NOT(ISERROR(SEARCH("Special",B2)))</formula>
    </cfRule>
    <cfRule type="containsText" dxfId="498" priority="1597" stopIfTrue="1" operator="containsText" text="Ghost">
      <formula>NOT(ISERROR(SEARCH("Ghost",B2)))</formula>
    </cfRule>
    <cfRule type="containsText" dxfId="497" priority="1598" stopIfTrue="1" operator="containsText" text="Psychic">
      <formula>NOT(ISERROR(SEARCH("Psychic",B2)))</formula>
    </cfRule>
    <cfRule type="containsText" dxfId="496" priority="1599" stopIfTrue="1" operator="containsText" text="Normal">
      <formula>NOT(ISERROR(SEARCH("Normal",B2)))</formula>
    </cfRule>
    <cfRule type="containsText" dxfId="495" priority="1600" stopIfTrue="1" operator="containsText" text="Fire">
      <formula>NOT(ISERROR(SEARCH("Fire",B2)))</formula>
    </cfRule>
    <cfRule type="containsText" dxfId="494" priority="1601" stopIfTrue="1" operator="containsText" text="Bug">
      <formula>NOT(ISERROR(SEARCH("Bug",B2)))</formula>
    </cfRule>
    <cfRule type="containsText" dxfId="493" priority="1602" stopIfTrue="1" operator="containsText" text="Dark">
      <formula>NOT(ISERROR(SEARCH("Dark",B2)))</formula>
    </cfRule>
    <cfRule type="containsText" dxfId="492" priority="1603" stopIfTrue="1" operator="containsText" text="Dragon">
      <formula>NOT(ISERROR(SEARCH("Dragon",B2)))</formula>
    </cfRule>
    <cfRule type="containsText" dxfId="491" priority="1604" stopIfTrue="1" operator="containsText" text="Electric">
      <formula>NOT(ISERROR(SEARCH("Electric",B2)))</formula>
    </cfRule>
    <cfRule type="containsText" dxfId="490" priority="1605" stopIfTrue="1" operator="containsText" text="Fairy">
      <formula>NOT(ISERROR(SEARCH("Fairy",B2)))</formula>
    </cfRule>
    <cfRule type="containsText" dxfId="489" priority="1606" stopIfTrue="1" operator="containsText" text="Fighting">
      <formula>NOT(ISERROR(SEARCH("Fighting",B2)))</formula>
    </cfRule>
    <cfRule type="containsText" dxfId="488" priority="1607" stopIfTrue="1" operator="containsText" text="Flying">
      <formula>NOT(ISERROR(SEARCH("Flying",B2)))</formula>
    </cfRule>
    <cfRule type="containsText" dxfId="487" priority="1608" stopIfTrue="1" operator="containsText" text="Grass">
      <formula>NOT(ISERROR(SEARCH("Grass",B2)))</formula>
    </cfRule>
    <cfRule type="containsText" dxfId="486" priority="1609" stopIfTrue="1" operator="containsText" text="Ground">
      <formula>NOT(ISERROR(SEARCH("Ground",B2)))</formula>
    </cfRule>
    <cfRule type="containsText" dxfId="485" priority="1610" stopIfTrue="1" operator="containsText" text="Ice">
      <formula>NOT(ISERROR(SEARCH("Ice",B2)))</formula>
    </cfRule>
    <cfRule type="containsText" dxfId="484" priority="1611" stopIfTrue="1" operator="containsText" text="Poison">
      <formula>NOT(ISERROR(SEARCH("Poison",B2)))</formula>
    </cfRule>
    <cfRule type="containsText" dxfId="483" priority="1612" stopIfTrue="1" operator="containsText" text="Rock">
      <formula>NOT(ISERROR(SEARCH("Rock",B2)))</formula>
    </cfRule>
    <cfRule type="containsText" dxfId="482" priority="1613" stopIfTrue="1" operator="containsText" text="Steel">
      <formula>NOT(ISERROR(SEARCH("Steel",B2)))</formula>
    </cfRule>
    <cfRule type="containsText" dxfId="481" priority="1614" stopIfTrue="1" operator="containsText" text="Water">
      <formula>NOT(ISERROR(SEARCH("Water",B2)))</formula>
    </cfRule>
    <cfRule type="containsText" dxfId="480" priority="1615" stopIfTrue="1" operator="containsText" text="Status">
      <formula>NOT(ISERROR(SEARCH("Status",B2)))</formula>
    </cfRule>
    <cfRule type="containsText" dxfId="479" priority="1616" stopIfTrue="1" operator="containsText" text="Physical">
      <formula>NOT(ISERROR(SEARCH("Physical",B2)))</formula>
    </cfRule>
    <cfRule type="containsText" dxfId="478" priority="1617" stopIfTrue="1" operator="containsText" text="Special">
      <formula>NOT(ISERROR(SEARCH("Special",B2)))</formula>
    </cfRule>
    <cfRule type="containsText" dxfId="477" priority="1618" stopIfTrue="1" operator="containsText" text="Ghost">
      <formula>NOT(ISERROR(SEARCH("Ghost",B2)))</formula>
    </cfRule>
    <cfRule type="containsText" dxfId="476" priority="1619" stopIfTrue="1" operator="containsText" text="Psychic">
      <formula>NOT(ISERROR(SEARCH("Psychic",B2)))</formula>
    </cfRule>
    <cfRule type="containsText" dxfId="475" priority="1620" stopIfTrue="1" operator="containsText" text="Normal">
      <formula>NOT(ISERROR(SEARCH("Normal",B2)))</formula>
    </cfRule>
    <cfRule type="containsText" dxfId="474" priority="1621" stopIfTrue="1" operator="containsText" text="Fire">
      <formula>NOT(ISERROR(SEARCH("Fire",B2)))</formula>
    </cfRule>
    <cfRule type="containsText" dxfId="473" priority="1622" stopIfTrue="1" operator="containsText" text="Bug">
      <formula>NOT(ISERROR(SEARCH("Bug",B2)))</formula>
    </cfRule>
    <cfRule type="containsText" dxfId="472" priority="1623" stopIfTrue="1" operator="containsText" text="Dark">
      <formula>NOT(ISERROR(SEARCH("Dark",B2)))</formula>
    </cfRule>
    <cfRule type="containsText" dxfId="471" priority="1624" stopIfTrue="1" operator="containsText" text="Dragon">
      <formula>NOT(ISERROR(SEARCH("Dragon",B2)))</formula>
    </cfRule>
    <cfRule type="containsText" dxfId="470" priority="1625" stopIfTrue="1" operator="containsText" text="Electric">
      <formula>NOT(ISERROR(SEARCH("Electric",B2)))</formula>
    </cfRule>
    <cfRule type="containsText" dxfId="469" priority="1626" stopIfTrue="1" operator="containsText" text="Fairy">
      <formula>NOT(ISERROR(SEARCH("Fairy",B2)))</formula>
    </cfRule>
    <cfRule type="containsText" dxfId="468" priority="1627" stopIfTrue="1" operator="containsText" text="Fighting">
      <formula>NOT(ISERROR(SEARCH("Fighting",B2)))</formula>
    </cfRule>
    <cfRule type="containsText" dxfId="467" priority="1628" stopIfTrue="1" operator="containsText" text="Flying">
      <formula>NOT(ISERROR(SEARCH("Flying",B2)))</formula>
    </cfRule>
    <cfRule type="containsText" dxfId="466" priority="1629" stopIfTrue="1" operator="containsText" text="Grass">
      <formula>NOT(ISERROR(SEARCH("Grass",B2)))</formula>
    </cfRule>
    <cfRule type="containsText" dxfId="465" priority="1630" stopIfTrue="1" operator="containsText" text="Ground">
      <formula>NOT(ISERROR(SEARCH("Ground",B2)))</formula>
    </cfRule>
    <cfRule type="containsText" dxfId="464" priority="1631" stopIfTrue="1" operator="containsText" text="Ice">
      <formula>NOT(ISERROR(SEARCH("Ice",B2)))</formula>
    </cfRule>
    <cfRule type="containsText" dxfId="463" priority="1632" stopIfTrue="1" operator="containsText" text="Poison">
      <formula>NOT(ISERROR(SEARCH("Poison",B2)))</formula>
    </cfRule>
    <cfRule type="containsText" dxfId="462" priority="1633" stopIfTrue="1" operator="containsText" text="Rock">
      <formula>NOT(ISERROR(SEARCH("Rock",B2)))</formula>
    </cfRule>
    <cfRule type="containsText" dxfId="461" priority="1634" stopIfTrue="1" operator="containsText" text="Steel">
      <formula>NOT(ISERROR(SEARCH("Steel",B2)))</formula>
    </cfRule>
    <cfRule type="containsText" dxfId="460" priority="1635" stopIfTrue="1" operator="containsText" text="Water">
      <formula>NOT(ISERROR(SEARCH("Water",B2)))</formula>
    </cfRule>
    <cfRule type="containsText" dxfId="459" priority="1636" stopIfTrue="1" operator="containsText" text="Status">
      <formula>NOT(ISERROR(SEARCH("Status",B2)))</formula>
    </cfRule>
    <cfRule type="containsText" dxfId="458" priority="1637" stopIfTrue="1" operator="containsText" text="Physical">
      <formula>NOT(ISERROR(SEARCH("Physical",B2)))</formula>
    </cfRule>
    <cfRule type="containsText" dxfId="457" priority="1638" stopIfTrue="1" operator="containsText" text="Special">
      <formula>NOT(ISERROR(SEARCH("Special",B2)))</formula>
    </cfRule>
    <cfRule type="containsText" dxfId="456" priority="1639" stopIfTrue="1" operator="containsText" text="Ghost">
      <formula>NOT(ISERROR(SEARCH("Ghost",B2)))</formula>
    </cfRule>
    <cfRule type="containsText" dxfId="455" priority="1640" stopIfTrue="1" operator="containsText" text="Psychic">
      <formula>NOT(ISERROR(SEARCH("Psychic",B2)))</formula>
    </cfRule>
    <cfRule type="containsText" dxfId="454" priority="1641" stopIfTrue="1" operator="containsText" text="Normal">
      <formula>NOT(ISERROR(SEARCH("Normal",B2)))</formula>
    </cfRule>
    <cfRule type="containsText" dxfId="453" priority="1642" stopIfTrue="1" operator="containsText" text="Fire">
      <formula>NOT(ISERROR(SEARCH("Fire",B2)))</formula>
    </cfRule>
    <cfRule type="containsText" dxfId="452" priority="1643" stopIfTrue="1" operator="containsText" text="Bug">
      <formula>NOT(ISERROR(SEARCH("Bug",B2)))</formula>
    </cfRule>
    <cfRule type="containsText" dxfId="451" priority="1644" stopIfTrue="1" operator="containsText" text="Dark">
      <formula>NOT(ISERROR(SEARCH("Dark",B2)))</formula>
    </cfRule>
    <cfRule type="containsText" dxfId="450" priority="1645" stopIfTrue="1" operator="containsText" text="Dragon">
      <formula>NOT(ISERROR(SEARCH("Dragon",B2)))</formula>
    </cfRule>
    <cfRule type="containsText" dxfId="449" priority="1646" stopIfTrue="1" operator="containsText" text="Electric">
      <formula>NOT(ISERROR(SEARCH("Electric",B2)))</formula>
    </cfRule>
    <cfRule type="containsText" dxfId="448" priority="1647" stopIfTrue="1" operator="containsText" text="Fairy">
      <formula>NOT(ISERROR(SEARCH("Fairy",B2)))</formula>
    </cfRule>
    <cfRule type="containsText" dxfId="447" priority="1648" stopIfTrue="1" operator="containsText" text="Fighting">
      <formula>NOT(ISERROR(SEARCH("Fighting",B2)))</formula>
    </cfRule>
    <cfRule type="containsText" dxfId="446" priority="1649" stopIfTrue="1" operator="containsText" text="Flying">
      <formula>NOT(ISERROR(SEARCH("Flying",B2)))</formula>
    </cfRule>
    <cfRule type="containsText" dxfId="445" priority="1650" stopIfTrue="1" operator="containsText" text="Grass">
      <formula>NOT(ISERROR(SEARCH("Grass",B2)))</formula>
    </cfRule>
    <cfRule type="containsText" dxfId="444" priority="1651" stopIfTrue="1" operator="containsText" text="Ground">
      <formula>NOT(ISERROR(SEARCH("Ground",B2)))</formula>
    </cfRule>
    <cfRule type="containsText" dxfId="443" priority="1652" stopIfTrue="1" operator="containsText" text="Ice">
      <formula>NOT(ISERROR(SEARCH("Ice",B2)))</formula>
    </cfRule>
    <cfRule type="containsText" dxfId="442" priority="1653" stopIfTrue="1" operator="containsText" text="Poison">
      <formula>NOT(ISERROR(SEARCH("Poison",B2)))</formula>
    </cfRule>
    <cfRule type="containsText" dxfId="441" priority="1654" stopIfTrue="1" operator="containsText" text="Rock">
      <formula>NOT(ISERROR(SEARCH("Rock",B2)))</formula>
    </cfRule>
    <cfRule type="containsText" dxfId="440" priority="1655" stopIfTrue="1" operator="containsText" text="Steel">
      <formula>NOT(ISERROR(SEARCH("Steel",B2)))</formula>
    </cfRule>
    <cfRule type="containsText" dxfId="439" priority="1656" stopIfTrue="1" operator="containsText" text="Water">
      <formula>NOT(ISERROR(SEARCH("Water",B2)))</formula>
    </cfRule>
    <cfRule type="containsText" dxfId="438" priority="1657" stopIfTrue="1" operator="containsText" text="Status">
      <formula>NOT(ISERROR(SEARCH("Status",B2)))</formula>
    </cfRule>
    <cfRule type="containsText" dxfId="437" priority="1658" stopIfTrue="1" operator="containsText" text="Physical">
      <formula>NOT(ISERROR(SEARCH("Physical",B2)))</formula>
    </cfRule>
    <cfRule type="containsText" dxfId="436" priority="1659" stopIfTrue="1" operator="containsText" text="Special">
      <formula>NOT(ISERROR(SEARCH("Special",B2)))</formula>
    </cfRule>
    <cfRule type="containsText" dxfId="435" priority="1660" stopIfTrue="1" operator="containsText" text="Ghost">
      <formula>NOT(ISERROR(SEARCH("Ghost",B2)))</formula>
    </cfRule>
    <cfRule type="containsText" dxfId="434" priority="1661" stopIfTrue="1" operator="containsText" text="Psychic">
      <formula>NOT(ISERROR(SEARCH("Psychic",B2)))</formula>
    </cfRule>
    <cfRule type="containsText" dxfId="433" priority="1662" stopIfTrue="1" operator="containsText" text="Normal">
      <formula>NOT(ISERROR(SEARCH("Normal",B2)))</formula>
    </cfRule>
    <cfRule type="containsText" dxfId="432" priority="1663" stopIfTrue="1" operator="containsText" text="Fire">
      <formula>NOT(ISERROR(SEARCH("Fire",B2)))</formula>
    </cfRule>
    <cfRule type="containsText" dxfId="431" priority="1664" stopIfTrue="1" operator="containsText" text="Bug">
      <formula>NOT(ISERROR(SEARCH("Bug",B2)))</formula>
    </cfRule>
    <cfRule type="containsText" dxfId="430" priority="1665" stopIfTrue="1" operator="containsText" text="Dark">
      <formula>NOT(ISERROR(SEARCH("Dark",B2)))</formula>
    </cfRule>
    <cfRule type="containsText" dxfId="429" priority="1666" stopIfTrue="1" operator="containsText" text="Dragon">
      <formula>NOT(ISERROR(SEARCH("Dragon",B2)))</formula>
    </cfRule>
    <cfRule type="containsText" dxfId="428" priority="1667" stopIfTrue="1" operator="containsText" text="Electric">
      <formula>NOT(ISERROR(SEARCH("Electric",B2)))</formula>
    </cfRule>
    <cfRule type="containsText" dxfId="427" priority="1668" stopIfTrue="1" operator="containsText" text="Fairy">
      <formula>NOT(ISERROR(SEARCH("Fairy",B2)))</formula>
    </cfRule>
    <cfRule type="containsText" dxfId="426" priority="1669" stopIfTrue="1" operator="containsText" text="Fighting">
      <formula>NOT(ISERROR(SEARCH("Fighting",B2)))</formula>
    </cfRule>
    <cfRule type="containsText" dxfId="425" priority="1670" stopIfTrue="1" operator="containsText" text="Flying">
      <formula>NOT(ISERROR(SEARCH("Flying",B2)))</formula>
    </cfRule>
    <cfRule type="containsText" dxfId="424" priority="1671" stopIfTrue="1" operator="containsText" text="Grass">
      <formula>NOT(ISERROR(SEARCH("Grass",B2)))</formula>
    </cfRule>
    <cfRule type="containsText" dxfId="423" priority="1672" stopIfTrue="1" operator="containsText" text="Ground">
      <formula>NOT(ISERROR(SEARCH("Ground",B2)))</formula>
    </cfRule>
    <cfRule type="containsText" dxfId="422" priority="1673" stopIfTrue="1" operator="containsText" text="Ice">
      <formula>NOT(ISERROR(SEARCH("Ice",B2)))</formula>
    </cfRule>
    <cfRule type="containsText" dxfId="421" priority="1674" stopIfTrue="1" operator="containsText" text="Poison">
      <formula>NOT(ISERROR(SEARCH("Poison",B2)))</formula>
    </cfRule>
    <cfRule type="containsText" dxfId="420" priority="1675" stopIfTrue="1" operator="containsText" text="Rock">
      <formula>NOT(ISERROR(SEARCH("Rock",B2)))</formula>
    </cfRule>
    <cfRule type="containsText" dxfId="419" priority="1676" stopIfTrue="1" operator="containsText" text="Steel">
      <formula>NOT(ISERROR(SEARCH("Steel",B2)))</formula>
    </cfRule>
    <cfRule type="containsText" dxfId="418" priority="1677" stopIfTrue="1" operator="containsText" text="Water">
      <formula>NOT(ISERROR(SEARCH("Water",B2)))</formula>
    </cfRule>
    <cfRule type="containsText" dxfId="417" priority="1678" stopIfTrue="1" operator="containsText" text="Status">
      <formula>NOT(ISERROR(SEARCH("Status",B2)))</formula>
    </cfRule>
    <cfRule type="containsText" dxfId="416" priority="1679" stopIfTrue="1" operator="containsText" text="Physical">
      <formula>NOT(ISERROR(SEARCH("Physical",B2)))</formula>
    </cfRule>
    <cfRule type="containsText" dxfId="415" priority="1680" stopIfTrue="1" operator="containsText" text="Special">
      <formula>NOT(ISERROR(SEARCH("Special",B2)))</formula>
    </cfRule>
    <cfRule type="containsText" dxfId="414" priority="1681" stopIfTrue="1" operator="containsText" text="Ghost">
      <formula>NOT(ISERROR(SEARCH("Ghost",B2)))</formula>
    </cfRule>
    <cfRule type="containsText" dxfId="413" priority="1682" stopIfTrue="1" operator="containsText" text="Psychic">
      <formula>NOT(ISERROR(SEARCH("Psychic",B2)))</formula>
    </cfRule>
    <cfRule type="containsText" dxfId="412" priority="1683" stopIfTrue="1" operator="containsText" text="Normal">
      <formula>NOT(ISERROR(SEARCH("Normal",B2)))</formula>
    </cfRule>
    <cfRule type="containsText" dxfId="411" priority="1684" stopIfTrue="1" operator="containsText" text="Fire">
      <formula>NOT(ISERROR(SEARCH("Fire",B2)))</formula>
    </cfRule>
    <cfRule type="containsText" dxfId="410" priority="1685" stopIfTrue="1" operator="containsText" text="Bug">
      <formula>NOT(ISERROR(SEARCH("Bug",B2)))</formula>
    </cfRule>
    <cfRule type="containsText" dxfId="409" priority="1686" stopIfTrue="1" operator="containsText" text="Dark">
      <formula>NOT(ISERROR(SEARCH("Dark",B2)))</formula>
    </cfRule>
    <cfRule type="containsText" dxfId="408" priority="1687" stopIfTrue="1" operator="containsText" text="Dragon">
      <formula>NOT(ISERROR(SEARCH("Dragon",B2)))</formula>
    </cfRule>
    <cfRule type="containsText" dxfId="407" priority="1688" stopIfTrue="1" operator="containsText" text="Electric">
      <formula>NOT(ISERROR(SEARCH("Electric",B2)))</formula>
    </cfRule>
    <cfRule type="containsText" dxfId="406" priority="1689" stopIfTrue="1" operator="containsText" text="Fairy">
      <formula>NOT(ISERROR(SEARCH("Fairy",B2)))</formula>
    </cfRule>
    <cfRule type="containsText" dxfId="405" priority="1690" stopIfTrue="1" operator="containsText" text="Fighting">
      <formula>NOT(ISERROR(SEARCH("Fighting",B2)))</formula>
    </cfRule>
    <cfRule type="containsText" dxfId="404" priority="1691" stopIfTrue="1" operator="containsText" text="Flying">
      <formula>NOT(ISERROR(SEARCH("Flying",B2)))</formula>
    </cfRule>
    <cfRule type="containsText" dxfId="403" priority="1692" stopIfTrue="1" operator="containsText" text="Grass">
      <formula>NOT(ISERROR(SEARCH("Grass",B2)))</formula>
    </cfRule>
    <cfRule type="containsText" dxfId="402" priority="1693" stopIfTrue="1" operator="containsText" text="Ground">
      <formula>NOT(ISERROR(SEARCH("Ground",B2)))</formula>
    </cfRule>
    <cfRule type="containsText" dxfId="401" priority="1694" stopIfTrue="1" operator="containsText" text="Ice">
      <formula>NOT(ISERROR(SEARCH("Ice",B2)))</formula>
    </cfRule>
    <cfRule type="containsText" dxfId="400" priority="1695" stopIfTrue="1" operator="containsText" text="Poison">
      <formula>NOT(ISERROR(SEARCH("Poison",B2)))</formula>
    </cfRule>
    <cfRule type="containsText" dxfId="399" priority="1696" stopIfTrue="1" operator="containsText" text="Rock">
      <formula>NOT(ISERROR(SEARCH("Rock",B2)))</formula>
    </cfRule>
    <cfRule type="containsText" dxfId="398" priority="1697" stopIfTrue="1" operator="containsText" text="Steel">
      <formula>NOT(ISERROR(SEARCH("Steel",B2)))</formula>
    </cfRule>
    <cfRule type="containsText" dxfId="397" priority="1698" stopIfTrue="1" operator="containsText" text="Water">
      <formula>NOT(ISERROR(SEARCH("Water",B2)))</formula>
    </cfRule>
    <cfRule type="containsText" dxfId="396" priority="1699" stopIfTrue="1" operator="containsText" text="Status">
      <formula>NOT(ISERROR(SEARCH("Status",B2)))</formula>
    </cfRule>
    <cfRule type="containsText" dxfId="395" priority="1700" stopIfTrue="1" operator="containsText" text="Physical">
      <formula>NOT(ISERROR(SEARCH("Physical",B2)))</formula>
    </cfRule>
    <cfRule type="containsText" dxfId="394" priority="1701" stopIfTrue="1" operator="containsText" text="Special">
      <formula>NOT(ISERROR(SEARCH("Special",B2)))</formula>
    </cfRule>
  </conditionalFormatting>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bilitySheet"/>
  <dimension ref="A1:B190"/>
  <sheetViews>
    <sheetView workbookViewId="0">
      <selection activeCell="I12" sqref="I12"/>
    </sheetView>
  </sheetViews>
  <sheetFormatPr defaultRowHeight="15" x14ac:dyDescent="0.25"/>
  <cols>
    <col min="1" max="1" width="15.28515625" bestFit="1" customWidth="1"/>
    <col min="2" max="2" width="62.85546875" bestFit="1" customWidth="1"/>
  </cols>
  <sheetData>
    <row r="1" spans="1:2" x14ac:dyDescent="0.25">
      <c r="A1" s="82" t="s">
        <v>625</v>
      </c>
      <c r="B1" s="84" t="s">
        <v>166</v>
      </c>
    </row>
    <row r="2" spans="1:2" x14ac:dyDescent="0.25">
      <c r="A2" s="2" t="s">
        <v>947</v>
      </c>
      <c r="B2" s="2" t="s">
        <v>948</v>
      </c>
    </row>
    <row r="3" spans="1:2" x14ac:dyDescent="0.25">
      <c r="A3" s="2" t="s">
        <v>2421</v>
      </c>
      <c r="B3" s="2" t="s">
        <v>2422</v>
      </c>
    </row>
    <row r="4" spans="1:2" x14ac:dyDescent="0.25">
      <c r="A4" s="2" t="s">
        <v>949</v>
      </c>
      <c r="B4" s="2" t="s">
        <v>950</v>
      </c>
    </row>
    <row r="5" spans="1:2" x14ac:dyDescent="0.25">
      <c r="A5" s="2" t="s">
        <v>951</v>
      </c>
      <c r="B5" s="2" t="s">
        <v>952</v>
      </c>
    </row>
    <row r="6" spans="1:2" x14ac:dyDescent="0.25">
      <c r="A6" s="2" t="s">
        <v>2423</v>
      </c>
      <c r="B6" s="2" t="s">
        <v>2424</v>
      </c>
    </row>
    <row r="7" spans="1:2" x14ac:dyDescent="0.25">
      <c r="A7" s="2" t="s">
        <v>953</v>
      </c>
      <c r="B7" s="2" t="s">
        <v>954</v>
      </c>
    </row>
    <row r="8" spans="1:2" x14ac:dyDescent="0.25">
      <c r="A8" s="2" t="s">
        <v>955</v>
      </c>
      <c r="B8" s="2" t="s">
        <v>956</v>
      </c>
    </row>
    <row r="9" spans="1:2" x14ac:dyDescent="0.25">
      <c r="A9" s="2" t="s">
        <v>957</v>
      </c>
      <c r="B9" s="2" t="s">
        <v>958</v>
      </c>
    </row>
    <row r="10" spans="1:2" x14ac:dyDescent="0.25">
      <c r="A10" s="2" t="s">
        <v>2425</v>
      </c>
      <c r="B10" s="2" t="s">
        <v>2426</v>
      </c>
    </row>
    <row r="11" spans="1:2" x14ac:dyDescent="0.25">
      <c r="A11" s="2" t="s">
        <v>2427</v>
      </c>
      <c r="B11" s="2" t="s">
        <v>2428</v>
      </c>
    </row>
    <row r="12" spans="1:2" x14ac:dyDescent="0.25">
      <c r="A12" s="2" t="s">
        <v>959</v>
      </c>
      <c r="B12" s="2" t="s">
        <v>960</v>
      </c>
    </row>
    <row r="13" spans="1:2" x14ac:dyDescent="0.25">
      <c r="A13" s="2" t="s">
        <v>961</v>
      </c>
      <c r="B13" s="2" t="s">
        <v>962</v>
      </c>
    </row>
    <row r="14" spans="1:2" x14ac:dyDescent="0.25">
      <c r="A14" s="2" t="s">
        <v>2429</v>
      </c>
      <c r="B14" s="2" t="s">
        <v>2430</v>
      </c>
    </row>
    <row r="15" spans="1:2" x14ac:dyDescent="0.25">
      <c r="A15" s="2" t="s">
        <v>915</v>
      </c>
      <c r="B15" s="2" t="s">
        <v>963</v>
      </c>
    </row>
    <row r="16" spans="1:2" x14ac:dyDescent="0.25">
      <c r="A16" s="2" t="s">
        <v>2431</v>
      </c>
      <c r="B16" s="2" t="s">
        <v>2432</v>
      </c>
    </row>
    <row r="17" spans="1:2" x14ac:dyDescent="0.25">
      <c r="A17" s="2" t="s">
        <v>2433</v>
      </c>
      <c r="B17" s="2" t="s">
        <v>2434</v>
      </c>
    </row>
    <row r="18" spans="1:2" x14ac:dyDescent="0.25">
      <c r="A18" s="2" t="s">
        <v>921</v>
      </c>
      <c r="B18" s="2" t="s">
        <v>964</v>
      </c>
    </row>
    <row r="19" spans="1:2" x14ac:dyDescent="0.25">
      <c r="A19" s="2" t="s">
        <v>965</v>
      </c>
      <c r="B19" s="2" t="s">
        <v>966</v>
      </c>
    </row>
    <row r="20" spans="1:2" x14ac:dyDescent="0.25">
      <c r="A20" s="2" t="s">
        <v>967</v>
      </c>
      <c r="B20" s="2" t="s">
        <v>952</v>
      </c>
    </row>
    <row r="21" spans="1:2" x14ac:dyDescent="0.25">
      <c r="A21" s="2" t="s">
        <v>968</v>
      </c>
      <c r="B21" s="2" t="s">
        <v>969</v>
      </c>
    </row>
    <row r="22" spans="1:2" x14ac:dyDescent="0.25">
      <c r="A22" s="2" t="s">
        <v>2435</v>
      </c>
      <c r="B22" s="2" t="s">
        <v>2436</v>
      </c>
    </row>
    <row r="23" spans="1:2" x14ac:dyDescent="0.25">
      <c r="A23" s="2" t="s">
        <v>970</v>
      </c>
      <c r="B23" s="2" t="s">
        <v>971</v>
      </c>
    </row>
    <row r="24" spans="1:2" x14ac:dyDescent="0.25">
      <c r="A24" s="2" t="s">
        <v>2437</v>
      </c>
      <c r="B24" s="2" t="s">
        <v>2438</v>
      </c>
    </row>
    <row r="25" spans="1:2" x14ac:dyDescent="0.25">
      <c r="A25" s="2" t="s">
        <v>2439</v>
      </c>
      <c r="B25" s="2" t="s">
        <v>2440</v>
      </c>
    </row>
    <row r="26" spans="1:2" x14ac:dyDescent="0.25">
      <c r="A26" s="2" t="s">
        <v>972</v>
      </c>
      <c r="B26" s="2" t="s">
        <v>973</v>
      </c>
    </row>
    <row r="27" spans="1:2" x14ac:dyDescent="0.25">
      <c r="A27" s="2" t="s">
        <v>974</v>
      </c>
      <c r="B27" s="2" t="s">
        <v>975</v>
      </c>
    </row>
    <row r="28" spans="1:2" x14ac:dyDescent="0.25">
      <c r="A28" s="2" t="s">
        <v>2441</v>
      </c>
      <c r="B28" s="2" t="s">
        <v>2442</v>
      </c>
    </row>
    <row r="29" spans="1:2" x14ac:dyDescent="0.25">
      <c r="A29" s="2" t="s">
        <v>2443</v>
      </c>
      <c r="B29" s="2" t="s">
        <v>2444</v>
      </c>
    </row>
    <row r="30" spans="1:2" x14ac:dyDescent="0.25">
      <c r="A30" s="2" t="s">
        <v>2445</v>
      </c>
      <c r="B30" s="2" t="s">
        <v>2446</v>
      </c>
    </row>
    <row r="31" spans="1:2" x14ac:dyDescent="0.25">
      <c r="A31" s="2" t="s">
        <v>976</v>
      </c>
      <c r="B31" s="2" t="s">
        <v>977</v>
      </c>
    </row>
    <row r="32" spans="1:2" x14ac:dyDescent="0.25">
      <c r="A32" s="2" t="s">
        <v>978</v>
      </c>
      <c r="B32" s="2" t="s">
        <v>979</v>
      </c>
    </row>
    <row r="33" spans="1:2" x14ac:dyDescent="0.25">
      <c r="A33" s="2" t="s">
        <v>980</v>
      </c>
      <c r="B33" s="2" t="s">
        <v>981</v>
      </c>
    </row>
    <row r="34" spans="1:2" x14ac:dyDescent="0.25">
      <c r="A34" s="2" t="s">
        <v>982</v>
      </c>
      <c r="B34" s="2" t="s">
        <v>983</v>
      </c>
    </row>
    <row r="35" spans="1:2" x14ac:dyDescent="0.25">
      <c r="A35" s="2" t="s">
        <v>984</v>
      </c>
      <c r="B35" s="2" t="s">
        <v>985</v>
      </c>
    </row>
    <row r="36" spans="1:2" x14ac:dyDescent="0.25">
      <c r="A36" s="2" t="s">
        <v>986</v>
      </c>
      <c r="B36" s="2" t="s">
        <v>987</v>
      </c>
    </row>
    <row r="37" spans="1:2" x14ac:dyDescent="0.25">
      <c r="A37" s="2" t="s">
        <v>2447</v>
      </c>
      <c r="B37" s="2" t="s">
        <v>2448</v>
      </c>
    </row>
    <row r="38" spans="1:2" x14ac:dyDescent="0.25">
      <c r="A38" s="2" t="s">
        <v>988</v>
      </c>
      <c r="B38" s="2" t="s">
        <v>989</v>
      </c>
    </row>
    <row r="39" spans="1:2" x14ac:dyDescent="0.25">
      <c r="A39" s="2" t="s">
        <v>990</v>
      </c>
      <c r="B39" s="2" t="s">
        <v>991</v>
      </c>
    </row>
    <row r="40" spans="1:2" x14ac:dyDescent="0.25">
      <c r="A40" s="2" t="s">
        <v>2449</v>
      </c>
      <c r="B40" s="2" t="s">
        <v>2450</v>
      </c>
    </row>
    <row r="41" spans="1:2" x14ac:dyDescent="0.25">
      <c r="A41" s="2" t="s">
        <v>992</v>
      </c>
      <c r="B41" s="2" t="s">
        <v>993</v>
      </c>
    </row>
    <row r="42" spans="1:2" x14ac:dyDescent="0.25">
      <c r="A42" s="2" t="s">
        <v>994</v>
      </c>
      <c r="B42" s="2" t="s">
        <v>995</v>
      </c>
    </row>
    <row r="43" spans="1:2" x14ac:dyDescent="0.25">
      <c r="A43" s="2" t="s">
        <v>2451</v>
      </c>
      <c r="B43" s="2" t="s">
        <v>2452</v>
      </c>
    </row>
    <row r="44" spans="1:2" x14ac:dyDescent="0.25">
      <c r="A44" s="2" t="s">
        <v>996</v>
      </c>
      <c r="B44" s="2" t="s">
        <v>997</v>
      </c>
    </row>
    <row r="45" spans="1:2" x14ac:dyDescent="0.25">
      <c r="A45" s="2" t="s">
        <v>998</v>
      </c>
      <c r="B45" s="2" t="s">
        <v>999</v>
      </c>
    </row>
    <row r="46" spans="1:2" x14ac:dyDescent="0.25">
      <c r="A46" s="2" t="s">
        <v>2453</v>
      </c>
      <c r="B46" s="2" t="s">
        <v>2454</v>
      </c>
    </row>
    <row r="47" spans="1:2" x14ac:dyDescent="0.25">
      <c r="A47" s="2" t="s">
        <v>1000</v>
      </c>
      <c r="B47" s="2" t="s">
        <v>1001</v>
      </c>
    </row>
    <row r="48" spans="1:2" x14ac:dyDescent="0.25">
      <c r="A48" s="2" t="s">
        <v>2455</v>
      </c>
      <c r="B48" s="2" t="s">
        <v>2456</v>
      </c>
    </row>
    <row r="49" spans="1:2" x14ac:dyDescent="0.25">
      <c r="A49" s="2" t="s">
        <v>2457</v>
      </c>
      <c r="B49" s="2" t="s">
        <v>2458</v>
      </c>
    </row>
    <row r="50" spans="1:2" x14ac:dyDescent="0.25">
      <c r="A50" s="2" t="s">
        <v>1002</v>
      </c>
      <c r="B50" s="2" t="s">
        <v>1003</v>
      </c>
    </row>
    <row r="51" spans="1:2" x14ac:dyDescent="0.25">
      <c r="A51" s="2" t="s">
        <v>2459</v>
      </c>
      <c r="B51" s="2" t="s">
        <v>2460</v>
      </c>
    </row>
    <row r="52" spans="1:2" x14ac:dyDescent="0.25">
      <c r="A52" s="2" t="s">
        <v>2461</v>
      </c>
      <c r="B52" s="2" t="s">
        <v>2462</v>
      </c>
    </row>
    <row r="53" spans="1:2" x14ac:dyDescent="0.25">
      <c r="A53" s="2" t="s">
        <v>1004</v>
      </c>
      <c r="B53" s="2" t="s">
        <v>1005</v>
      </c>
    </row>
    <row r="54" spans="1:2" x14ac:dyDescent="0.25">
      <c r="A54" s="2" t="s">
        <v>2463</v>
      </c>
      <c r="B54" s="2" t="s">
        <v>2464</v>
      </c>
    </row>
    <row r="55" spans="1:2" x14ac:dyDescent="0.25">
      <c r="A55" s="2" t="s">
        <v>2465</v>
      </c>
      <c r="B55" s="2" t="s">
        <v>2466</v>
      </c>
    </row>
    <row r="56" spans="1:2" x14ac:dyDescent="0.25">
      <c r="A56" s="2" t="s">
        <v>1006</v>
      </c>
      <c r="B56" s="2" t="s">
        <v>720</v>
      </c>
    </row>
    <row r="57" spans="1:2" x14ac:dyDescent="0.25">
      <c r="A57" s="2" t="s">
        <v>2467</v>
      </c>
      <c r="B57" s="2" t="s">
        <v>2468</v>
      </c>
    </row>
    <row r="58" spans="1:2" x14ac:dyDescent="0.25">
      <c r="A58" s="2" t="s">
        <v>1007</v>
      </c>
      <c r="B58" s="2" t="s">
        <v>1008</v>
      </c>
    </row>
    <row r="59" spans="1:2" x14ac:dyDescent="0.25">
      <c r="A59" s="2" t="s">
        <v>1009</v>
      </c>
      <c r="B59" s="2" t="s">
        <v>1010</v>
      </c>
    </row>
    <row r="60" spans="1:2" x14ac:dyDescent="0.25">
      <c r="A60" s="2" t="s">
        <v>1011</v>
      </c>
      <c r="B60" s="2" t="s">
        <v>1012</v>
      </c>
    </row>
    <row r="61" spans="1:2" x14ac:dyDescent="0.25">
      <c r="A61" s="2" t="s">
        <v>1013</v>
      </c>
      <c r="B61" s="2" t="s">
        <v>1014</v>
      </c>
    </row>
    <row r="62" spans="1:2" x14ac:dyDescent="0.25">
      <c r="A62" s="2" t="s">
        <v>1015</v>
      </c>
      <c r="B62" s="2" t="s">
        <v>1016</v>
      </c>
    </row>
    <row r="63" spans="1:2" x14ac:dyDescent="0.25">
      <c r="A63" s="2" t="s">
        <v>1017</v>
      </c>
      <c r="B63" s="2" t="s">
        <v>1018</v>
      </c>
    </row>
    <row r="64" spans="1:2" x14ac:dyDescent="0.25">
      <c r="A64" s="2" t="s">
        <v>1019</v>
      </c>
      <c r="B64" s="2" t="s">
        <v>1020</v>
      </c>
    </row>
    <row r="65" spans="1:2" x14ac:dyDescent="0.25">
      <c r="A65" s="2" t="s">
        <v>2469</v>
      </c>
      <c r="B65" s="2" t="s">
        <v>2470</v>
      </c>
    </row>
    <row r="66" spans="1:2" x14ac:dyDescent="0.25">
      <c r="A66" s="2" t="s">
        <v>1021</v>
      </c>
      <c r="B66" s="2" t="s">
        <v>1022</v>
      </c>
    </row>
    <row r="67" spans="1:2" x14ac:dyDescent="0.25">
      <c r="A67" s="2" t="s">
        <v>2471</v>
      </c>
      <c r="B67" s="2" t="s">
        <v>2472</v>
      </c>
    </row>
    <row r="68" spans="1:2" x14ac:dyDescent="0.25">
      <c r="A68" s="2" t="s">
        <v>2473</v>
      </c>
      <c r="B68" s="2" t="s">
        <v>2474</v>
      </c>
    </row>
    <row r="69" spans="1:2" x14ac:dyDescent="0.25">
      <c r="A69" s="2" t="s">
        <v>1023</v>
      </c>
      <c r="B69" s="2" t="s">
        <v>1024</v>
      </c>
    </row>
    <row r="70" spans="1:2" x14ac:dyDescent="0.25">
      <c r="A70" s="2" t="s">
        <v>1025</v>
      </c>
      <c r="B70" s="2" t="s">
        <v>1026</v>
      </c>
    </row>
    <row r="71" spans="1:2" x14ac:dyDescent="0.25">
      <c r="A71" s="2" t="s">
        <v>1027</v>
      </c>
      <c r="B71" s="2" t="s">
        <v>1028</v>
      </c>
    </row>
    <row r="72" spans="1:2" x14ac:dyDescent="0.25">
      <c r="A72" s="2" t="s">
        <v>2475</v>
      </c>
      <c r="B72" s="2" t="s">
        <v>2476</v>
      </c>
    </row>
    <row r="73" spans="1:2" x14ac:dyDescent="0.25">
      <c r="A73" s="2" t="s">
        <v>1029</v>
      </c>
      <c r="B73" s="2" t="s">
        <v>1030</v>
      </c>
    </row>
    <row r="74" spans="1:2" x14ac:dyDescent="0.25">
      <c r="A74" s="2" t="s">
        <v>2477</v>
      </c>
      <c r="B74" s="2" t="s">
        <v>2478</v>
      </c>
    </row>
    <row r="75" spans="1:2" x14ac:dyDescent="0.25">
      <c r="A75" s="2" t="s">
        <v>1031</v>
      </c>
      <c r="B75" s="2" t="s">
        <v>1032</v>
      </c>
    </row>
    <row r="76" spans="1:2" x14ac:dyDescent="0.25">
      <c r="A76" s="2" t="s">
        <v>1033</v>
      </c>
      <c r="B76" s="2" t="s">
        <v>1034</v>
      </c>
    </row>
    <row r="77" spans="1:2" x14ac:dyDescent="0.25">
      <c r="A77" s="2" t="s">
        <v>1035</v>
      </c>
      <c r="B77" s="2" t="s">
        <v>1036</v>
      </c>
    </row>
    <row r="78" spans="1:2" x14ac:dyDescent="0.25">
      <c r="A78" s="2" t="s">
        <v>1037</v>
      </c>
      <c r="B78" s="2" t="s">
        <v>1038</v>
      </c>
    </row>
    <row r="79" spans="1:2" x14ac:dyDescent="0.25">
      <c r="A79" s="2" t="s">
        <v>2479</v>
      </c>
      <c r="B79" s="2" t="s">
        <v>2480</v>
      </c>
    </row>
    <row r="80" spans="1:2" x14ac:dyDescent="0.25">
      <c r="A80" s="2" t="s">
        <v>1039</v>
      </c>
      <c r="B80" s="2" t="s">
        <v>1040</v>
      </c>
    </row>
    <row r="81" spans="1:2" x14ac:dyDescent="0.25">
      <c r="A81" s="2" t="s">
        <v>1041</v>
      </c>
      <c r="B81" s="2" t="s">
        <v>1042</v>
      </c>
    </row>
    <row r="82" spans="1:2" x14ac:dyDescent="0.25">
      <c r="A82" s="2" t="s">
        <v>1043</v>
      </c>
      <c r="B82" s="2" t="s">
        <v>1044</v>
      </c>
    </row>
    <row r="83" spans="1:2" x14ac:dyDescent="0.25">
      <c r="A83" s="2" t="s">
        <v>2481</v>
      </c>
      <c r="B83" s="2" t="s">
        <v>2482</v>
      </c>
    </row>
    <row r="84" spans="1:2" x14ac:dyDescent="0.25">
      <c r="A84" s="2" t="s">
        <v>1045</v>
      </c>
      <c r="B84" s="2" t="s">
        <v>1046</v>
      </c>
    </row>
    <row r="85" spans="1:2" x14ac:dyDescent="0.25">
      <c r="A85" s="2" t="s">
        <v>2483</v>
      </c>
      <c r="B85" s="2" t="s">
        <v>2484</v>
      </c>
    </row>
    <row r="86" spans="1:2" x14ac:dyDescent="0.25">
      <c r="A86" s="2" t="s">
        <v>1047</v>
      </c>
      <c r="B86" s="2" t="s">
        <v>1048</v>
      </c>
    </row>
    <row r="87" spans="1:2" x14ac:dyDescent="0.25">
      <c r="A87" s="2" t="s">
        <v>1049</v>
      </c>
      <c r="B87" s="2" t="s">
        <v>1050</v>
      </c>
    </row>
    <row r="88" spans="1:2" x14ac:dyDescent="0.25">
      <c r="A88" s="2" t="s">
        <v>1051</v>
      </c>
      <c r="B88" s="2" t="s">
        <v>1052</v>
      </c>
    </row>
    <row r="89" spans="1:2" x14ac:dyDescent="0.25">
      <c r="A89" s="2" t="s">
        <v>2485</v>
      </c>
      <c r="B89" s="2" t="s">
        <v>2486</v>
      </c>
    </row>
    <row r="90" spans="1:2" x14ac:dyDescent="0.25">
      <c r="A90" s="2" t="s">
        <v>1053</v>
      </c>
      <c r="B90" s="2" t="s">
        <v>1054</v>
      </c>
    </row>
    <row r="91" spans="1:2" x14ac:dyDescent="0.25">
      <c r="A91" s="2" t="s">
        <v>1055</v>
      </c>
      <c r="B91" s="2" t="s">
        <v>1056</v>
      </c>
    </row>
    <row r="92" spans="1:2" x14ac:dyDescent="0.25">
      <c r="A92" s="2" t="s">
        <v>2487</v>
      </c>
      <c r="B92" s="2" t="s">
        <v>2488</v>
      </c>
    </row>
    <row r="93" spans="1:2" x14ac:dyDescent="0.25">
      <c r="A93" s="2" t="s">
        <v>1057</v>
      </c>
      <c r="B93" s="2" t="s">
        <v>1058</v>
      </c>
    </row>
    <row r="94" spans="1:2" x14ac:dyDescent="0.25">
      <c r="A94" s="2" t="s">
        <v>2489</v>
      </c>
      <c r="B94" s="2" t="s">
        <v>2490</v>
      </c>
    </row>
    <row r="95" spans="1:2" x14ac:dyDescent="0.25">
      <c r="A95" s="2" t="s">
        <v>2491</v>
      </c>
      <c r="B95" s="2" t="s">
        <v>2492</v>
      </c>
    </row>
    <row r="96" spans="1:2" x14ac:dyDescent="0.25">
      <c r="A96" s="2" t="s">
        <v>1059</v>
      </c>
      <c r="B96" s="2" t="s">
        <v>1060</v>
      </c>
    </row>
    <row r="97" spans="1:2" x14ac:dyDescent="0.25">
      <c r="A97" s="2" t="s">
        <v>2493</v>
      </c>
      <c r="B97" s="2" t="s">
        <v>2494</v>
      </c>
    </row>
    <row r="98" spans="1:2" x14ac:dyDescent="0.25">
      <c r="A98" s="2" t="s">
        <v>1061</v>
      </c>
      <c r="B98" s="2" t="s">
        <v>1062</v>
      </c>
    </row>
    <row r="99" spans="1:2" x14ac:dyDescent="0.25">
      <c r="A99" s="2" t="s">
        <v>1063</v>
      </c>
      <c r="B99" s="2" t="s">
        <v>1064</v>
      </c>
    </row>
    <row r="100" spans="1:2" x14ac:dyDescent="0.25">
      <c r="A100" s="2" t="s">
        <v>1065</v>
      </c>
      <c r="B100" s="2" t="s">
        <v>1066</v>
      </c>
    </row>
    <row r="101" spans="1:2" x14ac:dyDescent="0.25">
      <c r="A101" s="2" t="s">
        <v>1067</v>
      </c>
      <c r="B101" s="2" t="s">
        <v>1068</v>
      </c>
    </row>
    <row r="102" spans="1:2" x14ac:dyDescent="0.25">
      <c r="A102" s="2" t="s">
        <v>2495</v>
      </c>
      <c r="B102" s="2" t="s">
        <v>2496</v>
      </c>
    </row>
    <row r="103" spans="1:2" x14ac:dyDescent="0.25">
      <c r="A103" s="2" t="s">
        <v>923</v>
      </c>
      <c r="B103" s="2" t="s">
        <v>1069</v>
      </c>
    </row>
    <row r="104" spans="1:2" x14ac:dyDescent="0.25">
      <c r="A104" s="2" t="s">
        <v>1070</v>
      </c>
      <c r="B104" s="2" t="s">
        <v>1071</v>
      </c>
    </row>
    <row r="105" spans="1:2" x14ac:dyDescent="0.25">
      <c r="A105" s="2" t="s">
        <v>2497</v>
      </c>
      <c r="B105" s="2" t="s">
        <v>2498</v>
      </c>
    </row>
    <row r="106" spans="1:2" x14ac:dyDescent="0.25">
      <c r="A106" s="2" t="s">
        <v>2499</v>
      </c>
      <c r="B106" s="2" t="s">
        <v>2500</v>
      </c>
    </row>
    <row r="107" spans="1:2" x14ac:dyDescent="0.25">
      <c r="A107" s="2" t="s">
        <v>1072</v>
      </c>
      <c r="B107" s="2" t="s">
        <v>1073</v>
      </c>
    </row>
    <row r="108" spans="1:2" x14ac:dyDescent="0.25">
      <c r="A108" s="2" t="s">
        <v>2501</v>
      </c>
      <c r="B108" s="2" t="s">
        <v>2502</v>
      </c>
    </row>
    <row r="109" spans="1:2" x14ac:dyDescent="0.25">
      <c r="A109" s="2" t="s">
        <v>1074</v>
      </c>
      <c r="B109" s="2" t="s">
        <v>1054</v>
      </c>
    </row>
    <row r="110" spans="1:2" x14ac:dyDescent="0.25">
      <c r="A110" s="2" t="s">
        <v>1075</v>
      </c>
      <c r="B110" s="2" t="s">
        <v>1076</v>
      </c>
    </row>
    <row r="111" spans="1:2" x14ac:dyDescent="0.25">
      <c r="A111" s="2" t="s">
        <v>1077</v>
      </c>
      <c r="B111" s="2" t="s">
        <v>1078</v>
      </c>
    </row>
    <row r="112" spans="1:2" x14ac:dyDescent="0.25">
      <c r="A112" s="2" t="s">
        <v>2503</v>
      </c>
      <c r="B112" s="2" t="s">
        <v>2504</v>
      </c>
    </row>
    <row r="113" spans="1:2" x14ac:dyDescent="0.25">
      <c r="A113" s="2" t="s">
        <v>2505</v>
      </c>
      <c r="B113" s="2" t="s">
        <v>2506</v>
      </c>
    </row>
    <row r="114" spans="1:2" x14ac:dyDescent="0.25">
      <c r="A114" s="2" t="s">
        <v>1079</v>
      </c>
      <c r="B114" s="2" t="s">
        <v>1080</v>
      </c>
    </row>
    <row r="115" spans="1:2" x14ac:dyDescent="0.25">
      <c r="A115" s="2" t="s">
        <v>2507</v>
      </c>
      <c r="B115" s="2" t="s">
        <v>2508</v>
      </c>
    </row>
    <row r="116" spans="1:2" x14ac:dyDescent="0.25">
      <c r="A116" s="2" t="s">
        <v>1081</v>
      </c>
      <c r="B116" s="2" t="s">
        <v>1010</v>
      </c>
    </row>
    <row r="117" spans="1:2" x14ac:dyDescent="0.25">
      <c r="A117" s="2" t="s">
        <v>1082</v>
      </c>
      <c r="B117" s="2" t="s">
        <v>1083</v>
      </c>
    </row>
    <row r="118" spans="1:2" x14ac:dyDescent="0.25">
      <c r="A118" s="2" t="s">
        <v>1084</v>
      </c>
      <c r="B118" s="2" t="s">
        <v>1085</v>
      </c>
    </row>
    <row r="119" spans="1:2" x14ac:dyDescent="0.25">
      <c r="A119" s="2" t="s">
        <v>2509</v>
      </c>
      <c r="B119" s="2" t="s">
        <v>2510</v>
      </c>
    </row>
    <row r="120" spans="1:2" x14ac:dyDescent="0.25">
      <c r="A120" s="2" t="s">
        <v>1086</v>
      </c>
      <c r="B120" s="2" t="s">
        <v>1087</v>
      </c>
    </row>
    <row r="121" spans="1:2" x14ac:dyDescent="0.25">
      <c r="A121" s="2" t="s">
        <v>2511</v>
      </c>
      <c r="B121" s="2" t="s">
        <v>2512</v>
      </c>
    </row>
    <row r="122" spans="1:2" x14ac:dyDescent="0.25">
      <c r="A122" s="2" t="s">
        <v>2513</v>
      </c>
      <c r="B122" s="2" t="s">
        <v>2514</v>
      </c>
    </row>
    <row r="123" spans="1:2" x14ac:dyDescent="0.25">
      <c r="A123" s="2" t="s">
        <v>1088</v>
      </c>
      <c r="B123" s="2" t="s">
        <v>1089</v>
      </c>
    </row>
    <row r="124" spans="1:2" x14ac:dyDescent="0.25">
      <c r="A124" s="2" t="s">
        <v>1090</v>
      </c>
      <c r="B124" s="2" t="s">
        <v>1091</v>
      </c>
    </row>
    <row r="125" spans="1:2" x14ac:dyDescent="0.25">
      <c r="A125" s="2" t="s">
        <v>928</v>
      </c>
      <c r="B125" s="2" t="s">
        <v>1092</v>
      </c>
    </row>
    <row r="126" spans="1:2" x14ac:dyDescent="0.25">
      <c r="A126" s="2" t="s">
        <v>1093</v>
      </c>
      <c r="B126" s="2" t="s">
        <v>1094</v>
      </c>
    </row>
    <row r="127" spans="1:2" x14ac:dyDescent="0.25">
      <c r="A127" s="2" t="s">
        <v>2515</v>
      </c>
      <c r="B127" s="2" t="s">
        <v>2516</v>
      </c>
    </row>
    <row r="128" spans="1:2" x14ac:dyDescent="0.25">
      <c r="A128" s="2" t="s">
        <v>2517</v>
      </c>
      <c r="B128" s="2" t="s">
        <v>2518</v>
      </c>
    </row>
    <row r="129" spans="1:2" x14ac:dyDescent="0.25">
      <c r="A129" s="2" t="s">
        <v>1095</v>
      </c>
      <c r="B129" s="2" t="s">
        <v>1096</v>
      </c>
    </row>
    <row r="130" spans="1:2" x14ac:dyDescent="0.25">
      <c r="A130" s="2" t="s">
        <v>1097</v>
      </c>
      <c r="B130" s="2" t="s">
        <v>1098</v>
      </c>
    </row>
    <row r="131" spans="1:2" x14ac:dyDescent="0.25">
      <c r="A131" s="2" t="s">
        <v>2519</v>
      </c>
      <c r="B131" s="2" t="s">
        <v>2520</v>
      </c>
    </row>
    <row r="132" spans="1:2" x14ac:dyDescent="0.25">
      <c r="A132" s="2" t="s">
        <v>1099</v>
      </c>
      <c r="B132" s="2" t="s">
        <v>1100</v>
      </c>
    </row>
    <row r="133" spans="1:2" x14ac:dyDescent="0.25">
      <c r="A133" s="2" t="s">
        <v>1101</v>
      </c>
      <c r="B133" s="2" t="s">
        <v>1102</v>
      </c>
    </row>
    <row r="134" spans="1:2" x14ac:dyDescent="0.25">
      <c r="A134" s="2" t="s">
        <v>1103</v>
      </c>
      <c r="B134" s="2" t="s">
        <v>1104</v>
      </c>
    </row>
    <row r="135" spans="1:2" x14ac:dyDescent="0.25">
      <c r="A135" s="2" t="s">
        <v>1105</v>
      </c>
      <c r="B135" s="2" t="s">
        <v>1106</v>
      </c>
    </row>
    <row r="136" spans="1:2" x14ac:dyDescent="0.25">
      <c r="A136" s="2" t="s">
        <v>2521</v>
      </c>
      <c r="B136" s="2" t="s">
        <v>2522</v>
      </c>
    </row>
    <row r="137" spans="1:2" x14ac:dyDescent="0.25">
      <c r="A137" s="2" t="s">
        <v>1107</v>
      </c>
      <c r="B137" s="2" t="s">
        <v>962</v>
      </c>
    </row>
    <row r="138" spans="1:2" x14ac:dyDescent="0.25">
      <c r="A138" s="2" t="s">
        <v>1108</v>
      </c>
      <c r="B138" s="2" t="s">
        <v>1109</v>
      </c>
    </row>
    <row r="139" spans="1:2" x14ac:dyDescent="0.25">
      <c r="A139" s="2" t="s">
        <v>1110</v>
      </c>
      <c r="B139" s="2" t="s">
        <v>1111</v>
      </c>
    </row>
    <row r="140" spans="1:2" x14ac:dyDescent="0.25">
      <c r="A140" s="2" t="s">
        <v>1112</v>
      </c>
      <c r="B140" s="2" t="s">
        <v>1113</v>
      </c>
    </row>
    <row r="141" spans="1:2" x14ac:dyDescent="0.25">
      <c r="A141" s="2" t="s">
        <v>1114</v>
      </c>
      <c r="B141" s="2" t="s">
        <v>1115</v>
      </c>
    </row>
    <row r="142" spans="1:2" x14ac:dyDescent="0.25">
      <c r="A142" s="2" t="s">
        <v>1116</v>
      </c>
      <c r="B142" s="2" t="s">
        <v>1117</v>
      </c>
    </row>
    <row r="143" spans="1:2" x14ac:dyDescent="0.25">
      <c r="A143" s="2" t="s">
        <v>1118</v>
      </c>
      <c r="B143" s="2" t="s">
        <v>1119</v>
      </c>
    </row>
    <row r="144" spans="1:2" x14ac:dyDescent="0.25">
      <c r="A144" s="2" t="s">
        <v>1120</v>
      </c>
      <c r="B144" s="2" t="s">
        <v>1121</v>
      </c>
    </row>
    <row r="145" spans="1:2" x14ac:dyDescent="0.25">
      <c r="A145" s="2" t="s">
        <v>1122</v>
      </c>
      <c r="B145" s="2" t="s">
        <v>1123</v>
      </c>
    </row>
    <row r="146" spans="1:2" x14ac:dyDescent="0.25">
      <c r="A146" s="2" t="s">
        <v>1124</v>
      </c>
      <c r="B146" s="2" t="s">
        <v>989</v>
      </c>
    </row>
    <row r="147" spans="1:2" x14ac:dyDescent="0.25">
      <c r="A147" s="2" t="s">
        <v>1125</v>
      </c>
      <c r="B147" s="2" t="s">
        <v>1126</v>
      </c>
    </row>
    <row r="148" spans="1:2" x14ac:dyDescent="0.25">
      <c r="A148" s="2" t="s">
        <v>1127</v>
      </c>
      <c r="B148" s="2" t="s">
        <v>1128</v>
      </c>
    </row>
    <row r="149" spans="1:2" x14ac:dyDescent="0.25">
      <c r="A149" s="2" t="s">
        <v>1129</v>
      </c>
      <c r="B149" s="2" t="s">
        <v>1130</v>
      </c>
    </row>
    <row r="150" spans="1:2" x14ac:dyDescent="0.25">
      <c r="A150" s="2" t="s">
        <v>2523</v>
      </c>
      <c r="B150" s="2" t="s">
        <v>2524</v>
      </c>
    </row>
    <row r="151" spans="1:2" x14ac:dyDescent="0.25">
      <c r="A151" s="2" t="s">
        <v>1131</v>
      </c>
      <c r="B151" s="2" t="s">
        <v>1132</v>
      </c>
    </row>
    <row r="152" spans="1:2" x14ac:dyDescent="0.25">
      <c r="A152" s="2" t="s">
        <v>1133</v>
      </c>
      <c r="B152" s="2" t="s">
        <v>1134</v>
      </c>
    </row>
    <row r="153" spans="1:2" x14ac:dyDescent="0.25">
      <c r="A153" s="2" t="s">
        <v>1135</v>
      </c>
      <c r="B153" s="2" t="s">
        <v>1136</v>
      </c>
    </row>
    <row r="154" spans="1:2" x14ac:dyDescent="0.25">
      <c r="A154" s="2" t="s">
        <v>1137</v>
      </c>
      <c r="B154" s="2" t="s">
        <v>1138</v>
      </c>
    </row>
    <row r="155" spans="1:2" x14ac:dyDescent="0.25">
      <c r="A155" s="2" t="s">
        <v>1139</v>
      </c>
      <c r="B155" s="2" t="s">
        <v>1140</v>
      </c>
    </row>
    <row r="156" spans="1:2" x14ac:dyDescent="0.25">
      <c r="A156" s="2" t="s">
        <v>2525</v>
      </c>
      <c r="B156" s="2" t="s">
        <v>2526</v>
      </c>
    </row>
    <row r="157" spans="1:2" x14ac:dyDescent="0.25">
      <c r="A157" s="2" t="s">
        <v>1141</v>
      </c>
      <c r="B157" s="2" t="s">
        <v>1142</v>
      </c>
    </row>
    <row r="158" spans="1:2" x14ac:dyDescent="0.25">
      <c r="A158" s="2" t="s">
        <v>1143</v>
      </c>
      <c r="B158" s="2" t="s">
        <v>1144</v>
      </c>
    </row>
    <row r="159" spans="1:2" x14ac:dyDescent="0.25">
      <c r="A159" s="2" t="s">
        <v>1145</v>
      </c>
      <c r="B159" s="2" t="s">
        <v>1146</v>
      </c>
    </row>
    <row r="160" spans="1:2" x14ac:dyDescent="0.25">
      <c r="A160" s="2" t="s">
        <v>1147</v>
      </c>
      <c r="B160" s="2" t="s">
        <v>1148</v>
      </c>
    </row>
    <row r="161" spans="1:2" x14ac:dyDescent="0.25">
      <c r="A161" s="2" t="s">
        <v>2527</v>
      </c>
      <c r="B161" s="2" t="s">
        <v>2528</v>
      </c>
    </row>
    <row r="162" spans="1:2" x14ac:dyDescent="0.25">
      <c r="A162" s="2" t="s">
        <v>1149</v>
      </c>
      <c r="B162" s="2" t="s">
        <v>1150</v>
      </c>
    </row>
    <row r="163" spans="1:2" x14ac:dyDescent="0.25">
      <c r="A163" s="2" t="s">
        <v>2529</v>
      </c>
      <c r="B163" s="2" t="s">
        <v>2530</v>
      </c>
    </row>
    <row r="164" spans="1:2" x14ac:dyDescent="0.25">
      <c r="A164" s="2" t="s">
        <v>1151</v>
      </c>
      <c r="B164" s="2" t="s">
        <v>1152</v>
      </c>
    </row>
    <row r="165" spans="1:2" x14ac:dyDescent="0.25">
      <c r="A165" s="2" t="s">
        <v>1153</v>
      </c>
      <c r="B165" s="2" t="s">
        <v>1154</v>
      </c>
    </row>
    <row r="166" spans="1:2" x14ac:dyDescent="0.25">
      <c r="A166" s="2" t="s">
        <v>1155</v>
      </c>
      <c r="B166" s="2" t="s">
        <v>1156</v>
      </c>
    </row>
    <row r="167" spans="1:2" x14ac:dyDescent="0.25">
      <c r="A167" s="2" t="s">
        <v>2531</v>
      </c>
      <c r="B167" s="2" t="s">
        <v>2532</v>
      </c>
    </row>
    <row r="168" spans="1:2" x14ac:dyDescent="0.25">
      <c r="A168" s="2" t="s">
        <v>2533</v>
      </c>
      <c r="B168" s="2" t="s">
        <v>1056</v>
      </c>
    </row>
    <row r="169" spans="1:2" x14ac:dyDescent="0.25">
      <c r="A169" s="2" t="s">
        <v>1157</v>
      </c>
      <c r="B169" s="2" t="s">
        <v>1158</v>
      </c>
    </row>
    <row r="170" spans="1:2" x14ac:dyDescent="0.25">
      <c r="A170" s="2" t="s">
        <v>1159</v>
      </c>
      <c r="B170" s="2" t="s">
        <v>1160</v>
      </c>
    </row>
    <row r="171" spans="1:2" x14ac:dyDescent="0.25">
      <c r="A171" s="2" t="s">
        <v>916</v>
      </c>
      <c r="B171" s="2" t="s">
        <v>1161</v>
      </c>
    </row>
    <row r="172" spans="1:2" x14ac:dyDescent="0.25">
      <c r="A172" s="2" t="s">
        <v>2534</v>
      </c>
      <c r="B172" s="2" t="s">
        <v>2535</v>
      </c>
    </row>
    <row r="173" spans="1:2" x14ac:dyDescent="0.25">
      <c r="A173" s="2" t="s">
        <v>2536</v>
      </c>
      <c r="B173" s="2" t="s">
        <v>2537</v>
      </c>
    </row>
    <row r="174" spans="1:2" x14ac:dyDescent="0.25">
      <c r="A174" s="2" t="s">
        <v>1162</v>
      </c>
      <c r="B174" s="2" t="s">
        <v>1163</v>
      </c>
    </row>
    <row r="175" spans="1:2" x14ac:dyDescent="0.25">
      <c r="A175" s="2" t="s">
        <v>1164</v>
      </c>
      <c r="B175" s="2" t="s">
        <v>1165</v>
      </c>
    </row>
    <row r="176" spans="1:2" x14ac:dyDescent="0.25">
      <c r="A176" s="2" t="s">
        <v>2538</v>
      </c>
      <c r="B176" s="2" t="s">
        <v>1056</v>
      </c>
    </row>
    <row r="177" spans="1:2" x14ac:dyDescent="0.25">
      <c r="A177" s="2" t="s">
        <v>1166</v>
      </c>
      <c r="B177" s="2" t="s">
        <v>1167</v>
      </c>
    </row>
    <row r="178" spans="1:2" x14ac:dyDescent="0.25">
      <c r="A178" s="2" t="s">
        <v>1168</v>
      </c>
      <c r="B178" s="2" t="s">
        <v>1169</v>
      </c>
    </row>
    <row r="179" spans="1:2" x14ac:dyDescent="0.25">
      <c r="A179" s="2" t="s">
        <v>2539</v>
      </c>
      <c r="B179" s="2" t="s">
        <v>2540</v>
      </c>
    </row>
    <row r="180" spans="1:2" x14ac:dyDescent="0.25">
      <c r="A180" s="2" t="s">
        <v>2541</v>
      </c>
      <c r="B180" s="2" t="s">
        <v>2542</v>
      </c>
    </row>
    <row r="181" spans="1:2" x14ac:dyDescent="0.25">
      <c r="A181" s="2" t="s">
        <v>1170</v>
      </c>
      <c r="B181" s="2" t="s">
        <v>1026</v>
      </c>
    </row>
    <row r="182" spans="1:2" x14ac:dyDescent="0.25">
      <c r="A182" s="2" t="s">
        <v>1171</v>
      </c>
      <c r="B182" s="2" t="s">
        <v>1172</v>
      </c>
    </row>
    <row r="183" spans="1:2" x14ac:dyDescent="0.25">
      <c r="A183" s="2" t="s">
        <v>1173</v>
      </c>
      <c r="B183" s="2" t="s">
        <v>1174</v>
      </c>
    </row>
    <row r="184" spans="1:2" x14ac:dyDescent="0.25">
      <c r="A184" s="2" t="s">
        <v>1175</v>
      </c>
      <c r="B184" s="2" t="s">
        <v>1176</v>
      </c>
    </row>
    <row r="185" spans="1:2" x14ac:dyDescent="0.25">
      <c r="A185" s="2" t="s">
        <v>2543</v>
      </c>
      <c r="B185" s="2" t="s">
        <v>2544</v>
      </c>
    </row>
    <row r="186" spans="1:2" x14ac:dyDescent="0.25">
      <c r="A186" s="2" t="s">
        <v>1177</v>
      </c>
      <c r="B186" s="2" t="s">
        <v>966</v>
      </c>
    </row>
    <row r="187" spans="1:2" x14ac:dyDescent="0.25">
      <c r="A187" s="2" t="s">
        <v>1178</v>
      </c>
      <c r="B187" s="2" t="s">
        <v>1179</v>
      </c>
    </row>
    <row r="188" spans="1:2" x14ac:dyDescent="0.25">
      <c r="A188" s="2" t="s">
        <v>2545</v>
      </c>
      <c r="B188" s="2" t="s">
        <v>2546</v>
      </c>
    </row>
    <row r="189" spans="1:2" x14ac:dyDescent="0.25">
      <c r="A189" s="2" t="s">
        <v>2547</v>
      </c>
      <c r="B189" s="2" t="s">
        <v>2548</v>
      </c>
    </row>
    <row r="190" spans="1:2" x14ac:dyDescent="0.25">
      <c r="A190" s="2"/>
      <c r="B190" s="2"/>
    </row>
  </sheetData>
  <conditionalFormatting sqref="B1">
    <cfRule type="containsText" dxfId="393" priority="1" stopIfTrue="1" operator="containsText" text="Ghost">
      <formula>NOT(ISERROR(SEARCH("Ghost",B1)))</formula>
    </cfRule>
    <cfRule type="containsText" dxfId="392" priority="2" stopIfTrue="1" operator="containsText" text="Psychic">
      <formula>NOT(ISERROR(SEARCH("Psychic",B1)))</formula>
    </cfRule>
    <cfRule type="containsText" dxfId="391" priority="3" stopIfTrue="1" operator="containsText" text="Normal">
      <formula>NOT(ISERROR(SEARCH("Normal",B1)))</formula>
    </cfRule>
    <cfRule type="containsText" dxfId="390" priority="4" stopIfTrue="1" operator="containsText" text="Fire">
      <formula>NOT(ISERROR(SEARCH("Fire",B1)))</formula>
    </cfRule>
    <cfRule type="containsText" dxfId="389" priority="5" stopIfTrue="1" operator="containsText" text="Bug">
      <formula>NOT(ISERROR(SEARCH("Bug",B1)))</formula>
    </cfRule>
    <cfRule type="containsText" dxfId="388" priority="6" stopIfTrue="1" operator="containsText" text="Dark">
      <formula>NOT(ISERROR(SEARCH("Dark",B1)))</formula>
    </cfRule>
    <cfRule type="containsText" dxfId="387" priority="7" stopIfTrue="1" operator="containsText" text="Dragon">
      <formula>NOT(ISERROR(SEARCH("Dragon",B1)))</formula>
    </cfRule>
    <cfRule type="containsText" dxfId="386" priority="8" stopIfTrue="1" operator="containsText" text="Electric">
      <formula>NOT(ISERROR(SEARCH("Electric",B1)))</formula>
    </cfRule>
    <cfRule type="containsText" dxfId="385" priority="9" stopIfTrue="1" operator="containsText" text="Fairy">
      <formula>NOT(ISERROR(SEARCH("Fairy",B1)))</formula>
    </cfRule>
    <cfRule type="containsText" dxfId="384" priority="10" stopIfTrue="1" operator="containsText" text="Fighting">
      <formula>NOT(ISERROR(SEARCH("Fighting",B1)))</formula>
    </cfRule>
    <cfRule type="containsText" dxfId="383" priority="11" stopIfTrue="1" operator="containsText" text="Flying">
      <formula>NOT(ISERROR(SEARCH("Flying",B1)))</formula>
    </cfRule>
    <cfRule type="containsText" dxfId="382" priority="12" stopIfTrue="1" operator="containsText" text="Grass">
      <formula>NOT(ISERROR(SEARCH("Grass",B1)))</formula>
    </cfRule>
    <cfRule type="containsText" dxfId="381" priority="13" stopIfTrue="1" operator="containsText" text="Ground">
      <formula>NOT(ISERROR(SEARCH("Ground",B1)))</formula>
    </cfRule>
    <cfRule type="containsText" dxfId="380" priority="14" stopIfTrue="1" operator="containsText" text="Ice">
      <formula>NOT(ISERROR(SEARCH("Ice",B1)))</formula>
    </cfRule>
    <cfRule type="containsText" dxfId="379" priority="15" stopIfTrue="1" operator="containsText" text="Poison">
      <formula>NOT(ISERROR(SEARCH("Poison",B1)))</formula>
    </cfRule>
    <cfRule type="containsText" dxfId="378" priority="16" stopIfTrue="1" operator="containsText" text="Rock">
      <formula>NOT(ISERROR(SEARCH("Rock",B1)))</formula>
    </cfRule>
    <cfRule type="containsText" dxfId="377" priority="17" stopIfTrue="1" operator="containsText" text="Steel">
      <formula>NOT(ISERROR(SEARCH("Steel",B1)))</formula>
    </cfRule>
    <cfRule type="containsText" dxfId="376" priority="18" stopIfTrue="1" operator="containsText" text="Water">
      <formula>NOT(ISERROR(SEARCH("Water",B1)))</formula>
    </cfRule>
    <cfRule type="containsText" dxfId="375" priority="19" stopIfTrue="1" operator="containsText" text="Status">
      <formula>NOT(ISERROR(SEARCH("Status",B1)))</formula>
    </cfRule>
    <cfRule type="containsText" dxfId="374" priority="20" stopIfTrue="1" operator="containsText" text="Physical">
      <formula>NOT(ISERROR(SEARCH("Physical",B1)))</formula>
    </cfRule>
    <cfRule type="containsText" dxfId="373" priority="21" stopIfTrue="1" operator="containsText" text="Special">
      <formula>NOT(ISERROR(SEARCH("Special",B1)))</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temSheet"/>
  <dimension ref="A1:B2"/>
  <sheetViews>
    <sheetView workbookViewId="0">
      <selection activeCell="I24" sqref="I24"/>
    </sheetView>
  </sheetViews>
  <sheetFormatPr defaultRowHeight="15" x14ac:dyDescent="0.25"/>
  <cols>
    <col min="1" max="1" width="16" bestFit="1" customWidth="1"/>
    <col min="2" max="2" width="109.28515625" bestFit="1" customWidth="1"/>
  </cols>
  <sheetData>
    <row r="1" spans="1:2" x14ac:dyDescent="0.25">
      <c r="A1" s="82" t="s">
        <v>625</v>
      </c>
      <c r="B1" s="83" t="s">
        <v>166</v>
      </c>
    </row>
    <row r="2" spans="1:2" x14ac:dyDescent="0.25">
      <c r="A2" s="2" t="s">
        <v>2419</v>
      </c>
      <c r="B2" s="2" t="s">
        <v>2420</v>
      </c>
    </row>
  </sheetData>
  <conditionalFormatting sqref="B1">
    <cfRule type="containsText" dxfId="372" priority="1" stopIfTrue="1" operator="containsText" text="Ghost">
      <formula>NOT(ISERROR(SEARCH("Ghost",B1)))</formula>
    </cfRule>
    <cfRule type="containsText" dxfId="371" priority="2" stopIfTrue="1" operator="containsText" text="Psychic">
      <formula>NOT(ISERROR(SEARCH("Psychic",B1)))</formula>
    </cfRule>
    <cfRule type="containsText" dxfId="370" priority="3" stopIfTrue="1" operator="containsText" text="Normal">
      <formula>NOT(ISERROR(SEARCH("Normal",B1)))</formula>
    </cfRule>
    <cfRule type="containsText" dxfId="369" priority="4" stopIfTrue="1" operator="containsText" text="Fire">
      <formula>NOT(ISERROR(SEARCH("Fire",B1)))</formula>
    </cfRule>
    <cfRule type="containsText" dxfId="368" priority="5" stopIfTrue="1" operator="containsText" text="Bug">
      <formula>NOT(ISERROR(SEARCH("Bug",B1)))</formula>
    </cfRule>
    <cfRule type="containsText" dxfId="367" priority="6" stopIfTrue="1" operator="containsText" text="Dark">
      <formula>NOT(ISERROR(SEARCH("Dark",B1)))</formula>
    </cfRule>
    <cfRule type="containsText" dxfId="366" priority="7" stopIfTrue="1" operator="containsText" text="Dragon">
      <formula>NOT(ISERROR(SEARCH("Dragon",B1)))</formula>
    </cfRule>
    <cfRule type="containsText" dxfId="365" priority="8" stopIfTrue="1" operator="containsText" text="Electric">
      <formula>NOT(ISERROR(SEARCH("Electric",B1)))</formula>
    </cfRule>
    <cfRule type="containsText" dxfId="364" priority="9" stopIfTrue="1" operator="containsText" text="Fairy">
      <formula>NOT(ISERROR(SEARCH("Fairy",B1)))</formula>
    </cfRule>
    <cfRule type="containsText" dxfId="363" priority="10" stopIfTrue="1" operator="containsText" text="Fighting">
      <formula>NOT(ISERROR(SEARCH("Fighting",B1)))</formula>
    </cfRule>
    <cfRule type="containsText" dxfId="362" priority="11" stopIfTrue="1" operator="containsText" text="Flying">
      <formula>NOT(ISERROR(SEARCH("Flying",B1)))</formula>
    </cfRule>
    <cfRule type="containsText" dxfId="361" priority="12" stopIfTrue="1" operator="containsText" text="Grass">
      <formula>NOT(ISERROR(SEARCH("Grass",B1)))</formula>
    </cfRule>
    <cfRule type="containsText" dxfId="360" priority="13" stopIfTrue="1" operator="containsText" text="Ground">
      <formula>NOT(ISERROR(SEARCH("Ground",B1)))</formula>
    </cfRule>
    <cfRule type="containsText" dxfId="359" priority="14" stopIfTrue="1" operator="containsText" text="Ice">
      <formula>NOT(ISERROR(SEARCH("Ice",B1)))</formula>
    </cfRule>
    <cfRule type="containsText" dxfId="358" priority="15" stopIfTrue="1" operator="containsText" text="Poison">
      <formula>NOT(ISERROR(SEARCH("Poison",B1)))</formula>
    </cfRule>
    <cfRule type="containsText" dxfId="357" priority="16" stopIfTrue="1" operator="containsText" text="Rock">
      <formula>NOT(ISERROR(SEARCH("Rock",B1)))</formula>
    </cfRule>
    <cfRule type="containsText" dxfId="356" priority="17" stopIfTrue="1" operator="containsText" text="Steel">
      <formula>NOT(ISERROR(SEARCH("Steel",B1)))</formula>
    </cfRule>
    <cfRule type="containsText" dxfId="355" priority="18" stopIfTrue="1" operator="containsText" text="Water">
      <formula>NOT(ISERROR(SEARCH("Water",B1)))</formula>
    </cfRule>
    <cfRule type="containsText" dxfId="354" priority="19" stopIfTrue="1" operator="containsText" text="Status">
      <formula>NOT(ISERROR(SEARCH("Status",B1)))</formula>
    </cfRule>
    <cfRule type="containsText" dxfId="353" priority="20" stopIfTrue="1" operator="containsText" text="Physical">
      <formula>NOT(ISERROR(SEARCH("Physical",B1)))</formula>
    </cfRule>
    <cfRule type="containsText" dxfId="352" priority="21" stopIfTrue="1" operator="containsText" text="Special">
      <formula>NOT(ISERROR(SEARCH("Special",B1)))</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kmAbSheet"/>
  <dimension ref="A1:H720"/>
  <sheetViews>
    <sheetView workbookViewId="0">
      <selection activeCell="K35" sqref="K35"/>
    </sheetView>
  </sheetViews>
  <sheetFormatPr defaultRowHeight="15" x14ac:dyDescent="0.25"/>
  <cols>
    <col min="1" max="1" width="14" bestFit="1" customWidth="1"/>
    <col min="2" max="2" width="21.28515625" bestFit="1" customWidth="1"/>
    <col min="3" max="3" width="15.28515625" bestFit="1" customWidth="1"/>
    <col min="4" max="4" width="14" bestFit="1" customWidth="1"/>
    <col min="5" max="5" width="13.5703125" bestFit="1" customWidth="1"/>
    <col min="6" max="8" width="12.85546875" bestFit="1" customWidth="1"/>
  </cols>
  <sheetData>
    <row r="1" spans="1:8" x14ac:dyDescent="0.25">
      <c r="A1" s="82" t="s">
        <v>0</v>
      </c>
      <c r="B1" s="83" t="s">
        <v>1182</v>
      </c>
      <c r="C1" s="83" t="s">
        <v>1180</v>
      </c>
      <c r="D1" s="83" t="s">
        <v>1181</v>
      </c>
      <c r="E1" s="83" t="s">
        <v>1183</v>
      </c>
      <c r="F1" s="83" t="s">
        <v>1184</v>
      </c>
      <c r="G1" s="83" t="s">
        <v>1185</v>
      </c>
      <c r="H1" s="83" t="s">
        <v>1186</v>
      </c>
    </row>
    <row r="2" spans="1:8" x14ac:dyDescent="0.25">
      <c r="A2" s="2" t="s">
        <v>128</v>
      </c>
      <c r="B2" s="2" t="s">
        <v>2549</v>
      </c>
      <c r="C2" s="2" t="s">
        <v>921</v>
      </c>
      <c r="D2" s="2" t="s">
        <v>923</v>
      </c>
      <c r="E2" s="2"/>
      <c r="F2" s="2"/>
      <c r="G2" s="2"/>
      <c r="H2" s="2"/>
    </row>
    <row r="3" spans="1:8" x14ac:dyDescent="0.25">
      <c r="A3" s="2" t="s">
        <v>216</v>
      </c>
      <c r="B3" s="2" t="s">
        <v>2549</v>
      </c>
      <c r="C3" s="2" t="s">
        <v>921</v>
      </c>
      <c r="D3" s="2" t="s">
        <v>923</v>
      </c>
      <c r="E3" s="2"/>
      <c r="F3" s="2"/>
      <c r="G3" s="2"/>
      <c r="H3" s="2"/>
    </row>
    <row r="4" spans="1:8" x14ac:dyDescent="0.25">
      <c r="A4" s="2" t="s">
        <v>217</v>
      </c>
      <c r="B4" s="2" t="s">
        <v>2550</v>
      </c>
      <c r="C4" s="2" t="s">
        <v>921</v>
      </c>
      <c r="D4" s="2" t="s">
        <v>923</v>
      </c>
      <c r="E4" s="2" t="s">
        <v>1157</v>
      </c>
      <c r="F4" s="2"/>
      <c r="G4" s="2"/>
      <c r="H4" s="2"/>
    </row>
    <row r="5" spans="1:8" x14ac:dyDescent="0.25">
      <c r="A5" s="2" t="s">
        <v>129</v>
      </c>
      <c r="B5" s="2" t="s">
        <v>2549</v>
      </c>
      <c r="C5" s="2" t="s">
        <v>915</v>
      </c>
      <c r="D5" s="2" t="s">
        <v>1122</v>
      </c>
      <c r="E5" s="2"/>
      <c r="F5" s="2"/>
      <c r="G5" s="2"/>
      <c r="H5" s="2"/>
    </row>
    <row r="6" spans="1:8" x14ac:dyDescent="0.25">
      <c r="A6" s="2" t="s">
        <v>231</v>
      </c>
      <c r="B6" s="2" t="s">
        <v>2549</v>
      </c>
      <c r="C6" s="2" t="s">
        <v>915</v>
      </c>
      <c r="D6" s="2" t="s">
        <v>1122</v>
      </c>
      <c r="E6" s="2"/>
      <c r="F6" s="2"/>
      <c r="G6" s="2"/>
      <c r="H6" s="2"/>
    </row>
    <row r="7" spans="1:8" x14ac:dyDescent="0.25">
      <c r="A7" s="2" t="s">
        <v>232</v>
      </c>
      <c r="B7" s="2" t="s">
        <v>2551</v>
      </c>
      <c r="C7" s="2" t="s">
        <v>915</v>
      </c>
      <c r="D7" s="2" t="s">
        <v>980</v>
      </c>
      <c r="E7" s="2" t="s">
        <v>1122</v>
      </c>
      <c r="F7" s="2" t="s">
        <v>2534</v>
      </c>
      <c r="G7" s="2"/>
      <c r="H7" s="2"/>
    </row>
    <row r="8" spans="1:8" x14ac:dyDescent="0.25">
      <c r="A8" s="2" t="s">
        <v>130</v>
      </c>
      <c r="B8" s="2" t="s">
        <v>2549</v>
      </c>
      <c r="C8" s="2" t="s">
        <v>1084</v>
      </c>
      <c r="D8" s="2" t="s">
        <v>916</v>
      </c>
      <c r="E8" s="2"/>
      <c r="F8" s="2"/>
      <c r="G8" s="2"/>
      <c r="H8" s="2"/>
    </row>
    <row r="9" spans="1:8" x14ac:dyDescent="0.25">
      <c r="A9" s="2" t="s">
        <v>243</v>
      </c>
      <c r="B9" s="2" t="s">
        <v>2549</v>
      </c>
      <c r="C9" s="2" t="s">
        <v>1084</v>
      </c>
      <c r="D9" s="2" t="s">
        <v>916</v>
      </c>
      <c r="E9" s="2"/>
      <c r="F9" s="2"/>
      <c r="G9" s="2"/>
      <c r="H9" s="2"/>
    </row>
    <row r="10" spans="1:8" x14ac:dyDescent="0.25">
      <c r="A10" s="2" t="s">
        <v>244</v>
      </c>
      <c r="B10" s="2" t="s">
        <v>2550</v>
      </c>
      <c r="C10" s="2" t="s">
        <v>2485</v>
      </c>
      <c r="D10" s="2" t="s">
        <v>1084</v>
      </c>
      <c r="E10" s="2" t="s">
        <v>916</v>
      </c>
      <c r="F10" s="2"/>
      <c r="G10" s="2"/>
      <c r="H10" s="2"/>
    </row>
    <row r="11" spans="1:8" x14ac:dyDescent="0.25">
      <c r="A11" s="2" t="s">
        <v>245</v>
      </c>
      <c r="B11" s="2" t="s">
        <v>2549</v>
      </c>
      <c r="C11" s="2" t="s">
        <v>1093</v>
      </c>
      <c r="D11" s="2" t="s">
        <v>1108</v>
      </c>
      <c r="E11" s="2"/>
      <c r="F11" s="2"/>
      <c r="G11" s="2"/>
      <c r="H11" s="2"/>
    </row>
    <row r="12" spans="1:8" x14ac:dyDescent="0.25">
      <c r="A12" s="2" t="s">
        <v>247</v>
      </c>
      <c r="B12" s="2" t="s">
        <v>2552</v>
      </c>
      <c r="C12" s="2" t="s">
        <v>1105</v>
      </c>
      <c r="D12" s="2"/>
      <c r="E12" s="2"/>
      <c r="F12" s="2"/>
      <c r="G12" s="2"/>
      <c r="H12" s="2"/>
    </row>
    <row r="13" spans="1:8" x14ac:dyDescent="0.25">
      <c r="A13" s="2" t="s">
        <v>249</v>
      </c>
      <c r="B13" s="2" t="s">
        <v>2549</v>
      </c>
      <c r="C13" s="2" t="s">
        <v>970</v>
      </c>
      <c r="D13" s="2" t="s">
        <v>1159</v>
      </c>
      <c r="E13" s="2"/>
      <c r="F13" s="2"/>
      <c r="G13" s="2"/>
      <c r="H13" s="2"/>
    </row>
    <row r="14" spans="1:8" x14ac:dyDescent="0.25">
      <c r="A14" s="2" t="s">
        <v>257</v>
      </c>
      <c r="B14" s="2" t="s">
        <v>2549</v>
      </c>
      <c r="C14" s="2" t="s">
        <v>1093</v>
      </c>
      <c r="D14" s="2" t="s">
        <v>1108</v>
      </c>
      <c r="E14" s="2"/>
      <c r="F14" s="2"/>
      <c r="G14" s="2"/>
      <c r="H14" s="2"/>
    </row>
    <row r="15" spans="1:8" x14ac:dyDescent="0.25">
      <c r="A15" s="2" t="s">
        <v>259</v>
      </c>
      <c r="B15" s="2" t="s">
        <v>2552</v>
      </c>
      <c r="C15" s="2" t="s">
        <v>1105</v>
      </c>
      <c r="D15" s="2"/>
      <c r="E15" s="2"/>
      <c r="F15" s="2"/>
      <c r="G15" s="2"/>
      <c r="H15" s="2"/>
    </row>
    <row r="16" spans="1:8" x14ac:dyDescent="0.25">
      <c r="A16" s="2" t="s">
        <v>260</v>
      </c>
      <c r="B16" s="2" t="s">
        <v>2549</v>
      </c>
      <c r="C16" s="2" t="s">
        <v>1116</v>
      </c>
      <c r="D16" s="2" t="s">
        <v>1147</v>
      </c>
      <c r="E16" s="2"/>
      <c r="F16" s="2"/>
      <c r="G16" s="2"/>
      <c r="H16" s="2"/>
    </row>
    <row r="17" spans="1:8" x14ac:dyDescent="0.25">
      <c r="A17" s="2" t="s">
        <v>267</v>
      </c>
      <c r="B17" s="2" t="s">
        <v>2550</v>
      </c>
      <c r="C17" s="2" t="s">
        <v>2429</v>
      </c>
      <c r="D17" s="2" t="s">
        <v>1031</v>
      </c>
      <c r="E17" s="2" t="s">
        <v>1153</v>
      </c>
      <c r="F17" s="2"/>
      <c r="G17" s="2"/>
      <c r="H17" s="2"/>
    </row>
    <row r="18" spans="1:8" x14ac:dyDescent="0.25">
      <c r="A18" s="2" t="s">
        <v>271</v>
      </c>
      <c r="B18" s="2" t="s">
        <v>2550</v>
      </c>
      <c r="C18" s="2" t="s">
        <v>2429</v>
      </c>
      <c r="D18" s="2" t="s">
        <v>1031</v>
      </c>
      <c r="E18" s="2" t="s">
        <v>1153</v>
      </c>
      <c r="F18" s="2"/>
      <c r="G18" s="2"/>
      <c r="H18" s="2"/>
    </row>
    <row r="19" spans="1:8" x14ac:dyDescent="0.25">
      <c r="A19" s="2" t="s">
        <v>272</v>
      </c>
      <c r="B19" s="2" t="s">
        <v>2550</v>
      </c>
      <c r="C19" s="2" t="s">
        <v>2429</v>
      </c>
      <c r="D19" s="2" t="s">
        <v>1031</v>
      </c>
      <c r="E19" s="2" t="s">
        <v>1153</v>
      </c>
      <c r="F19" s="2"/>
      <c r="G19" s="2"/>
      <c r="H19" s="2"/>
    </row>
    <row r="20" spans="1:8" x14ac:dyDescent="0.25">
      <c r="A20" s="2" t="s">
        <v>274</v>
      </c>
      <c r="B20" s="2" t="s">
        <v>2550</v>
      </c>
      <c r="C20" s="2" t="s">
        <v>1004</v>
      </c>
      <c r="D20" s="2" t="s">
        <v>1011</v>
      </c>
      <c r="E20" s="2" t="s">
        <v>1093</v>
      </c>
      <c r="F20" s="2"/>
      <c r="G20" s="2"/>
      <c r="H20" s="2"/>
    </row>
    <row r="21" spans="1:8" x14ac:dyDescent="0.25">
      <c r="A21" s="2" t="s">
        <v>281</v>
      </c>
      <c r="B21" s="2" t="s">
        <v>2550</v>
      </c>
      <c r="C21" s="2" t="s">
        <v>1004</v>
      </c>
      <c r="D21" s="2" t="s">
        <v>1011</v>
      </c>
      <c r="E21" s="2" t="s">
        <v>1093</v>
      </c>
      <c r="F21" s="2"/>
      <c r="G21" s="2"/>
      <c r="H21" s="2"/>
    </row>
    <row r="22" spans="1:8" x14ac:dyDescent="0.25">
      <c r="A22" s="2" t="s">
        <v>282</v>
      </c>
      <c r="B22" s="2" t="s">
        <v>2549</v>
      </c>
      <c r="C22" s="2" t="s">
        <v>1031</v>
      </c>
      <c r="D22" s="2" t="s">
        <v>1116</v>
      </c>
      <c r="E22" s="2"/>
      <c r="F22" s="2"/>
      <c r="G22" s="2"/>
      <c r="H22" s="2"/>
    </row>
    <row r="23" spans="1:8" x14ac:dyDescent="0.25">
      <c r="A23" s="2" t="s">
        <v>288</v>
      </c>
      <c r="B23" s="2" t="s">
        <v>2549</v>
      </c>
      <c r="C23" s="2" t="s">
        <v>1031</v>
      </c>
      <c r="D23" s="2" t="s">
        <v>1116</v>
      </c>
      <c r="E23" s="2"/>
      <c r="F23" s="2"/>
      <c r="G23" s="2"/>
      <c r="H23" s="2"/>
    </row>
    <row r="24" spans="1:8" x14ac:dyDescent="0.25">
      <c r="A24" s="2" t="s">
        <v>289</v>
      </c>
      <c r="B24" s="2" t="s">
        <v>2550</v>
      </c>
      <c r="C24" s="2" t="s">
        <v>1027</v>
      </c>
      <c r="D24" s="2" t="s">
        <v>1105</v>
      </c>
      <c r="E24" s="2" t="s">
        <v>2539</v>
      </c>
      <c r="F24" s="2"/>
      <c r="G24" s="2"/>
      <c r="H24" s="2"/>
    </row>
    <row r="25" spans="1:8" x14ac:dyDescent="0.25">
      <c r="A25" s="2" t="s">
        <v>294</v>
      </c>
      <c r="B25" s="2" t="s">
        <v>2550</v>
      </c>
      <c r="C25" s="2" t="s">
        <v>1027</v>
      </c>
      <c r="D25" s="2" t="s">
        <v>1105</v>
      </c>
      <c r="E25" s="2" t="s">
        <v>2539</v>
      </c>
      <c r="F25" s="2"/>
      <c r="G25" s="2"/>
      <c r="H25" s="2"/>
    </row>
    <row r="26" spans="1:8" x14ac:dyDescent="0.25">
      <c r="A26" s="2" t="s">
        <v>295</v>
      </c>
      <c r="B26" s="2" t="s">
        <v>2549</v>
      </c>
      <c r="C26" s="2" t="s">
        <v>1039</v>
      </c>
      <c r="D26" s="2" t="s">
        <v>1131</v>
      </c>
      <c r="E26" s="2"/>
      <c r="F26" s="2"/>
      <c r="G26" s="2"/>
      <c r="H26" s="2"/>
    </row>
    <row r="27" spans="1:8" x14ac:dyDescent="0.25">
      <c r="A27" s="2" t="s">
        <v>299</v>
      </c>
      <c r="B27" s="2" t="s">
        <v>2549</v>
      </c>
      <c r="C27" s="2" t="s">
        <v>1039</v>
      </c>
      <c r="D27" s="2" t="s">
        <v>1131</v>
      </c>
      <c r="E27" s="2"/>
      <c r="F27" s="2"/>
      <c r="G27" s="2"/>
      <c r="H27" s="2"/>
    </row>
    <row r="28" spans="1:8" x14ac:dyDescent="0.25">
      <c r="A28" s="2" t="s">
        <v>300</v>
      </c>
      <c r="B28" s="2" t="s">
        <v>2549</v>
      </c>
      <c r="C28" s="2" t="s">
        <v>2517</v>
      </c>
      <c r="D28" s="2" t="s">
        <v>1097</v>
      </c>
      <c r="E28" s="2"/>
      <c r="F28" s="2"/>
      <c r="G28" s="2"/>
      <c r="H28" s="2"/>
    </row>
    <row r="29" spans="1:8" x14ac:dyDescent="0.25">
      <c r="A29" s="2" t="s">
        <v>303</v>
      </c>
      <c r="B29" s="2" t="s">
        <v>2549</v>
      </c>
      <c r="C29" s="2" t="s">
        <v>2517</v>
      </c>
      <c r="D29" s="2" t="s">
        <v>1097</v>
      </c>
      <c r="E29" s="2"/>
      <c r="F29" s="2"/>
      <c r="G29" s="2"/>
      <c r="H29" s="2"/>
    </row>
    <row r="30" spans="1:8" x14ac:dyDescent="0.25">
      <c r="A30" s="2" t="s">
        <v>304</v>
      </c>
      <c r="B30" s="2" t="s">
        <v>2553</v>
      </c>
      <c r="C30" s="2"/>
      <c r="D30" s="2"/>
      <c r="E30" s="2"/>
      <c r="F30" s="2"/>
      <c r="G30" s="2"/>
      <c r="H30" s="2"/>
    </row>
    <row r="31" spans="1:8" x14ac:dyDescent="0.25">
      <c r="A31" s="2" t="s">
        <v>306</v>
      </c>
      <c r="B31" s="2" t="s">
        <v>2550</v>
      </c>
      <c r="C31" s="2" t="s">
        <v>1011</v>
      </c>
      <c r="D31" s="2" t="s">
        <v>1077</v>
      </c>
      <c r="E31" s="2" t="s">
        <v>1088</v>
      </c>
      <c r="F31" s="2"/>
      <c r="G31" s="2"/>
      <c r="H31" s="2"/>
    </row>
    <row r="32" spans="1:8" x14ac:dyDescent="0.25">
      <c r="A32" s="2" t="s">
        <v>307</v>
      </c>
      <c r="B32" s="2" t="s">
        <v>2550</v>
      </c>
      <c r="C32" s="2" t="s">
        <v>1077</v>
      </c>
      <c r="D32" s="2" t="s">
        <v>1088</v>
      </c>
      <c r="E32" s="2" t="s">
        <v>2521</v>
      </c>
      <c r="F32" s="2"/>
      <c r="G32" s="2"/>
      <c r="H32" s="2"/>
    </row>
    <row r="33" spans="1:8" x14ac:dyDescent="0.25">
      <c r="A33" s="2" t="s">
        <v>309</v>
      </c>
      <c r="B33" s="2" t="s">
        <v>2553</v>
      </c>
      <c r="C33" s="2"/>
      <c r="D33" s="2"/>
      <c r="E33" s="2"/>
      <c r="F33" s="2"/>
      <c r="G33" s="2"/>
      <c r="H33" s="2"/>
    </row>
    <row r="34" spans="1:8" x14ac:dyDescent="0.25">
      <c r="A34" s="2" t="s">
        <v>312</v>
      </c>
      <c r="B34" s="2" t="s">
        <v>2550</v>
      </c>
      <c r="C34" s="2" t="s">
        <v>1011</v>
      </c>
      <c r="D34" s="2" t="s">
        <v>1077</v>
      </c>
      <c r="E34" s="2" t="s">
        <v>1088</v>
      </c>
      <c r="F34" s="2"/>
      <c r="G34" s="2"/>
      <c r="H34" s="2"/>
    </row>
    <row r="35" spans="1:8" x14ac:dyDescent="0.25">
      <c r="A35" s="2" t="s">
        <v>313</v>
      </c>
      <c r="B35" s="2" t="s">
        <v>2550</v>
      </c>
      <c r="C35" s="2" t="s">
        <v>1077</v>
      </c>
      <c r="D35" s="2" t="s">
        <v>1088</v>
      </c>
      <c r="E35" s="2" t="s">
        <v>2521</v>
      </c>
      <c r="F35" s="2"/>
      <c r="G35" s="2"/>
      <c r="H35" s="2"/>
    </row>
    <row r="36" spans="1:8" x14ac:dyDescent="0.25">
      <c r="A36" s="2" t="s">
        <v>315</v>
      </c>
      <c r="B36" s="2" t="s">
        <v>2550</v>
      </c>
      <c r="C36" s="2" t="s">
        <v>972</v>
      </c>
      <c r="D36" s="2" t="s">
        <v>2453</v>
      </c>
      <c r="E36" s="2" t="s">
        <v>1045</v>
      </c>
      <c r="F36" s="2"/>
      <c r="G36" s="2"/>
      <c r="H36" s="2"/>
    </row>
    <row r="37" spans="1:8" x14ac:dyDescent="0.25">
      <c r="A37" s="2" t="s">
        <v>323</v>
      </c>
      <c r="B37" s="2" t="s">
        <v>2550</v>
      </c>
      <c r="C37" s="2" t="s">
        <v>972</v>
      </c>
      <c r="D37" s="2" t="s">
        <v>1045</v>
      </c>
      <c r="E37" s="2" t="s">
        <v>1166</v>
      </c>
      <c r="F37" s="2"/>
      <c r="G37" s="2"/>
      <c r="H37" s="2"/>
    </row>
    <row r="38" spans="1:8" x14ac:dyDescent="0.25">
      <c r="A38" s="2" t="s">
        <v>324</v>
      </c>
      <c r="B38" s="2" t="s">
        <v>2549</v>
      </c>
      <c r="C38" s="2" t="s">
        <v>980</v>
      </c>
      <c r="D38" s="2" t="s">
        <v>992</v>
      </c>
      <c r="E38" s="2"/>
      <c r="F38" s="2"/>
      <c r="G38" s="2"/>
      <c r="H38" s="2"/>
    </row>
    <row r="39" spans="1:8" x14ac:dyDescent="0.25">
      <c r="A39" s="2" t="s">
        <v>327</v>
      </c>
      <c r="B39" s="2" t="s">
        <v>2549</v>
      </c>
      <c r="C39" s="2" t="s">
        <v>980</v>
      </c>
      <c r="D39" s="2" t="s">
        <v>992</v>
      </c>
      <c r="E39" s="2"/>
      <c r="F39" s="2"/>
      <c r="G39" s="2"/>
      <c r="H39" s="2"/>
    </row>
    <row r="40" spans="1:8" x14ac:dyDescent="0.25">
      <c r="A40" s="2" t="s">
        <v>328</v>
      </c>
      <c r="B40" s="2" t="s">
        <v>2550</v>
      </c>
      <c r="C40" s="2" t="s">
        <v>2435</v>
      </c>
      <c r="D40" s="2" t="s">
        <v>972</v>
      </c>
      <c r="E40" s="2" t="s">
        <v>2453</v>
      </c>
      <c r="F40" s="2"/>
      <c r="G40" s="2"/>
      <c r="H40" s="2"/>
    </row>
    <row r="41" spans="1:8" x14ac:dyDescent="0.25">
      <c r="A41" s="2" t="s">
        <v>329</v>
      </c>
      <c r="B41" s="2" t="s">
        <v>2550</v>
      </c>
      <c r="C41" s="2" t="s">
        <v>2435</v>
      </c>
      <c r="D41" s="2" t="s">
        <v>972</v>
      </c>
      <c r="E41" s="2" t="s">
        <v>1000</v>
      </c>
      <c r="F41" s="2"/>
      <c r="G41" s="2"/>
      <c r="H41" s="2"/>
    </row>
    <row r="42" spans="1:8" x14ac:dyDescent="0.25">
      <c r="A42" s="2" t="s">
        <v>330</v>
      </c>
      <c r="B42" s="2" t="s">
        <v>2549</v>
      </c>
      <c r="C42" s="2" t="s">
        <v>2473</v>
      </c>
      <c r="D42" s="2" t="s">
        <v>1023</v>
      </c>
      <c r="E42" s="2"/>
      <c r="F42" s="2"/>
      <c r="G42" s="2"/>
      <c r="H42" s="2"/>
    </row>
    <row r="43" spans="1:8" x14ac:dyDescent="0.25">
      <c r="A43" s="2" t="s">
        <v>332</v>
      </c>
      <c r="B43" s="2" t="s">
        <v>2549</v>
      </c>
      <c r="C43" s="2" t="s">
        <v>2473</v>
      </c>
      <c r="D43" s="2" t="s">
        <v>1023</v>
      </c>
      <c r="E43" s="2"/>
      <c r="F43" s="2"/>
      <c r="G43" s="2"/>
      <c r="H43" s="2"/>
    </row>
    <row r="44" spans="1:8" x14ac:dyDescent="0.25">
      <c r="A44" s="2" t="s">
        <v>333</v>
      </c>
      <c r="B44" s="2" t="s">
        <v>2549</v>
      </c>
      <c r="C44" s="2" t="s">
        <v>921</v>
      </c>
      <c r="D44" s="2" t="s">
        <v>1093</v>
      </c>
      <c r="E44" s="2"/>
      <c r="F44" s="2"/>
      <c r="G44" s="2"/>
      <c r="H44" s="2"/>
    </row>
    <row r="45" spans="1:8" x14ac:dyDescent="0.25">
      <c r="A45" s="2" t="s">
        <v>336</v>
      </c>
      <c r="B45" s="2" t="s">
        <v>2549</v>
      </c>
      <c r="C45" s="2" t="s">
        <v>921</v>
      </c>
      <c r="D45" s="2" t="s">
        <v>1135</v>
      </c>
      <c r="E45" s="2"/>
      <c r="F45" s="2"/>
      <c r="G45" s="2"/>
      <c r="H45" s="2"/>
    </row>
    <row r="46" spans="1:8" x14ac:dyDescent="0.25">
      <c r="A46" s="2" t="s">
        <v>337</v>
      </c>
      <c r="B46" s="2" t="s">
        <v>2549</v>
      </c>
      <c r="C46" s="2" t="s">
        <v>921</v>
      </c>
      <c r="D46" s="2" t="s">
        <v>986</v>
      </c>
      <c r="E46" s="2"/>
      <c r="F46" s="2"/>
      <c r="G46" s="2"/>
      <c r="H46" s="2"/>
    </row>
    <row r="47" spans="1:8" x14ac:dyDescent="0.25">
      <c r="A47" s="2" t="s">
        <v>338</v>
      </c>
      <c r="B47" s="2" t="s">
        <v>2550</v>
      </c>
      <c r="C47" s="2" t="s">
        <v>974</v>
      </c>
      <c r="D47" s="2" t="s">
        <v>982</v>
      </c>
      <c r="E47" s="2" t="s">
        <v>986</v>
      </c>
      <c r="F47" s="2"/>
      <c r="G47" s="2"/>
      <c r="H47" s="2"/>
    </row>
    <row r="48" spans="1:8" x14ac:dyDescent="0.25">
      <c r="A48" s="2" t="s">
        <v>340</v>
      </c>
      <c r="B48" s="2" t="s">
        <v>2550</v>
      </c>
      <c r="C48" s="2" t="s">
        <v>974</v>
      </c>
      <c r="D48" s="2" t="s">
        <v>982</v>
      </c>
      <c r="E48" s="2" t="s">
        <v>986</v>
      </c>
      <c r="F48" s="2"/>
      <c r="G48" s="2"/>
      <c r="H48" s="2"/>
    </row>
    <row r="49" spans="1:8" x14ac:dyDescent="0.25">
      <c r="A49" s="2" t="s">
        <v>341</v>
      </c>
      <c r="B49" s="2" t="s">
        <v>2550</v>
      </c>
      <c r="C49" s="2" t="s">
        <v>970</v>
      </c>
      <c r="D49" s="2" t="s">
        <v>1093</v>
      </c>
      <c r="E49" s="2" t="s">
        <v>1159</v>
      </c>
      <c r="F49" s="2"/>
      <c r="G49" s="2"/>
      <c r="H49" s="2"/>
    </row>
    <row r="50" spans="1:8" x14ac:dyDescent="0.25">
      <c r="A50" s="2" t="s">
        <v>342</v>
      </c>
      <c r="B50" s="2" t="s">
        <v>2550</v>
      </c>
      <c r="C50" s="2" t="s">
        <v>1108</v>
      </c>
      <c r="D50" s="2" t="s">
        <v>1159</v>
      </c>
      <c r="E50" s="2" t="s">
        <v>2545</v>
      </c>
      <c r="F50" s="2"/>
      <c r="G50" s="2"/>
      <c r="H50" s="2"/>
    </row>
    <row r="51" spans="1:8" x14ac:dyDescent="0.25">
      <c r="A51" s="2" t="s">
        <v>343</v>
      </c>
      <c r="B51" s="2" t="s">
        <v>2550</v>
      </c>
      <c r="C51" s="2" t="s">
        <v>957</v>
      </c>
      <c r="D51" s="2" t="s">
        <v>2515</v>
      </c>
      <c r="E51" s="2" t="s">
        <v>1097</v>
      </c>
      <c r="F51" s="2"/>
      <c r="G51" s="2"/>
      <c r="H51" s="2"/>
    </row>
    <row r="52" spans="1:8" x14ac:dyDescent="0.25">
      <c r="A52" s="2" t="s">
        <v>346</v>
      </c>
      <c r="B52" s="2" t="s">
        <v>2550</v>
      </c>
      <c r="C52" s="2" t="s">
        <v>957</v>
      </c>
      <c r="D52" s="2" t="s">
        <v>2515</v>
      </c>
      <c r="E52" s="2" t="s">
        <v>1097</v>
      </c>
      <c r="F52" s="2"/>
      <c r="G52" s="2"/>
      <c r="H52" s="2"/>
    </row>
    <row r="53" spans="1:8" x14ac:dyDescent="0.25">
      <c r="A53" s="2" t="s">
        <v>347</v>
      </c>
      <c r="B53" s="2" t="s">
        <v>2550</v>
      </c>
      <c r="C53" s="2" t="s">
        <v>1072</v>
      </c>
      <c r="D53" s="2" t="s">
        <v>1155</v>
      </c>
      <c r="E53" s="2" t="s">
        <v>2539</v>
      </c>
      <c r="F53" s="2"/>
      <c r="G53" s="2"/>
      <c r="H53" s="2"/>
    </row>
    <row r="54" spans="1:8" x14ac:dyDescent="0.25">
      <c r="A54" s="2" t="s">
        <v>349</v>
      </c>
      <c r="B54" s="2" t="s">
        <v>2550</v>
      </c>
      <c r="C54" s="2" t="s">
        <v>1041</v>
      </c>
      <c r="D54" s="2" t="s">
        <v>1155</v>
      </c>
      <c r="E54" s="2" t="s">
        <v>2539</v>
      </c>
      <c r="F54" s="2"/>
      <c r="G54" s="2"/>
      <c r="H54" s="2"/>
    </row>
    <row r="55" spans="1:8" x14ac:dyDescent="0.25">
      <c r="A55" s="2" t="s">
        <v>350</v>
      </c>
      <c r="B55" s="2" t="s">
        <v>2550</v>
      </c>
      <c r="C55" s="2" t="s">
        <v>967</v>
      </c>
      <c r="D55" s="2" t="s">
        <v>974</v>
      </c>
      <c r="E55" s="2" t="s">
        <v>1149</v>
      </c>
      <c r="F55" s="2"/>
      <c r="G55" s="2"/>
      <c r="H55" s="2"/>
    </row>
    <row r="56" spans="1:8" x14ac:dyDescent="0.25">
      <c r="A56" s="2" t="s">
        <v>351</v>
      </c>
      <c r="B56" s="2" t="s">
        <v>2550</v>
      </c>
      <c r="C56" s="2" t="s">
        <v>967</v>
      </c>
      <c r="D56" s="2" t="s">
        <v>974</v>
      </c>
      <c r="E56" s="2" t="s">
        <v>1149</v>
      </c>
      <c r="F56" s="2"/>
      <c r="G56" s="2"/>
      <c r="H56" s="2"/>
    </row>
    <row r="57" spans="1:8" x14ac:dyDescent="0.25">
      <c r="A57" s="2" t="s">
        <v>353</v>
      </c>
      <c r="B57" s="2" t="s">
        <v>2550</v>
      </c>
      <c r="C57" s="2" t="s">
        <v>953</v>
      </c>
      <c r="D57" s="2" t="s">
        <v>2445</v>
      </c>
      <c r="E57" s="2" t="s">
        <v>1170</v>
      </c>
      <c r="F57" s="2"/>
      <c r="G57" s="2"/>
      <c r="H57" s="2"/>
    </row>
    <row r="58" spans="1:8" x14ac:dyDescent="0.25">
      <c r="A58" s="2" t="s">
        <v>357</v>
      </c>
      <c r="B58" s="2" t="s">
        <v>2550</v>
      </c>
      <c r="C58" s="2" t="s">
        <v>953</v>
      </c>
      <c r="D58" s="2" t="s">
        <v>2445</v>
      </c>
      <c r="E58" s="2" t="s">
        <v>1170</v>
      </c>
      <c r="F58" s="2"/>
      <c r="G58" s="2"/>
      <c r="H58" s="2"/>
    </row>
    <row r="59" spans="1:8" x14ac:dyDescent="0.25">
      <c r="A59" s="2" t="s">
        <v>358</v>
      </c>
      <c r="B59" s="2" t="s">
        <v>2550</v>
      </c>
      <c r="C59" s="2" t="s">
        <v>992</v>
      </c>
      <c r="D59" s="2" t="s">
        <v>1027</v>
      </c>
      <c r="E59" s="2" t="s">
        <v>2477</v>
      </c>
      <c r="F59" s="2"/>
      <c r="G59" s="2"/>
      <c r="H59" s="2"/>
    </row>
    <row r="60" spans="1:8" x14ac:dyDescent="0.25">
      <c r="A60" s="2" t="s">
        <v>359</v>
      </c>
      <c r="B60" s="2" t="s">
        <v>2550</v>
      </c>
      <c r="C60" s="2" t="s">
        <v>992</v>
      </c>
      <c r="D60" s="2" t="s">
        <v>1027</v>
      </c>
      <c r="E60" s="2" t="s">
        <v>2477</v>
      </c>
      <c r="F60" s="2"/>
      <c r="G60" s="2"/>
      <c r="H60" s="2"/>
    </row>
    <row r="61" spans="1:8" x14ac:dyDescent="0.25">
      <c r="A61" s="2" t="s">
        <v>360</v>
      </c>
      <c r="B61" s="2" t="s">
        <v>2550</v>
      </c>
      <c r="C61" s="2" t="s">
        <v>974</v>
      </c>
      <c r="D61" s="2" t="s">
        <v>1149</v>
      </c>
      <c r="E61" s="2" t="s">
        <v>1173</v>
      </c>
      <c r="F61" s="2"/>
      <c r="G61" s="2"/>
      <c r="H61" s="2"/>
    </row>
    <row r="62" spans="1:8" x14ac:dyDescent="0.25">
      <c r="A62" s="2" t="s">
        <v>362</v>
      </c>
      <c r="B62" s="2" t="s">
        <v>2550</v>
      </c>
      <c r="C62" s="2" t="s">
        <v>974</v>
      </c>
      <c r="D62" s="2" t="s">
        <v>1149</v>
      </c>
      <c r="E62" s="2" t="s">
        <v>1173</v>
      </c>
      <c r="F62" s="2"/>
      <c r="G62" s="2"/>
      <c r="H62" s="2"/>
    </row>
    <row r="63" spans="1:8" x14ac:dyDescent="0.25">
      <c r="A63" s="2" t="s">
        <v>363</v>
      </c>
      <c r="B63" s="2" t="s">
        <v>2550</v>
      </c>
      <c r="C63" s="2" t="s">
        <v>974</v>
      </c>
      <c r="D63" s="2" t="s">
        <v>1149</v>
      </c>
      <c r="E63" s="2" t="s">
        <v>1173</v>
      </c>
      <c r="F63" s="2"/>
      <c r="G63" s="2"/>
      <c r="H63" s="2"/>
    </row>
    <row r="64" spans="1:8" x14ac:dyDescent="0.25">
      <c r="A64" s="2" t="s">
        <v>365</v>
      </c>
      <c r="B64" s="2" t="s">
        <v>2550</v>
      </c>
      <c r="C64" s="2" t="s">
        <v>1023</v>
      </c>
      <c r="D64" s="2" t="s">
        <v>1045</v>
      </c>
      <c r="E64" s="2" t="s">
        <v>1151</v>
      </c>
      <c r="F64" s="2"/>
      <c r="G64" s="2"/>
      <c r="H64" s="2"/>
    </row>
    <row r="65" spans="1:8" x14ac:dyDescent="0.25">
      <c r="A65" s="2" t="s">
        <v>368</v>
      </c>
      <c r="B65" s="2" t="s">
        <v>2550</v>
      </c>
      <c r="C65" s="2" t="s">
        <v>1023</v>
      </c>
      <c r="D65" s="2" t="s">
        <v>1045</v>
      </c>
      <c r="E65" s="2" t="s">
        <v>1151</v>
      </c>
      <c r="F65" s="2"/>
      <c r="G65" s="2"/>
      <c r="H65" s="2"/>
    </row>
    <row r="66" spans="1:8" x14ac:dyDescent="0.25">
      <c r="A66" s="2" t="s">
        <v>371</v>
      </c>
      <c r="B66" s="2" t="s">
        <v>2551</v>
      </c>
      <c r="C66" s="2" t="s">
        <v>1023</v>
      </c>
      <c r="D66" s="2" t="s">
        <v>1045</v>
      </c>
      <c r="E66" s="2" t="s">
        <v>1151</v>
      </c>
      <c r="F66" s="2" t="s">
        <v>1162</v>
      </c>
      <c r="G66" s="2"/>
      <c r="H66" s="2"/>
    </row>
    <row r="67" spans="1:8" x14ac:dyDescent="0.25">
      <c r="A67" s="2" t="s">
        <v>372</v>
      </c>
      <c r="B67" s="2" t="s">
        <v>2550</v>
      </c>
      <c r="C67" s="2" t="s">
        <v>1004</v>
      </c>
      <c r="D67" s="2" t="s">
        <v>1063</v>
      </c>
      <c r="E67" s="2" t="s">
        <v>1133</v>
      </c>
      <c r="F67" s="2"/>
      <c r="G67" s="2"/>
      <c r="H67" s="2"/>
    </row>
    <row r="68" spans="1:8" x14ac:dyDescent="0.25">
      <c r="A68" s="2" t="s">
        <v>374</v>
      </c>
      <c r="B68" s="2" t="s">
        <v>2550</v>
      </c>
      <c r="C68" s="2" t="s">
        <v>1004</v>
      </c>
      <c r="D68" s="2" t="s">
        <v>1063</v>
      </c>
      <c r="E68" s="2" t="s">
        <v>1133</v>
      </c>
      <c r="F68" s="2"/>
      <c r="G68" s="2"/>
      <c r="H68" s="2"/>
    </row>
    <row r="69" spans="1:8" x14ac:dyDescent="0.25">
      <c r="A69" s="2" t="s">
        <v>375</v>
      </c>
      <c r="B69" s="2" t="s">
        <v>2550</v>
      </c>
      <c r="C69" s="2" t="s">
        <v>1004</v>
      </c>
      <c r="D69" s="2" t="s">
        <v>1063</v>
      </c>
      <c r="E69" s="2" t="s">
        <v>1133</v>
      </c>
      <c r="F69" s="2"/>
      <c r="G69" s="2"/>
      <c r="H69" s="2"/>
    </row>
    <row r="70" spans="1:8" x14ac:dyDescent="0.25">
      <c r="A70" s="2" t="s">
        <v>376</v>
      </c>
      <c r="B70" s="2" t="s">
        <v>2549</v>
      </c>
      <c r="C70" s="2" t="s">
        <v>921</v>
      </c>
      <c r="D70" s="2" t="s">
        <v>1002</v>
      </c>
      <c r="E70" s="2"/>
      <c r="F70" s="2"/>
      <c r="G70" s="2"/>
      <c r="H70" s="2"/>
    </row>
    <row r="71" spans="1:8" x14ac:dyDescent="0.25">
      <c r="A71" s="2" t="s">
        <v>377</v>
      </c>
      <c r="B71" s="2" t="s">
        <v>2549</v>
      </c>
      <c r="C71" s="2" t="s">
        <v>921</v>
      </c>
      <c r="D71" s="2" t="s">
        <v>1002</v>
      </c>
      <c r="E71" s="2"/>
      <c r="F71" s="2"/>
      <c r="G71" s="2"/>
      <c r="H71" s="2"/>
    </row>
    <row r="72" spans="1:8" x14ac:dyDescent="0.25">
      <c r="A72" s="2" t="s">
        <v>378</v>
      </c>
      <c r="B72" s="2" t="s">
        <v>2549</v>
      </c>
      <c r="C72" s="2" t="s">
        <v>921</v>
      </c>
      <c r="D72" s="2" t="s">
        <v>1002</v>
      </c>
      <c r="E72" s="2"/>
      <c r="F72" s="2"/>
      <c r="G72" s="2"/>
      <c r="H72" s="2"/>
    </row>
    <row r="73" spans="1:8" x14ac:dyDescent="0.25">
      <c r="A73" s="2" t="s">
        <v>379</v>
      </c>
      <c r="B73" s="2" t="s">
        <v>2550</v>
      </c>
      <c r="C73" s="2" t="s">
        <v>965</v>
      </c>
      <c r="D73" s="2" t="s">
        <v>1043</v>
      </c>
      <c r="E73" s="2" t="s">
        <v>1084</v>
      </c>
      <c r="F73" s="2"/>
      <c r="G73" s="2"/>
      <c r="H73" s="2"/>
    </row>
    <row r="74" spans="1:8" x14ac:dyDescent="0.25">
      <c r="A74" s="2" t="s">
        <v>382</v>
      </c>
      <c r="B74" s="2" t="s">
        <v>2550</v>
      </c>
      <c r="C74" s="2" t="s">
        <v>965</v>
      </c>
      <c r="D74" s="2" t="s">
        <v>1043</v>
      </c>
      <c r="E74" s="2" t="s">
        <v>1084</v>
      </c>
      <c r="F74" s="2"/>
      <c r="G74" s="2"/>
      <c r="H74" s="2"/>
    </row>
    <row r="75" spans="1:8" x14ac:dyDescent="0.25">
      <c r="A75" s="2" t="s">
        <v>383</v>
      </c>
      <c r="B75" s="2" t="s">
        <v>2550</v>
      </c>
      <c r="C75" s="2" t="s">
        <v>1090</v>
      </c>
      <c r="D75" s="2" t="s">
        <v>1097</v>
      </c>
      <c r="E75" s="2" t="s">
        <v>1141</v>
      </c>
      <c r="F75" s="2"/>
      <c r="G75" s="2"/>
      <c r="H75" s="2"/>
    </row>
    <row r="76" spans="1:8" x14ac:dyDescent="0.25">
      <c r="A76" s="2" t="s">
        <v>388</v>
      </c>
      <c r="B76" s="2" t="s">
        <v>2550</v>
      </c>
      <c r="C76" s="2" t="s">
        <v>1090</v>
      </c>
      <c r="D76" s="2" t="s">
        <v>1097</v>
      </c>
      <c r="E76" s="2" t="s">
        <v>1141</v>
      </c>
      <c r="F76" s="2"/>
      <c r="G76" s="2"/>
      <c r="H76" s="2"/>
    </row>
    <row r="77" spans="1:8" x14ac:dyDescent="0.25">
      <c r="A77" s="2" t="s">
        <v>389</v>
      </c>
      <c r="B77" s="2" t="s">
        <v>2550</v>
      </c>
      <c r="C77" s="2" t="s">
        <v>1090</v>
      </c>
      <c r="D77" s="2" t="s">
        <v>1097</v>
      </c>
      <c r="E77" s="2" t="s">
        <v>1141</v>
      </c>
      <c r="F77" s="2"/>
      <c r="G77" s="2"/>
      <c r="H77" s="2"/>
    </row>
    <row r="78" spans="1:8" x14ac:dyDescent="0.25">
      <c r="A78" s="2" t="s">
        <v>390</v>
      </c>
      <c r="B78" s="2" t="s">
        <v>2550</v>
      </c>
      <c r="C78" s="2" t="s">
        <v>990</v>
      </c>
      <c r="D78" s="2" t="s">
        <v>992</v>
      </c>
      <c r="E78" s="2" t="s">
        <v>1093</v>
      </c>
      <c r="F78" s="2"/>
      <c r="G78" s="2"/>
      <c r="H78" s="2"/>
    </row>
    <row r="79" spans="1:8" x14ac:dyDescent="0.25">
      <c r="A79" s="2" t="s">
        <v>392</v>
      </c>
      <c r="B79" s="2" t="s">
        <v>2550</v>
      </c>
      <c r="C79" s="2" t="s">
        <v>990</v>
      </c>
      <c r="D79" s="2" t="s">
        <v>992</v>
      </c>
      <c r="E79" s="2" t="s">
        <v>1093</v>
      </c>
      <c r="F79" s="2"/>
      <c r="G79" s="2"/>
      <c r="H79" s="2"/>
    </row>
    <row r="80" spans="1:8" x14ac:dyDescent="0.25">
      <c r="A80" s="2" t="s">
        <v>393</v>
      </c>
      <c r="B80" s="2" t="s">
        <v>2550</v>
      </c>
      <c r="C80" s="2" t="s">
        <v>1067</v>
      </c>
      <c r="D80" s="2" t="s">
        <v>1070</v>
      </c>
      <c r="E80" s="2" t="s">
        <v>2513</v>
      </c>
      <c r="F80" s="2"/>
      <c r="G80" s="2"/>
      <c r="H80" s="2"/>
    </row>
    <row r="81" spans="1:8" x14ac:dyDescent="0.25">
      <c r="A81" s="2" t="s">
        <v>394</v>
      </c>
      <c r="B81" s="2" t="s">
        <v>2550</v>
      </c>
      <c r="C81" s="2" t="s">
        <v>1067</v>
      </c>
      <c r="D81" s="2" t="s">
        <v>1070</v>
      </c>
      <c r="E81" s="2" t="s">
        <v>2513</v>
      </c>
      <c r="F81" s="2"/>
      <c r="G81" s="2"/>
      <c r="H81" s="2"/>
    </row>
    <row r="82" spans="1:8" x14ac:dyDescent="0.25">
      <c r="A82" s="2" t="s">
        <v>395</v>
      </c>
      <c r="B82" s="2" t="s">
        <v>2550</v>
      </c>
      <c r="C82" s="2" t="s">
        <v>2423</v>
      </c>
      <c r="D82" s="2" t="s">
        <v>1049</v>
      </c>
      <c r="E82" s="2" t="s">
        <v>1141</v>
      </c>
      <c r="F82" s="2"/>
      <c r="G82" s="2"/>
      <c r="H82" s="2"/>
    </row>
    <row r="83" spans="1:8" x14ac:dyDescent="0.25">
      <c r="A83" s="2" t="s">
        <v>397</v>
      </c>
      <c r="B83" s="2" t="s">
        <v>2550</v>
      </c>
      <c r="C83" s="2" t="s">
        <v>2423</v>
      </c>
      <c r="D83" s="2" t="s">
        <v>1049</v>
      </c>
      <c r="E83" s="2" t="s">
        <v>1141</v>
      </c>
      <c r="F83" s="2"/>
      <c r="G83" s="2"/>
      <c r="H83" s="2"/>
    </row>
    <row r="84" spans="1:8" x14ac:dyDescent="0.25">
      <c r="A84" s="2" t="s">
        <v>583</v>
      </c>
      <c r="B84" s="2" t="s">
        <v>2550</v>
      </c>
      <c r="C84" s="2" t="s">
        <v>2445</v>
      </c>
      <c r="D84" s="2" t="s">
        <v>1023</v>
      </c>
      <c r="E84" s="2" t="s">
        <v>1031</v>
      </c>
      <c r="F84" s="2"/>
      <c r="G84" s="2"/>
      <c r="H84" s="2"/>
    </row>
    <row r="85" spans="1:8" x14ac:dyDescent="0.25">
      <c r="A85" s="2" t="s">
        <v>398</v>
      </c>
      <c r="B85" s="2" t="s">
        <v>2550</v>
      </c>
      <c r="C85" s="2" t="s">
        <v>984</v>
      </c>
      <c r="D85" s="2" t="s">
        <v>1093</v>
      </c>
      <c r="E85" s="2" t="s">
        <v>1153</v>
      </c>
      <c r="F85" s="2"/>
      <c r="G85" s="2"/>
      <c r="H85" s="2"/>
    </row>
    <row r="86" spans="1:8" x14ac:dyDescent="0.25">
      <c r="A86" s="2" t="s">
        <v>399</v>
      </c>
      <c r="B86" s="2" t="s">
        <v>2550</v>
      </c>
      <c r="C86" s="2" t="s">
        <v>984</v>
      </c>
      <c r="D86" s="2" t="s">
        <v>1093</v>
      </c>
      <c r="E86" s="2" t="s">
        <v>1153</v>
      </c>
      <c r="F86" s="2"/>
      <c r="G86" s="2"/>
      <c r="H86" s="2"/>
    </row>
    <row r="87" spans="1:8" x14ac:dyDescent="0.25">
      <c r="A87" s="2" t="s">
        <v>400</v>
      </c>
      <c r="B87" s="2" t="s">
        <v>2550</v>
      </c>
      <c r="C87" s="2" t="s">
        <v>1013</v>
      </c>
      <c r="D87" s="2" t="s">
        <v>1017</v>
      </c>
      <c r="E87" s="2" t="s">
        <v>1157</v>
      </c>
      <c r="F87" s="2"/>
      <c r="G87" s="2"/>
      <c r="H87" s="2"/>
    </row>
    <row r="88" spans="1:8" x14ac:dyDescent="0.25">
      <c r="A88" s="2" t="s">
        <v>402</v>
      </c>
      <c r="B88" s="2" t="s">
        <v>2550</v>
      </c>
      <c r="C88" s="2" t="s">
        <v>1013</v>
      </c>
      <c r="D88" s="2" t="s">
        <v>1017</v>
      </c>
      <c r="E88" s="2" t="s">
        <v>1157</v>
      </c>
      <c r="F88" s="2"/>
      <c r="G88" s="2"/>
      <c r="H88" s="2"/>
    </row>
    <row r="89" spans="1:8" x14ac:dyDescent="0.25">
      <c r="A89" s="2" t="s">
        <v>403</v>
      </c>
      <c r="B89" s="2" t="s">
        <v>2550</v>
      </c>
      <c r="C89" s="2" t="s">
        <v>2503</v>
      </c>
      <c r="D89" s="2" t="s">
        <v>1135</v>
      </c>
      <c r="E89" s="2" t="s">
        <v>1137</v>
      </c>
      <c r="F89" s="2"/>
      <c r="G89" s="2"/>
      <c r="H89" s="2"/>
    </row>
    <row r="90" spans="1:8" x14ac:dyDescent="0.25">
      <c r="A90" s="2" t="s">
        <v>406</v>
      </c>
      <c r="B90" s="2" t="s">
        <v>2550</v>
      </c>
      <c r="C90" s="2" t="s">
        <v>2503</v>
      </c>
      <c r="D90" s="2" t="s">
        <v>1135</v>
      </c>
      <c r="E90" s="2" t="s">
        <v>1137</v>
      </c>
      <c r="F90" s="2"/>
      <c r="G90" s="2"/>
      <c r="H90" s="2"/>
    </row>
    <row r="91" spans="1:8" x14ac:dyDescent="0.25">
      <c r="A91" s="2" t="s">
        <v>407</v>
      </c>
      <c r="B91" s="2" t="s">
        <v>2550</v>
      </c>
      <c r="C91" s="2" t="s">
        <v>2495</v>
      </c>
      <c r="D91" s="2" t="s">
        <v>1107</v>
      </c>
      <c r="E91" s="2" t="s">
        <v>1112</v>
      </c>
      <c r="F91" s="2"/>
      <c r="G91" s="2"/>
      <c r="H91" s="2"/>
    </row>
    <row r="92" spans="1:8" x14ac:dyDescent="0.25">
      <c r="A92" s="2" t="s">
        <v>409</v>
      </c>
      <c r="B92" s="2" t="s">
        <v>2550</v>
      </c>
      <c r="C92" s="2" t="s">
        <v>2495</v>
      </c>
      <c r="D92" s="2" t="s">
        <v>1107</v>
      </c>
      <c r="E92" s="2" t="s">
        <v>1112</v>
      </c>
      <c r="F92" s="2"/>
      <c r="G92" s="2"/>
      <c r="H92" s="2"/>
    </row>
    <row r="93" spans="1:8" x14ac:dyDescent="0.25">
      <c r="A93" s="2" t="s">
        <v>411</v>
      </c>
      <c r="B93" s="2" t="s">
        <v>2552</v>
      </c>
      <c r="C93" s="2" t="s">
        <v>1037</v>
      </c>
      <c r="D93" s="2"/>
      <c r="E93" s="2"/>
      <c r="F93" s="2"/>
      <c r="G93" s="2"/>
      <c r="H93" s="2"/>
    </row>
    <row r="94" spans="1:8" x14ac:dyDescent="0.25">
      <c r="A94" s="2" t="s">
        <v>415</v>
      </c>
      <c r="B94" s="2" t="s">
        <v>2552</v>
      </c>
      <c r="C94" s="2" t="s">
        <v>1037</v>
      </c>
      <c r="D94" s="2"/>
      <c r="E94" s="2"/>
      <c r="F94" s="2"/>
      <c r="G94" s="2"/>
      <c r="H94" s="2"/>
    </row>
    <row r="95" spans="1:8" x14ac:dyDescent="0.25">
      <c r="A95" s="2" t="s">
        <v>131</v>
      </c>
      <c r="B95" s="2" t="s">
        <v>2549</v>
      </c>
      <c r="C95" s="2" t="s">
        <v>1037</v>
      </c>
      <c r="D95" s="2" t="s">
        <v>1103</v>
      </c>
      <c r="E95" s="2"/>
      <c r="F95" s="2"/>
      <c r="G95" s="2"/>
      <c r="H95" s="2"/>
    </row>
    <row r="96" spans="1:8" x14ac:dyDescent="0.25">
      <c r="A96" s="2" t="s">
        <v>416</v>
      </c>
      <c r="B96" s="2" t="s">
        <v>2550</v>
      </c>
      <c r="C96" s="2" t="s">
        <v>1090</v>
      </c>
      <c r="D96" s="2" t="s">
        <v>1141</v>
      </c>
      <c r="E96" s="2" t="s">
        <v>2543</v>
      </c>
      <c r="F96" s="2"/>
      <c r="G96" s="2"/>
      <c r="H96" s="2"/>
    </row>
    <row r="97" spans="1:8" x14ac:dyDescent="0.25">
      <c r="A97" s="2" t="s">
        <v>417</v>
      </c>
      <c r="B97" s="2" t="s">
        <v>2550</v>
      </c>
      <c r="C97" s="2" t="s">
        <v>998</v>
      </c>
      <c r="D97" s="2" t="s">
        <v>1023</v>
      </c>
      <c r="E97" s="2" t="s">
        <v>1025</v>
      </c>
      <c r="F97" s="2"/>
      <c r="G97" s="2"/>
      <c r="H97" s="2"/>
    </row>
    <row r="98" spans="1:8" x14ac:dyDescent="0.25">
      <c r="A98" s="2" t="s">
        <v>418</v>
      </c>
      <c r="B98" s="2" t="s">
        <v>2550</v>
      </c>
      <c r="C98" s="2" t="s">
        <v>998</v>
      </c>
      <c r="D98" s="2" t="s">
        <v>1023</v>
      </c>
      <c r="E98" s="2" t="s">
        <v>1025</v>
      </c>
      <c r="F98" s="2"/>
      <c r="G98" s="2"/>
      <c r="H98" s="2"/>
    </row>
    <row r="99" spans="1:8" x14ac:dyDescent="0.25">
      <c r="A99" s="2" t="s">
        <v>419</v>
      </c>
      <c r="B99" s="2" t="s">
        <v>2550</v>
      </c>
      <c r="C99" s="2" t="s">
        <v>1015</v>
      </c>
      <c r="D99" s="2" t="s">
        <v>2521</v>
      </c>
      <c r="E99" s="2" t="s">
        <v>1107</v>
      </c>
      <c r="F99" s="2"/>
      <c r="G99" s="2"/>
      <c r="H99" s="2"/>
    </row>
    <row r="100" spans="1:8" x14ac:dyDescent="0.25">
      <c r="A100" s="2" t="s">
        <v>423</v>
      </c>
      <c r="B100" s="2" t="s">
        <v>2550</v>
      </c>
      <c r="C100" s="2" t="s">
        <v>1015</v>
      </c>
      <c r="D100" s="2" t="s">
        <v>2521</v>
      </c>
      <c r="E100" s="2" t="s">
        <v>1107</v>
      </c>
      <c r="F100" s="2"/>
      <c r="G100" s="2"/>
      <c r="H100" s="2"/>
    </row>
    <row r="101" spans="1:8" x14ac:dyDescent="0.25">
      <c r="A101" s="2" t="s">
        <v>424</v>
      </c>
      <c r="B101" s="2" t="s">
        <v>2550</v>
      </c>
      <c r="C101" s="2" t="s">
        <v>949</v>
      </c>
      <c r="D101" s="2" t="s">
        <v>1125</v>
      </c>
      <c r="E101" s="2" t="s">
        <v>1131</v>
      </c>
      <c r="F101" s="2"/>
      <c r="G101" s="2"/>
      <c r="H101" s="2"/>
    </row>
    <row r="102" spans="1:8" x14ac:dyDescent="0.25">
      <c r="A102" s="2" t="s">
        <v>425</v>
      </c>
      <c r="B102" s="2" t="s">
        <v>2550</v>
      </c>
      <c r="C102" s="2" t="s">
        <v>949</v>
      </c>
      <c r="D102" s="2" t="s">
        <v>1125</v>
      </c>
      <c r="E102" s="2" t="s">
        <v>1131</v>
      </c>
      <c r="F102" s="2"/>
      <c r="G102" s="2"/>
      <c r="H102" s="2"/>
    </row>
    <row r="103" spans="1:8" x14ac:dyDescent="0.25">
      <c r="A103" s="2" t="s">
        <v>426</v>
      </c>
      <c r="B103" s="2" t="s">
        <v>2549</v>
      </c>
      <c r="C103" s="2" t="s">
        <v>921</v>
      </c>
      <c r="D103" s="2" t="s">
        <v>2463</v>
      </c>
      <c r="E103" s="2"/>
      <c r="F103" s="2"/>
      <c r="G103" s="2"/>
      <c r="H103" s="2"/>
    </row>
    <row r="104" spans="1:8" x14ac:dyDescent="0.25">
      <c r="A104" s="2" t="s">
        <v>428</v>
      </c>
      <c r="B104" s="2" t="s">
        <v>2549</v>
      </c>
      <c r="C104" s="2" t="s">
        <v>921</v>
      </c>
      <c r="D104" s="2" t="s">
        <v>2463</v>
      </c>
      <c r="E104" s="2"/>
      <c r="F104" s="2"/>
      <c r="G104" s="2"/>
      <c r="H104" s="2"/>
    </row>
    <row r="105" spans="1:8" x14ac:dyDescent="0.25">
      <c r="A105" s="2" t="s">
        <v>430</v>
      </c>
      <c r="B105" s="2" t="s">
        <v>2550</v>
      </c>
      <c r="C105" s="2" t="s">
        <v>961</v>
      </c>
      <c r="D105" s="2" t="s">
        <v>1039</v>
      </c>
      <c r="E105" s="2" t="s">
        <v>1090</v>
      </c>
      <c r="F105" s="2"/>
      <c r="G105" s="2"/>
      <c r="H105" s="2"/>
    </row>
    <row r="106" spans="1:8" x14ac:dyDescent="0.25">
      <c r="A106" s="2" t="s">
        <v>433</v>
      </c>
      <c r="B106" s="2" t="s">
        <v>2550</v>
      </c>
      <c r="C106" s="2" t="s">
        <v>961</v>
      </c>
      <c r="D106" s="2" t="s">
        <v>1039</v>
      </c>
      <c r="E106" s="2" t="s">
        <v>1090</v>
      </c>
      <c r="F106" s="2"/>
      <c r="G106" s="2"/>
      <c r="H106" s="2"/>
    </row>
    <row r="107" spans="1:8" x14ac:dyDescent="0.25">
      <c r="A107" s="2" t="s">
        <v>434</v>
      </c>
      <c r="B107" s="2" t="s">
        <v>2550</v>
      </c>
      <c r="C107" s="2" t="s">
        <v>1041</v>
      </c>
      <c r="D107" s="2" t="s">
        <v>1086</v>
      </c>
      <c r="E107" s="2" t="s">
        <v>1168</v>
      </c>
      <c r="F107" s="2"/>
      <c r="G107" s="2"/>
      <c r="H107" s="2"/>
    </row>
    <row r="108" spans="1:8" x14ac:dyDescent="0.25">
      <c r="A108" s="2" t="s">
        <v>438</v>
      </c>
      <c r="B108" s="2" t="s">
        <v>2550</v>
      </c>
      <c r="C108" s="2" t="s">
        <v>1023</v>
      </c>
      <c r="D108" s="2" t="s">
        <v>1029</v>
      </c>
      <c r="E108" s="2" t="s">
        <v>1031</v>
      </c>
      <c r="F108" s="2"/>
      <c r="G108" s="2"/>
      <c r="H108" s="2"/>
    </row>
    <row r="109" spans="1:8" x14ac:dyDescent="0.25">
      <c r="A109" s="2" t="s">
        <v>440</v>
      </c>
      <c r="B109" s="2" t="s">
        <v>2550</v>
      </c>
      <c r="C109" s="2" t="s">
        <v>967</v>
      </c>
      <c r="D109" s="2" t="s">
        <v>1067</v>
      </c>
      <c r="E109" s="2" t="s">
        <v>1070</v>
      </c>
      <c r="F109" s="2"/>
      <c r="G109" s="2"/>
      <c r="H109" s="2"/>
    </row>
    <row r="110" spans="1:8" x14ac:dyDescent="0.25">
      <c r="A110" s="2" t="s">
        <v>441</v>
      </c>
      <c r="B110" s="2" t="s">
        <v>2552</v>
      </c>
      <c r="C110" s="2" t="s">
        <v>1037</v>
      </c>
      <c r="D110" s="2"/>
      <c r="E110" s="2"/>
      <c r="F110" s="2"/>
      <c r="G110" s="2"/>
      <c r="H110" s="2"/>
    </row>
    <row r="111" spans="1:8" x14ac:dyDescent="0.25">
      <c r="A111" s="2" t="s">
        <v>442</v>
      </c>
      <c r="B111" s="2" t="s">
        <v>2552</v>
      </c>
      <c r="C111" s="2" t="s">
        <v>1037</v>
      </c>
      <c r="D111" s="2"/>
      <c r="E111" s="2"/>
      <c r="F111" s="2"/>
      <c r="G111" s="2"/>
      <c r="H111" s="2"/>
    </row>
    <row r="112" spans="1:8" x14ac:dyDescent="0.25">
      <c r="A112" s="2" t="s">
        <v>443</v>
      </c>
      <c r="B112" s="2" t="s">
        <v>2550</v>
      </c>
      <c r="C112" s="2" t="s">
        <v>1039</v>
      </c>
      <c r="D112" s="2" t="s">
        <v>1086</v>
      </c>
      <c r="E112" s="2" t="s">
        <v>1090</v>
      </c>
      <c r="F112" s="2"/>
      <c r="G112" s="2"/>
      <c r="H112" s="2"/>
    </row>
    <row r="113" spans="1:8" x14ac:dyDescent="0.25">
      <c r="A113" s="2" t="s">
        <v>444</v>
      </c>
      <c r="B113" s="2" t="s">
        <v>2550</v>
      </c>
      <c r="C113" s="2" t="s">
        <v>1039</v>
      </c>
      <c r="D113" s="2" t="s">
        <v>1086</v>
      </c>
      <c r="E113" s="2" t="s">
        <v>1090</v>
      </c>
      <c r="F113" s="2"/>
      <c r="G113" s="2"/>
      <c r="H113" s="2"/>
    </row>
    <row r="114" spans="1:8" x14ac:dyDescent="0.25">
      <c r="A114" s="2" t="s">
        <v>445</v>
      </c>
      <c r="B114" s="2" t="s">
        <v>2550</v>
      </c>
      <c r="C114" s="2" t="s">
        <v>2465</v>
      </c>
      <c r="D114" s="2" t="s">
        <v>1061</v>
      </c>
      <c r="E114" s="2" t="s">
        <v>1101</v>
      </c>
      <c r="F114" s="2"/>
      <c r="G114" s="2"/>
      <c r="H114" s="2"/>
    </row>
    <row r="115" spans="1:8" x14ac:dyDescent="0.25">
      <c r="A115" s="2" t="s">
        <v>447</v>
      </c>
      <c r="B115" s="2" t="s">
        <v>2550</v>
      </c>
      <c r="C115" s="2" t="s">
        <v>921</v>
      </c>
      <c r="D115" s="2" t="s">
        <v>1035</v>
      </c>
      <c r="E115" s="2" t="s">
        <v>2513</v>
      </c>
      <c r="F115" s="2"/>
      <c r="G115" s="2"/>
      <c r="H115" s="2"/>
    </row>
    <row r="116" spans="1:8" x14ac:dyDescent="0.25">
      <c r="A116" s="2" t="s">
        <v>448</v>
      </c>
      <c r="B116" s="2" t="s">
        <v>2551</v>
      </c>
      <c r="C116" s="2" t="s">
        <v>984</v>
      </c>
      <c r="D116" s="2" t="s">
        <v>1023</v>
      </c>
      <c r="E116" s="2" t="s">
        <v>2497</v>
      </c>
      <c r="F116" s="2" t="s">
        <v>1099</v>
      </c>
      <c r="G116" s="2"/>
      <c r="H116" s="2"/>
    </row>
    <row r="117" spans="1:8" x14ac:dyDescent="0.25">
      <c r="A117" s="2" t="s">
        <v>450</v>
      </c>
      <c r="B117" s="2" t="s">
        <v>2550</v>
      </c>
      <c r="C117" s="2" t="s">
        <v>974</v>
      </c>
      <c r="D117" s="2" t="s">
        <v>1116</v>
      </c>
      <c r="E117" s="2" t="s">
        <v>1149</v>
      </c>
      <c r="F117" s="2"/>
      <c r="G117" s="2"/>
      <c r="H117" s="2"/>
    </row>
    <row r="118" spans="1:8" x14ac:dyDescent="0.25">
      <c r="A118" s="2" t="s">
        <v>451</v>
      </c>
      <c r="B118" s="2" t="s">
        <v>2550</v>
      </c>
      <c r="C118" s="2" t="s">
        <v>974</v>
      </c>
      <c r="D118" s="2" t="s">
        <v>1077</v>
      </c>
      <c r="E118" s="2" t="s">
        <v>1116</v>
      </c>
      <c r="F118" s="2"/>
      <c r="G118" s="2"/>
      <c r="H118" s="2"/>
    </row>
    <row r="119" spans="1:8" x14ac:dyDescent="0.25">
      <c r="A119" s="2" t="s">
        <v>452</v>
      </c>
      <c r="B119" s="2" t="s">
        <v>2550</v>
      </c>
      <c r="C119" s="2" t="s">
        <v>1039</v>
      </c>
      <c r="D119" s="2" t="s">
        <v>1149</v>
      </c>
      <c r="E119" s="2" t="s">
        <v>1175</v>
      </c>
      <c r="F119" s="2"/>
      <c r="G119" s="2"/>
      <c r="H119" s="2"/>
    </row>
    <row r="120" spans="1:8" x14ac:dyDescent="0.25">
      <c r="A120" s="2" t="s">
        <v>453</v>
      </c>
      <c r="B120" s="2" t="s">
        <v>2550</v>
      </c>
      <c r="C120" s="2" t="s">
        <v>1039</v>
      </c>
      <c r="D120" s="2" t="s">
        <v>1149</v>
      </c>
      <c r="E120" s="2" t="s">
        <v>1175</v>
      </c>
      <c r="F120" s="2"/>
      <c r="G120" s="2"/>
      <c r="H120" s="2"/>
    </row>
    <row r="121" spans="1:8" x14ac:dyDescent="0.25">
      <c r="A121" s="2" t="s">
        <v>454</v>
      </c>
      <c r="B121" s="2" t="s">
        <v>2550</v>
      </c>
      <c r="C121" s="2" t="s">
        <v>2423</v>
      </c>
      <c r="D121" s="2" t="s">
        <v>1019</v>
      </c>
      <c r="E121" s="2" t="s">
        <v>1061</v>
      </c>
      <c r="F121" s="2"/>
      <c r="G121" s="2"/>
      <c r="H121" s="2"/>
    </row>
    <row r="122" spans="1:8" x14ac:dyDescent="0.25">
      <c r="A122" s="2" t="s">
        <v>455</v>
      </c>
      <c r="B122" s="2" t="s">
        <v>2550</v>
      </c>
      <c r="C122" s="2" t="s">
        <v>2423</v>
      </c>
      <c r="D122" s="2" t="s">
        <v>1019</v>
      </c>
      <c r="E122" s="2" t="s">
        <v>1061</v>
      </c>
      <c r="F122" s="2"/>
      <c r="G122" s="2"/>
      <c r="H122" s="2"/>
    </row>
    <row r="123" spans="1:8" x14ac:dyDescent="0.25">
      <c r="A123" s="2" t="s">
        <v>584</v>
      </c>
      <c r="B123" s="2" t="s">
        <v>2550</v>
      </c>
      <c r="C123" s="2" t="s">
        <v>988</v>
      </c>
      <c r="D123" s="2" t="s">
        <v>1125</v>
      </c>
      <c r="E123" s="2" t="s">
        <v>1155</v>
      </c>
      <c r="F123" s="2"/>
      <c r="G123" s="2"/>
      <c r="H123" s="2"/>
    </row>
    <row r="124" spans="1:8" x14ac:dyDescent="0.25">
      <c r="A124" s="2" t="s">
        <v>456</v>
      </c>
      <c r="B124" s="2" t="s">
        <v>2550</v>
      </c>
      <c r="C124" s="2" t="s">
        <v>1133</v>
      </c>
      <c r="D124" s="2" t="s">
        <v>1147</v>
      </c>
      <c r="E124" s="2" t="s">
        <v>1155</v>
      </c>
      <c r="F124" s="2"/>
      <c r="G124" s="2"/>
      <c r="H124" s="2"/>
    </row>
    <row r="125" spans="1:8" x14ac:dyDescent="0.25">
      <c r="A125" s="2" t="s">
        <v>457</v>
      </c>
      <c r="B125" s="2" t="s">
        <v>2550</v>
      </c>
      <c r="C125" s="2" t="s">
        <v>982</v>
      </c>
      <c r="D125" s="2" t="s">
        <v>998</v>
      </c>
      <c r="E125" s="2" t="s">
        <v>1067</v>
      </c>
      <c r="F125" s="2"/>
      <c r="G125" s="2"/>
      <c r="H125" s="2"/>
    </row>
    <row r="126" spans="1:8" x14ac:dyDescent="0.25">
      <c r="A126" s="2" t="s">
        <v>459</v>
      </c>
      <c r="B126" s="2" t="s">
        <v>2549</v>
      </c>
      <c r="C126" s="2" t="s">
        <v>1131</v>
      </c>
      <c r="D126" s="2" t="s">
        <v>1170</v>
      </c>
      <c r="E126" s="2"/>
      <c r="F126" s="2"/>
      <c r="G126" s="2"/>
      <c r="H126" s="2"/>
    </row>
    <row r="127" spans="1:8" x14ac:dyDescent="0.25">
      <c r="A127" s="2" t="s">
        <v>460</v>
      </c>
      <c r="B127" s="2" t="s">
        <v>2549</v>
      </c>
      <c r="C127" s="2" t="s">
        <v>990</v>
      </c>
      <c r="D127" s="2" t="s">
        <v>1170</v>
      </c>
      <c r="E127" s="2"/>
      <c r="F127" s="2"/>
      <c r="G127" s="2"/>
      <c r="H127" s="2"/>
    </row>
    <row r="128" spans="1:8" x14ac:dyDescent="0.25">
      <c r="A128" s="2" t="s">
        <v>461</v>
      </c>
      <c r="B128" s="2" t="s">
        <v>2551</v>
      </c>
      <c r="C128" s="2" t="s">
        <v>2421</v>
      </c>
      <c r="D128" s="2" t="s">
        <v>1015</v>
      </c>
      <c r="E128" s="2" t="s">
        <v>1055</v>
      </c>
      <c r="F128" s="2" t="s">
        <v>2489</v>
      </c>
      <c r="G128" s="2"/>
      <c r="H128" s="2"/>
    </row>
    <row r="129" spans="1:8" x14ac:dyDescent="0.25">
      <c r="A129" s="2" t="s">
        <v>462</v>
      </c>
      <c r="B129" s="2" t="s">
        <v>2550</v>
      </c>
      <c r="C129" s="2" t="s">
        <v>953</v>
      </c>
      <c r="D129" s="2" t="s">
        <v>1027</v>
      </c>
      <c r="E129" s="2" t="s">
        <v>2521</v>
      </c>
      <c r="F129" s="2"/>
      <c r="G129" s="2"/>
      <c r="H129" s="2"/>
    </row>
    <row r="130" spans="1:8" x14ac:dyDescent="0.25">
      <c r="A130" s="2" t="s">
        <v>463</v>
      </c>
      <c r="B130" s="2" t="s">
        <v>2549</v>
      </c>
      <c r="C130" s="2" t="s">
        <v>2509</v>
      </c>
      <c r="D130" s="2" t="s">
        <v>1149</v>
      </c>
      <c r="E130" s="2"/>
      <c r="F130" s="2"/>
      <c r="G130" s="2"/>
      <c r="H130" s="2"/>
    </row>
    <row r="131" spans="1:8" x14ac:dyDescent="0.25">
      <c r="A131" s="2" t="s">
        <v>464</v>
      </c>
      <c r="B131" s="2" t="s">
        <v>2550</v>
      </c>
      <c r="C131" s="2" t="s">
        <v>1027</v>
      </c>
      <c r="D131" s="2" t="s">
        <v>1055</v>
      </c>
      <c r="E131" s="2" t="s">
        <v>2489</v>
      </c>
      <c r="F131" s="2"/>
      <c r="G131" s="2"/>
      <c r="H131" s="2"/>
    </row>
    <row r="132" spans="1:8" x14ac:dyDescent="0.25">
      <c r="A132" s="2" t="s">
        <v>132</v>
      </c>
      <c r="B132" s="2" t="s">
        <v>2550</v>
      </c>
      <c r="C132" s="2" t="s">
        <v>1013</v>
      </c>
      <c r="D132" s="2" t="s">
        <v>1107</v>
      </c>
      <c r="E132" s="2" t="s">
        <v>1173</v>
      </c>
      <c r="F132" s="2"/>
      <c r="G132" s="2"/>
      <c r="H132" s="2"/>
    </row>
    <row r="133" spans="1:8" x14ac:dyDescent="0.25">
      <c r="A133" s="2" t="s">
        <v>465</v>
      </c>
      <c r="B133" s="2" t="s">
        <v>2549</v>
      </c>
      <c r="C133" s="2" t="s">
        <v>2471</v>
      </c>
      <c r="D133" s="2" t="s">
        <v>1041</v>
      </c>
      <c r="E133" s="2"/>
      <c r="F133" s="2"/>
      <c r="G133" s="2"/>
      <c r="H133" s="2"/>
    </row>
    <row r="134" spans="1:8" x14ac:dyDescent="0.25">
      <c r="A134" s="2" t="s">
        <v>467</v>
      </c>
      <c r="B134" s="2" t="s">
        <v>2550</v>
      </c>
      <c r="C134" s="2" t="s">
        <v>947</v>
      </c>
      <c r="D134" s="2" t="s">
        <v>955</v>
      </c>
      <c r="E134" s="2" t="s">
        <v>1093</v>
      </c>
      <c r="F134" s="2"/>
      <c r="G134" s="2"/>
      <c r="H134" s="2"/>
    </row>
    <row r="135" spans="1:8" x14ac:dyDescent="0.25">
      <c r="A135" s="2" t="s">
        <v>468</v>
      </c>
      <c r="B135" s="2" t="s">
        <v>2549</v>
      </c>
      <c r="C135" s="2" t="s">
        <v>1013</v>
      </c>
      <c r="D135" s="2" t="s">
        <v>1173</v>
      </c>
      <c r="E135" s="2"/>
      <c r="F135" s="2"/>
      <c r="G135" s="2"/>
      <c r="H135" s="2"/>
    </row>
    <row r="136" spans="1:8" x14ac:dyDescent="0.25">
      <c r="A136" s="2" t="s">
        <v>469</v>
      </c>
      <c r="B136" s="2" t="s">
        <v>2549</v>
      </c>
      <c r="C136" s="2" t="s">
        <v>1082</v>
      </c>
      <c r="D136" s="2" t="s">
        <v>1171</v>
      </c>
      <c r="E136" s="2"/>
      <c r="F136" s="2"/>
      <c r="G136" s="2"/>
      <c r="H136" s="2"/>
    </row>
    <row r="137" spans="1:8" x14ac:dyDescent="0.25">
      <c r="A137" s="2" t="s">
        <v>470</v>
      </c>
      <c r="B137" s="2" t="s">
        <v>2549</v>
      </c>
      <c r="C137" s="2" t="s">
        <v>992</v>
      </c>
      <c r="D137" s="2" t="s">
        <v>1004</v>
      </c>
      <c r="E137" s="2"/>
      <c r="F137" s="2"/>
      <c r="G137" s="2"/>
      <c r="H137" s="2"/>
    </row>
    <row r="138" spans="1:8" x14ac:dyDescent="0.25">
      <c r="A138" s="2" t="s">
        <v>471</v>
      </c>
      <c r="B138" s="2" t="s">
        <v>2550</v>
      </c>
      <c r="C138" s="2" t="s">
        <v>2423</v>
      </c>
      <c r="D138" s="2" t="s">
        <v>976</v>
      </c>
      <c r="E138" s="2" t="s">
        <v>1162</v>
      </c>
      <c r="F138" s="2"/>
      <c r="G138" s="2"/>
      <c r="H138" s="2"/>
    </row>
    <row r="139" spans="1:8" x14ac:dyDescent="0.25">
      <c r="A139" s="2" t="s">
        <v>474</v>
      </c>
      <c r="B139" s="2" t="s">
        <v>2550</v>
      </c>
      <c r="C139" s="2" t="s">
        <v>1107</v>
      </c>
      <c r="D139" s="2" t="s">
        <v>1149</v>
      </c>
      <c r="E139" s="2" t="s">
        <v>2543</v>
      </c>
      <c r="F139" s="2"/>
      <c r="G139" s="2"/>
      <c r="H139" s="2"/>
    </row>
    <row r="140" spans="1:8" x14ac:dyDescent="0.25">
      <c r="A140" s="2" t="s">
        <v>475</v>
      </c>
      <c r="B140" s="2" t="s">
        <v>2550</v>
      </c>
      <c r="C140" s="2" t="s">
        <v>1107</v>
      </c>
      <c r="D140" s="2" t="s">
        <v>1149</v>
      </c>
      <c r="E140" s="2" t="s">
        <v>2543</v>
      </c>
      <c r="F140" s="2"/>
      <c r="G140" s="2"/>
      <c r="H140" s="2"/>
    </row>
    <row r="141" spans="1:8" x14ac:dyDescent="0.25">
      <c r="A141" s="2" t="s">
        <v>476</v>
      </c>
      <c r="B141" s="2" t="s">
        <v>2550</v>
      </c>
      <c r="C141" s="2" t="s">
        <v>961</v>
      </c>
      <c r="D141" s="2" t="s">
        <v>1149</v>
      </c>
      <c r="E141" s="2" t="s">
        <v>2543</v>
      </c>
      <c r="F141" s="2"/>
      <c r="G141" s="2"/>
      <c r="H141" s="2"/>
    </row>
    <row r="142" spans="1:8" x14ac:dyDescent="0.25">
      <c r="A142" s="2" t="s">
        <v>477</v>
      </c>
      <c r="B142" s="2" t="s">
        <v>2550</v>
      </c>
      <c r="C142" s="2" t="s">
        <v>961</v>
      </c>
      <c r="D142" s="2" t="s">
        <v>1149</v>
      </c>
      <c r="E142" s="2" t="s">
        <v>2543</v>
      </c>
      <c r="F142" s="2"/>
      <c r="G142" s="2"/>
      <c r="H142" s="2"/>
    </row>
    <row r="143" spans="1:8" x14ac:dyDescent="0.25">
      <c r="A143" s="2" t="s">
        <v>478</v>
      </c>
      <c r="B143" s="2" t="s">
        <v>2551</v>
      </c>
      <c r="C143" s="2" t="s">
        <v>1079</v>
      </c>
      <c r="D143" s="2" t="s">
        <v>1090</v>
      </c>
      <c r="E143" s="2" t="s">
        <v>2534</v>
      </c>
      <c r="F143" s="2" t="s">
        <v>2539</v>
      </c>
      <c r="G143" s="2"/>
      <c r="H143" s="2"/>
    </row>
    <row r="144" spans="1:8" x14ac:dyDescent="0.25">
      <c r="A144" s="2" t="s">
        <v>479</v>
      </c>
      <c r="B144" s="2" t="s">
        <v>2550</v>
      </c>
      <c r="C144" s="2" t="s">
        <v>1002</v>
      </c>
      <c r="D144" s="2" t="s">
        <v>1021</v>
      </c>
      <c r="E144" s="2" t="s">
        <v>1157</v>
      </c>
      <c r="F144" s="2"/>
      <c r="G144" s="2"/>
      <c r="H144" s="2"/>
    </row>
    <row r="145" spans="1:8" x14ac:dyDescent="0.25">
      <c r="A145" s="2" t="s">
        <v>480</v>
      </c>
      <c r="B145" s="2" t="s">
        <v>2549</v>
      </c>
      <c r="C145" s="2" t="s">
        <v>1079</v>
      </c>
      <c r="D145" s="2" t="s">
        <v>1118</v>
      </c>
      <c r="E145" s="2"/>
      <c r="F145" s="2"/>
      <c r="G145" s="2"/>
      <c r="H145" s="2"/>
    </row>
    <row r="146" spans="1:8" x14ac:dyDescent="0.25">
      <c r="A146" s="2" t="s">
        <v>481</v>
      </c>
      <c r="B146" s="2" t="s">
        <v>2549</v>
      </c>
      <c r="C146" s="2" t="s">
        <v>1039</v>
      </c>
      <c r="D146" s="2" t="s">
        <v>1079</v>
      </c>
      <c r="E146" s="2"/>
      <c r="F146" s="2"/>
      <c r="G146" s="2"/>
      <c r="H146" s="2"/>
    </row>
    <row r="147" spans="1:8" x14ac:dyDescent="0.25">
      <c r="A147" s="2" t="s">
        <v>482</v>
      </c>
      <c r="B147" s="2" t="s">
        <v>2549</v>
      </c>
      <c r="C147" s="2" t="s">
        <v>990</v>
      </c>
      <c r="D147" s="2" t="s">
        <v>1079</v>
      </c>
      <c r="E147" s="2"/>
      <c r="F147" s="2"/>
      <c r="G147" s="2"/>
      <c r="H147" s="2"/>
    </row>
    <row r="148" spans="1:8" x14ac:dyDescent="0.25">
      <c r="A148" s="2" t="s">
        <v>483</v>
      </c>
      <c r="B148" s="2" t="s">
        <v>2549</v>
      </c>
      <c r="C148" s="2" t="s">
        <v>1051</v>
      </c>
      <c r="D148" s="2" t="s">
        <v>1105</v>
      </c>
      <c r="E148" s="2"/>
      <c r="F148" s="2"/>
      <c r="G148" s="2"/>
      <c r="H148" s="2"/>
    </row>
    <row r="149" spans="1:8" x14ac:dyDescent="0.25">
      <c r="A149" s="2" t="s">
        <v>484</v>
      </c>
      <c r="B149" s="2" t="s">
        <v>2549</v>
      </c>
      <c r="C149" s="2" t="s">
        <v>1051</v>
      </c>
      <c r="D149" s="2" t="s">
        <v>1105</v>
      </c>
      <c r="E149" s="2"/>
      <c r="F149" s="2"/>
      <c r="G149" s="2"/>
      <c r="H149" s="2"/>
    </row>
    <row r="150" spans="1:8" x14ac:dyDescent="0.25">
      <c r="A150" s="2" t="s">
        <v>133</v>
      </c>
      <c r="B150" s="2" t="s">
        <v>2549</v>
      </c>
      <c r="C150" s="2" t="s">
        <v>1023</v>
      </c>
      <c r="D150" s="2" t="s">
        <v>2491</v>
      </c>
      <c r="E150" s="2"/>
      <c r="F150" s="2"/>
      <c r="G150" s="2"/>
      <c r="H150" s="2"/>
    </row>
    <row r="151" spans="1:8" x14ac:dyDescent="0.25">
      <c r="A151" s="2" t="s">
        <v>485</v>
      </c>
      <c r="B151" s="2" t="s">
        <v>2551</v>
      </c>
      <c r="C151" s="2" t="s">
        <v>1025</v>
      </c>
      <c r="D151" s="2" t="s">
        <v>1079</v>
      </c>
      <c r="E151" s="2" t="s">
        <v>1133</v>
      </c>
      <c r="F151" s="2" t="s">
        <v>2539</v>
      </c>
      <c r="G151" s="2"/>
      <c r="H151" s="2"/>
    </row>
    <row r="152" spans="1:8" x14ac:dyDescent="0.25">
      <c r="A152" s="2" t="s">
        <v>486</v>
      </c>
      <c r="B152" s="2" t="s">
        <v>2552</v>
      </c>
      <c r="C152" s="2" t="s">
        <v>1151</v>
      </c>
      <c r="D152" s="2"/>
      <c r="E152" s="2"/>
      <c r="F152" s="2"/>
      <c r="G152" s="2"/>
      <c r="H152" s="2"/>
    </row>
    <row r="153" spans="1:8" x14ac:dyDescent="0.25">
      <c r="A153" s="2" t="s">
        <v>709</v>
      </c>
      <c r="B153" s="2" t="s">
        <v>2549</v>
      </c>
      <c r="C153" s="2" t="s">
        <v>1035</v>
      </c>
      <c r="D153" s="2" t="s">
        <v>923</v>
      </c>
      <c r="E153" s="2"/>
      <c r="F153" s="2"/>
      <c r="G153" s="2"/>
      <c r="H153" s="2"/>
    </row>
    <row r="154" spans="1:8" x14ac:dyDescent="0.25">
      <c r="A154" s="2" t="s">
        <v>1522</v>
      </c>
      <c r="B154" s="2" t="s">
        <v>2549</v>
      </c>
      <c r="C154" s="2" t="s">
        <v>1035</v>
      </c>
      <c r="D154" s="2" t="s">
        <v>923</v>
      </c>
      <c r="E154" s="2"/>
      <c r="F154" s="2"/>
      <c r="G154" s="2"/>
      <c r="H154" s="2"/>
    </row>
    <row r="155" spans="1:8" x14ac:dyDescent="0.25">
      <c r="A155" s="2" t="s">
        <v>1523</v>
      </c>
      <c r="B155" s="2" t="s">
        <v>2549</v>
      </c>
      <c r="C155" s="2" t="s">
        <v>1035</v>
      </c>
      <c r="D155" s="2" t="s">
        <v>923</v>
      </c>
      <c r="E155" s="2"/>
      <c r="F155" s="2"/>
      <c r="G155" s="2"/>
      <c r="H155" s="2"/>
    </row>
    <row r="156" spans="1:8" x14ac:dyDescent="0.25">
      <c r="A156" s="2" t="s">
        <v>1524</v>
      </c>
      <c r="B156" s="2" t="s">
        <v>2549</v>
      </c>
      <c r="C156" s="2" t="s">
        <v>915</v>
      </c>
      <c r="D156" s="2" t="s">
        <v>992</v>
      </c>
      <c r="E156" s="2"/>
      <c r="F156" s="2"/>
      <c r="G156" s="2"/>
      <c r="H156" s="2"/>
    </row>
    <row r="157" spans="1:8" x14ac:dyDescent="0.25">
      <c r="A157" s="2" t="s">
        <v>1526</v>
      </c>
      <c r="B157" s="2" t="s">
        <v>2549</v>
      </c>
      <c r="C157" s="2" t="s">
        <v>915</v>
      </c>
      <c r="D157" s="2" t="s">
        <v>992</v>
      </c>
      <c r="E157" s="2"/>
      <c r="F157" s="2"/>
      <c r="G157" s="2"/>
      <c r="H157" s="2"/>
    </row>
    <row r="158" spans="1:8" x14ac:dyDescent="0.25">
      <c r="A158" s="2" t="s">
        <v>1527</v>
      </c>
      <c r="B158" s="2" t="s">
        <v>2549</v>
      </c>
      <c r="C158" s="2" t="s">
        <v>915</v>
      </c>
      <c r="D158" s="2" t="s">
        <v>992</v>
      </c>
      <c r="E158" s="2"/>
      <c r="F158" s="2"/>
      <c r="G158" s="2"/>
      <c r="H158" s="2"/>
    </row>
    <row r="159" spans="1:8" x14ac:dyDescent="0.25">
      <c r="A159" s="2" t="s">
        <v>710</v>
      </c>
      <c r="B159" s="2" t="s">
        <v>2549</v>
      </c>
      <c r="C159" s="2" t="s">
        <v>2521</v>
      </c>
      <c r="D159" s="2" t="s">
        <v>916</v>
      </c>
      <c r="E159" s="2"/>
      <c r="F159" s="2"/>
      <c r="G159" s="2"/>
      <c r="H159" s="2"/>
    </row>
    <row r="160" spans="1:8" x14ac:dyDescent="0.25">
      <c r="A160" s="2" t="s">
        <v>1528</v>
      </c>
      <c r="B160" s="2" t="s">
        <v>2549</v>
      </c>
      <c r="C160" s="2" t="s">
        <v>2521</v>
      </c>
      <c r="D160" s="2" t="s">
        <v>916</v>
      </c>
      <c r="E160" s="2"/>
      <c r="F160" s="2"/>
      <c r="G160" s="2"/>
      <c r="H160" s="2"/>
    </row>
    <row r="161" spans="1:8" x14ac:dyDescent="0.25">
      <c r="A161" s="2" t="s">
        <v>1529</v>
      </c>
      <c r="B161" s="2" t="s">
        <v>2549</v>
      </c>
      <c r="C161" s="2" t="s">
        <v>2521</v>
      </c>
      <c r="D161" s="2" t="s">
        <v>916</v>
      </c>
      <c r="E161" s="2"/>
      <c r="F161" s="2"/>
      <c r="G161" s="2"/>
      <c r="H161" s="2"/>
    </row>
    <row r="162" spans="1:8" x14ac:dyDescent="0.25">
      <c r="A162" s="2" t="s">
        <v>1530</v>
      </c>
      <c r="B162" s="2" t="s">
        <v>2550</v>
      </c>
      <c r="C162" s="2" t="s">
        <v>1000</v>
      </c>
      <c r="D162" s="2" t="s">
        <v>1031</v>
      </c>
      <c r="E162" s="2" t="s">
        <v>1093</v>
      </c>
      <c r="F162" s="2"/>
      <c r="G162" s="2"/>
      <c r="H162" s="2"/>
    </row>
    <row r="163" spans="1:8" x14ac:dyDescent="0.25">
      <c r="A163" s="2" t="s">
        <v>1531</v>
      </c>
      <c r="B163" s="2" t="s">
        <v>2550</v>
      </c>
      <c r="C163" s="2" t="s">
        <v>1000</v>
      </c>
      <c r="D163" s="2" t="s">
        <v>1031</v>
      </c>
      <c r="E163" s="2" t="s">
        <v>1093</v>
      </c>
      <c r="F163" s="2"/>
      <c r="G163" s="2"/>
      <c r="H163" s="2"/>
    </row>
    <row r="164" spans="1:8" x14ac:dyDescent="0.25">
      <c r="A164" s="2" t="s">
        <v>1532</v>
      </c>
      <c r="B164" s="2" t="s">
        <v>2550</v>
      </c>
      <c r="C164" s="2" t="s">
        <v>1025</v>
      </c>
      <c r="D164" s="2" t="s">
        <v>1031</v>
      </c>
      <c r="E164" s="2" t="s">
        <v>1159</v>
      </c>
      <c r="F164" s="2"/>
      <c r="G164" s="2"/>
      <c r="H164" s="2"/>
    </row>
    <row r="165" spans="1:8" x14ac:dyDescent="0.25">
      <c r="A165" s="2" t="s">
        <v>1533</v>
      </c>
      <c r="B165" s="2" t="s">
        <v>2550</v>
      </c>
      <c r="C165" s="2" t="s">
        <v>1025</v>
      </c>
      <c r="D165" s="2" t="s">
        <v>1031</v>
      </c>
      <c r="E165" s="2" t="s">
        <v>1159</v>
      </c>
      <c r="F165" s="2"/>
      <c r="G165" s="2"/>
      <c r="H165" s="2"/>
    </row>
    <row r="166" spans="1:8" x14ac:dyDescent="0.25">
      <c r="A166" s="2" t="s">
        <v>1534</v>
      </c>
      <c r="B166" s="2" t="s">
        <v>2550</v>
      </c>
      <c r="C166" s="2" t="s">
        <v>984</v>
      </c>
      <c r="D166" s="2" t="s">
        <v>2509</v>
      </c>
      <c r="E166" s="2" t="s">
        <v>1147</v>
      </c>
      <c r="F166" s="2"/>
      <c r="G166" s="2"/>
      <c r="H166" s="2"/>
    </row>
    <row r="167" spans="1:8" x14ac:dyDescent="0.25">
      <c r="A167" s="2" t="s">
        <v>1536</v>
      </c>
      <c r="B167" s="2" t="s">
        <v>2550</v>
      </c>
      <c r="C167" s="2" t="s">
        <v>984</v>
      </c>
      <c r="D167" s="2" t="s">
        <v>1029</v>
      </c>
      <c r="E167" s="2" t="s">
        <v>1147</v>
      </c>
      <c r="F167" s="2"/>
      <c r="G167" s="2"/>
      <c r="H167" s="2"/>
    </row>
    <row r="168" spans="1:8" x14ac:dyDescent="0.25">
      <c r="A168" s="2" t="s">
        <v>1537</v>
      </c>
      <c r="B168" s="2" t="s">
        <v>2550</v>
      </c>
      <c r="C168" s="2" t="s">
        <v>1025</v>
      </c>
      <c r="D168" s="2" t="s">
        <v>1116</v>
      </c>
      <c r="E168" s="2" t="s">
        <v>1147</v>
      </c>
      <c r="F168" s="2"/>
      <c r="G168" s="2"/>
      <c r="H168" s="2"/>
    </row>
    <row r="169" spans="1:8" x14ac:dyDescent="0.25">
      <c r="A169" s="2" t="s">
        <v>1541</v>
      </c>
      <c r="B169" s="2" t="s">
        <v>2550</v>
      </c>
      <c r="C169" s="2" t="s">
        <v>1025</v>
      </c>
      <c r="D169" s="2" t="s">
        <v>1116</v>
      </c>
      <c r="E169" s="2" t="s">
        <v>1147</v>
      </c>
      <c r="F169" s="2"/>
      <c r="G169" s="2"/>
      <c r="H169" s="2"/>
    </row>
    <row r="170" spans="1:8" x14ac:dyDescent="0.25">
      <c r="A170" s="2" t="s">
        <v>1542</v>
      </c>
      <c r="B170" s="2" t="s">
        <v>2549</v>
      </c>
      <c r="C170" s="2" t="s">
        <v>2473</v>
      </c>
      <c r="D170" s="2" t="s">
        <v>1023</v>
      </c>
      <c r="E170" s="2"/>
      <c r="F170" s="2"/>
      <c r="G170" s="2"/>
      <c r="H170" s="2"/>
    </row>
    <row r="171" spans="1:8" x14ac:dyDescent="0.25">
      <c r="A171" s="2" t="s">
        <v>1543</v>
      </c>
      <c r="B171" s="2" t="s">
        <v>2550</v>
      </c>
      <c r="C171" s="2" t="s">
        <v>1019</v>
      </c>
      <c r="D171" s="2" t="s">
        <v>1171</v>
      </c>
      <c r="E171" s="2" t="s">
        <v>1173</v>
      </c>
      <c r="F171" s="2"/>
      <c r="G171" s="2"/>
      <c r="H171" s="2"/>
    </row>
    <row r="172" spans="1:8" x14ac:dyDescent="0.25">
      <c r="A172" s="2" t="s">
        <v>1545</v>
      </c>
      <c r="B172" s="2" t="s">
        <v>2550</v>
      </c>
      <c r="C172" s="2" t="s">
        <v>1019</v>
      </c>
      <c r="D172" s="2" t="s">
        <v>1171</v>
      </c>
      <c r="E172" s="2" t="s">
        <v>1173</v>
      </c>
      <c r="F172" s="2"/>
      <c r="G172" s="2"/>
      <c r="H172" s="2"/>
    </row>
    <row r="173" spans="1:8" x14ac:dyDescent="0.25">
      <c r="A173" s="2" t="s">
        <v>1546</v>
      </c>
      <c r="B173" s="2" t="s">
        <v>2549</v>
      </c>
      <c r="C173" s="2" t="s">
        <v>1039</v>
      </c>
      <c r="D173" s="2" t="s">
        <v>1131</v>
      </c>
      <c r="E173" s="2"/>
      <c r="F173" s="2"/>
      <c r="G173" s="2"/>
      <c r="H173" s="2"/>
    </row>
    <row r="174" spans="1:8" x14ac:dyDescent="0.25">
      <c r="A174" s="2" t="s">
        <v>1547</v>
      </c>
      <c r="B174" s="2" t="s">
        <v>2550</v>
      </c>
      <c r="C174" s="2" t="s">
        <v>972</v>
      </c>
      <c r="D174" s="2" t="s">
        <v>2453</v>
      </c>
      <c r="E174" s="2" t="s">
        <v>1045</v>
      </c>
      <c r="F174" s="2"/>
      <c r="G174" s="2"/>
      <c r="H174" s="2"/>
    </row>
    <row r="175" spans="1:8" x14ac:dyDescent="0.25">
      <c r="A175" s="2" t="s">
        <v>1548</v>
      </c>
      <c r="B175" s="2" t="s">
        <v>2550</v>
      </c>
      <c r="C175" s="2" t="s">
        <v>2435</v>
      </c>
      <c r="D175" s="2" t="s">
        <v>972</v>
      </c>
      <c r="E175" s="2" t="s">
        <v>2453</v>
      </c>
      <c r="F175" s="2"/>
      <c r="G175" s="2"/>
      <c r="H175" s="2"/>
    </row>
    <row r="176" spans="1:8" x14ac:dyDescent="0.25">
      <c r="A176" s="2" t="s">
        <v>1549</v>
      </c>
      <c r="B176" s="2" t="s">
        <v>2550</v>
      </c>
      <c r="C176" s="2" t="s">
        <v>1011</v>
      </c>
      <c r="D176" s="2" t="s">
        <v>1101</v>
      </c>
      <c r="E176" s="2" t="s">
        <v>1145</v>
      </c>
      <c r="F176" s="2"/>
      <c r="G176" s="2"/>
      <c r="H176" s="2"/>
    </row>
    <row r="177" spans="1:8" x14ac:dyDescent="0.25">
      <c r="A177" s="2" t="s">
        <v>1550</v>
      </c>
      <c r="B177" s="2" t="s">
        <v>2550</v>
      </c>
      <c r="C177" s="2" t="s">
        <v>1011</v>
      </c>
      <c r="D177" s="2" t="s">
        <v>1101</v>
      </c>
      <c r="E177" s="2" t="s">
        <v>1145</v>
      </c>
      <c r="F177" s="2"/>
      <c r="G177" s="2"/>
      <c r="H177" s="2"/>
    </row>
    <row r="178" spans="1:8" x14ac:dyDescent="0.25">
      <c r="A178" s="2" t="s">
        <v>1552</v>
      </c>
      <c r="B178" s="2" t="s">
        <v>2550</v>
      </c>
      <c r="C178" s="2" t="s">
        <v>984</v>
      </c>
      <c r="D178" s="2" t="s">
        <v>2481</v>
      </c>
      <c r="E178" s="2" t="s">
        <v>1151</v>
      </c>
      <c r="F178" s="2"/>
      <c r="G178" s="2"/>
      <c r="H178" s="2"/>
    </row>
    <row r="179" spans="1:8" x14ac:dyDescent="0.25">
      <c r="A179" s="2" t="s">
        <v>1554</v>
      </c>
      <c r="B179" s="2" t="s">
        <v>2550</v>
      </c>
      <c r="C179" s="2" t="s">
        <v>984</v>
      </c>
      <c r="D179" s="2" t="s">
        <v>2481</v>
      </c>
      <c r="E179" s="2" t="s">
        <v>1151</v>
      </c>
      <c r="F179" s="2"/>
      <c r="G179" s="2"/>
      <c r="H179" s="2"/>
    </row>
    <row r="180" spans="1:8" x14ac:dyDescent="0.25">
      <c r="A180" s="2" t="s">
        <v>1555</v>
      </c>
      <c r="B180" s="2" t="s">
        <v>2549</v>
      </c>
      <c r="C180" s="2" t="s">
        <v>1074</v>
      </c>
      <c r="D180" s="2" t="s">
        <v>1131</v>
      </c>
      <c r="E180" s="2"/>
      <c r="F180" s="2"/>
      <c r="G180" s="2"/>
      <c r="H180" s="2"/>
    </row>
    <row r="181" spans="1:8" x14ac:dyDescent="0.25">
      <c r="A181" s="2" t="s">
        <v>1558</v>
      </c>
      <c r="B181" s="2" t="s">
        <v>2549</v>
      </c>
      <c r="C181" s="2" t="s">
        <v>1074</v>
      </c>
      <c r="D181" s="2" t="s">
        <v>1131</v>
      </c>
      <c r="E181" s="2"/>
      <c r="F181" s="2"/>
      <c r="G181" s="2"/>
      <c r="H181" s="2"/>
    </row>
    <row r="182" spans="1:8" x14ac:dyDescent="0.25">
      <c r="A182" s="2" t="s">
        <v>1559</v>
      </c>
      <c r="B182" s="2" t="s">
        <v>2550</v>
      </c>
      <c r="C182" s="2" t="s">
        <v>1055</v>
      </c>
      <c r="D182" s="2" t="s">
        <v>1074</v>
      </c>
      <c r="E182" s="2" t="s">
        <v>1131</v>
      </c>
      <c r="F182" s="2"/>
      <c r="G182" s="2"/>
      <c r="H182" s="2"/>
    </row>
    <row r="183" spans="1:8" x14ac:dyDescent="0.25">
      <c r="A183" s="2" t="s">
        <v>1560</v>
      </c>
      <c r="B183" s="2" t="s">
        <v>2549</v>
      </c>
      <c r="C183" s="2" t="s">
        <v>921</v>
      </c>
      <c r="D183" s="2" t="s">
        <v>2465</v>
      </c>
      <c r="E183" s="2"/>
      <c r="F183" s="2"/>
      <c r="G183" s="2"/>
      <c r="H183" s="2"/>
    </row>
    <row r="184" spans="1:8" x14ac:dyDescent="0.25">
      <c r="A184" s="2" t="s">
        <v>1561</v>
      </c>
      <c r="B184" s="2" t="s">
        <v>2550</v>
      </c>
      <c r="C184" s="2" t="s">
        <v>1009</v>
      </c>
      <c r="D184" s="2" t="s">
        <v>2519</v>
      </c>
      <c r="E184" s="2" t="s">
        <v>1157</v>
      </c>
      <c r="F184" s="2"/>
      <c r="G184" s="2"/>
      <c r="H184" s="2"/>
    </row>
    <row r="185" spans="1:8" x14ac:dyDescent="0.25">
      <c r="A185" s="2" t="s">
        <v>1562</v>
      </c>
      <c r="B185" s="2" t="s">
        <v>2550</v>
      </c>
      <c r="C185" s="2" t="s">
        <v>1009</v>
      </c>
      <c r="D185" s="2" t="s">
        <v>2519</v>
      </c>
      <c r="E185" s="2" t="s">
        <v>1157</v>
      </c>
      <c r="F185" s="2"/>
      <c r="G185" s="2"/>
      <c r="H185" s="2"/>
    </row>
    <row r="186" spans="1:8" x14ac:dyDescent="0.25">
      <c r="A186" s="2" t="s">
        <v>1563</v>
      </c>
      <c r="B186" s="2" t="s">
        <v>2550</v>
      </c>
      <c r="C186" s="2" t="s">
        <v>2509</v>
      </c>
      <c r="D186" s="2" t="s">
        <v>1090</v>
      </c>
      <c r="E186" s="2" t="s">
        <v>1141</v>
      </c>
      <c r="F186" s="2"/>
      <c r="G186" s="2"/>
      <c r="H186" s="2"/>
    </row>
    <row r="187" spans="1:8" x14ac:dyDescent="0.25">
      <c r="A187" s="2" t="s">
        <v>1564</v>
      </c>
      <c r="B187" s="2" t="s">
        <v>2550</v>
      </c>
      <c r="C187" s="2" t="s">
        <v>974</v>
      </c>
      <c r="D187" s="2" t="s">
        <v>978</v>
      </c>
      <c r="E187" s="2" t="s">
        <v>1173</v>
      </c>
      <c r="F187" s="2"/>
      <c r="G187" s="2"/>
      <c r="H187" s="2"/>
    </row>
    <row r="188" spans="1:8" x14ac:dyDescent="0.25">
      <c r="A188" s="2" t="s">
        <v>1565</v>
      </c>
      <c r="B188" s="2" t="s">
        <v>2550</v>
      </c>
      <c r="C188" s="2" t="s">
        <v>921</v>
      </c>
      <c r="D188" s="2" t="s">
        <v>2473</v>
      </c>
      <c r="E188" s="2" t="s">
        <v>1035</v>
      </c>
      <c r="F188" s="2"/>
      <c r="G188" s="2"/>
      <c r="H188" s="2"/>
    </row>
    <row r="189" spans="1:8" x14ac:dyDescent="0.25">
      <c r="A189" s="2" t="s">
        <v>1566</v>
      </c>
      <c r="B189" s="2" t="s">
        <v>2550</v>
      </c>
      <c r="C189" s="2" t="s">
        <v>921</v>
      </c>
      <c r="D189" s="2" t="s">
        <v>2473</v>
      </c>
      <c r="E189" s="2" t="s">
        <v>1035</v>
      </c>
      <c r="F189" s="2"/>
      <c r="G189" s="2"/>
      <c r="H189" s="2"/>
    </row>
    <row r="190" spans="1:8" x14ac:dyDescent="0.25">
      <c r="A190" s="2" t="s">
        <v>1567</v>
      </c>
      <c r="B190" s="2" t="s">
        <v>2550</v>
      </c>
      <c r="C190" s="2" t="s">
        <v>921</v>
      </c>
      <c r="D190" s="2" t="s">
        <v>2473</v>
      </c>
      <c r="E190" s="2" t="s">
        <v>1035</v>
      </c>
      <c r="F190" s="2"/>
      <c r="G190" s="2"/>
      <c r="H190" s="2"/>
    </row>
    <row r="191" spans="1:8" x14ac:dyDescent="0.25">
      <c r="A191" s="2" t="s">
        <v>1568</v>
      </c>
      <c r="B191" s="2" t="s">
        <v>2550</v>
      </c>
      <c r="C191" s="2" t="s">
        <v>1072</v>
      </c>
      <c r="D191" s="2" t="s">
        <v>1093</v>
      </c>
      <c r="E191" s="2" t="s">
        <v>1112</v>
      </c>
      <c r="F191" s="2"/>
      <c r="G191" s="2"/>
      <c r="H191" s="2"/>
    </row>
    <row r="192" spans="1:8" x14ac:dyDescent="0.25">
      <c r="A192" s="2" t="s">
        <v>1569</v>
      </c>
      <c r="B192" s="2" t="s">
        <v>2550</v>
      </c>
      <c r="C192" s="2" t="s">
        <v>921</v>
      </c>
      <c r="D192" s="2" t="s">
        <v>984</v>
      </c>
      <c r="E192" s="2" t="s">
        <v>1122</v>
      </c>
      <c r="F192" s="2"/>
      <c r="G192" s="2"/>
      <c r="H192" s="2"/>
    </row>
    <row r="193" spans="1:8" x14ac:dyDescent="0.25">
      <c r="A193" s="2" t="s">
        <v>1570</v>
      </c>
      <c r="B193" s="2" t="s">
        <v>2550</v>
      </c>
      <c r="C193" s="2" t="s">
        <v>921</v>
      </c>
      <c r="D193" s="2" t="s">
        <v>984</v>
      </c>
      <c r="E193" s="2" t="s">
        <v>1122</v>
      </c>
      <c r="F193" s="2"/>
      <c r="G193" s="2"/>
      <c r="H193" s="2"/>
    </row>
    <row r="194" spans="1:8" x14ac:dyDescent="0.25">
      <c r="A194" s="2" t="s">
        <v>1572</v>
      </c>
      <c r="B194" s="2" t="s">
        <v>2550</v>
      </c>
      <c r="C194" s="2" t="s">
        <v>970</v>
      </c>
      <c r="D194" s="2" t="s">
        <v>1000</v>
      </c>
      <c r="E194" s="2" t="s">
        <v>1127</v>
      </c>
      <c r="F194" s="2"/>
      <c r="G194" s="2"/>
      <c r="H194" s="2"/>
    </row>
    <row r="195" spans="1:8" x14ac:dyDescent="0.25">
      <c r="A195" s="2" t="s">
        <v>1573</v>
      </c>
      <c r="B195" s="2" t="s">
        <v>2550</v>
      </c>
      <c r="C195" s="2" t="s">
        <v>974</v>
      </c>
      <c r="D195" s="2" t="s">
        <v>1166</v>
      </c>
      <c r="E195" s="2" t="s">
        <v>1173</v>
      </c>
      <c r="F195" s="2"/>
      <c r="G195" s="2"/>
      <c r="H195" s="2"/>
    </row>
    <row r="196" spans="1:8" x14ac:dyDescent="0.25">
      <c r="A196" s="2" t="s">
        <v>1574</v>
      </c>
      <c r="B196" s="2" t="s">
        <v>2550</v>
      </c>
      <c r="C196" s="2" t="s">
        <v>974</v>
      </c>
      <c r="D196" s="2" t="s">
        <v>1166</v>
      </c>
      <c r="E196" s="2" t="s">
        <v>1173</v>
      </c>
      <c r="F196" s="2"/>
      <c r="G196" s="2"/>
      <c r="H196" s="2"/>
    </row>
    <row r="197" spans="1:8" x14ac:dyDescent="0.25">
      <c r="A197" s="2" t="s">
        <v>1575</v>
      </c>
      <c r="B197" s="2" t="s">
        <v>2549</v>
      </c>
      <c r="C197" s="2" t="s">
        <v>2481</v>
      </c>
      <c r="D197" s="2" t="s">
        <v>1151</v>
      </c>
      <c r="E197" s="2"/>
      <c r="F197" s="2"/>
      <c r="G197" s="2"/>
      <c r="H197" s="2"/>
    </row>
    <row r="198" spans="1:8" x14ac:dyDescent="0.25">
      <c r="A198" s="2" t="s">
        <v>1576</v>
      </c>
      <c r="B198" s="2" t="s">
        <v>2549</v>
      </c>
      <c r="C198" s="2" t="s">
        <v>1023</v>
      </c>
      <c r="D198" s="2" t="s">
        <v>1151</v>
      </c>
      <c r="E198" s="2"/>
      <c r="F198" s="2"/>
      <c r="G198" s="2"/>
      <c r="H198" s="2"/>
    </row>
    <row r="199" spans="1:8" x14ac:dyDescent="0.25">
      <c r="A199" s="2" t="s">
        <v>1577</v>
      </c>
      <c r="B199" s="2" t="s">
        <v>2550</v>
      </c>
      <c r="C199" s="2" t="s">
        <v>1025</v>
      </c>
      <c r="D199" s="2" t="s">
        <v>2505</v>
      </c>
      <c r="E199" s="2" t="s">
        <v>1145</v>
      </c>
      <c r="F199" s="2"/>
      <c r="G199" s="2"/>
      <c r="H199" s="2"/>
    </row>
    <row r="200" spans="1:8" x14ac:dyDescent="0.25">
      <c r="A200" s="2" t="s">
        <v>1578</v>
      </c>
      <c r="B200" s="2" t="s">
        <v>2550</v>
      </c>
      <c r="C200" s="2" t="s">
        <v>1067</v>
      </c>
      <c r="D200" s="2" t="s">
        <v>1070</v>
      </c>
      <c r="E200" s="2" t="s">
        <v>2513</v>
      </c>
      <c r="F200" s="2"/>
      <c r="G200" s="2"/>
      <c r="H200" s="2"/>
    </row>
    <row r="201" spans="1:8" x14ac:dyDescent="0.25">
      <c r="A201" s="2" t="s">
        <v>1579</v>
      </c>
      <c r="B201" s="2" t="s">
        <v>2552</v>
      </c>
      <c r="C201" s="2" t="s">
        <v>1037</v>
      </c>
      <c r="D201" s="2"/>
      <c r="E201" s="2"/>
      <c r="F201" s="2"/>
      <c r="G201" s="2"/>
      <c r="H201" s="2"/>
    </row>
    <row r="202" spans="1:8" x14ac:dyDescent="0.25">
      <c r="A202" s="2" t="s">
        <v>1580</v>
      </c>
      <c r="B202" s="2" t="s">
        <v>2552</v>
      </c>
      <c r="C202" s="2" t="s">
        <v>1037</v>
      </c>
      <c r="D202" s="2"/>
      <c r="E202" s="2"/>
      <c r="F202" s="2"/>
      <c r="G202" s="2"/>
      <c r="H202" s="2"/>
    </row>
    <row r="203" spans="1:8" x14ac:dyDescent="0.25">
      <c r="A203" s="2" t="s">
        <v>1581</v>
      </c>
      <c r="B203" s="2" t="s">
        <v>2549</v>
      </c>
      <c r="C203" s="2" t="s">
        <v>1103</v>
      </c>
      <c r="D203" s="2" t="s">
        <v>2531</v>
      </c>
      <c r="E203" s="2"/>
      <c r="F203" s="2"/>
      <c r="G203" s="2"/>
      <c r="H203" s="2"/>
    </row>
    <row r="204" spans="1:8" x14ac:dyDescent="0.25">
      <c r="A204" s="2" t="s">
        <v>1582</v>
      </c>
      <c r="B204" s="2" t="s">
        <v>2550</v>
      </c>
      <c r="C204" s="2" t="s">
        <v>984</v>
      </c>
      <c r="D204" s="2" t="s">
        <v>1023</v>
      </c>
      <c r="E204" s="2" t="s">
        <v>2519</v>
      </c>
      <c r="F204" s="2"/>
      <c r="G204" s="2"/>
      <c r="H204" s="2"/>
    </row>
    <row r="205" spans="1:8" x14ac:dyDescent="0.25">
      <c r="A205" s="2" t="s">
        <v>1583</v>
      </c>
      <c r="B205" s="2" t="s">
        <v>2549</v>
      </c>
      <c r="C205" s="2" t="s">
        <v>2495</v>
      </c>
      <c r="D205" s="2" t="s">
        <v>1141</v>
      </c>
      <c r="E205" s="2"/>
      <c r="F205" s="2"/>
      <c r="G205" s="2"/>
      <c r="H205" s="2"/>
    </row>
    <row r="206" spans="1:8" x14ac:dyDescent="0.25">
      <c r="A206" s="2" t="s">
        <v>1584</v>
      </c>
      <c r="B206" s="2" t="s">
        <v>2549</v>
      </c>
      <c r="C206" s="2" t="s">
        <v>2495</v>
      </c>
      <c r="D206" s="2" t="s">
        <v>1141</v>
      </c>
      <c r="E206" s="2"/>
      <c r="F206" s="2"/>
      <c r="G206" s="2"/>
      <c r="H206" s="2"/>
    </row>
    <row r="207" spans="1:8" x14ac:dyDescent="0.25">
      <c r="A207" s="2" t="s">
        <v>1585</v>
      </c>
      <c r="B207" s="2" t="s">
        <v>2550</v>
      </c>
      <c r="C207" s="2" t="s">
        <v>2509</v>
      </c>
      <c r="D207" s="2" t="s">
        <v>1093</v>
      </c>
      <c r="E207" s="2" t="s">
        <v>1101</v>
      </c>
      <c r="F207" s="2"/>
      <c r="G207" s="2"/>
      <c r="H207" s="2"/>
    </row>
    <row r="208" spans="1:8" x14ac:dyDescent="0.25">
      <c r="A208" s="2" t="s">
        <v>1586</v>
      </c>
      <c r="B208" s="2" t="s">
        <v>2550</v>
      </c>
      <c r="C208" s="2" t="s">
        <v>1015</v>
      </c>
      <c r="D208" s="2" t="s">
        <v>1021</v>
      </c>
      <c r="E208" s="2" t="s">
        <v>1097</v>
      </c>
      <c r="F208" s="2"/>
      <c r="G208" s="2"/>
      <c r="H208" s="2"/>
    </row>
    <row r="209" spans="1:8" x14ac:dyDescent="0.25">
      <c r="A209" s="2" t="s">
        <v>1587</v>
      </c>
      <c r="B209" s="2" t="s">
        <v>2550</v>
      </c>
      <c r="C209" s="2" t="s">
        <v>1090</v>
      </c>
      <c r="D209" s="2" t="s">
        <v>2521</v>
      </c>
      <c r="E209" s="2" t="s">
        <v>1141</v>
      </c>
      <c r="F209" s="2"/>
      <c r="G209" s="2"/>
      <c r="H209" s="2"/>
    </row>
    <row r="210" spans="1:8" x14ac:dyDescent="0.25">
      <c r="A210" s="2" t="s">
        <v>1588</v>
      </c>
      <c r="B210" s="2" t="s">
        <v>2550</v>
      </c>
      <c r="C210" s="2" t="s">
        <v>1027</v>
      </c>
      <c r="D210" s="2" t="s">
        <v>2509</v>
      </c>
      <c r="E210" s="2" t="s">
        <v>1093</v>
      </c>
      <c r="F210" s="2"/>
      <c r="G210" s="2"/>
      <c r="H210" s="2"/>
    </row>
    <row r="211" spans="1:8" x14ac:dyDescent="0.25">
      <c r="A211" s="2" t="s">
        <v>1589</v>
      </c>
      <c r="B211" s="2" t="s">
        <v>2550</v>
      </c>
      <c r="C211" s="2" t="s">
        <v>1027</v>
      </c>
      <c r="D211" s="2" t="s">
        <v>1082</v>
      </c>
      <c r="E211" s="2" t="s">
        <v>2509</v>
      </c>
      <c r="F211" s="2"/>
      <c r="G211" s="2"/>
      <c r="H211" s="2"/>
    </row>
    <row r="212" spans="1:8" x14ac:dyDescent="0.25">
      <c r="A212" s="2" t="s">
        <v>1590</v>
      </c>
      <c r="B212" s="2" t="s">
        <v>2550</v>
      </c>
      <c r="C212" s="2" t="s">
        <v>1027</v>
      </c>
      <c r="D212" s="2" t="s">
        <v>1077</v>
      </c>
      <c r="E212" s="2" t="s">
        <v>1149</v>
      </c>
      <c r="F212" s="2"/>
      <c r="G212" s="2"/>
      <c r="H212" s="2"/>
    </row>
    <row r="213" spans="1:8" x14ac:dyDescent="0.25">
      <c r="A213" s="2" t="s">
        <v>1591</v>
      </c>
      <c r="B213" s="2" t="s">
        <v>2551</v>
      </c>
      <c r="C213" s="2" t="s">
        <v>2479</v>
      </c>
      <c r="D213" s="2" t="s">
        <v>1147</v>
      </c>
      <c r="E213" s="2" t="s">
        <v>1155</v>
      </c>
      <c r="F213" s="2" t="s">
        <v>1155</v>
      </c>
      <c r="G213" s="2"/>
      <c r="H213" s="2"/>
    </row>
    <row r="214" spans="1:8" x14ac:dyDescent="0.25">
      <c r="A214" s="2" t="s">
        <v>1592</v>
      </c>
      <c r="B214" s="2" t="s">
        <v>2550</v>
      </c>
      <c r="C214" s="2" t="s">
        <v>2437</v>
      </c>
      <c r="D214" s="2" t="s">
        <v>1002</v>
      </c>
      <c r="E214" s="2" t="s">
        <v>1141</v>
      </c>
      <c r="F214" s="2"/>
      <c r="G214" s="2"/>
      <c r="H214" s="2"/>
    </row>
    <row r="215" spans="1:8" x14ac:dyDescent="0.25">
      <c r="A215" s="2" t="s">
        <v>1593</v>
      </c>
      <c r="B215" s="2" t="s">
        <v>2551</v>
      </c>
      <c r="C215" s="2" t="s">
        <v>1004</v>
      </c>
      <c r="D215" s="2" t="s">
        <v>2489</v>
      </c>
      <c r="E215" s="2" t="s">
        <v>1112</v>
      </c>
      <c r="F215" s="2" t="s">
        <v>1147</v>
      </c>
      <c r="G215" s="2"/>
      <c r="H215" s="2"/>
    </row>
    <row r="216" spans="1:8" x14ac:dyDescent="0.25">
      <c r="A216" s="2" t="s">
        <v>1594</v>
      </c>
      <c r="B216" s="2" t="s">
        <v>2550</v>
      </c>
      <c r="C216" s="2" t="s">
        <v>1023</v>
      </c>
      <c r="D216" s="2" t="s">
        <v>1031</v>
      </c>
      <c r="E216" s="2" t="s">
        <v>2499</v>
      </c>
      <c r="F216" s="2"/>
      <c r="G216" s="2"/>
      <c r="H216" s="2"/>
    </row>
    <row r="217" spans="1:8" x14ac:dyDescent="0.25">
      <c r="A217" s="2" t="s">
        <v>1595</v>
      </c>
      <c r="B217" s="2" t="s">
        <v>2550</v>
      </c>
      <c r="C217" s="2" t="s">
        <v>1007</v>
      </c>
      <c r="D217" s="2" t="s">
        <v>1072</v>
      </c>
      <c r="E217" s="2" t="s">
        <v>1082</v>
      </c>
      <c r="F217" s="2"/>
      <c r="G217" s="2"/>
      <c r="H217" s="2"/>
    </row>
    <row r="218" spans="1:8" x14ac:dyDescent="0.25">
      <c r="A218" s="2" t="s">
        <v>1596</v>
      </c>
      <c r="B218" s="2" t="s">
        <v>2550</v>
      </c>
      <c r="C218" s="2" t="s">
        <v>1004</v>
      </c>
      <c r="D218" s="2" t="s">
        <v>1082</v>
      </c>
      <c r="E218" s="2" t="s">
        <v>2539</v>
      </c>
      <c r="F218" s="2"/>
      <c r="G218" s="2"/>
      <c r="H218" s="2"/>
    </row>
    <row r="219" spans="1:8" x14ac:dyDescent="0.25">
      <c r="A219" s="2" t="s">
        <v>1597</v>
      </c>
      <c r="B219" s="2" t="s">
        <v>2550</v>
      </c>
      <c r="C219" s="2" t="s">
        <v>990</v>
      </c>
      <c r="D219" s="2" t="s">
        <v>1047</v>
      </c>
      <c r="E219" s="2" t="s">
        <v>2543</v>
      </c>
      <c r="F219" s="2"/>
      <c r="G219" s="2"/>
      <c r="H219" s="2"/>
    </row>
    <row r="220" spans="1:8" x14ac:dyDescent="0.25">
      <c r="A220" s="2" t="s">
        <v>1598</v>
      </c>
      <c r="B220" s="2" t="s">
        <v>2550</v>
      </c>
      <c r="C220" s="2" t="s">
        <v>990</v>
      </c>
      <c r="D220" s="2" t="s">
        <v>1047</v>
      </c>
      <c r="E220" s="2" t="s">
        <v>2543</v>
      </c>
      <c r="F220" s="2"/>
      <c r="G220" s="2"/>
      <c r="H220" s="2"/>
    </row>
    <row r="221" spans="1:8" x14ac:dyDescent="0.25">
      <c r="A221" s="2" t="s">
        <v>1599</v>
      </c>
      <c r="B221" s="2" t="s">
        <v>2550</v>
      </c>
      <c r="C221" s="2" t="s">
        <v>1067</v>
      </c>
      <c r="D221" s="2" t="s">
        <v>1118</v>
      </c>
      <c r="E221" s="2" t="s">
        <v>1157</v>
      </c>
      <c r="F221" s="2"/>
      <c r="G221" s="2"/>
      <c r="H221" s="2"/>
    </row>
    <row r="222" spans="1:8" x14ac:dyDescent="0.25">
      <c r="A222" s="2" t="s">
        <v>1600</v>
      </c>
      <c r="B222" s="2" t="s">
        <v>2550</v>
      </c>
      <c r="C222" s="2" t="s">
        <v>1067</v>
      </c>
      <c r="D222" s="2" t="s">
        <v>1118</v>
      </c>
      <c r="E222" s="2" t="s">
        <v>1157</v>
      </c>
      <c r="F222" s="2"/>
      <c r="G222" s="2"/>
      <c r="H222" s="2"/>
    </row>
    <row r="223" spans="1:8" x14ac:dyDescent="0.25">
      <c r="A223" s="2" t="s">
        <v>1601</v>
      </c>
      <c r="B223" s="2" t="s">
        <v>2550</v>
      </c>
      <c r="C223" s="2" t="s">
        <v>1011</v>
      </c>
      <c r="D223" s="2" t="s">
        <v>1061</v>
      </c>
      <c r="E223" s="2" t="s">
        <v>2513</v>
      </c>
      <c r="F223" s="2"/>
      <c r="G223" s="2"/>
      <c r="H223" s="2"/>
    </row>
    <row r="224" spans="1:8" x14ac:dyDescent="0.25">
      <c r="A224" s="2" t="s">
        <v>1602</v>
      </c>
      <c r="B224" s="2" t="s">
        <v>2550</v>
      </c>
      <c r="C224" s="2" t="s">
        <v>1011</v>
      </c>
      <c r="D224" s="2" t="s">
        <v>2487</v>
      </c>
      <c r="E224" s="2" t="s">
        <v>1116</v>
      </c>
      <c r="F224" s="2"/>
      <c r="G224" s="2"/>
      <c r="H224" s="2"/>
    </row>
    <row r="225" spans="1:8" x14ac:dyDescent="0.25">
      <c r="A225" s="2" t="s">
        <v>1603</v>
      </c>
      <c r="B225" s="2" t="s">
        <v>2550</v>
      </c>
      <c r="C225" s="2" t="s">
        <v>2487</v>
      </c>
      <c r="D225" s="2" t="s">
        <v>1116</v>
      </c>
      <c r="E225" s="2" t="s">
        <v>1143</v>
      </c>
      <c r="F225" s="2"/>
      <c r="G225" s="2"/>
      <c r="H225" s="2"/>
    </row>
    <row r="226" spans="1:8" x14ac:dyDescent="0.25">
      <c r="A226" s="2" t="s">
        <v>1604</v>
      </c>
      <c r="B226" s="2" t="s">
        <v>2550</v>
      </c>
      <c r="C226" s="2" t="s">
        <v>1011</v>
      </c>
      <c r="D226" s="2" t="s">
        <v>1025</v>
      </c>
      <c r="E226" s="2" t="s">
        <v>1170</v>
      </c>
      <c r="F226" s="2"/>
      <c r="G226" s="2"/>
      <c r="H226" s="2"/>
    </row>
    <row r="227" spans="1:8" x14ac:dyDescent="0.25">
      <c r="A227" s="2" t="s">
        <v>1605</v>
      </c>
      <c r="B227" s="2" t="s">
        <v>2550</v>
      </c>
      <c r="C227" s="2" t="s">
        <v>1149</v>
      </c>
      <c r="D227" s="2" t="s">
        <v>1173</v>
      </c>
      <c r="E227" s="2" t="s">
        <v>1175</v>
      </c>
      <c r="F227" s="2"/>
      <c r="G227" s="2"/>
      <c r="H227" s="2"/>
    </row>
    <row r="228" spans="1:8" x14ac:dyDescent="0.25">
      <c r="A228" s="2" t="s">
        <v>1606</v>
      </c>
      <c r="B228" s="2" t="s">
        <v>2550</v>
      </c>
      <c r="C228" s="2" t="s">
        <v>1031</v>
      </c>
      <c r="D228" s="2" t="s">
        <v>1141</v>
      </c>
      <c r="E228" s="2" t="s">
        <v>2543</v>
      </c>
      <c r="F228" s="2"/>
      <c r="G228" s="2"/>
      <c r="H228" s="2"/>
    </row>
    <row r="229" spans="1:8" x14ac:dyDescent="0.25">
      <c r="A229" s="2" t="s">
        <v>1607</v>
      </c>
      <c r="B229" s="2" t="s">
        <v>2550</v>
      </c>
      <c r="C229" s="2" t="s">
        <v>984</v>
      </c>
      <c r="D229" s="2" t="s">
        <v>992</v>
      </c>
      <c r="E229" s="2" t="s">
        <v>2539</v>
      </c>
      <c r="F229" s="2"/>
      <c r="G229" s="2"/>
      <c r="H229" s="2"/>
    </row>
    <row r="230" spans="1:8" x14ac:dyDescent="0.25">
      <c r="A230" s="2" t="s">
        <v>1608</v>
      </c>
      <c r="B230" s="2" t="s">
        <v>2551</v>
      </c>
      <c r="C230" s="2" t="s">
        <v>984</v>
      </c>
      <c r="D230" s="2" t="s">
        <v>992</v>
      </c>
      <c r="E230" s="2" t="s">
        <v>1122</v>
      </c>
      <c r="F230" s="2" t="s">
        <v>2539</v>
      </c>
      <c r="G230" s="2"/>
      <c r="H230" s="2"/>
    </row>
    <row r="231" spans="1:8" x14ac:dyDescent="0.25">
      <c r="A231" s="2" t="s">
        <v>1609</v>
      </c>
      <c r="B231" s="2" t="s">
        <v>2550</v>
      </c>
      <c r="C231" s="2" t="s">
        <v>974</v>
      </c>
      <c r="D231" s="2" t="s">
        <v>1116</v>
      </c>
      <c r="E231" s="2" t="s">
        <v>1149</v>
      </c>
      <c r="F231" s="2"/>
      <c r="G231" s="2"/>
      <c r="H231" s="2"/>
    </row>
    <row r="232" spans="1:8" x14ac:dyDescent="0.25">
      <c r="A232" s="2" t="s">
        <v>1610</v>
      </c>
      <c r="B232" s="2" t="s">
        <v>2549</v>
      </c>
      <c r="C232" s="2" t="s">
        <v>1072</v>
      </c>
      <c r="D232" s="2" t="s">
        <v>1097</v>
      </c>
      <c r="E232" s="2"/>
      <c r="F232" s="2"/>
      <c r="G232" s="2"/>
      <c r="H232" s="2"/>
    </row>
    <row r="233" spans="1:8" x14ac:dyDescent="0.25">
      <c r="A233" s="2" t="s">
        <v>1611</v>
      </c>
      <c r="B233" s="2" t="s">
        <v>2549</v>
      </c>
      <c r="C233" s="2" t="s">
        <v>1097</v>
      </c>
      <c r="D233" s="2" t="s">
        <v>1141</v>
      </c>
      <c r="E233" s="2"/>
      <c r="F233" s="2"/>
      <c r="G233" s="2"/>
      <c r="H233" s="2"/>
    </row>
    <row r="234" spans="1:8" x14ac:dyDescent="0.25">
      <c r="A234" s="2" t="s">
        <v>1612</v>
      </c>
      <c r="B234" s="2" t="s">
        <v>2550</v>
      </c>
      <c r="C234" s="2" t="s">
        <v>2423</v>
      </c>
      <c r="D234" s="2" t="s">
        <v>976</v>
      </c>
      <c r="E234" s="2" t="s">
        <v>1162</v>
      </c>
      <c r="F234" s="2"/>
      <c r="G234" s="2"/>
      <c r="H234" s="2"/>
    </row>
    <row r="235" spans="1:8" x14ac:dyDescent="0.25">
      <c r="A235" s="2" t="s">
        <v>1613</v>
      </c>
      <c r="B235" s="2" t="s">
        <v>2550</v>
      </c>
      <c r="C235" s="2" t="s">
        <v>1000</v>
      </c>
      <c r="D235" s="2" t="s">
        <v>1027</v>
      </c>
      <c r="E235" s="2" t="s">
        <v>2519</v>
      </c>
      <c r="F235" s="2"/>
      <c r="G235" s="2"/>
      <c r="H235" s="2"/>
    </row>
    <row r="236" spans="1:8" x14ac:dyDescent="0.25">
      <c r="A236" s="2" t="s">
        <v>1614</v>
      </c>
      <c r="B236" s="2" t="s">
        <v>2550</v>
      </c>
      <c r="C236" s="2" t="s">
        <v>2487</v>
      </c>
      <c r="D236" s="2" t="s">
        <v>1070</v>
      </c>
      <c r="E236" s="2" t="s">
        <v>1155</v>
      </c>
      <c r="F236" s="2"/>
      <c r="G236" s="2"/>
      <c r="H236" s="2"/>
    </row>
    <row r="237" spans="1:8" x14ac:dyDescent="0.25">
      <c r="A237" s="2" t="s">
        <v>1616</v>
      </c>
      <c r="B237" s="2" t="s">
        <v>2550</v>
      </c>
      <c r="C237" s="2" t="s">
        <v>1004</v>
      </c>
      <c r="D237" s="2" t="s">
        <v>1133</v>
      </c>
      <c r="E237" s="2" t="s">
        <v>1170</v>
      </c>
      <c r="F237" s="2"/>
      <c r="G237" s="2"/>
      <c r="H237" s="2"/>
    </row>
    <row r="238" spans="1:8" x14ac:dyDescent="0.25">
      <c r="A238" s="2" t="s">
        <v>1617</v>
      </c>
      <c r="B238" s="2" t="s">
        <v>2550</v>
      </c>
      <c r="C238" s="2" t="s">
        <v>1027</v>
      </c>
      <c r="D238" s="2" t="s">
        <v>1133</v>
      </c>
      <c r="E238" s="2" t="s">
        <v>1155</v>
      </c>
      <c r="F238" s="2"/>
      <c r="G238" s="2"/>
      <c r="H238" s="2"/>
    </row>
    <row r="239" spans="1:8" x14ac:dyDescent="0.25">
      <c r="A239" s="2" t="s">
        <v>1619</v>
      </c>
      <c r="B239" s="2" t="s">
        <v>2550</v>
      </c>
      <c r="C239" s="2" t="s">
        <v>998</v>
      </c>
      <c r="D239" s="2" t="s">
        <v>1013</v>
      </c>
      <c r="E239" s="2" t="s">
        <v>1067</v>
      </c>
      <c r="F239" s="2"/>
      <c r="G239" s="2"/>
      <c r="H239" s="2"/>
    </row>
    <row r="240" spans="1:8" x14ac:dyDescent="0.25">
      <c r="A240" s="2" t="s">
        <v>1620</v>
      </c>
      <c r="B240" s="2" t="s">
        <v>2549</v>
      </c>
      <c r="C240" s="2" t="s">
        <v>1131</v>
      </c>
      <c r="D240" s="2" t="s">
        <v>1170</v>
      </c>
      <c r="E240" s="2"/>
      <c r="F240" s="2"/>
      <c r="G240" s="2"/>
      <c r="H240" s="2"/>
    </row>
    <row r="241" spans="1:8" x14ac:dyDescent="0.25">
      <c r="A241" s="2" t="s">
        <v>1621</v>
      </c>
      <c r="B241" s="2" t="s">
        <v>2549</v>
      </c>
      <c r="C241" s="2" t="s">
        <v>990</v>
      </c>
      <c r="D241" s="2" t="s">
        <v>1170</v>
      </c>
      <c r="E241" s="2"/>
      <c r="F241" s="2"/>
      <c r="G241" s="2"/>
      <c r="H241" s="2"/>
    </row>
    <row r="242" spans="1:8" x14ac:dyDescent="0.25">
      <c r="A242" s="2" t="s">
        <v>1622</v>
      </c>
      <c r="B242" s="2" t="s">
        <v>2550</v>
      </c>
      <c r="C242" s="2" t="s">
        <v>2519</v>
      </c>
      <c r="D242" s="2" t="s">
        <v>1099</v>
      </c>
      <c r="E242" s="2" t="s">
        <v>1157</v>
      </c>
      <c r="F242" s="2"/>
      <c r="G242" s="2"/>
      <c r="H242" s="2"/>
    </row>
    <row r="243" spans="1:8" x14ac:dyDescent="0.25">
      <c r="A243" s="2" t="s">
        <v>1624</v>
      </c>
      <c r="B243" s="2" t="s">
        <v>2550</v>
      </c>
      <c r="C243" s="2" t="s">
        <v>2465</v>
      </c>
      <c r="D243" s="2" t="s">
        <v>1061</v>
      </c>
      <c r="E243" s="2" t="s">
        <v>1101</v>
      </c>
      <c r="F243" s="2"/>
      <c r="G243" s="2"/>
      <c r="H243" s="2"/>
    </row>
    <row r="244" spans="1:8" x14ac:dyDescent="0.25">
      <c r="A244" s="2" t="s">
        <v>1625</v>
      </c>
      <c r="B244" s="2" t="s">
        <v>2549</v>
      </c>
      <c r="C244" s="2" t="s">
        <v>1079</v>
      </c>
      <c r="D244" s="2" t="s">
        <v>1171</v>
      </c>
      <c r="E244" s="2"/>
      <c r="F244" s="2"/>
      <c r="G244" s="2"/>
      <c r="H244" s="2"/>
    </row>
    <row r="245" spans="1:8" x14ac:dyDescent="0.25">
      <c r="A245" s="2" t="s">
        <v>1626</v>
      </c>
      <c r="B245" s="2" t="s">
        <v>2549</v>
      </c>
      <c r="C245" s="2" t="s">
        <v>992</v>
      </c>
      <c r="D245" s="2" t="s">
        <v>1079</v>
      </c>
      <c r="E245" s="2"/>
      <c r="F245" s="2"/>
      <c r="G245" s="2"/>
      <c r="H245" s="2"/>
    </row>
    <row r="246" spans="1:8" x14ac:dyDescent="0.25">
      <c r="A246" s="2" t="s">
        <v>1627</v>
      </c>
      <c r="B246" s="2" t="s">
        <v>2549</v>
      </c>
      <c r="C246" s="2" t="s">
        <v>1079</v>
      </c>
      <c r="D246" s="2" t="s">
        <v>1173</v>
      </c>
      <c r="E246" s="2"/>
      <c r="F246" s="2"/>
      <c r="G246" s="2"/>
      <c r="H246" s="2"/>
    </row>
    <row r="247" spans="1:8" x14ac:dyDescent="0.25">
      <c r="A247" s="2" t="s">
        <v>711</v>
      </c>
      <c r="B247" s="2" t="s">
        <v>2549</v>
      </c>
      <c r="C247" s="2" t="s">
        <v>1004</v>
      </c>
      <c r="D247" s="2" t="s">
        <v>1097</v>
      </c>
      <c r="E247" s="2"/>
      <c r="F247" s="2"/>
      <c r="G247" s="2"/>
      <c r="H247" s="2"/>
    </row>
    <row r="248" spans="1:8" x14ac:dyDescent="0.25">
      <c r="A248" s="2" t="s">
        <v>1628</v>
      </c>
      <c r="B248" s="2" t="s">
        <v>2552</v>
      </c>
      <c r="C248" s="2" t="s">
        <v>1105</v>
      </c>
      <c r="D248" s="2"/>
      <c r="E248" s="2"/>
      <c r="F248" s="2"/>
      <c r="G248" s="2"/>
      <c r="H248" s="2"/>
    </row>
    <row r="249" spans="1:8" x14ac:dyDescent="0.25">
      <c r="A249" s="2" t="s">
        <v>1629</v>
      </c>
      <c r="B249" s="2" t="s">
        <v>2549</v>
      </c>
      <c r="C249" s="2" t="s">
        <v>1095</v>
      </c>
      <c r="D249" s="2" t="s">
        <v>2539</v>
      </c>
      <c r="E249" s="2"/>
      <c r="F249" s="2"/>
      <c r="G249" s="2"/>
      <c r="H249" s="2"/>
    </row>
    <row r="250" spans="1:8" x14ac:dyDescent="0.25">
      <c r="A250" s="2" t="s">
        <v>1630</v>
      </c>
      <c r="B250" s="2" t="s">
        <v>2549</v>
      </c>
      <c r="C250" s="2" t="s">
        <v>2491</v>
      </c>
      <c r="D250" s="2" t="s">
        <v>1079</v>
      </c>
      <c r="E250" s="2"/>
      <c r="F250" s="2"/>
      <c r="G250" s="2"/>
      <c r="H250" s="2"/>
    </row>
    <row r="251" spans="1:8" x14ac:dyDescent="0.25">
      <c r="A251" s="2" t="s">
        <v>1631</v>
      </c>
      <c r="B251" s="2" t="s">
        <v>2549</v>
      </c>
      <c r="C251" s="2" t="s">
        <v>1079</v>
      </c>
      <c r="D251" s="2" t="s">
        <v>2513</v>
      </c>
      <c r="E251" s="2"/>
      <c r="F251" s="2"/>
      <c r="G251" s="2"/>
      <c r="H251" s="2"/>
    </row>
    <row r="252" spans="1:8" x14ac:dyDescent="0.25">
      <c r="A252" s="2" t="s">
        <v>1633</v>
      </c>
      <c r="B252" s="2" t="s">
        <v>2552</v>
      </c>
      <c r="C252" s="2" t="s">
        <v>1061</v>
      </c>
      <c r="D252" s="2"/>
      <c r="E252" s="2"/>
      <c r="F252" s="2"/>
      <c r="G252" s="2"/>
      <c r="H252" s="2"/>
    </row>
    <row r="253" spans="1:8" x14ac:dyDescent="0.25">
      <c r="A253" s="2" t="s">
        <v>1635</v>
      </c>
      <c r="B253" s="2" t="s">
        <v>2549</v>
      </c>
      <c r="C253" s="2" t="s">
        <v>923</v>
      </c>
      <c r="D253" s="2" t="s">
        <v>1168</v>
      </c>
      <c r="E253" s="2"/>
      <c r="F253" s="2"/>
      <c r="G253" s="2"/>
      <c r="H253" s="2"/>
    </row>
    <row r="254" spans="1:8" x14ac:dyDescent="0.25">
      <c r="A254" s="2" t="s">
        <v>1636</v>
      </c>
      <c r="B254" s="2" t="s">
        <v>2549</v>
      </c>
      <c r="C254" s="2" t="s">
        <v>923</v>
      </c>
      <c r="D254" s="2" t="s">
        <v>1168</v>
      </c>
      <c r="E254" s="2"/>
      <c r="F254" s="2"/>
      <c r="G254" s="2"/>
      <c r="H254" s="2"/>
    </row>
    <row r="255" spans="1:8" x14ac:dyDescent="0.25">
      <c r="A255" s="2" t="s">
        <v>1637</v>
      </c>
      <c r="B255" s="2" t="s">
        <v>2549</v>
      </c>
      <c r="C255" s="2" t="s">
        <v>923</v>
      </c>
      <c r="D255" s="2" t="s">
        <v>1168</v>
      </c>
      <c r="E255" s="2"/>
      <c r="F255" s="2"/>
      <c r="G255" s="2"/>
      <c r="H255" s="2"/>
    </row>
    <row r="256" spans="1:8" x14ac:dyDescent="0.25">
      <c r="A256" s="2" t="s">
        <v>1638</v>
      </c>
      <c r="B256" s="2" t="s">
        <v>2549</v>
      </c>
      <c r="C256" s="2" t="s">
        <v>915</v>
      </c>
      <c r="D256" s="2" t="s">
        <v>1127</v>
      </c>
      <c r="E256" s="2"/>
      <c r="F256" s="2"/>
      <c r="G256" s="2"/>
      <c r="H256" s="2"/>
    </row>
    <row r="257" spans="1:8" x14ac:dyDescent="0.25">
      <c r="A257" s="2" t="s">
        <v>1639</v>
      </c>
      <c r="B257" s="2" t="s">
        <v>2549</v>
      </c>
      <c r="C257" s="2" t="s">
        <v>915</v>
      </c>
      <c r="D257" s="2" t="s">
        <v>1127</v>
      </c>
      <c r="E257" s="2"/>
      <c r="F257" s="2"/>
      <c r="G257" s="2"/>
      <c r="H257" s="2"/>
    </row>
    <row r="258" spans="1:8" x14ac:dyDescent="0.25">
      <c r="A258" s="2" t="s">
        <v>1640</v>
      </c>
      <c r="B258" s="2" t="s">
        <v>2549</v>
      </c>
      <c r="C258" s="2" t="s">
        <v>915</v>
      </c>
      <c r="D258" s="2" t="s">
        <v>1127</v>
      </c>
      <c r="E258" s="2"/>
      <c r="F258" s="2"/>
      <c r="G258" s="2"/>
      <c r="H258" s="2"/>
    </row>
    <row r="259" spans="1:8" x14ac:dyDescent="0.25">
      <c r="A259" s="2" t="s">
        <v>712</v>
      </c>
      <c r="B259" s="2" t="s">
        <v>2549</v>
      </c>
      <c r="C259" s="2" t="s">
        <v>974</v>
      </c>
      <c r="D259" s="2" t="s">
        <v>916</v>
      </c>
      <c r="E259" s="2"/>
      <c r="F259" s="2"/>
      <c r="G259" s="2"/>
      <c r="H259" s="2"/>
    </row>
    <row r="260" spans="1:8" x14ac:dyDescent="0.25">
      <c r="A260" s="2" t="s">
        <v>1641</v>
      </c>
      <c r="B260" s="2" t="s">
        <v>2549</v>
      </c>
      <c r="C260" s="2" t="s">
        <v>974</v>
      </c>
      <c r="D260" s="2" t="s">
        <v>916</v>
      </c>
      <c r="E260" s="2"/>
      <c r="F260" s="2"/>
      <c r="G260" s="2"/>
      <c r="H260" s="2"/>
    </row>
    <row r="261" spans="1:8" x14ac:dyDescent="0.25">
      <c r="A261" s="2" t="s">
        <v>1642</v>
      </c>
      <c r="B261" s="2" t="s">
        <v>2549</v>
      </c>
      <c r="C261" s="2" t="s">
        <v>974</v>
      </c>
      <c r="D261" s="2" t="s">
        <v>916</v>
      </c>
      <c r="E261" s="2"/>
      <c r="F261" s="2"/>
      <c r="G261" s="2"/>
      <c r="H261" s="2"/>
    </row>
    <row r="262" spans="1:8" x14ac:dyDescent="0.25">
      <c r="A262" s="2" t="s">
        <v>1643</v>
      </c>
      <c r="B262" s="2" t="s">
        <v>2550</v>
      </c>
      <c r="C262" s="2" t="s">
        <v>1082</v>
      </c>
      <c r="D262" s="2" t="s">
        <v>2509</v>
      </c>
      <c r="E262" s="2" t="s">
        <v>1093</v>
      </c>
      <c r="F262" s="2"/>
      <c r="G262" s="2"/>
      <c r="H262" s="2"/>
    </row>
    <row r="263" spans="1:8" x14ac:dyDescent="0.25">
      <c r="A263" s="2" t="s">
        <v>1644</v>
      </c>
      <c r="B263" s="2" t="s">
        <v>2550</v>
      </c>
      <c r="C263" s="2" t="s">
        <v>1027</v>
      </c>
      <c r="D263" s="2" t="s">
        <v>2489</v>
      </c>
      <c r="E263" s="2" t="s">
        <v>1082</v>
      </c>
      <c r="F263" s="2"/>
      <c r="G263" s="2"/>
      <c r="H263" s="2"/>
    </row>
    <row r="264" spans="1:8" x14ac:dyDescent="0.25">
      <c r="A264" s="2" t="s">
        <v>1645</v>
      </c>
      <c r="B264" s="2" t="s">
        <v>2550</v>
      </c>
      <c r="C264" s="2" t="s">
        <v>1002</v>
      </c>
      <c r="D264" s="2" t="s">
        <v>1072</v>
      </c>
      <c r="E264" s="2" t="s">
        <v>1082</v>
      </c>
      <c r="F264" s="2"/>
      <c r="G264" s="2"/>
      <c r="H264" s="2"/>
    </row>
    <row r="265" spans="1:8" x14ac:dyDescent="0.25">
      <c r="A265" s="2" t="s">
        <v>1646</v>
      </c>
      <c r="B265" s="2" t="s">
        <v>2550</v>
      </c>
      <c r="C265" s="2" t="s">
        <v>1002</v>
      </c>
      <c r="D265" s="2" t="s">
        <v>1072</v>
      </c>
      <c r="E265" s="2" t="s">
        <v>1082</v>
      </c>
      <c r="F265" s="2"/>
      <c r="G265" s="2"/>
      <c r="H265" s="2"/>
    </row>
    <row r="266" spans="1:8" x14ac:dyDescent="0.25">
      <c r="A266" s="2" t="s">
        <v>1647</v>
      </c>
      <c r="B266" s="2" t="s">
        <v>2549</v>
      </c>
      <c r="C266" s="2" t="s">
        <v>1093</v>
      </c>
      <c r="D266" s="2" t="s">
        <v>1108</v>
      </c>
      <c r="E266" s="2"/>
      <c r="F266" s="2"/>
      <c r="G266" s="2"/>
      <c r="H266" s="2"/>
    </row>
    <row r="267" spans="1:8" x14ac:dyDescent="0.25">
      <c r="A267" s="2" t="s">
        <v>1648</v>
      </c>
      <c r="B267" s="2" t="s">
        <v>2552</v>
      </c>
      <c r="C267" s="2" t="s">
        <v>1105</v>
      </c>
      <c r="D267" s="2"/>
      <c r="E267" s="2"/>
      <c r="F267" s="2"/>
      <c r="G267" s="2"/>
      <c r="H267" s="2"/>
    </row>
    <row r="268" spans="1:8" x14ac:dyDescent="0.25">
      <c r="A268" s="2" t="s">
        <v>1649</v>
      </c>
      <c r="B268" s="2" t="s">
        <v>2549</v>
      </c>
      <c r="C268" s="2" t="s">
        <v>1088</v>
      </c>
      <c r="D268" s="2" t="s">
        <v>1147</v>
      </c>
      <c r="E268" s="2"/>
      <c r="F268" s="2"/>
      <c r="G268" s="2"/>
      <c r="H268" s="2"/>
    </row>
    <row r="269" spans="1:8" x14ac:dyDescent="0.25">
      <c r="A269" s="2" t="s">
        <v>1650</v>
      </c>
      <c r="B269" s="2" t="s">
        <v>2552</v>
      </c>
      <c r="C269" s="2" t="s">
        <v>1105</v>
      </c>
      <c r="D269" s="2"/>
      <c r="E269" s="2"/>
      <c r="F269" s="2"/>
      <c r="G269" s="2"/>
      <c r="H269" s="2"/>
    </row>
    <row r="270" spans="1:8" x14ac:dyDescent="0.25">
      <c r="A270" s="2" t="s">
        <v>1651</v>
      </c>
      <c r="B270" s="2" t="s">
        <v>2549</v>
      </c>
      <c r="C270" s="2" t="s">
        <v>970</v>
      </c>
      <c r="D270" s="2" t="s">
        <v>1108</v>
      </c>
      <c r="E270" s="2"/>
      <c r="F270" s="2"/>
      <c r="G270" s="2"/>
      <c r="H270" s="2"/>
    </row>
    <row r="271" spans="1:8" x14ac:dyDescent="0.25">
      <c r="A271" s="2" t="s">
        <v>1652</v>
      </c>
      <c r="B271" s="2" t="s">
        <v>2550</v>
      </c>
      <c r="C271" s="2" t="s">
        <v>1070</v>
      </c>
      <c r="D271" s="2" t="s">
        <v>1084</v>
      </c>
      <c r="E271" s="2" t="s">
        <v>1149</v>
      </c>
      <c r="F271" s="2"/>
      <c r="G271" s="2"/>
      <c r="H271" s="2"/>
    </row>
    <row r="272" spans="1:8" x14ac:dyDescent="0.25">
      <c r="A272" s="2" t="s">
        <v>1653</v>
      </c>
      <c r="B272" s="2" t="s">
        <v>2550</v>
      </c>
      <c r="C272" s="2" t="s">
        <v>1070</v>
      </c>
      <c r="D272" s="2" t="s">
        <v>1084</v>
      </c>
      <c r="E272" s="2" t="s">
        <v>1149</v>
      </c>
      <c r="F272" s="2"/>
      <c r="G272" s="2"/>
      <c r="H272" s="2"/>
    </row>
    <row r="273" spans="1:8" x14ac:dyDescent="0.25">
      <c r="A273" s="2" t="s">
        <v>1654</v>
      </c>
      <c r="B273" s="2" t="s">
        <v>2550</v>
      </c>
      <c r="C273" s="2" t="s">
        <v>1070</v>
      </c>
      <c r="D273" s="2" t="s">
        <v>1084</v>
      </c>
      <c r="E273" s="2" t="s">
        <v>1149</v>
      </c>
      <c r="F273" s="2"/>
      <c r="G273" s="2"/>
      <c r="H273" s="2"/>
    </row>
    <row r="274" spans="1:8" x14ac:dyDescent="0.25">
      <c r="A274" s="2" t="s">
        <v>1655</v>
      </c>
      <c r="B274" s="2" t="s">
        <v>2550</v>
      </c>
      <c r="C274" s="2" t="s">
        <v>921</v>
      </c>
      <c r="D274" s="2" t="s">
        <v>984</v>
      </c>
      <c r="E274" s="2" t="s">
        <v>2499</v>
      </c>
      <c r="F274" s="2"/>
      <c r="G274" s="2"/>
      <c r="H274" s="2"/>
    </row>
    <row r="275" spans="1:8" x14ac:dyDescent="0.25">
      <c r="A275" s="2" t="s">
        <v>1656</v>
      </c>
      <c r="B275" s="2" t="s">
        <v>2550</v>
      </c>
      <c r="C275" s="2" t="s">
        <v>921</v>
      </c>
      <c r="D275" s="2" t="s">
        <v>984</v>
      </c>
      <c r="E275" s="2" t="s">
        <v>2499</v>
      </c>
      <c r="F275" s="2"/>
      <c r="G275" s="2"/>
      <c r="H275" s="2"/>
    </row>
    <row r="276" spans="1:8" x14ac:dyDescent="0.25">
      <c r="A276" s="2" t="s">
        <v>1657</v>
      </c>
      <c r="B276" s="2" t="s">
        <v>2550</v>
      </c>
      <c r="C276" s="2" t="s">
        <v>921</v>
      </c>
      <c r="D276" s="2" t="s">
        <v>984</v>
      </c>
      <c r="E276" s="2" t="s">
        <v>2499</v>
      </c>
      <c r="F276" s="2"/>
      <c r="G276" s="2"/>
      <c r="H276" s="2"/>
    </row>
    <row r="277" spans="1:8" x14ac:dyDescent="0.25">
      <c r="A277" s="2" t="s">
        <v>1658</v>
      </c>
      <c r="B277" s="2" t="s">
        <v>2549</v>
      </c>
      <c r="C277" s="2" t="s">
        <v>1004</v>
      </c>
      <c r="D277" s="2" t="s">
        <v>1099</v>
      </c>
      <c r="E277" s="2"/>
      <c r="F277" s="2"/>
      <c r="G277" s="2"/>
      <c r="H277" s="2"/>
    </row>
    <row r="278" spans="1:8" x14ac:dyDescent="0.25">
      <c r="A278" s="2" t="s">
        <v>1660</v>
      </c>
      <c r="B278" s="2" t="s">
        <v>2549</v>
      </c>
      <c r="C278" s="2" t="s">
        <v>1004</v>
      </c>
      <c r="D278" s="2" t="s">
        <v>1099</v>
      </c>
      <c r="E278" s="2"/>
      <c r="F278" s="2"/>
      <c r="G278" s="2"/>
      <c r="H278" s="2"/>
    </row>
    <row r="279" spans="1:8" x14ac:dyDescent="0.25">
      <c r="A279" s="2" t="s">
        <v>1661</v>
      </c>
      <c r="B279" s="2" t="s">
        <v>2549</v>
      </c>
      <c r="C279" s="2" t="s">
        <v>1031</v>
      </c>
      <c r="D279" s="2" t="s">
        <v>1084</v>
      </c>
      <c r="E279" s="2"/>
      <c r="F279" s="2"/>
      <c r="G279" s="2"/>
      <c r="H279" s="2"/>
    </row>
    <row r="280" spans="1:8" x14ac:dyDescent="0.25">
      <c r="A280" s="2" t="s">
        <v>1662</v>
      </c>
      <c r="B280" s="2" t="s">
        <v>2549</v>
      </c>
      <c r="C280" s="2" t="s">
        <v>1031</v>
      </c>
      <c r="D280" s="2" t="s">
        <v>1084</v>
      </c>
      <c r="E280" s="2"/>
      <c r="F280" s="2"/>
      <c r="G280" s="2"/>
      <c r="H280" s="2"/>
    </row>
    <row r="281" spans="1:8" x14ac:dyDescent="0.25">
      <c r="A281" s="2" t="s">
        <v>1663</v>
      </c>
      <c r="B281" s="2" t="s">
        <v>2550</v>
      </c>
      <c r="C281" s="2" t="s">
        <v>1151</v>
      </c>
      <c r="D281" s="2" t="s">
        <v>2531</v>
      </c>
      <c r="E281" s="2" t="s">
        <v>1162</v>
      </c>
      <c r="F281" s="2"/>
      <c r="G281" s="2"/>
      <c r="H281" s="2"/>
    </row>
    <row r="282" spans="1:8" x14ac:dyDescent="0.25">
      <c r="A282" s="2" t="s">
        <v>1664</v>
      </c>
      <c r="B282" s="2" t="s">
        <v>2550</v>
      </c>
      <c r="C282" s="2" t="s">
        <v>1151</v>
      </c>
      <c r="D282" s="2" t="s">
        <v>2531</v>
      </c>
      <c r="E282" s="2" t="s">
        <v>1162</v>
      </c>
      <c r="F282" s="2"/>
      <c r="G282" s="2"/>
      <c r="H282" s="2"/>
    </row>
    <row r="283" spans="1:8" x14ac:dyDescent="0.25">
      <c r="A283" s="2" t="s">
        <v>1665</v>
      </c>
      <c r="B283" s="2" t="s">
        <v>2551</v>
      </c>
      <c r="C283" s="2" t="s">
        <v>2501</v>
      </c>
      <c r="D283" s="2" t="s">
        <v>1151</v>
      </c>
      <c r="E283" s="2" t="s">
        <v>2531</v>
      </c>
      <c r="F283" s="2" t="s">
        <v>1162</v>
      </c>
      <c r="G283" s="2"/>
      <c r="H283" s="2"/>
    </row>
    <row r="284" spans="1:8" x14ac:dyDescent="0.25">
      <c r="A284" s="2" t="s">
        <v>1666</v>
      </c>
      <c r="B284" s="2" t="s">
        <v>2549</v>
      </c>
      <c r="C284" s="2" t="s">
        <v>1084</v>
      </c>
      <c r="D284" s="2" t="s">
        <v>1149</v>
      </c>
      <c r="E284" s="2"/>
      <c r="F284" s="2"/>
      <c r="G284" s="2"/>
      <c r="H284" s="2"/>
    </row>
    <row r="285" spans="1:8" x14ac:dyDescent="0.25">
      <c r="A285" s="2" t="s">
        <v>1667</v>
      </c>
      <c r="B285" s="2" t="s">
        <v>2549</v>
      </c>
      <c r="C285" s="2" t="s">
        <v>1027</v>
      </c>
      <c r="D285" s="2" t="s">
        <v>2539</v>
      </c>
      <c r="E285" s="2"/>
      <c r="F285" s="2"/>
      <c r="G285" s="2"/>
      <c r="H285" s="2"/>
    </row>
    <row r="286" spans="1:8" x14ac:dyDescent="0.25">
      <c r="A286" s="2" t="s">
        <v>1668</v>
      </c>
      <c r="B286" s="2" t="s">
        <v>2550</v>
      </c>
      <c r="C286" s="2" t="s">
        <v>986</v>
      </c>
      <c r="D286" s="2" t="s">
        <v>1075</v>
      </c>
      <c r="E286" s="2" t="s">
        <v>1082</v>
      </c>
      <c r="F286" s="2"/>
      <c r="G286" s="2"/>
      <c r="H286" s="2"/>
    </row>
    <row r="287" spans="1:8" x14ac:dyDescent="0.25">
      <c r="A287" s="2" t="s">
        <v>1669</v>
      </c>
      <c r="B287" s="2" t="s">
        <v>2550</v>
      </c>
      <c r="C287" s="2" t="s">
        <v>986</v>
      </c>
      <c r="D287" s="2" t="s">
        <v>1075</v>
      </c>
      <c r="E287" s="2" t="s">
        <v>1155</v>
      </c>
      <c r="F287" s="2"/>
      <c r="G287" s="2"/>
      <c r="H287" s="2"/>
    </row>
    <row r="288" spans="1:8" x14ac:dyDescent="0.25">
      <c r="A288" s="2" t="s">
        <v>1671</v>
      </c>
      <c r="B288" s="2" t="s">
        <v>2552</v>
      </c>
      <c r="C288" s="2" t="s">
        <v>1164</v>
      </c>
      <c r="D288" s="2"/>
      <c r="E288" s="2"/>
      <c r="F288" s="2"/>
      <c r="G288" s="2"/>
      <c r="H288" s="2"/>
    </row>
    <row r="289" spans="1:8" x14ac:dyDescent="0.25">
      <c r="A289" s="2" t="s">
        <v>1672</v>
      </c>
      <c r="B289" s="2" t="s">
        <v>2552</v>
      </c>
      <c r="C289" s="2" t="s">
        <v>1170</v>
      </c>
      <c r="D289" s="2"/>
      <c r="E289" s="2"/>
      <c r="F289" s="2"/>
      <c r="G289" s="2"/>
      <c r="H289" s="2"/>
    </row>
    <row r="290" spans="1:8" x14ac:dyDescent="0.25">
      <c r="A290" s="2" t="s">
        <v>1673</v>
      </c>
      <c r="B290" s="2" t="s">
        <v>2552</v>
      </c>
      <c r="C290" s="2" t="s">
        <v>1164</v>
      </c>
      <c r="D290" s="2"/>
      <c r="E290" s="2"/>
      <c r="F290" s="2"/>
      <c r="G290" s="2"/>
      <c r="H290" s="2"/>
    </row>
    <row r="291" spans="1:8" x14ac:dyDescent="0.25">
      <c r="A291" s="2" t="s">
        <v>1674</v>
      </c>
      <c r="B291" s="2" t="s">
        <v>2549</v>
      </c>
      <c r="C291" s="2" t="s">
        <v>970</v>
      </c>
      <c r="D291" s="2" t="s">
        <v>1093</v>
      </c>
      <c r="E291" s="2"/>
      <c r="F291" s="2"/>
      <c r="G291" s="2"/>
      <c r="H291" s="2"/>
    </row>
    <row r="292" spans="1:8" x14ac:dyDescent="0.25">
      <c r="A292" s="2" t="s">
        <v>1675</v>
      </c>
      <c r="B292" s="2" t="s">
        <v>2549</v>
      </c>
      <c r="C292" s="2" t="s">
        <v>2473</v>
      </c>
      <c r="D292" s="2" t="s">
        <v>1127</v>
      </c>
      <c r="E292" s="2"/>
      <c r="F292" s="2"/>
      <c r="G292" s="2"/>
      <c r="H292" s="2"/>
    </row>
    <row r="293" spans="1:8" x14ac:dyDescent="0.25">
      <c r="A293" s="2" t="s">
        <v>1676</v>
      </c>
      <c r="B293" s="2" t="s">
        <v>2552</v>
      </c>
      <c r="C293" s="2" t="s">
        <v>1178</v>
      </c>
      <c r="D293" s="2"/>
      <c r="E293" s="2"/>
      <c r="F293" s="2"/>
      <c r="G293" s="2"/>
      <c r="H293" s="2"/>
    </row>
    <row r="294" spans="1:8" x14ac:dyDescent="0.25">
      <c r="A294" s="2" t="s">
        <v>1678</v>
      </c>
      <c r="B294" s="2" t="s">
        <v>2549</v>
      </c>
      <c r="C294" s="2" t="s">
        <v>2509</v>
      </c>
      <c r="D294" s="2" t="s">
        <v>1125</v>
      </c>
      <c r="E294" s="2"/>
      <c r="F294" s="2"/>
      <c r="G294" s="2"/>
      <c r="H294" s="2"/>
    </row>
    <row r="295" spans="1:8" x14ac:dyDescent="0.25">
      <c r="A295" s="2" t="s">
        <v>1679</v>
      </c>
      <c r="B295" s="2" t="s">
        <v>2549</v>
      </c>
      <c r="C295" s="2" t="s">
        <v>1099</v>
      </c>
      <c r="D295" s="2" t="s">
        <v>1125</v>
      </c>
      <c r="E295" s="2"/>
      <c r="F295" s="2"/>
      <c r="G295" s="2"/>
      <c r="H295" s="2"/>
    </row>
    <row r="296" spans="1:8" x14ac:dyDescent="0.25">
      <c r="A296" s="2" t="s">
        <v>1680</v>
      </c>
      <c r="B296" s="2" t="s">
        <v>2549</v>
      </c>
      <c r="C296" s="2" t="s">
        <v>1099</v>
      </c>
      <c r="D296" s="2" t="s">
        <v>1125</v>
      </c>
      <c r="E296" s="2"/>
      <c r="F296" s="2"/>
      <c r="G296" s="2"/>
      <c r="H296" s="2"/>
    </row>
    <row r="297" spans="1:8" x14ac:dyDescent="0.25">
      <c r="A297" s="2" t="s">
        <v>1681</v>
      </c>
      <c r="B297" s="2" t="s">
        <v>2550</v>
      </c>
      <c r="C297" s="2" t="s">
        <v>1004</v>
      </c>
      <c r="D297" s="2" t="s">
        <v>2521</v>
      </c>
      <c r="E297" s="2" t="s">
        <v>1157</v>
      </c>
      <c r="F297" s="2"/>
      <c r="G297" s="2"/>
      <c r="H297" s="2"/>
    </row>
    <row r="298" spans="1:8" x14ac:dyDescent="0.25">
      <c r="A298" s="2" t="s">
        <v>1683</v>
      </c>
      <c r="B298" s="2" t="s">
        <v>2550</v>
      </c>
      <c r="C298" s="2" t="s">
        <v>1004</v>
      </c>
      <c r="D298" s="2" t="s">
        <v>2521</v>
      </c>
      <c r="E298" s="2" t="s">
        <v>1157</v>
      </c>
      <c r="F298" s="2"/>
      <c r="G298" s="2"/>
      <c r="H298" s="2"/>
    </row>
    <row r="299" spans="1:8" x14ac:dyDescent="0.25">
      <c r="A299" s="2" t="s">
        <v>1684</v>
      </c>
      <c r="B299" s="2" t="s">
        <v>2550</v>
      </c>
      <c r="C299" s="2" t="s">
        <v>1009</v>
      </c>
      <c r="D299" s="2" t="s">
        <v>2519</v>
      </c>
      <c r="E299" s="2" t="s">
        <v>1157</v>
      </c>
      <c r="F299" s="2"/>
      <c r="G299" s="2"/>
      <c r="H299" s="2"/>
    </row>
    <row r="300" spans="1:8" x14ac:dyDescent="0.25">
      <c r="A300" s="2" t="s">
        <v>1685</v>
      </c>
      <c r="B300" s="2" t="s">
        <v>2550</v>
      </c>
      <c r="C300" s="2" t="s">
        <v>1049</v>
      </c>
      <c r="D300" s="2" t="s">
        <v>2515</v>
      </c>
      <c r="E300" s="2" t="s">
        <v>1141</v>
      </c>
      <c r="F300" s="2"/>
      <c r="G300" s="2"/>
      <c r="H300" s="2"/>
    </row>
    <row r="301" spans="1:8" x14ac:dyDescent="0.25">
      <c r="A301" s="2" t="s">
        <v>1686</v>
      </c>
      <c r="B301" s="2" t="s">
        <v>2550</v>
      </c>
      <c r="C301" s="2" t="s">
        <v>972</v>
      </c>
      <c r="D301" s="2" t="s">
        <v>1065</v>
      </c>
      <c r="E301" s="2" t="s">
        <v>2545</v>
      </c>
      <c r="F301" s="2"/>
      <c r="G301" s="2"/>
      <c r="H301" s="2"/>
    </row>
    <row r="302" spans="1:8" x14ac:dyDescent="0.25">
      <c r="A302" s="2" t="s">
        <v>1687</v>
      </c>
      <c r="B302" s="2" t="s">
        <v>2550</v>
      </c>
      <c r="C302" s="2" t="s">
        <v>972</v>
      </c>
      <c r="D302" s="2" t="s">
        <v>1065</v>
      </c>
      <c r="E302" s="2" t="s">
        <v>2545</v>
      </c>
      <c r="F302" s="2"/>
      <c r="G302" s="2"/>
      <c r="H302" s="2"/>
    </row>
    <row r="303" spans="1:8" x14ac:dyDescent="0.25">
      <c r="A303" s="2" t="s">
        <v>1688</v>
      </c>
      <c r="B303" s="2" t="s">
        <v>2550</v>
      </c>
      <c r="C303" s="2" t="s">
        <v>1031</v>
      </c>
      <c r="D303" s="2" t="s">
        <v>2505</v>
      </c>
      <c r="E303" s="2" t="s">
        <v>1129</v>
      </c>
      <c r="F303" s="2"/>
      <c r="G303" s="2"/>
      <c r="H303" s="2"/>
    </row>
    <row r="304" spans="1:8" x14ac:dyDescent="0.25">
      <c r="A304" s="2" t="s">
        <v>1689</v>
      </c>
      <c r="B304" s="2" t="s">
        <v>2551</v>
      </c>
      <c r="C304" s="2" t="s">
        <v>1009</v>
      </c>
      <c r="D304" s="2" t="s">
        <v>1015</v>
      </c>
      <c r="E304" s="2" t="s">
        <v>1027</v>
      </c>
      <c r="F304" s="2" t="s">
        <v>2521</v>
      </c>
      <c r="G304" s="2"/>
      <c r="H304" s="2"/>
    </row>
    <row r="305" spans="1:8" x14ac:dyDescent="0.25">
      <c r="A305" s="2" t="s">
        <v>1690</v>
      </c>
      <c r="B305" s="2" t="s">
        <v>2550</v>
      </c>
      <c r="C305" s="2" t="s">
        <v>2467</v>
      </c>
      <c r="D305" s="2" t="s">
        <v>1090</v>
      </c>
      <c r="E305" s="2" t="s">
        <v>1141</v>
      </c>
      <c r="F305" s="2"/>
      <c r="G305" s="2"/>
      <c r="H305" s="2"/>
    </row>
    <row r="306" spans="1:8" x14ac:dyDescent="0.25">
      <c r="A306" s="2" t="s">
        <v>1691</v>
      </c>
      <c r="B306" s="2" t="s">
        <v>2550</v>
      </c>
      <c r="C306" s="2" t="s">
        <v>2467</v>
      </c>
      <c r="D306" s="2" t="s">
        <v>1090</v>
      </c>
      <c r="E306" s="2" t="s">
        <v>1141</v>
      </c>
      <c r="F306" s="2"/>
      <c r="G306" s="2"/>
      <c r="H306" s="2"/>
    </row>
    <row r="307" spans="1:8" x14ac:dyDescent="0.25">
      <c r="A307" s="2" t="s">
        <v>1692</v>
      </c>
      <c r="B307" s="2" t="s">
        <v>2551</v>
      </c>
      <c r="C307" s="2" t="s">
        <v>988</v>
      </c>
      <c r="D307" s="2" t="s">
        <v>2467</v>
      </c>
      <c r="E307" s="2" t="s">
        <v>1090</v>
      </c>
      <c r="F307" s="2" t="s">
        <v>1141</v>
      </c>
      <c r="G307" s="2"/>
      <c r="H307" s="2"/>
    </row>
    <row r="308" spans="1:8" x14ac:dyDescent="0.25">
      <c r="A308" s="2" t="s">
        <v>1693</v>
      </c>
      <c r="B308" s="2" t="s">
        <v>2549</v>
      </c>
      <c r="C308" s="2" t="s">
        <v>1081</v>
      </c>
      <c r="D308" s="2" t="s">
        <v>2531</v>
      </c>
      <c r="E308" s="2"/>
      <c r="F308" s="2"/>
      <c r="G308" s="2"/>
      <c r="H308" s="2"/>
    </row>
    <row r="309" spans="1:8" x14ac:dyDescent="0.25">
      <c r="A309" s="2" t="s">
        <v>1694</v>
      </c>
      <c r="B309" s="2" t="s">
        <v>2550</v>
      </c>
      <c r="C309" s="2" t="s">
        <v>1081</v>
      </c>
      <c r="D309" s="2" t="s">
        <v>1081</v>
      </c>
      <c r="E309" s="2" t="s">
        <v>2531</v>
      </c>
      <c r="F309" s="2"/>
      <c r="G309" s="2"/>
      <c r="H309" s="2"/>
    </row>
    <row r="310" spans="1:8" x14ac:dyDescent="0.25">
      <c r="A310" s="2" t="s">
        <v>1695</v>
      </c>
      <c r="B310" s="2" t="s">
        <v>2550</v>
      </c>
      <c r="C310" s="2" t="s">
        <v>1039</v>
      </c>
      <c r="D310" s="2" t="s">
        <v>1053</v>
      </c>
      <c r="E310" s="2" t="s">
        <v>1131</v>
      </c>
      <c r="F310" s="2"/>
      <c r="G310" s="2"/>
      <c r="H310" s="2"/>
    </row>
    <row r="311" spans="1:8" x14ac:dyDescent="0.25">
      <c r="A311" s="2" t="s">
        <v>1696</v>
      </c>
      <c r="B311" s="2" t="s">
        <v>2551</v>
      </c>
      <c r="C311" s="2" t="s">
        <v>1027</v>
      </c>
      <c r="D311" s="2" t="s">
        <v>1039</v>
      </c>
      <c r="E311" s="2" t="s">
        <v>1053</v>
      </c>
      <c r="F311" s="2" t="s">
        <v>1131</v>
      </c>
      <c r="G311" s="2"/>
      <c r="H311" s="2"/>
    </row>
    <row r="312" spans="1:8" x14ac:dyDescent="0.25">
      <c r="A312" s="2" t="s">
        <v>1697</v>
      </c>
      <c r="B312" s="2" t="s">
        <v>2549</v>
      </c>
      <c r="C312" s="2" t="s">
        <v>1039</v>
      </c>
      <c r="D312" s="2" t="s">
        <v>1074</v>
      </c>
      <c r="E312" s="2"/>
      <c r="F312" s="2"/>
      <c r="G312" s="2"/>
      <c r="H312" s="2"/>
    </row>
    <row r="313" spans="1:8" x14ac:dyDescent="0.25">
      <c r="A313" s="2" t="s">
        <v>1698</v>
      </c>
      <c r="B313" s="2" t="s">
        <v>2549</v>
      </c>
      <c r="C313" s="2" t="s">
        <v>1053</v>
      </c>
      <c r="D313" s="2" t="s">
        <v>1171</v>
      </c>
      <c r="E313" s="2"/>
      <c r="F313" s="2"/>
      <c r="G313" s="2"/>
      <c r="H313" s="2"/>
    </row>
    <row r="314" spans="1:8" x14ac:dyDescent="0.25">
      <c r="A314" s="2" t="s">
        <v>1699</v>
      </c>
      <c r="B314" s="2" t="s">
        <v>2550</v>
      </c>
      <c r="C314" s="2" t="s">
        <v>1019</v>
      </c>
      <c r="D314" s="2" t="s">
        <v>2505</v>
      </c>
      <c r="E314" s="2" t="s">
        <v>1147</v>
      </c>
      <c r="F314" s="2"/>
      <c r="G314" s="2"/>
      <c r="H314" s="2"/>
    </row>
    <row r="315" spans="1:8" x14ac:dyDescent="0.25">
      <c r="A315" s="2" t="s">
        <v>1701</v>
      </c>
      <c r="B315" s="2" t="s">
        <v>2550</v>
      </c>
      <c r="C315" s="2" t="s">
        <v>1067</v>
      </c>
      <c r="D315" s="2" t="s">
        <v>2505</v>
      </c>
      <c r="E315" s="2" t="s">
        <v>1159</v>
      </c>
      <c r="F315" s="2"/>
      <c r="G315" s="2"/>
      <c r="H315" s="2"/>
    </row>
    <row r="316" spans="1:8" x14ac:dyDescent="0.25">
      <c r="A316" s="2" t="s">
        <v>1702</v>
      </c>
      <c r="B316" s="2" t="s">
        <v>2550</v>
      </c>
      <c r="C316" s="2" t="s">
        <v>1035</v>
      </c>
      <c r="D316" s="2" t="s">
        <v>1061</v>
      </c>
      <c r="E316" s="2" t="s">
        <v>1077</v>
      </c>
      <c r="F316" s="2"/>
      <c r="G316" s="2"/>
      <c r="H316" s="2"/>
    </row>
    <row r="317" spans="1:8" x14ac:dyDescent="0.25">
      <c r="A317" s="2" t="s">
        <v>1703</v>
      </c>
      <c r="B317" s="2" t="s">
        <v>2550</v>
      </c>
      <c r="C317" s="2" t="s">
        <v>1002</v>
      </c>
      <c r="D317" s="2" t="s">
        <v>1043</v>
      </c>
      <c r="E317" s="2" t="s">
        <v>1137</v>
      </c>
      <c r="F317" s="2"/>
      <c r="G317" s="2"/>
      <c r="H317" s="2"/>
    </row>
    <row r="318" spans="1:8" x14ac:dyDescent="0.25">
      <c r="A318" s="2" t="s">
        <v>1704</v>
      </c>
      <c r="B318" s="2" t="s">
        <v>2550</v>
      </c>
      <c r="C318" s="2" t="s">
        <v>1002</v>
      </c>
      <c r="D318" s="2" t="s">
        <v>1043</v>
      </c>
      <c r="E318" s="2" t="s">
        <v>1137</v>
      </c>
      <c r="F318" s="2"/>
      <c r="G318" s="2"/>
      <c r="H318" s="2"/>
    </row>
    <row r="319" spans="1:8" x14ac:dyDescent="0.25">
      <c r="A319" s="2" t="s">
        <v>1705</v>
      </c>
      <c r="B319" s="2" t="s">
        <v>2549</v>
      </c>
      <c r="C319" s="2" t="s">
        <v>928</v>
      </c>
      <c r="D319" s="2" t="s">
        <v>1127</v>
      </c>
      <c r="E319" s="2"/>
      <c r="F319" s="2"/>
      <c r="G319" s="2"/>
      <c r="H319" s="2"/>
    </row>
    <row r="320" spans="1:8" x14ac:dyDescent="0.25">
      <c r="A320" s="2" t="s">
        <v>1706</v>
      </c>
      <c r="B320" s="2" t="s">
        <v>2549</v>
      </c>
      <c r="C320" s="2" t="s">
        <v>928</v>
      </c>
      <c r="D320" s="2" t="s">
        <v>1127</v>
      </c>
      <c r="E320" s="2"/>
      <c r="F320" s="2"/>
      <c r="G320" s="2"/>
      <c r="H320" s="2"/>
    </row>
    <row r="321" spans="1:8" x14ac:dyDescent="0.25">
      <c r="A321" s="2" t="s">
        <v>1707</v>
      </c>
      <c r="B321" s="2" t="s">
        <v>2550</v>
      </c>
      <c r="C321" s="2" t="s">
        <v>1067</v>
      </c>
      <c r="D321" s="2" t="s">
        <v>1079</v>
      </c>
      <c r="E321" s="2" t="s">
        <v>1175</v>
      </c>
      <c r="F321" s="2"/>
      <c r="G321" s="2"/>
      <c r="H321" s="2"/>
    </row>
    <row r="322" spans="1:8" x14ac:dyDescent="0.25">
      <c r="A322" s="2" t="s">
        <v>1708</v>
      </c>
      <c r="B322" s="2" t="s">
        <v>2550</v>
      </c>
      <c r="C322" s="2" t="s">
        <v>1067</v>
      </c>
      <c r="D322" s="2" t="s">
        <v>1079</v>
      </c>
      <c r="E322" s="2" t="s">
        <v>1175</v>
      </c>
      <c r="F322" s="2"/>
      <c r="G322" s="2"/>
      <c r="H322" s="2"/>
    </row>
    <row r="323" spans="1:8" x14ac:dyDescent="0.25">
      <c r="A323" s="2" t="s">
        <v>1709</v>
      </c>
      <c r="B323" s="2" t="s">
        <v>2550</v>
      </c>
      <c r="C323" s="2" t="s">
        <v>1067</v>
      </c>
      <c r="D323" s="2" t="s">
        <v>1070</v>
      </c>
      <c r="E323" s="2" t="s">
        <v>1110</v>
      </c>
      <c r="F323" s="2"/>
      <c r="G323" s="2"/>
      <c r="H323" s="2"/>
    </row>
    <row r="324" spans="1:8" x14ac:dyDescent="0.25">
      <c r="A324" s="2" t="s">
        <v>1710</v>
      </c>
      <c r="B324" s="2" t="s">
        <v>2550</v>
      </c>
      <c r="C324" s="2" t="s">
        <v>953</v>
      </c>
      <c r="D324" s="2" t="s">
        <v>1047</v>
      </c>
      <c r="E324" s="2" t="s">
        <v>1124</v>
      </c>
      <c r="F324" s="2"/>
      <c r="G324" s="2"/>
      <c r="H324" s="2"/>
    </row>
    <row r="325" spans="1:8" x14ac:dyDescent="0.25">
      <c r="A325" s="2" t="s">
        <v>1711</v>
      </c>
      <c r="B325" s="2" t="s">
        <v>2549</v>
      </c>
      <c r="C325" s="2" t="s">
        <v>1107</v>
      </c>
      <c r="D325" s="2" t="s">
        <v>1177</v>
      </c>
      <c r="E325" s="2"/>
      <c r="F325" s="2"/>
      <c r="G325" s="2"/>
      <c r="H325" s="2"/>
    </row>
    <row r="326" spans="1:8" x14ac:dyDescent="0.25">
      <c r="A326" s="2" t="s">
        <v>1712</v>
      </c>
      <c r="B326" s="2" t="s">
        <v>2550</v>
      </c>
      <c r="C326" s="2" t="s">
        <v>1002</v>
      </c>
      <c r="D326" s="2" t="s">
        <v>1070</v>
      </c>
      <c r="E326" s="2" t="s">
        <v>1157</v>
      </c>
      <c r="F326" s="2"/>
      <c r="G326" s="2"/>
      <c r="H326" s="2"/>
    </row>
    <row r="327" spans="1:8" x14ac:dyDescent="0.25">
      <c r="A327" s="2" t="s">
        <v>1713</v>
      </c>
      <c r="B327" s="2" t="s">
        <v>2550</v>
      </c>
      <c r="C327" s="2" t="s">
        <v>1002</v>
      </c>
      <c r="D327" s="2" t="s">
        <v>1070</v>
      </c>
      <c r="E327" s="2" t="s">
        <v>1157</v>
      </c>
      <c r="F327" s="2"/>
      <c r="G327" s="2"/>
      <c r="H327" s="2"/>
    </row>
    <row r="328" spans="1:8" x14ac:dyDescent="0.25">
      <c r="A328" s="2" t="s">
        <v>1714</v>
      </c>
      <c r="B328" s="2" t="s">
        <v>2550</v>
      </c>
      <c r="C328" s="2" t="s">
        <v>2437</v>
      </c>
      <c r="D328" s="2" t="s">
        <v>1070</v>
      </c>
      <c r="E328" s="2" t="s">
        <v>1153</v>
      </c>
      <c r="F328" s="2"/>
      <c r="G328" s="2"/>
      <c r="H328" s="2"/>
    </row>
    <row r="329" spans="1:8" x14ac:dyDescent="0.25">
      <c r="A329" s="2" t="s">
        <v>1715</v>
      </c>
      <c r="B329" s="2" t="s">
        <v>2550</v>
      </c>
      <c r="C329" s="2" t="s">
        <v>957</v>
      </c>
      <c r="D329" s="2" t="s">
        <v>1015</v>
      </c>
      <c r="E329" s="2" t="s">
        <v>2521</v>
      </c>
      <c r="F329" s="2"/>
      <c r="G329" s="2"/>
      <c r="H329" s="2"/>
    </row>
    <row r="330" spans="1:8" x14ac:dyDescent="0.25">
      <c r="A330" s="2" t="s">
        <v>1716</v>
      </c>
      <c r="B330" s="2" t="s">
        <v>2552</v>
      </c>
      <c r="C330" s="2" t="s">
        <v>1037</v>
      </c>
      <c r="D330" s="2"/>
      <c r="E330" s="2"/>
      <c r="F330" s="2"/>
      <c r="G330" s="2"/>
      <c r="H330" s="2"/>
    </row>
    <row r="331" spans="1:8" x14ac:dyDescent="0.25">
      <c r="A331" s="2" t="s">
        <v>1717</v>
      </c>
      <c r="B331" s="2" t="s">
        <v>2552</v>
      </c>
      <c r="C331" s="2" t="s">
        <v>1037</v>
      </c>
      <c r="D331" s="2"/>
      <c r="E331" s="2"/>
      <c r="F331" s="2"/>
      <c r="G331" s="2"/>
      <c r="H331" s="2"/>
    </row>
    <row r="332" spans="1:8" x14ac:dyDescent="0.25">
      <c r="A332" s="2" t="s">
        <v>1718</v>
      </c>
      <c r="B332" s="2" t="s">
        <v>2549</v>
      </c>
      <c r="C332" s="2" t="s">
        <v>1097</v>
      </c>
      <c r="D332" s="2" t="s">
        <v>1173</v>
      </c>
      <c r="E332" s="2"/>
      <c r="F332" s="2"/>
      <c r="G332" s="2"/>
      <c r="H332" s="2"/>
    </row>
    <row r="333" spans="1:8" x14ac:dyDescent="0.25">
      <c r="A333" s="2" t="s">
        <v>1720</v>
      </c>
      <c r="B333" s="2" t="s">
        <v>2549</v>
      </c>
      <c r="C333" s="2" t="s">
        <v>1097</v>
      </c>
      <c r="D333" s="2" t="s">
        <v>1173</v>
      </c>
      <c r="E333" s="2"/>
      <c r="F333" s="2"/>
      <c r="G333" s="2"/>
      <c r="H333" s="2"/>
    </row>
    <row r="334" spans="1:8" x14ac:dyDescent="0.25">
      <c r="A334" s="2" t="s">
        <v>1721</v>
      </c>
      <c r="B334" s="2" t="s">
        <v>2549</v>
      </c>
      <c r="C334" s="2" t="s">
        <v>967</v>
      </c>
      <c r="D334" s="2" t="s">
        <v>1061</v>
      </c>
      <c r="E334" s="2"/>
      <c r="F334" s="2"/>
      <c r="G334" s="2"/>
      <c r="H334" s="2"/>
    </row>
    <row r="335" spans="1:8" x14ac:dyDescent="0.25">
      <c r="A335" s="2" t="s">
        <v>1722</v>
      </c>
      <c r="B335" s="2" t="s">
        <v>2549</v>
      </c>
      <c r="C335" s="2" t="s">
        <v>967</v>
      </c>
      <c r="D335" s="2" t="s">
        <v>1061</v>
      </c>
      <c r="E335" s="2"/>
      <c r="F335" s="2"/>
      <c r="G335" s="2"/>
      <c r="H335" s="2"/>
    </row>
    <row r="336" spans="1:8" x14ac:dyDescent="0.25">
      <c r="A336" s="2" t="s">
        <v>1723</v>
      </c>
      <c r="B336" s="2" t="s">
        <v>2549</v>
      </c>
      <c r="C336" s="2" t="s">
        <v>1021</v>
      </c>
      <c r="D336" s="2" t="s">
        <v>2536</v>
      </c>
      <c r="E336" s="2"/>
      <c r="F336" s="2"/>
      <c r="G336" s="2"/>
      <c r="H336" s="2"/>
    </row>
    <row r="337" spans="1:8" x14ac:dyDescent="0.25">
      <c r="A337" s="2" t="s">
        <v>1724</v>
      </c>
      <c r="B337" s="2" t="s">
        <v>2549</v>
      </c>
      <c r="C337" s="2" t="s">
        <v>2473</v>
      </c>
      <c r="D337" s="2" t="s">
        <v>1105</v>
      </c>
      <c r="E337" s="2"/>
      <c r="F337" s="2"/>
      <c r="G337" s="2"/>
      <c r="H337" s="2"/>
    </row>
    <row r="338" spans="1:8" x14ac:dyDescent="0.25">
      <c r="A338" s="2" t="s">
        <v>1725</v>
      </c>
      <c r="B338" s="2" t="s">
        <v>2552</v>
      </c>
      <c r="C338" s="2" t="s">
        <v>1037</v>
      </c>
      <c r="D338" s="2"/>
      <c r="E338" s="2"/>
      <c r="F338" s="2"/>
      <c r="G338" s="2"/>
      <c r="H338" s="2"/>
    </row>
    <row r="339" spans="1:8" x14ac:dyDescent="0.25">
      <c r="A339" s="2" t="s">
        <v>1726</v>
      </c>
      <c r="B339" s="2" t="s">
        <v>2552</v>
      </c>
      <c r="C339" s="2" t="s">
        <v>1037</v>
      </c>
      <c r="D339" s="2"/>
      <c r="E339" s="2"/>
      <c r="F339" s="2"/>
      <c r="G339" s="2"/>
      <c r="H339" s="2"/>
    </row>
    <row r="340" spans="1:8" x14ac:dyDescent="0.25">
      <c r="A340" s="2" t="s">
        <v>1727</v>
      </c>
      <c r="B340" s="2" t="s">
        <v>2550</v>
      </c>
      <c r="C340" s="2" t="s">
        <v>955</v>
      </c>
      <c r="D340" s="2" t="s">
        <v>1013</v>
      </c>
      <c r="E340" s="2" t="s">
        <v>1067</v>
      </c>
      <c r="F340" s="2"/>
      <c r="G340" s="2"/>
      <c r="H340" s="2"/>
    </row>
    <row r="341" spans="1:8" x14ac:dyDescent="0.25">
      <c r="A341" s="2" t="s">
        <v>1728</v>
      </c>
      <c r="B341" s="2" t="s">
        <v>2550</v>
      </c>
      <c r="C341" s="2" t="s">
        <v>955</v>
      </c>
      <c r="D341" s="2" t="s">
        <v>1013</v>
      </c>
      <c r="E341" s="2" t="s">
        <v>1067</v>
      </c>
      <c r="F341" s="2"/>
      <c r="G341" s="2"/>
      <c r="H341" s="2"/>
    </row>
    <row r="342" spans="1:8" x14ac:dyDescent="0.25">
      <c r="A342" s="2" t="s">
        <v>1729</v>
      </c>
      <c r="B342" s="2" t="s">
        <v>2550</v>
      </c>
      <c r="C342" s="2" t="s">
        <v>947</v>
      </c>
      <c r="D342" s="2" t="s">
        <v>1015</v>
      </c>
      <c r="E342" s="2" t="s">
        <v>1107</v>
      </c>
      <c r="F342" s="2"/>
      <c r="G342" s="2"/>
      <c r="H342" s="2"/>
    </row>
    <row r="343" spans="1:8" x14ac:dyDescent="0.25">
      <c r="A343" s="2" t="s">
        <v>1730</v>
      </c>
      <c r="B343" s="2" t="s">
        <v>2550</v>
      </c>
      <c r="C343" s="2" t="s">
        <v>947</v>
      </c>
      <c r="D343" s="2" t="s">
        <v>1015</v>
      </c>
      <c r="E343" s="2" t="s">
        <v>1107</v>
      </c>
      <c r="F343" s="2"/>
      <c r="G343" s="2"/>
      <c r="H343" s="2"/>
    </row>
    <row r="344" spans="1:8" x14ac:dyDescent="0.25">
      <c r="A344" s="2" t="s">
        <v>1731</v>
      </c>
      <c r="B344" s="2" t="s">
        <v>2552</v>
      </c>
      <c r="C344" s="2" t="s">
        <v>1037</v>
      </c>
      <c r="D344" s="2"/>
      <c r="E344" s="2"/>
      <c r="F344" s="2"/>
      <c r="G344" s="2"/>
      <c r="H344" s="2"/>
    </row>
    <row r="345" spans="1:8" x14ac:dyDescent="0.25">
      <c r="A345" s="2" t="s">
        <v>1732</v>
      </c>
      <c r="B345" s="2" t="s">
        <v>2552</v>
      </c>
      <c r="C345" s="2" t="s">
        <v>1037</v>
      </c>
      <c r="D345" s="2"/>
      <c r="E345" s="2"/>
      <c r="F345" s="2"/>
      <c r="G345" s="2"/>
      <c r="H345" s="2"/>
    </row>
    <row r="346" spans="1:8" x14ac:dyDescent="0.25">
      <c r="A346" s="2" t="s">
        <v>1733</v>
      </c>
      <c r="B346" s="2" t="s">
        <v>2549</v>
      </c>
      <c r="C346" s="2" t="s">
        <v>1139</v>
      </c>
      <c r="D346" s="2" t="s">
        <v>1143</v>
      </c>
      <c r="E346" s="2"/>
      <c r="F346" s="2"/>
      <c r="G346" s="2"/>
      <c r="H346" s="2"/>
    </row>
    <row r="347" spans="1:8" x14ac:dyDescent="0.25">
      <c r="A347" s="2" t="s">
        <v>1734</v>
      </c>
      <c r="B347" s="2" t="s">
        <v>2549</v>
      </c>
      <c r="C347" s="2" t="s">
        <v>1139</v>
      </c>
      <c r="D347" s="2" t="s">
        <v>1143</v>
      </c>
      <c r="E347" s="2"/>
      <c r="F347" s="2"/>
      <c r="G347" s="2"/>
      <c r="H347" s="2"/>
    </row>
    <row r="348" spans="1:8" x14ac:dyDescent="0.25">
      <c r="A348" s="2" t="s">
        <v>1735</v>
      </c>
      <c r="B348" s="2" t="s">
        <v>2549</v>
      </c>
      <c r="C348" s="2" t="s">
        <v>961</v>
      </c>
      <c r="D348" s="2" t="s">
        <v>1149</v>
      </c>
      <c r="E348" s="2"/>
      <c r="F348" s="2"/>
      <c r="G348" s="2"/>
      <c r="H348" s="2"/>
    </row>
    <row r="349" spans="1:8" x14ac:dyDescent="0.25">
      <c r="A349" s="2" t="s">
        <v>1736</v>
      </c>
      <c r="B349" s="2" t="s">
        <v>2549</v>
      </c>
      <c r="C349" s="2" t="s">
        <v>961</v>
      </c>
      <c r="D349" s="2" t="s">
        <v>1149</v>
      </c>
      <c r="E349" s="2"/>
      <c r="F349" s="2"/>
      <c r="G349" s="2"/>
      <c r="H349" s="2"/>
    </row>
    <row r="350" spans="1:8" x14ac:dyDescent="0.25">
      <c r="A350" s="2" t="s">
        <v>713</v>
      </c>
      <c r="B350" s="2" t="s">
        <v>2549</v>
      </c>
      <c r="C350" s="2" t="s">
        <v>947</v>
      </c>
      <c r="D350" s="2" t="s">
        <v>1149</v>
      </c>
      <c r="E350" s="2"/>
      <c r="F350" s="2"/>
      <c r="G350" s="2"/>
      <c r="H350" s="2"/>
    </row>
    <row r="351" spans="1:8" x14ac:dyDescent="0.25">
      <c r="A351" s="2" t="s">
        <v>1737</v>
      </c>
      <c r="B351" s="2" t="s">
        <v>2550</v>
      </c>
      <c r="C351" s="2" t="s">
        <v>2435</v>
      </c>
      <c r="D351" s="2" t="s">
        <v>972</v>
      </c>
      <c r="E351" s="2" t="s">
        <v>1051</v>
      </c>
      <c r="F351" s="2"/>
      <c r="G351" s="2"/>
      <c r="H351" s="2"/>
    </row>
    <row r="352" spans="1:8" x14ac:dyDescent="0.25">
      <c r="A352" s="2" t="s">
        <v>1738</v>
      </c>
      <c r="B352" s="2" t="s">
        <v>2552</v>
      </c>
      <c r="C352" s="2" t="s">
        <v>996</v>
      </c>
      <c r="D352" s="2"/>
      <c r="E352" s="2"/>
      <c r="F352" s="2"/>
      <c r="G352" s="2"/>
      <c r="H352" s="2"/>
    </row>
    <row r="353" spans="1:8" x14ac:dyDescent="0.25">
      <c r="A353" s="2" t="s">
        <v>1739</v>
      </c>
      <c r="B353" s="2" t="s">
        <v>2549</v>
      </c>
      <c r="C353" s="2" t="s">
        <v>968</v>
      </c>
      <c r="D353" s="2" t="s">
        <v>2507</v>
      </c>
      <c r="E353" s="2"/>
      <c r="F353" s="2"/>
      <c r="G353" s="2"/>
      <c r="H353" s="2"/>
    </row>
    <row r="354" spans="1:8" x14ac:dyDescent="0.25">
      <c r="A354" s="2" t="s">
        <v>1740</v>
      </c>
      <c r="B354" s="2" t="s">
        <v>2550</v>
      </c>
      <c r="C354" s="2" t="s">
        <v>2439</v>
      </c>
      <c r="D354" s="2" t="s">
        <v>1000</v>
      </c>
      <c r="E354" s="2" t="s">
        <v>1025</v>
      </c>
      <c r="F354" s="2"/>
      <c r="G354" s="2"/>
      <c r="H354" s="2"/>
    </row>
    <row r="355" spans="1:8" x14ac:dyDescent="0.25">
      <c r="A355" s="2" t="s">
        <v>1741</v>
      </c>
      <c r="B355" s="2" t="s">
        <v>2551</v>
      </c>
      <c r="C355" s="2" t="s">
        <v>2439</v>
      </c>
      <c r="D355" s="2" t="s">
        <v>1000</v>
      </c>
      <c r="E355" s="2" t="s">
        <v>1025</v>
      </c>
      <c r="F355" s="2" t="s">
        <v>2505</v>
      </c>
      <c r="G355" s="2"/>
      <c r="H355" s="2"/>
    </row>
    <row r="356" spans="1:8" x14ac:dyDescent="0.25">
      <c r="A356" s="2" t="s">
        <v>1742</v>
      </c>
      <c r="B356" s="2" t="s">
        <v>2549</v>
      </c>
      <c r="C356" s="2" t="s">
        <v>1000</v>
      </c>
      <c r="D356" s="2" t="s">
        <v>1037</v>
      </c>
      <c r="E356" s="2"/>
      <c r="F356" s="2"/>
      <c r="G356" s="2"/>
      <c r="H356" s="2"/>
    </row>
    <row r="357" spans="1:8" x14ac:dyDescent="0.25">
      <c r="A357" s="2" t="s">
        <v>1743</v>
      </c>
      <c r="B357" s="2" t="s">
        <v>2549</v>
      </c>
      <c r="C357" s="2" t="s">
        <v>1000</v>
      </c>
      <c r="D357" s="2" t="s">
        <v>1079</v>
      </c>
      <c r="E357" s="2"/>
      <c r="F357" s="2"/>
      <c r="G357" s="2"/>
      <c r="H357" s="2"/>
    </row>
    <row r="358" spans="1:8" x14ac:dyDescent="0.25">
      <c r="A358" s="2" t="s">
        <v>1744</v>
      </c>
      <c r="B358" s="2" t="s">
        <v>2550</v>
      </c>
      <c r="C358" s="2" t="s">
        <v>921</v>
      </c>
      <c r="D358" s="2" t="s">
        <v>2463</v>
      </c>
      <c r="E358" s="2" t="s">
        <v>1122</v>
      </c>
      <c r="F358" s="2"/>
      <c r="G358" s="2"/>
      <c r="H358" s="2"/>
    </row>
    <row r="359" spans="1:8" x14ac:dyDescent="0.25">
      <c r="A359" s="2" t="s">
        <v>1745</v>
      </c>
      <c r="B359" s="2" t="s">
        <v>2552</v>
      </c>
      <c r="C359" s="2" t="s">
        <v>1037</v>
      </c>
      <c r="D359" s="2"/>
      <c r="E359" s="2"/>
      <c r="F359" s="2"/>
      <c r="G359" s="2"/>
      <c r="H359" s="2"/>
    </row>
    <row r="360" spans="1:8" x14ac:dyDescent="0.25">
      <c r="A360" s="2" t="s">
        <v>1746</v>
      </c>
      <c r="B360" s="2" t="s">
        <v>2551</v>
      </c>
      <c r="C360" s="2" t="s">
        <v>2477</v>
      </c>
      <c r="D360" s="2" t="s">
        <v>2481</v>
      </c>
      <c r="E360" s="2" t="s">
        <v>1079</v>
      </c>
      <c r="F360" s="2" t="s">
        <v>1145</v>
      </c>
      <c r="G360" s="2"/>
      <c r="H360" s="2"/>
    </row>
    <row r="361" spans="1:8" x14ac:dyDescent="0.25">
      <c r="A361" s="2" t="s">
        <v>1747</v>
      </c>
      <c r="B361" s="2" t="s">
        <v>2549</v>
      </c>
      <c r="C361" s="2" t="s">
        <v>1103</v>
      </c>
      <c r="D361" s="2" t="s">
        <v>2531</v>
      </c>
      <c r="E361" s="2"/>
      <c r="F361" s="2"/>
      <c r="G361" s="2"/>
      <c r="H361" s="2"/>
    </row>
    <row r="362" spans="1:8" x14ac:dyDescent="0.25">
      <c r="A362" s="2" t="s">
        <v>1748</v>
      </c>
      <c r="B362" s="2" t="s">
        <v>2550</v>
      </c>
      <c r="C362" s="2" t="s">
        <v>1017</v>
      </c>
      <c r="D362" s="2" t="s">
        <v>1023</v>
      </c>
      <c r="E362" s="2" t="s">
        <v>2487</v>
      </c>
      <c r="F362" s="2"/>
      <c r="G362" s="2"/>
      <c r="H362" s="2"/>
    </row>
    <row r="363" spans="1:8" x14ac:dyDescent="0.25">
      <c r="A363" s="2" t="s">
        <v>1749</v>
      </c>
      <c r="B363" s="2" t="s">
        <v>2550</v>
      </c>
      <c r="C363" s="2" t="s">
        <v>1017</v>
      </c>
      <c r="D363" s="2" t="s">
        <v>1023</v>
      </c>
      <c r="E363" s="2" t="s">
        <v>2487</v>
      </c>
      <c r="F363" s="2"/>
      <c r="G363" s="2"/>
      <c r="H363" s="2"/>
    </row>
    <row r="364" spans="1:8" x14ac:dyDescent="0.25">
      <c r="A364" s="2" t="s">
        <v>1750</v>
      </c>
      <c r="B364" s="2" t="s">
        <v>2550</v>
      </c>
      <c r="C364" s="2" t="s">
        <v>1017</v>
      </c>
      <c r="D364" s="2" t="s">
        <v>1067</v>
      </c>
      <c r="E364" s="2" t="s">
        <v>1157</v>
      </c>
      <c r="F364" s="2"/>
      <c r="G364" s="2"/>
      <c r="H364" s="2"/>
    </row>
    <row r="365" spans="1:8" x14ac:dyDescent="0.25">
      <c r="A365" s="2" t="s">
        <v>1751</v>
      </c>
      <c r="B365" s="2" t="s">
        <v>2550</v>
      </c>
      <c r="C365" s="2" t="s">
        <v>1017</v>
      </c>
      <c r="D365" s="2" t="s">
        <v>1067</v>
      </c>
      <c r="E365" s="2" t="s">
        <v>1157</v>
      </c>
      <c r="F365" s="2"/>
      <c r="G365" s="2"/>
      <c r="H365" s="2"/>
    </row>
    <row r="366" spans="1:8" x14ac:dyDescent="0.25">
      <c r="A366" s="2" t="s">
        <v>1752</v>
      </c>
      <c r="B366" s="2" t="s">
        <v>2550</v>
      </c>
      <c r="C366" s="2" t="s">
        <v>1017</v>
      </c>
      <c r="D366" s="2" t="s">
        <v>1067</v>
      </c>
      <c r="E366" s="2" t="s">
        <v>1157</v>
      </c>
      <c r="F366" s="2"/>
      <c r="G366" s="2"/>
      <c r="H366" s="2"/>
    </row>
    <row r="367" spans="1:8" x14ac:dyDescent="0.25">
      <c r="A367" s="2" t="s">
        <v>1753</v>
      </c>
      <c r="B367" s="2" t="s">
        <v>2549</v>
      </c>
      <c r="C367" s="2" t="s">
        <v>2509</v>
      </c>
      <c r="D367" s="2" t="s">
        <v>1107</v>
      </c>
      <c r="E367" s="2"/>
      <c r="F367" s="2"/>
      <c r="G367" s="2"/>
      <c r="H367" s="2"/>
    </row>
    <row r="368" spans="1:8" x14ac:dyDescent="0.25">
      <c r="A368" s="2" t="s">
        <v>1754</v>
      </c>
      <c r="B368" s="2" t="s">
        <v>2549</v>
      </c>
      <c r="C368" s="2" t="s">
        <v>1149</v>
      </c>
      <c r="D368" s="2" t="s">
        <v>1175</v>
      </c>
      <c r="E368" s="2"/>
      <c r="F368" s="2"/>
      <c r="G368" s="2"/>
      <c r="H368" s="2"/>
    </row>
    <row r="369" spans="1:8" x14ac:dyDescent="0.25">
      <c r="A369" s="2" t="s">
        <v>1755</v>
      </c>
      <c r="B369" s="2" t="s">
        <v>2549</v>
      </c>
      <c r="C369" s="2" t="s">
        <v>1013</v>
      </c>
      <c r="D369" s="2" t="s">
        <v>1149</v>
      </c>
      <c r="E369" s="2"/>
      <c r="F369" s="2"/>
      <c r="G369" s="2"/>
      <c r="H369" s="2"/>
    </row>
    <row r="370" spans="1:8" x14ac:dyDescent="0.25">
      <c r="A370" s="2" t="s">
        <v>1756</v>
      </c>
      <c r="B370" s="2" t="s">
        <v>2550</v>
      </c>
      <c r="C370" s="2" t="s">
        <v>1090</v>
      </c>
      <c r="D370" s="2" t="s">
        <v>1141</v>
      </c>
      <c r="E370" s="2" t="s">
        <v>1149</v>
      </c>
      <c r="F370" s="2"/>
      <c r="G370" s="2"/>
      <c r="H370" s="2"/>
    </row>
    <row r="371" spans="1:8" x14ac:dyDescent="0.25">
      <c r="A371" s="2" t="s">
        <v>1757</v>
      </c>
      <c r="B371" s="2" t="s">
        <v>2549</v>
      </c>
      <c r="C371" s="2" t="s">
        <v>1013</v>
      </c>
      <c r="D371" s="2" t="s">
        <v>1149</v>
      </c>
      <c r="E371" s="2"/>
      <c r="F371" s="2"/>
      <c r="G371" s="2"/>
      <c r="H371" s="2"/>
    </row>
    <row r="372" spans="1:8" x14ac:dyDescent="0.25">
      <c r="A372" s="2" t="s">
        <v>1758</v>
      </c>
      <c r="B372" s="2" t="s">
        <v>2549</v>
      </c>
      <c r="C372" s="2" t="s">
        <v>1090</v>
      </c>
      <c r="D372" s="2" t="s">
        <v>2521</v>
      </c>
      <c r="E372" s="2"/>
      <c r="F372" s="2"/>
      <c r="G372" s="2"/>
      <c r="H372" s="2"/>
    </row>
    <row r="373" spans="1:8" x14ac:dyDescent="0.25">
      <c r="A373" s="2" t="s">
        <v>1759</v>
      </c>
      <c r="B373" s="2" t="s">
        <v>2549</v>
      </c>
      <c r="C373" s="2" t="s">
        <v>2495</v>
      </c>
      <c r="D373" s="2" t="s">
        <v>1090</v>
      </c>
      <c r="E373" s="2"/>
      <c r="F373" s="2"/>
      <c r="G373" s="2"/>
      <c r="H373" s="2"/>
    </row>
    <row r="374" spans="1:8" x14ac:dyDescent="0.25">
      <c r="A374" s="2" t="s">
        <v>1760</v>
      </c>
      <c r="B374" s="2" t="s">
        <v>2549</v>
      </c>
      <c r="C374" s="2" t="s">
        <v>1027</v>
      </c>
      <c r="D374" s="2" t="s">
        <v>2489</v>
      </c>
      <c r="E374" s="2"/>
      <c r="F374" s="2"/>
      <c r="G374" s="2"/>
      <c r="H374" s="2"/>
    </row>
    <row r="375" spans="1:8" x14ac:dyDescent="0.25">
      <c r="A375" s="2" t="s">
        <v>1761</v>
      </c>
      <c r="B375" s="2" t="s">
        <v>2549</v>
      </c>
      <c r="C375" s="2" t="s">
        <v>965</v>
      </c>
      <c r="D375" s="2" t="s">
        <v>2479</v>
      </c>
      <c r="E375" s="2"/>
      <c r="F375" s="2"/>
      <c r="G375" s="2"/>
      <c r="H375" s="2"/>
    </row>
    <row r="376" spans="1:8" x14ac:dyDescent="0.25">
      <c r="A376" s="2" t="s">
        <v>1762</v>
      </c>
      <c r="B376" s="2" t="s">
        <v>2549</v>
      </c>
      <c r="C376" s="2" t="s">
        <v>965</v>
      </c>
      <c r="D376" s="2" t="s">
        <v>2479</v>
      </c>
      <c r="E376" s="2"/>
      <c r="F376" s="2"/>
      <c r="G376" s="2"/>
      <c r="H376" s="2"/>
    </row>
    <row r="377" spans="1:8" x14ac:dyDescent="0.25">
      <c r="A377" s="2" t="s">
        <v>1763</v>
      </c>
      <c r="B377" s="2" t="s">
        <v>2549</v>
      </c>
      <c r="C377" s="2" t="s">
        <v>965</v>
      </c>
      <c r="D377" s="2" t="s">
        <v>2479</v>
      </c>
      <c r="E377" s="2"/>
      <c r="F377" s="2"/>
      <c r="G377" s="2"/>
      <c r="H377" s="2"/>
    </row>
    <row r="378" spans="1:8" x14ac:dyDescent="0.25">
      <c r="A378" s="2" t="s">
        <v>1764</v>
      </c>
      <c r="B378" s="2" t="s">
        <v>2549</v>
      </c>
      <c r="C378" s="2" t="s">
        <v>965</v>
      </c>
      <c r="D378" s="2" t="s">
        <v>1141</v>
      </c>
      <c r="E378" s="2"/>
      <c r="F378" s="2"/>
      <c r="G378" s="2"/>
      <c r="H378" s="2"/>
    </row>
    <row r="379" spans="1:8" x14ac:dyDescent="0.25">
      <c r="A379" s="2" t="s">
        <v>1765</v>
      </c>
      <c r="B379" s="2" t="s">
        <v>2549</v>
      </c>
      <c r="C379" s="2" t="s">
        <v>965</v>
      </c>
      <c r="D379" s="2" t="s">
        <v>1017</v>
      </c>
      <c r="E379" s="2"/>
      <c r="F379" s="2"/>
      <c r="G379" s="2"/>
      <c r="H379" s="2"/>
    </row>
    <row r="380" spans="1:8" x14ac:dyDescent="0.25">
      <c r="A380" s="2" t="s">
        <v>1766</v>
      </c>
      <c r="B380" s="2" t="s">
        <v>2549</v>
      </c>
      <c r="C380" s="2" t="s">
        <v>965</v>
      </c>
      <c r="D380" s="2" t="s">
        <v>2479</v>
      </c>
      <c r="E380" s="2"/>
      <c r="F380" s="2"/>
      <c r="G380" s="2"/>
      <c r="H380" s="2"/>
    </row>
    <row r="381" spans="1:8" x14ac:dyDescent="0.25">
      <c r="A381" s="2" t="s">
        <v>1767</v>
      </c>
      <c r="B381" s="2" t="s">
        <v>2552</v>
      </c>
      <c r="C381" s="2" t="s">
        <v>1037</v>
      </c>
      <c r="D381" s="2"/>
      <c r="E381" s="2"/>
      <c r="F381" s="2"/>
      <c r="G381" s="2"/>
      <c r="H381" s="2"/>
    </row>
    <row r="382" spans="1:8" x14ac:dyDescent="0.25">
      <c r="A382" s="2" t="s">
        <v>1769</v>
      </c>
      <c r="B382" s="2" t="s">
        <v>2552</v>
      </c>
      <c r="C382" s="2" t="s">
        <v>1037</v>
      </c>
      <c r="D382" s="2"/>
      <c r="E382" s="2"/>
      <c r="F382" s="2"/>
      <c r="G382" s="2"/>
      <c r="H382" s="2"/>
    </row>
    <row r="383" spans="1:8" x14ac:dyDescent="0.25">
      <c r="A383" s="2" t="s">
        <v>1771</v>
      </c>
      <c r="B383" s="2" t="s">
        <v>2552</v>
      </c>
      <c r="C383" s="2" t="s">
        <v>978</v>
      </c>
      <c r="D383" s="2"/>
      <c r="E383" s="2"/>
      <c r="F383" s="2"/>
      <c r="G383" s="2"/>
      <c r="H383" s="2"/>
    </row>
    <row r="384" spans="1:8" x14ac:dyDescent="0.25">
      <c r="A384" s="2" t="s">
        <v>1772</v>
      </c>
      <c r="B384" s="2" t="s">
        <v>2552</v>
      </c>
      <c r="C384" s="2" t="s">
        <v>980</v>
      </c>
      <c r="D384" s="2"/>
      <c r="E384" s="2"/>
      <c r="F384" s="2"/>
      <c r="G384" s="2"/>
      <c r="H384" s="2"/>
    </row>
    <row r="385" spans="1:8" x14ac:dyDescent="0.25">
      <c r="A385" s="2" t="s">
        <v>1773</v>
      </c>
      <c r="B385" s="2" t="s">
        <v>2552</v>
      </c>
      <c r="C385" s="2" t="s">
        <v>951</v>
      </c>
      <c r="D385" s="2"/>
      <c r="E385" s="2"/>
      <c r="F385" s="2"/>
      <c r="G385" s="2"/>
      <c r="H385" s="2"/>
    </row>
    <row r="386" spans="1:8" x14ac:dyDescent="0.25">
      <c r="A386" s="2" t="s">
        <v>1774</v>
      </c>
      <c r="B386" s="2" t="s">
        <v>2552</v>
      </c>
      <c r="C386" s="2" t="s">
        <v>1101</v>
      </c>
      <c r="D386" s="2"/>
      <c r="E386" s="2"/>
      <c r="F386" s="2"/>
      <c r="G386" s="2"/>
      <c r="H386" s="2"/>
    </row>
    <row r="387" spans="1:8" x14ac:dyDescent="0.25">
      <c r="A387" s="2" t="s">
        <v>2554</v>
      </c>
      <c r="B387" s="2" t="s">
        <v>2552</v>
      </c>
      <c r="C387" s="2" t="s">
        <v>1079</v>
      </c>
      <c r="D387" s="2"/>
      <c r="E387" s="2"/>
      <c r="F387" s="2"/>
      <c r="G387" s="2"/>
      <c r="H387" s="2"/>
    </row>
    <row r="388" spans="1:8" x14ac:dyDescent="0.25">
      <c r="A388" s="2" t="s">
        <v>1777</v>
      </c>
      <c r="B388" s="2" t="s">
        <v>2549</v>
      </c>
      <c r="C388" s="2" t="s">
        <v>923</v>
      </c>
      <c r="D388" s="2" t="s">
        <v>1107</v>
      </c>
      <c r="E388" s="2"/>
      <c r="F388" s="2"/>
      <c r="G388" s="2"/>
      <c r="H388" s="2"/>
    </row>
    <row r="389" spans="1:8" x14ac:dyDescent="0.25">
      <c r="A389" s="2" t="s">
        <v>1778</v>
      </c>
      <c r="B389" s="2" t="s">
        <v>2549</v>
      </c>
      <c r="C389" s="2" t="s">
        <v>923</v>
      </c>
      <c r="D389" s="2" t="s">
        <v>1107</v>
      </c>
      <c r="E389" s="2"/>
      <c r="F389" s="2"/>
      <c r="G389" s="2"/>
      <c r="H389" s="2"/>
    </row>
    <row r="390" spans="1:8" x14ac:dyDescent="0.25">
      <c r="A390" s="2" t="s">
        <v>1779</v>
      </c>
      <c r="B390" s="2" t="s">
        <v>2549</v>
      </c>
      <c r="C390" s="2" t="s">
        <v>923</v>
      </c>
      <c r="D390" s="2" t="s">
        <v>1107</v>
      </c>
      <c r="E390" s="2"/>
      <c r="F390" s="2"/>
      <c r="G390" s="2"/>
      <c r="H390" s="2"/>
    </row>
    <row r="391" spans="1:8" x14ac:dyDescent="0.25">
      <c r="A391" s="2" t="s">
        <v>1780</v>
      </c>
      <c r="B391" s="2" t="s">
        <v>2549</v>
      </c>
      <c r="C391" s="2" t="s">
        <v>915</v>
      </c>
      <c r="D391" s="2" t="s">
        <v>1029</v>
      </c>
      <c r="E391" s="2"/>
      <c r="F391" s="2"/>
      <c r="G391" s="2"/>
      <c r="H391" s="2"/>
    </row>
    <row r="392" spans="1:8" x14ac:dyDescent="0.25">
      <c r="A392" s="2" t="s">
        <v>1781</v>
      </c>
      <c r="B392" s="2" t="s">
        <v>2549</v>
      </c>
      <c r="C392" s="2" t="s">
        <v>915</v>
      </c>
      <c r="D392" s="2" t="s">
        <v>1029</v>
      </c>
      <c r="E392" s="2"/>
      <c r="F392" s="2"/>
      <c r="G392" s="2"/>
      <c r="H392" s="2"/>
    </row>
    <row r="393" spans="1:8" x14ac:dyDescent="0.25">
      <c r="A393" s="2" t="s">
        <v>1782</v>
      </c>
      <c r="B393" s="2" t="s">
        <v>2549</v>
      </c>
      <c r="C393" s="2" t="s">
        <v>915</v>
      </c>
      <c r="D393" s="2" t="s">
        <v>1029</v>
      </c>
      <c r="E393" s="2"/>
      <c r="F393" s="2"/>
      <c r="G393" s="2"/>
      <c r="H393" s="2"/>
    </row>
    <row r="394" spans="1:8" x14ac:dyDescent="0.25">
      <c r="A394" s="2" t="s">
        <v>1783</v>
      </c>
      <c r="B394" s="2" t="s">
        <v>2549</v>
      </c>
      <c r="C394" s="2" t="s">
        <v>2445</v>
      </c>
      <c r="D394" s="2" t="s">
        <v>916</v>
      </c>
      <c r="E394" s="2"/>
      <c r="F394" s="2"/>
      <c r="G394" s="2"/>
      <c r="H394" s="2"/>
    </row>
    <row r="395" spans="1:8" x14ac:dyDescent="0.25">
      <c r="A395" s="2" t="s">
        <v>1784</v>
      </c>
      <c r="B395" s="2" t="s">
        <v>2549</v>
      </c>
      <c r="C395" s="2" t="s">
        <v>2445</v>
      </c>
      <c r="D395" s="2" t="s">
        <v>916</v>
      </c>
      <c r="E395" s="2"/>
      <c r="F395" s="2"/>
      <c r="G395" s="2"/>
      <c r="H395" s="2"/>
    </row>
    <row r="396" spans="1:8" x14ac:dyDescent="0.25">
      <c r="A396" s="2" t="s">
        <v>1785</v>
      </c>
      <c r="B396" s="2" t="s">
        <v>2549</v>
      </c>
      <c r="C396" s="2" t="s">
        <v>2445</v>
      </c>
      <c r="D396" s="2" t="s">
        <v>916</v>
      </c>
      <c r="E396" s="2"/>
      <c r="F396" s="2"/>
      <c r="G396" s="2"/>
      <c r="H396" s="2"/>
    </row>
    <row r="397" spans="1:8" x14ac:dyDescent="0.25">
      <c r="A397" s="2" t="s">
        <v>1786</v>
      </c>
      <c r="B397" s="2" t="s">
        <v>2549</v>
      </c>
      <c r="C397" s="2" t="s">
        <v>1031</v>
      </c>
      <c r="D397" s="2" t="s">
        <v>1086</v>
      </c>
      <c r="E397" s="2"/>
      <c r="F397" s="2"/>
      <c r="G397" s="2"/>
      <c r="H397" s="2"/>
    </row>
    <row r="398" spans="1:8" x14ac:dyDescent="0.25">
      <c r="A398" s="2" t="s">
        <v>1787</v>
      </c>
      <c r="B398" s="2" t="s">
        <v>2549</v>
      </c>
      <c r="C398" s="2" t="s">
        <v>1027</v>
      </c>
      <c r="D398" s="2" t="s">
        <v>1086</v>
      </c>
      <c r="E398" s="2"/>
      <c r="F398" s="2"/>
      <c r="G398" s="2"/>
      <c r="H398" s="2"/>
    </row>
    <row r="399" spans="1:8" x14ac:dyDescent="0.25">
      <c r="A399" s="2" t="s">
        <v>1788</v>
      </c>
      <c r="B399" s="2" t="s">
        <v>2549</v>
      </c>
      <c r="C399" s="2" t="s">
        <v>1027</v>
      </c>
      <c r="D399" s="2" t="s">
        <v>1086</v>
      </c>
      <c r="E399" s="2"/>
      <c r="F399" s="2"/>
      <c r="G399" s="2"/>
      <c r="H399" s="2"/>
    </row>
    <row r="400" spans="1:8" x14ac:dyDescent="0.25">
      <c r="A400" s="2" t="s">
        <v>1789</v>
      </c>
      <c r="B400" s="2" t="s">
        <v>2550</v>
      </c>
      <c r="C400" s="2" t="s">
        <v>2487</v>
      </c>
      <c r="D400" s="2" t="s">
        <v>1110</v>
      </c>
      <c r="E400" s="2" t="s">
        <v>1166</v>
      </c>
      <c r="F400" s="2"/>
      <c r="G400" s="2"/>
      <c r="H400" s="2"/>
    </row>
    <row r="401" spans="1:8" x14ac:dyDescent="0.25">
      <c r="A401" s="2" t="s">
        <v>1790</v>
      </c>
      <c r="B401" s="2" t="s">
        <v>2550</v>
      </c>
      <c r="C401" s="2" t="s">
        <v>2487</v>
      </c>
      <c r="D401" s="2" t="s">
        <v>1110</v>
      </c>
      <c r="E401" s="2" t="s">
        <v>1166</v>
      </c>
      <c r="F401" s="2"/>
      <c r="G401" s="2"/>
      <c r="H401" s="2"/>
    </row>
    <row r="402" spans="1:8" x14ac:dyDescent="0.25">
      <c r="A402" s="2" t="s">
        <v>1791</v>
      </c>
      <c r="B402" s="2" t="s">
        <v>2549</v>
      </c>
      <c r="C402" s="2" t="s">
        <v>1093</v>
      </c>
      <c r="D402" s="2" t="s">
        <v>1105</v>
      </c>
      <c r="E402" s="2"/>
      <c r="F402" s="2"/>
      <c r="G402" s="2"/>
      <c r="H402" s="2"/>
    </row>
    <row r="403" spans="1:8" x14ac:dyDescent="0.25">
      <c r="A403" s="2" t="s">
        <v>1792</v>
      </c>
      <c r="B403" s="2" t="s">
        <v>2549</v>
      </c>
      <c r="C403" s="2" t="s">
        <v>1147</v>
      </c>
      <c r="D403" s="2" t="s">
        <v>1155</v>
      </c>
      <c r="E403" s="2"/>
      <c r="F403" s="2"/>
      <c r="G403" s="2"/>
      <c r="H403" s="2"/>
    </row>
    <row r="404" spans="1:8" x14ac:dyDescent="0.25">
      <c r="A404" s="2" t="s">
        <v>1793</v>
      </c>
      <c r="B404" s="2" t="s">
        <v>2550</v>
      </c>
      <c r="C404" s="2" t="s">
        <v>1004</v>
      </c>
      <c r="D404" s="2" t="s">
        <v>1027</v>
      </c>
      <c r="E404" s="2" t="s">
        <v>1088</v>
      </c>
      <c r="F404" s="2"/>
      <c r="G404" s="2"/>
      <c r="H404" s="2"/>
    </row>
    <row r="405" spans="1:8" x14ac:dyDescent="0.25">
      <c r="A405" s="2" t="s">
        <v>1794</v>
      </c>
      <c r="B405" s="2" t="s">
        <v>2550</v>
      </c>
      <c r="C405" s="2" t="s">
        <v>1004</v>
      </c>
      <c r="D405" s="2" t="s">
        <v>1027</v>
      </c>
      <c r="E405" s="2" t="s">
        <v>1088</v>
      </c>
      <c r="F405" s="2"/>
      <c r="G405" s="2"/>
      <c r="H405" s="2"/>
    </row>
    <row r="406" spans="1:8" x14ac:dyDescent="0.25">
      <c r="A406" s="2" t="s">
        <v>1795</v>
      </c>
      <c r="B406" s="2" t="s">
        <v>2550</v>
      </c>
      <c r="C406" s="2" t="s">
        <v>1004</v>
      </c>
      <c r="D406" s="2" t="s">
        <v>1027</v>
      </c>
      <c r="E406" s="2" t="s">
        <v>1088</v>
      </c>
      <c r="F406" s="2"/>
      <c r="G406" s="2"/>
      <c r="H406" s="2"/>
    </row>
    <row r="407" spans="1:8" x14ac:dyDescent="0.25">
      <c r="A407" s="2" t="s">
        <v>1796</v>
      </c>
      <c r="B407" s="2" t="s">
        <v>2550</v>
      </c>
      <c r="C407" s="2" t="s">
        <v>1035</v>
      </c>
      <c r="D407" s="2" t="s">
        <v>1061</v>
      </c>
      <c r="E407" s="2" t="s">
        <v>1077</v>
      </c>
      <c r="F407" s="2"/>
      <c r="G407" s="2"/>
      <c r="H407" s="2"/>
    </row>
    <row r="408" spans="1:8" x14ac:dyDescent="0.25">
      <c r="A408" s="2" t="s">
        <v>1797</v>
      </c>
      <c r="B408" s="2" t="s">
        <v>2550</v>
      </c>
      <c r="C408" s="2" t="s">
        <v>1061</v>
      </c>
      <c r="D408" s="2" t="s">
        <v>1077</v>
      </c>
      <c r="E408" s="2" t="s">
        <v>1155</v>
      </c>
      <c r="F408" s="2"/>
      <c r="G408" s="2"/>
      <c r="H408" s="2"/>
    </row>
    <row r="409" spans="1:8" x14ac:dyDescent="0.25">
      <c r="A409" s="2" t="s">
        <v>1798</v>
      </c>
      <c r="B409" s="2" t="s">
        <v>2549</v>
      </c>
      <c r="C409" s="2" t="s">
        <v>1055</v>
      </c>
      <c r="D409" s="2" t="s">
        <v>2521</v>
      </c>
      <c r="E409" s="2"/>
      <c r="F409" s="2"/>
      <c r="G409" s="2"/>
      <c r="H409" s="2"/>
    </row>
    <row r="410" spans="1:8" x14ac:dyDescent="0.25">
      <c r="A410" s="2" t="s">
        <v>1799</v>
      </c>
      <c r="B410" s="2" t="s">
        <v>2549</v>
      </c>
      <c r="C410" s="2" t="s">
        <v>1055</v>
      </c>
      <c r="D410" s="2" t="s">
        <v>2521</v>
      </c>
      <c r="E410" s="2"/>
      <c r="F410" s="2"/>
      <c r="G410" s="2"/>
      <c r="H410" s="2"/>
    </row>
    <row r="411" spans="1:8" x14ac:dyDescent="0.25">
      <c r="A411" s="2" t="s">
        <v>1800</v>
      </c>
      <c r="B411" s="2" t="s">
        <v>2549</v>
      </c>
      <c r="C411" s="2" t="s">
        <v>1125</v>
      </c>
      <c r="D411" s="2" t="s">
        <v>1141</v>
      </c>
      <c r="E411" s="2"/>
      <c r="F411" s="2"/>
      <c r="G411" s="2"/>
      <c r="H411" s="2"/>
    </row>
    <row r="412" spans="1:8" x14ac:dyDescent="0.25">
      <c r="A412" s="2" t="s">
        <v>1801</v>
      </c>
      <c r="B412" s="2" t="s">
        <v>2549</v>
      </c>
      <c r="C412" s="2" t="s">
        <v>1125</v>
      </c>
      <c r="D412" s="2" t="s">
        <v>1141</v>
      </c>
      <c r="E412" s="2"/>
      <c r="F412" s="2"/>
      <c r="G412" s="2"/>
      <c r="H412" s="2"/>
    </row>
    <row r="413" spans="1:8" x14ac:dyDescent="0.25">
      <c r="A413" s="2" t="s">
        <v>1802</v>
      </c>
      <c r="B413" s="2" t="s">
        <v>2549</v>
      </c>
      <c r="C413" s="2" t="s">
        <v>2495</v>
      </c>
      <c r="D413" s="2" t="s">
        <v>1105</v>
      </c>
      <c r="E413" s="2"/>
      <c r="F413" s="2"/>
      <c r="G413" s="2"/>
      <c r="H413" s="2"/>
    </row>
    <row r="414" spans="1:8" x14ac:dyDescent="0.25">
      <c r="A414" s="2" t="s">
        <v>2555</v>
      </c>
      <c r="B414" s="2" t="s">
        <v>2549</v>
      </c>
      <c r="C414" s="2" t="s">
        <v>955</v>
      </c>
      <c r="D414" s="2" t="s">
        <v>2495</v>
      </c>
      <c r="E414" s="2"/>
      <c r="F414" s="2"/>
      <c r="G414" s="2"/>
      <c r="H414" s="2"/>
    </row>
    <row r="415" spans="1:8" x14ac:dyDescent="0.25">
      <c r="A415" s="2" t="s">
        <v>1803</v>
      </c>
      <c r="B415" s="2" t="s">
        <v>2549</v>
      </c>
      <c r="C415" s="2" t="s">
        <v>1147</v>
      </c>
      <c r="D415" s="2" t="s">
        <v>1159</v>
      </c>
      <c r="E415" s="2"/>
      <c r="F415" s="2"/>
      <c r="G415" s="2"/>
      <c r="H415" s="2"/>
    </row>
    <row r="416" spans="1:8" x14ac:dyDescent="0.25">
      <c r="A416" s="2" t="s">
        <v>1804</v>
      </c>
      <c r="B416" s="2" t="s">
        <v>2549</v>
      </c>
      <c r="C416" s="2" t="s">
        <v>1007</v>
      </c>
      <c r="D416" s="2" t="s">
        <v>1011</v>
      </c>
      <c r="E416" s="2"/>
      <c r="F416" s="2"/>
      <c r="G416" s="2"/>
      <c r="H416" s="2"/>
    </row>
    <row r="417" spans="1:8" x14ac:dyDescent="0.25">
      <c r="A417" s="2" t="s">
        <v>1805</v>
      </c>
      <c r="B417" s="2" t="s">
        <v>2549</v>
      </c>
      <c r="C417" s="2" t="s">
        <v>1079</v>
      </c>
      <c r="D417" s="2" t="s">
        <v>2539</v>
      </c>
      <c r="E417" s="2"/>
      <c r="F417" s="2"/>
      <c r="G417" s="2"/>
      <c r="H417" s="2"/>
    </row>
    <row r="418" spans="1:8" x14ac:dyDescent="0.25">
      <c r="A418" s="2" t="s">
        <v>1809</v>
      </c>
      <c r="B418" s="2" t="s">
        <v>2550</v>
      </c>
      <c r="C418" s="2" t="s">
        <v>1072</v>
      </c>
      <c r="D418" s="2" t="s">
        <v>1093</v>
      </c>
      <c r="E418" s="2" t="s">
        <v>1171</v>
      </c>
      <c r="F418" s="2"/>
      <c r="G418" s="2"/>
      <c r="H418" s="2"/>
    </row>
    <row r="419" spans="1:8" x14ac:dyDescent="0.25">
      <c r="A419" s="2" t="s">
        <v>1810</v>
      </c>
      <c r="B419" s="2" t="s">
        <v>2549</v>
      </c>
      <c r="C419" s="2" t="s">
        <v>1149</v>
      </c>
      <c r="D419" s="2" t="s">
        <v>1175</v>
      </c>
      <c r="E419" s="2"/>
      <c r="F419" s="2"/>
      <c r="G419" s="2"/>
      <c r="H419" s="2"/>
    </row>
    <row r="420" spans="1:8" x14ac:dyDescent="0.25">
      <c r="A420" s="2" t="s">
        <v>1811</v>
      </c>
      <c r="B420" s="2" t="s">
        <v>2549</v>
      </c>
      <c r="C420" s="2" t="s">
        <v>1149</v>
      </c>
      <c r="D420" s="2" t="s">
        <v>1175</v>
      </c>
      <c r="E420" s="2"/>
      <c r="F420" s="2"/>
      <c r="G420" s="2"/>
      <c r="H420" s="2"/>
    </row>
    <row r="421" spans="1:8" x14ac:dyDescent="0.25">
      <c r="A421" s="2" t="s">
        <v>1812</v>
      </c>
      <c r="B421" s="2" t="s">
        <v>2552</v>
      </c>
      <c r="C421" s="2" t="s">
        <v>921</v>
      </c>
      <c r="D421" s="2"/>
      <c r="E421" s="2"/>
      <c r="F421" s="2"/>
      <c r="G421" s="2"/>
      <c r="H421" s="2"/>
    </row>
    <row r="422" spans="1:8" x14ac:dyDescent="0.25">
      <c r="A422" s="2" t="s">
        <v>1813</v>
      </c>
      <c r="B422" s="2" t="s">
        <v>2552</v>
      </c>
      <c r="C422" s="2" t="s">
        <v>994</v>
      </c>
      <c r="D422" s="2"/>
      <c r="E422" s="2"/>
      <c r="F422" s="2"/>
      <c r="G422" s="2"/>
      <c r="H422" s="2"/>
    </row>
    <row r="423" spans="1:8" x14ac:dyDescent="0.25">
      <c r="A423" s="2" t="s">
        <v>1814</v>
      </c>
      <c r="B423" s="2" t="s">
        <v>2550</v>
      </c>
      <c r="C423" s="2" t="s">
        <v>2515</v>
      </c>
      <c r="D423" s="2" t="s">
        <v>1137</v>
      </c>
      <c r="E423" s="2" t="s">
        <v>1139</v>
      </c>
      <c r="F423" s="2"/>
      <c r="G423" s="2"/>
      <c r="H423" s="2"/>
    </row>
    <row r="424" spans="1:8" x14ac:dyDescent="0.25">
      <c r="A424" s="2" t="s">
        <v>1815</v>
      </c>
      <c r="B424" s="2" t="s">
        <v>2550</v>
      </c>
      <c r="C424" s="2" t="s">
        <v>2515</v>
      </c>
      <c r="D424" s="2" t="s">
        <v>1137</v>
      </c>
      <c r="E424" s="2" t="s">
        <v>1139</v>
      </c>
      <c r="F424" s="2"/>
      <c r="G424" s="2"/>
      <c r="H424" s="2"/>
    </row>
    <row r="425" spans="1:8" x14ac:dyDescent="0.25">
      <c r="A425" s="2" t="s">
        <v>1816</v>
      </c>
      <c r="B425" s="2" t="s">
        <v>2550</v>
      </c>
      <c r="C425" s="2" t="s">
        <v>1072</v>
      </c>
      <c r="D425" s="2" t="s">
        <v>1112</v>
      </c>
      <c r="E425" s="2" t="s">
        <v>1155</v>
      </c>
      <c r="F425" s="2"/>
      <c r="G425" s="2"/>
      <c r="H425" s="2"/>
    </row>
    <row r="426" spans="1:8" x14ac:dyDescent="0.25">
      <c r="A426" s="2" t="s">
        <v>1817</v>
      </c>
      <c r="B426" s="2" t="s">
        <v>2550</v>
      </c>
      <c r="C426" s="2" t="s">
        <v>949</v>
      </c>
      <c r="D426" s="2" t="s">
        <v>2449</v>
      </c>
      <c r="E426" s="2" t="s">
        <v>1168</v>
      </c>
      <c r="F426" s="2"/>
      <c r="G426" s="2"/>
      <c r="H426" s="2"/>
    </row>
    <row r="427" spans="1:8" x14ac:dyDescent="0.25">
      <c r="A427" s="2" t="s">
        <v>714</v>
      </c>
      <c r="B427" s="2" t="s">
        <v>2550</v>
      </c>
      <c r="C427" s="2" t="s">
        <v>949</v>
      </c>
      <c r="D427" s="2" t="s">
        <v>2449</v>
      </c>
      <c r="E427" s="2" t="s">
        <v>1168</v>
      </c>
      <c r="F427" s="2"/>
      <c r="G427" s="2"/>
      <c r="H427" s="2"/>
    </row>
    <row r="428" spans="1:8" x14ac:dyDescent="0.25">
      <c r="A428" s="2" t="s">
        <v>1818</v>
      </c>
      <c r="B428" s="2" t="s">
        <v>2550</v>
      </c>
      <c r="C428" s="2" t="s">
        <v>1033</v>
      </c>
      <c r="D428" s="2" t="s">
        <v>1041</v>
      </c>
      <c r="E428" s="2" t="s">
        <v>1093</v>
      </c>
      <c r="F428" s="2"/>
      <c r="G428" s="2"/>
      <c r="H428" s="2"/>
    </row>
    <row r="429" spans="1:8" x14ac:dyDescent="0.25">
      <c r="A429" s="2" t="s">
        <v>1819</v>
      </c>
      <c r="B429" s="2" t="s">
        <v>2550</v>
      </c>
      <c r="C429" s="2" t="s">
        <v>972</v>
      </c>
      <c r="D429" s="2" t="s">
        <v>1033</v>
      </c>
      <c r="E429" s="2" t="s">
        <v>1041</v>
      </c>
      <c r="F429" s="2"/>
      <c r="G429" s="2"/>
      <c r="H429" s="2"/>
    </row>
    <row r="430" spans="1:8" x14ac:dyDescent="0.25">
      <c r="A430" s="2" t="s">
        <v>1820</v>
      </c>
      <c r="B430" s="2" t="s">
        <v>2552</v>
      </c>
      <c r="C430" s="2" t="s">
        <v>1037</v>
      </c>
      <c r="D430" s="2"/>
      <c r="E430" s="2"/>
      <c r="F430" s="2"/>
      <c r="G430" s="2"/>
      <c r="H430" s="2"/>
    </row>
    <row r="431" spans="1:8" x14ac:dyDescent="0.25">
      <c r="A431" s="2" t="s">
        <v>1821</v>
      </c>
      <c r="B431" s="2" t="s">
        <v>2550</v>
      </c>
      <c r="C431" s="2" t="s">
        <v>1025</v>
      </c>
      <c r="D431" s="2" t="s">
        <v>2489</v>
      </c>
      <c r="E431" s="2" t="s">
        <v>1145</v>
      </c>
      <c r="F431" s="2"/>
      <c r="G431" s="2"/>
      <c r="H431" s="2"/>
    </row>
    <row r="432" spans="1:8" x14ac:dyDescent="0.25">
      <c r="A432" s="2" t="s">
        <v>1822</v>
      </c>
      <c r="B432" s="2" t="s">
        <v>2550</v>
      </c>
      <c r="C432" s="2" t="s">
        <v>1031</v>
      </c>
      <c r="D432" s="2" t="s">
        <v>1041</v>
      </c>
      <c r="E432" s="2" t="s">
        <v>1070</v>
      </c>
      <c r="F432" s="2"/>
      <c r="G432" s="2"/>
      <c r="H432" s="2"/>
    </row>
    <row r="433" spans="1:8" x14ac:dyDescent="0.25">
      <c r="A433" s="2" t="s">
        <v>1823</v>
      </c>
      <c r="B433" s="2" t="s">
        <v>2550</v>
      </c>
      <c r="C433" s="2" t="s">
        <v>2445</v>
      </c>
      <c r="D433" s="2" t="s">
        <v>1070</v>
      </c>
      <c r="E433" s="2" t="s">
        <v>1157</v>
      </c>
      <c r="F433" s="2"/>
      <c r="G433" s="2"/>
      <c r="H433" s="2"/>
    </row>
    <row r="434" spans="1:8" x14ac:dyDescent="0.25">
      <c r="A434" s="2" t="s">
        <v>1824</v>
      </c>
      <c r="B434" s="2" t="s">
        <v>2552</v>
      </c>
      <c r="C434" s="2" t="s">
        <v>1037</v>
      </c>
      <c r="D434" s="2"/>
      <c r="E434" s="2"/>
      <c r="F434" s="2"/>
      <c r="G434" s="2"/>
      <c r="H434" s="2"/>
    </row>
    <row r="435" spans="1:8" x14ac:dyDescent="0.25">
      <c r="A435" s="2" t="s">
        <v>1825</v>
      </c>
      <c r="B435" s="2" t="s">
        <v>2550</v>
      </c>
      <c r="C435" s="2" t="s">
        <v>949</v>
      </c>
      <c r="D435" s="2" t="s">
        <v>1031</v>
      </c>
      <c r="E435" s="2" t="s">
        <v>1135</v>
      </c>
      <c r="F435" s="2"/>
      <c r="G435" s="2"/>
      <c r="H435" s="2"/>
    </row>
    <row r="436" spans="1:8" x14ac:dyDescent="0.25">
      <c r="A436" s="2" t="s">
        <v>1826</v>
      </c>
      <c r="B436" s="2" t="s">
        <v>2550</v>
      </c>
      <c r="C436" s="2" t="s">
        <v>949</v>
      </c>
      <c r="D436" s="2" t="s">
        <v>1031</v>
      </c>
      <c r="E436" s="2" t="s">
        <v>1135</v>
      </c>
      <c r="F436" s="2"/>
      <c r="G436" s="2"/>
      <c r="H436" s="2"/>
    </row>
    <row r="437" spans="1:8" x14ac:dyDescent="0.25">
      <c r="A437" s="2" t="s">
        <v>1827</v>
      </c>
      <c r="B437" s="2" t="s">
        <v>2550</v>
      </c>
      <c r="C437" s="2" t="s">
        <v>1006</v>
      </c>
      <c r="D437" s="2" t="s">
        <v>2467</v>
      </c>
      <c r="E437" s="2" t="s">
        <v>1037</v>
      </c>
      <c r="F437" s="2"/>
      <c r="G437" s="2"/>
      <c r="H437" s="2"/>
    </row>
    <row r="438" spans="1:8" x14ac:dyDescent="0.25">
      <c r="A438" s="2" t="s">
        <v>1828</v>
      </c>
      <c r="B438" s="2" t="s">
        <v>2550</v>
      </c>
      <c r="C438" s="2" t="s">
        <v>1006</v>
      </c>
      <c r="D438" s="2" t="s">
        <v>2467</v>
      </c>
      <c r="E438" s="2" t="s">
        <v>1037</v>
      </c>
      <c r="F438" s="2"/>
      <c r="G438" s="2"/>
      <c r="H438" s="2"/>
    </row>
    <row r="439" spans="1:8" x14ac:dyDescent="0.25">
      <c r="A439" s="2" t="s">
        <v>1829</v>
      </c>
      <c r="B439" s="2" t="s">
        <v>2550</v>
      </c>
      <c r="C439" s="2" t="s">
        <v>2509</v>
      </c>
      <c r="D439" s="2" t="s">
        <v>1090</v>
      </c>
      <c r="E439" s="2" t="s">
        <v>1141</v>
      </c>
      <c r="F439" s="2"/>
      <c r="G439" s="2"/>
      <c r="H439" s="2"/>
    </row>
    <row r="440" spans="1:8" x14ac:dyDescent="0.25">
      <c r="A440" s="2" t="s">
        <v>1830</v>
      </c>
      <c r="B440" s="2" t="s">
        <v>2550</v>
      </c>
      <c r="C440" s="2" t="s">
        <v>988</v>
      </c>
      <c r="D440" s="2" t="s">
        <v>1125</v>
      </c>
      <c r="E440" s="2" t="s">
        <v>1155</v>
      </c>
      <c r="F440" s="2"/>
      <c r="G440" s="2"/>
      <c r="H440" s="2"/>
    </row>
    <row r="441" spans="1:8" x14ac:dyDescent="0.25">
      <c r="A441" s="2" t="s">
        <v>1831</v>
      </c>
      <c r="B441" s="2" t="s">
        <v>2550</v>
      </c>
      <c r="C441" s="2" t="s">
        <v>2453</v>
      </c>
      <c r="D441" s="2" t="s">
        <v>1061</v>
      </c>
      <c r="E441" s="2" t="s">
        <v>1101</v>
      </c>
      <c r="F441" s="2"/>
      <c r="G441" s="2"/>
      <c r="H441" s="2"/>
    </row>
    <row r="442" spans="1:8" x14ac:dyDescent="0.25">
      <c r="A442" s="2" t="s">
        <v>1832</v>
      </c>
      <c r="B442" s="2" t="s">
        <v>2550</v>
      </c>
      <c r="C442" s="2" t="s">
        <v>2429</v>
      </c>
      <c r="D442" s="2" t="s">
        <v>1031</v>
      </c>
      <c r="E442" s="2" t="s">
        <v>1153</v>
      </c>
      <c r="F442" s="2"/>
      <c r="G442" s="2"/>
      <c r="H442" s="2"/>
    </row>
    <row r="443" spans="1:8" x14ac:dyDescent="0.25">
      <c r="A443" s="2" t="s">
        <v>1834</v>
      </c>
      <c r="B443" s="2" t="s">
        <v>2549</v>
      </c>
      <c r="C443" s="2" t="s">
        <v>2473</v>
      </c>
      <c r="D443" s="2" t="s">
        <v>1079</v>
      </c>
      <c r="E443" s="2"/>
      <c r="F443" s="2"/>
      <c r="G443" s="2"/>
      <c r="H443" s="2"/>
    </row>
    <row r="444" spans="1:8" x14ac:dyDescent="0.25">
      <c r="A444" s="2" t="s">
        <v>715</v>
      </c>
      <c r="B444" s="2" t="s">
        <v>2549</v>
      </c>
      <c r="C444" s="2" t="s">
        <v>928</v>
      </c>
      <c r="D444" s="2" t="s">
        <v>1097</v>
      </c>
      <c r="E444" s="2"/>
      <c r="F444" s="2"/>
      <c r="G444" s="2"/>
      <c r="H444" s="2"/>
    </row>
    <row r="445" spans="1:8" x14ac:dyDescent="0.25">
      <c r="A445" s="2" t="s">
        <v>1835</v>
      </c>
      <c r="B445" s="2" t="s">
        <v>2549</v>
      </c>
      <c r="C445" s="2" t="s">
        <v>928</v>
      </c>
      <c r="D445" s="2" t="s">
        <v>1097</v>
      </c>
      <c r="E445" s="2"/>
      <c r="F445" s="2"/>
      <c r="G445" s="2"/>
      <c r="H445" s="2"/>
    </row>
    <row r="446" spans="1:8" x14ac:dyDescent="0.25">
      <c r="A446" s="2" t="s">
        <v>716</v>
      </c>
      <c r="B446" s="2" t="s">
        <v>2550</v>
      </c>
      <c r="C446" s="2" t="s">
        <v>928</v>
      </c>
      <c r="D446" s="2" t="s">
        <v>2515</v>
      </c>
      <c r="E446" s="2" t="s">
        <v>1097</v>
      </c>
      <c r="F446" s="2"/>
      <c r="G446" s="2"/>
      <c r="H446" s="2"/>
    </row>
    <row r="447" spans="1:8" x14ac:dyDescent="0.25">
      <c r="A447" s="2" t="s">
        <v>1837</v>
      </c>
      <c r="B447" s="2" t="s">
        <v>2550</v>
      </c>
      <c r="C447" s="2" t="s">
        <v>1002</v>
      </c>
      <c r="D447" s="2" t="s">
        <v>1072</v>
      </c>
      <c r="E447" s="2" t="s">
        <v>1157</v>
      </c>
      <c r="F447" s="2"/>
      <c r="G447" s="2"/>
      <c r="H447" s="2"/>
    </row>
    <row r="448" spans="1:8" x14ac:dyDescent="0.25">
      <c r="A448" s="2" t="s">
        <v>1838</v>
      </c>
      <c r="B448" s="2" t="s">
        <v>2550</v>
      </c>
      <c r="C448" s="2" t="s">
        <v>1023</v>
      </c>
      <c r="D448" s="2" t="s">
        <v>2505</v>
      </c>
      <c r="E448" s="2" t="s">
        <v>1133</v>
      </c>
      <c r="F448" s="2"/>
      <c r="G448" s="2"/>
      <c r="H448" s="2"/>
    </row>
    <row r="449" spans="1:8" x14ac:dyDescent="0.25">
      <c r="A449" s="2" t="s">
        <v>1839</v>
      </c>
      <c r="B449" s="2" t="s">
        <v>2551</v>
      </c>
      <c r="C449" s="2" t="s">
        <v>947</v>
      </c>
      <c r="D449" s="2" t="s">
        <v>1023</v>
      </c>
      <c r="E449" s="2" t="s">
        <v>2477</v>
      </c>
      <c r="F449" s="2" t="s">
        <v>1133</v>
      </c>
      <c r="G449" s="2"/>
      <c r="H449" s="2"/>
    </row>
    <row r="450" spans="1:8" x14ac:dyDescent="0.25">
      <c r="A450" s="2" t="s">
        <v>1840</v>
      </c>
      <c r="B450" s="2" t="s">
        <v>2549</v>
      </c>
      <c r="C450" s="2" t="s">
        <v>2515</v>
      </c>
      <c r="D450" s="2" t="s">
        <v>1095</v>
      </c>
      <c r="E450" s="2"/>
      <c r="F450" s="2"/>
      <c r="G450" s="2"/>
      <c r="H450" s="2"/>
    </row>
    <row r="451" spans="1:8" x14ac:dyDescent="0.25">
      <c r="A451" s="2" t="s">
        <v>1841</v>
      </c>
      <c r="B451" s="2" t="s">
        <v>2549</v>
      </c>
      <c r="C451" s="2" t="s">
        <v>2515</v>
      </c>
      <c r="D451" s="2" t="s">
        <v>1095</v>
      </c>
      <c r="E451" s="2"/>
      <c r="F451" s="2"/>
      <c r="G451" s="2"/>
      <c r="H451" s="2"/>
    </row>
    <row r="452" spans="1:8" x14ac:dyDescent="0.25">
      <c r="A452" s="2" t="s">
        <v>1842</v>
      </c>
      <c r="B452" s="2" t="s">
        <v>2550</v>
      </c>
      <c r="C452" s="2" t="s">
        <v>961</v>
      </c>
      <c r="D452" s="2" t="s">
        <v>1031</v>
      </c>
      <c r="E452" s="2" t="s">
        <v>1116</v>
      </c>
      <c r="F452" s="2"/>
      <c r="G452" s="2"/>
      <c r="H452" s="2"/>
    </row>
    <row r="453" spans="1:8" x14ac:dyDescent="0.25">
      <c r="A453" s="2" t="s">
        <v>1843</v>
      </c>
      <c r="B453" s="2" t="s">
        <v>2550</v>
      </c>
      <c r="C453" s="2" t="s">
        <v>961</v>
      </c>
      <c r="D453" s="2" t="s">
        <v>1031</v>
      </c>
      <c r="E453" s="2" t="s">
        <v>1116</v>
      </c>
      <c r="F453" s="2"/>
      <c r="G453" s="2"/>
      <c r="H453" s="2"/>
    </row>
    <row r="454" spans="1:8" x14ac:dyDescent="0.25">
      <c r="A454" s="2" t="s">
        <v>1844</v>
      </c>
      <c r="B454" s="2" t="s">
        <v>2550</v>
      </c>
      <c r="C454" s="2" t="s">
        <v>955</v>
      </c>
      <c r="D454" s="2" t="s">
        <v>982</v>
      </c>
      <c r="E454" s="2" t="s">
        <v>2503</v>
      </c>
      <c r="F454" s="2"/>
      <c r="G454" s="2"/>
      <c r="H454" s="2"/>
    </row>
    <row r="455" spans="1:8" x14ac:dyDescent="0.25">
      <c r="A455" s="2" t="s">
        <v>1845</v>
      </c>
      <c r="B455" s="2" t="s">
        <v>2550</v>
      </c>
      <c r="C455" s="2" t="s">
        <v>955</v>
      </c>
      <c r="D455" s="2" t="s">
        <v>982</v>
      </c>
      <c r="E455" s="2" t="s">
        <v>2503</v>
      </c>
      <c r="F455" s="2"/>
      <c r="G455" s="2"/>
      <c r="H455" s="2"/>
    </row>
    <row r="456" spans="1:8" x14ac:dyDescent="0.25">
      <c r="A456" s="2" t="s">
        <v>1846</v>
      </c>
      <c r="B456" s="2" t="s">
        <v>2552</v>
      </c>
      <c r="C456" s="2" t="s">
        <v>1037</v>
      </c>
      <c r="D456" s="2"/>
      <c r="E456" s="2"/>
      <c r="F456" s="2"/>
      <c r="G456" s="2"/>
      <c r="H456" s="2"/>
    </row>
    <row r="457" spans="1:8" x14ac:dyDescent="0.25">
      <c r="A457" s="2" t="s">
        <v>1847</v>
      </c>
      <c r="B457" s="2" t="s">
        <v>2550</v>
      </c>
      <c r="C457" s="2" t="s">
        <v>1139</v>
      </c>
      <c r="D457" s="2" t="s">
        <v>1149</v>
      </c>
      <c r="E457" s="2" t="s">
        <v>1175</v>
      </c>
      <c r="F457" s="2"/>
      <c r="G457" s="2"/>
      <c r="H457" s="2"/>
    </row>
    <row r="458" spans="1:8" x14ac:dyDescent="0.25">
      <c r="A458" s="2" t="s">
        <v>1848</v>
      </c>
      <c r="B458" s="2" t="s">
        <v>2550</v>
      </c>
      <c r="C458" s="2" t="s">
        <v>1139</v>
      </c>
      <c r="D458" s="2" t="s">
        <v>1149</v>
      </c>
      <c r="E458" s="2" t="s">
        <v>1175</v>
      </c>
      <c r="F458" s="2"/>
      <c r="G458" s="2"/>
      <c r="H458" s="2"/>
    </row>
    <row r="459" spans="1:8" x14ac:dyDescent="0.25">
      <c r="A459" s="2" t="s">
        <v>1849</v>
      </c>
      <c r="B459" s="2" t="s">
        <v>2550</v>
      </c>
      <c r="C459" s="2" t="s">
        <v>1149</v>
      </c>
      <c r="D459" s="2" t="s">
        <v>1173</v>
      </c>
      <c r="E459" s="2" t="s">
        <v>1175</v>
      </c>
      <c r="F459" s="2"/>
      <c r="G459" s="2"/>
      <c r="H459" s="2"/>
    </row>
    <row r="460" spans="1:8" x14ac:dyDescent="0.25">
      <c r="A460" s="2" t="s">
        <v>1850</v>
      </c>
      <c r="B460" s="2" t="s">
        <v>2549</v>
      </c>
      <c r="C460" s="2" t="s">
        <v>1120</v>
      </c>
      <c r="D460" s="2" t="s">
        <v>1125</v>
      </c>
      <c r="E460" s="2"/>
      <c r="F460" s="2"/>
      <c r="G460" s="2"/>
      <c r="H460" s="2"/>
    </row>
    <row r="461" spans="1:8" x14ac:dyDescent="0.25">
      <c r="A461" s="2" t="s">
        <v>1851</v>
      </c>
      <c r="B461" s="2" t="s">
        <v>2549</v>
      </c>
      <c r="C461" s="2" t="s">
        <v>1120</v>
      </c>
      <c r="D461" s="2" t="s">
        <v>1125</v>
      </c>
      <c r="E461" s="2"/>
      <c r="F461" s="2"/>
      <c r="G461" s="2"/>
      <c r="H461" s="2"/>
    </row>
    <row r="462" spans="1:8" x14ac:dyDescent="0.25">
      <c r="A462" s="2" t="s">
        <v>717</v>
      </c>
      <c r="B462" s="2" t="s">
        <v>2549</v>
      </c>
      <c r="C462" s="2" t="s">
        <v>2499</v>
      </c>
      <c r="D462" s="2" t="s">
        <v>1079</v>
      </c>
      <c r="E462" s="2"/>
      <c r="F462" s="2"/>
      <c r="G462" s="2"/>
      <c r="H462" s="2"/>
    </row>
    <row r="463" spans="1:8" x14ac:dyDescent="0.25">
      <c r="A463" s="2" t="s">
        <v>718</v>
      </c>
      <c r="B463" s="2" t="s">
        <v>2550</v>
      </c>
      <c r="C463" s="2" t="s">
        <v>2423</v>
      </c>
      <c r="D463" s="2" t="s">
        <v>1049</v>
      </c>
      <c r="E463" s="2" t="s">
        <v>1141</v>
      </c>
      <c r="F463" s="2"/>
      <c r="G463" s="2"/>
      <c r="H463" s="2"/>
    </row>
    <row r="464" spans="1:8" x14ac:dyDescent="0.25">
      <c r="A464" s="2" t="s">
        <v>1852</v>
      </c>
      <c r="B464" s="2" t="s">
        <v>2550</v>
      </c>
      <c r="C464" s="2" t="s">
        <v>967</v>
      </c>
      <c r="D464" s="2" t="s">
        <v>1067</v>
      </c>
      <c r="E464" s="2" t="s">
        <v>1070</v>
      </c>
      <c r="F464" s="2"/>
      <c r="G464" s="2"/>
      <c r="H464" s="2"/>
    </row>
    <row r="465" spans="1:8" x14ac:dyDescent="0.25">
      <c r="A465" s="2" t="s">
        <v>1853</v>
      </c>
      <c r="B465" s="2" t="s">
        <v>2550</v>
      </c>
      <c r="C465" s="2" t="s">
        <v>1039</v>
      </c>
      <c r="D465" s="2" t="s">
        <v>1086</v>
      </c>
      <c r="E465" s="2" t="s">
        <v>1124</v>
      </c>
      <c r="F465" s="2"/>
      <c r="G465" s="2"/>
      <c r="H465" s="2"/>
    </row>
    <row r="466" spans="1:8" x14ac:dyDescent="0.25">
      <c r="A466" s="2" t="s">
        <v>1855</v>
      </c>
      <c r="B466" s="2" t="s">
        <v>2550</v>
      </c>
      <c r="C466" s="2" t="s">
        <v>921</v>
      </c>
      <c r="D466" s="2" t="s">
        <v>1035</v>
      </c>
      <c r="E466" s="2" t="s">
        <v>2513</v>
      </c>
      <c r="F466" s="2"/>
      <c r="G466" s="2"/>
      <c r="H466" s="2"/>
    </row>
    <row r="467" spans="1:8" x14ac:dyDescent="0.25">
      <c r="A467" s="2" t="s">
        <v>1856</v>
      </c>
      <c r="B467" s="2" t="s">
        <v>2549</v>
      </c>
      <c r="C467" s="2" t="s">
        <v>1057</v>
      </c>
      <c r="D467" s="2" t="s">
        <v>1170</v>
      </c>
      <c r="E467" s="2"/>
      <c r="F467" s="2"/>
      <c r="G467" s="2"/>
      <c r="H467" s="2"/>
    </row>
    <row r="468" spans="1:8" x14ac:dyDescent="0.25">
      <c r="A468" s="2" t="s">
        <v>1857</v>
      </c>
      <c r="B468" s="2" t="s">
        <v>2549</v>
      </c>
      <c r="C468" s="2" t="s">
        <v>990</v>
      </c>
      <c r="D468" s="2" t="s">
        <v>1170</v>
      </c>
      <c r="E468" s="2"/>
      <c r="F468" s="2"/>
      <c r="G468" s="2"/>
      <c r="H468" s="2"/>
    </row>
    <row r="469" spans="1:8" x14ac:dyDescent="0.25">
      <c r="A469" s="2" t="s">
        <v>1858</v>
      </c>
      <c r="B469" s="2" t="s">
        <v>2550</v>
      </c>
      <c r="C469" s="2" t="s">
        <v>1011</v>
      </c>
      <c r="D469" s="2" t="s">
        <v>1101</v>
      </c>
      <c r="E469" s="2" t="s">
        <v>1145</v>
      </c>
      <c r="F469" s="2"/>
      <c r="G469" s="2"/>
      <c r="H469" s="2"/>
    </row>
    <row r="470" spans="1:8" x14ac:dyDescent="0.25">
      <c r="A470" s="2" t="s">
        <v>1859</v>
      </c>
      <c r="B470" s="2" t="s">
        <v>2550</v>
      </c>
      <c r="C470" s="2" t="s">
        <v>1000</v>
      </c>
      <c r="D470" s="2" t="s">
        <v>1127</v>
      </c>
      <c r="E470" s="2" t="s">
        <v>1159</v>
      </c>
      <c r="F470" s="2"/>
      <c r="G470" s="2"/>
      <c r="H470" s="2"/>
    </row>
    <row r="471" spans="1:8" x14ac:dyDescent="0.25">
      <c r="A471" s="2" t="s">
        <v>1860</v>
      </c>
      <c r="B471" s="2" t="s">
        <v>2549</v>
      </c>
      <c r="C471" s="2" t="s">
        <v>921</v>
      </c>
      <c r="D471" s="2" t="s">
        <v>1035</v>
      </c>
      <c r="E471" s="2"/>
      <c r="F471" s="2"/>
      <c r="G471" s="2"/>
      <c r="H471" s="2"/>
    </row>
    <row r="472" spans="1:8" x14ac:dyDescent="0.25">
      <c r="A472" s="2" t="s">
        <v>1861</v>
      </c>
      <c r="B472" s="2" t="s">
        <v>2549</v>
      </c>
      <c r="C472" s="2" t="s">
        <v>1017</v>
      </c>
      <c r="D472" s="2" t="s">
        <v>1118</v>
      </c>
      <c r="E472" s="2"/>
      <c r="F472" s="2"/>
      <c r="G472" s="2"/>
      <c r="H472" s="2"/>
    </row>
    <row r="473" spans="1:8" x14ac:dyDescent="0.25">
      <c r="A473" s="2" t="s">
        <v>1862</v>
      </c>
      <c r="B473" s="2" t="s">
        <v>2550</v>
      </c>
      <c r="C473" s="2" t="s">
        <v>1015</v>
      </c>
      <c r="D473" s="2" t="s">
        <v>1075</v>
      </c>
      <c r="E473" s="2" t="s">
        <v>1097</v>
      </c>
      <c r="F473" s="2"/>
      <c r="G473" s="2"/>
      <c r="H473" s="2"/>
    </row>
    <row r="474" spans="1:8" x14ac:dyDescent="0.25">
      <c r="A474" s="2" t="s">
        <v>1863</v>
      </c>
      <c r="B474" s="2" t="s">
        <v>2550</v>
      </c>
      <c r="C474" s="2" t="s">
        <v>1067</v>
      </c>
      <c r="D474" s="2" t="s">
        <v>1118</v>
      </c>
      <c r="E474" s="2" t="s">
        <v>1157</v>
      </c>
      <c r="F474" s="2"/>
      <c r="G474" s="2"/>
      <c r="H474" s="2"/>
    </row>
    <row r="475" spans="1:8" x14ac:dyDescent="0.25">
      <c r="A475" s="2" t="s">
        <v>2556</v>
      </c>
      <c r="B475" s="2" t="s">
        <v>2553</v>
      </c>
      <c r="C475" s="2"/>
      <c r="D475" s="2"/>
      <c r="E475" s="2"/>
      <c r="F475" s="2"/>
      <c r="G475" s="2"/>
      <c r="H475" s="2"/>
    </row>
    <row r="476" spans="1:8" x14ac:dyDescent="0.25">
      <c r="A476" s="2" t="s">
        <v>1864</v>
      </c>
      <c r="B476" s="2" t="s">
        <v>2549</v>
      </c>
      <c r="C476" s="2" t="s">
        <v>2477</v>
      </c>
      <c r="D476" s="2" t="s">
        <v>1133</v>
      </c>
      <c r="E476" s="2"/>
      <c r="F476" s="2"/>
      <c r="G476" s="2"/>
      <c r="H476" s="2"/>
    </row>
    <row r="477" spans="1:8" x14ac:dyDescent="0.25">
      <c r="A477" s="2" t="s">
        <v>1865</v>
      </c>
      <c r="B477" s="2" t="s">
        <v>2550</v>
      </c>
      <c r="C477" s="2" t="s">
        <v>1049</v>
      </c>
      <c r="D477" s="2" t="s">
        <v>2515</v>
      </c>
      <c r="E477" s="2" t="s">
        <v>1141</v>
      </c>
      <c r="F477" s="2"/>
      <c r="G477" s="2"/>
      <c r="H477" s="2"/>
    </row>
    <row r="478" spans="1:8" x14ac:dyDescent="0.25">
      <c r="A478" s="2" t="s">
        <v>1866</v>
      </c>
      <c r="B478" s="2" t="s">
        <v>2549</v>
      </c>
      <c r="C478" s="2" t="s">
        <v>1000</v>
      </c>
      <c r="D478" s="2" t="s">
        <v>1079</v>
      </c>
      <c r="E478" s="2"/>
      <c r="F478" s="2"/>
      <c r="G478" s="2"/>
      <c r="H478" s="2"/>
    </row>
    <row r="479" spans="1:8" x14ac:dyDescent="0.25">
      <c r="A479" s="2" t="s">
        <v>1867</v>
      </c>
      <c r="B479" s="2" t="s">
        <v>2549</v>
      </c>
      <c r="C479" s="2" t="s">
        <v>2439</v>
      </c>
      <c r="D479" s="2" t="s">
        <v>1118</v>
      </c>
      <c r="E479" s="2"/>
      <c r="F479" s="2"/>
      <c r="G479" s="2"/>
      <c r="H479" s="2"/>
    </row>
    <row r="480" spans="1:8" x14ac:dyDescent="0.25">
      <c r="A480" s="2" t="s">
        <v>719</v>
      </c>
      <c r="B480" s="2" t="s">
        <v>2552</v>
      </c>
      <c r="C480" s="2" t="s">
        <v>1037</v>
      </c>
      <c r="D480" s="2"/>
      <c r="E480" s="2"/>
      <c r="F480" s="2"/>
      <c r="G480" s="2"/>
      <c r="H480" s="2"/>
    </row>
    <row r="481" spans="1:8" x14ac:dyDescent="0.25">
      <c r="A481" s="2" t="s">
        <v>1868</v>
      </c>
      <c r="B481" s="2" t="s">
        <v>2552</v>
      </c>
      <c r="C481" s="2" t="s">
        <v>1037</v>
      </c>
      <c r="D481" s="2"/>
      <c r="E481" s="2"/>
      <c r="F481" s="2"/>
      <c r="G481" s="2"/>
      <c r="H481" s="2"/>
    </row>
    <row r="482" spans="1:8" x14ac:dyDescent="0.25">
      <c r="A482" s="2" t="s">
        <v>1869</v>
      </c>
      <c r="B482" s="2" t="s">
        <v>2552</v>
      </c>
      <c r="C482" s="2" t="s">
        <v>1037</v>
      </c>
      <c r="D482" s="2"/>
      <c r="E482" s="2"/>
      <c r="F482" s="2"/>
      <c r="G482" s="2"/>
      <c r="H482" s="2"/>
    </row>
    <row r="483" spans="1:8" x14ac:dyDescent="0.25">
      <c r="A483" s="2" t="s">
        <v>1870</v>
      </c>
      <c r="B483" s="2" t="s">
        <v>2552</v>
      </c>
      <c r="C483" s="2" t="s">
        <v>1037</v>
      </c>
      <c r="D483" s="2"/>
      <c r="E483" s="2"/>
      <c r="F483" s="2"/>
      <c r="G483" s="2"/>
      <c r="H483" s="2"/>
    </row>
    <row r="484" spans="1:8" x14ac:dyDescent="0.25">
      <c r="A484" s="2" t="s">
        <v>1871</v>
      </c>
      <c r="B484" s="2" t="s">
        <v>2549</v>
      </c>
      <c r="C484" s="2" t="s">
        <v>1079</v>
      </c>
      <c r="D484" s="2" t="s">
        <v>2531</v>
      </c>
      <c r="E484" s="2"/>
      <c r="F484" s="2"/>
      <c r="G484" s="2"/>
      <c r="H484" s="2"/>
    </row>
    <row r="485" spans="1:8" x14ac:dyDescent="0.25">
      <c r="A485" s="2" t="s">
        <v>1873</v>
      </c>
      <c r="B485" s="2" t="s">
        <v>2549</v>
      </c>
      <c r="C485" s="2" t="s">
        <v>1079</v>
      </c>
      <c r="D485" s="2" t="s">
        <v>2531</v>
      </c>
      <c r="E485" s="2"/>
      <c r="F485" s="2"/>
      <c r="G485" s="2"/>
      <c r="H485" s="2"/>
    </row>
    <row r="486" spans="1:8" x14ac:dyDescent="0.25">
      <c r="A486" s="2" t="s">
        <v>1875</v>
      </c>
      <c r="B486" s="2" t="s">
        <v>2549</v>
      </c>
      <c r="C486" s="2" t="s">
        <v>990</v>
      </c>
      <c r="D486" s="2" t="s">
        <v>992</v>
      </c>
      <c r="E486" s="2"/>
      <c r="F486" s="2"/>
      <c r="G486" s="2"/>
      <c r="H486" s="2"/>
    </row>
    <row r="487" spans="1:8" x14ac:dyDescent="0.25">
      <c r="A487" s="2" t="s">
        <v>1877</v>
      </c>
      <c r="B487" s="2" t="s">
        <v>2552</v>
      </c>
      <c r="C487" s="2" t="s">
        <v>1114</v>
      </c>
      <c r="D487" s="2"/>
      <c r="E487" s="2"/>
      <c r="F487" s="2"/>
      <c r="G487" s="2"/>
      <c r="H487" s="2"/>
    </row>
    <row r="488" spans="1:8" x14ac:dyDescent="0.25">
      <c r="A488" s="2" t="s">
        <v>2557</v>
      </c>
      <c r="B488" s="2" t="s">
        <v>2550</v>
      </c>
      <c r="C488" s="2" t="s">
        <v>1037</v>
      </c>
      <c r="D488" s="2" t="s">
        <v>1079</v>
      </c>
      <c r="E488" s="2" t="s">
        <v>2531</v>
      </c>
      <c r="F488" s="2"/>
      <c r="G488" s="2"/>
      <c r="H488" s="2"/>
    </row>
    <row r="489" spans="1:8" x14ac:dyDescent="0.25">
      <c r="A489" s="2" t="s">
        <v>1880</v>
      </c>
      <c r="B489" s="2" t="s">
        <v>2552</v>
      </c>
      <c r="C489" s="2" t="s">
        <v>1037</v>
      </c>
      <c r="D489" s="2"/>
      <c r="E489" s="2"/>
      <c r="F489" s="2"/>
      <c r="G489" s="2"/>
      <c r="H489" s="2"/>
    </row>
    <row r="490" spans="1:8" x14ac:dyDescent="0.25">
      <c r="A490" s="2" t="s">
        <v>1882</v>
      </c>
      <c r="B490" s="2" t="s">
        <v>2552</v>
      </c>
      <c r="C490" s="2" t="s">
        <v>1013</v>
      </c>
      <c r="D490" s="2"/>
      <c r="E490" s="2"/>
      <c r="F490" s="2"/>
      <c r="G490" s="2"/>
      <c r="H490" s="2"/>
    </row>
    <row r="491" spans="1:8" x14ac:dyDescent="0.25">
      <c r="A491" s="2" t="s">
        <v>1883</v>
      </c>
      <c r="B491" s="2" t="s">
        <v>2552</v>
      </c>
      <c r="C491" s="2" t="s">
        <v>1013</v>
      </c>
      <c r="D491" s="2"/>
      <c r="E491" s="2"/>
      <c r="F491" s="2"/>
      <c r="G491" s="2"/>
      <c r="H491" s="2"/>
    </row>
    <row r="492" spans="1:8" x14ac:dyDescent="0.25">
      <c r="A492" s="2" t="s">
        <v>1885</v>
      </c>
      <c r="B492" s="2" t="s">
        <v>2552</v>
      </c>
      <c r="C492" s="2" t="s">
        <v>959</v>
      </c>
      <c r="D492" s="2"/>
      <c r="E492" s="2"/>
      <c r="F492" s="2"/>
      <c r="G492" s="2"/>
      <c r="H492" s="2"/>
    </row>
    <row r="493" spans="1:8" x14ac:dyDescent="0.25">
      <c r="A493" s="2" t="s">
        <v>2558</v>
      </c>
      <c r="B493" s="2" t="s">
        <v>2549</v>
      </c>
      <c r="C493" s="2" t="s">
        <v>1061</v>
      </c>
      <c r="D493" s="2" t="s">
        <v>1101</v>
      </c>
      <c r="E493" s="2"/>
      <c r="F493" s="2"/>
      <c r="G493" s="2"/>
      <c r="H493" s="2"/>
    </row>
    <row r="494" spans="1:8" x14ac:dyDescent="0.25">
      <c r="A494" s="2" t="s">
        <v>1888</v>
      </c>
      <c r="B494" s="2" t="s">
        <v>2552</v>
      </c>
      <c r="C494" s="2" t="s">
        <v>1059</v>
      </c>
      <c r="D494" s="2"/>
      <c r="E494" s="2"/>
      <c r="F494" s="2"/>
      <c r="G494" s="2"/>
      <c r="H494" s="2"/>
    </row>
    <row r="495" spans="1:8" x14ac:dyDescent="0.25">
      <c r="A495" s="2" t="s">
        <v>1890</v>
      </c>
      <c r="B495" s="2" t="s">
        <v>2552</v>
      </c>
      <c r="C495" s="2" t="s">
        <v>2541</v>
      </c>
      <c r="D495" s="2"/>
      <c r="E495" s="2"/>
      <c r="F495" s="2"/>
      <c r="G495" s="2"/>
      <c r="H495" s="2"/>
    </row>
    <row r="496" spans="1:8" x14ac:dyDescent="0.25">
      <c r="A496" s="2" t="s">
        <v>1892</v>
      </c>
      <c r="B496" s="2" t="s">
        <v>2549</v>
      </c>
      <c r="C496" s="2" t="s">
        <v>2437</v>
      </c>
      <c r="D496" s="2" t="s">
        <v>923</v>
      </c>
      <c r="E496" s="2"/>
      <c r="F496" s="2"/>
      <c r="G496" s="2"/>
      <c r="H496" s="2"/>
    </row>
    <row r="497" spans="1:8" x14ac:dyDescent="0.25">
      <c r="A497" s="2" t="s">
        <v>1893</v>
      </c>
      <c r="B497" s="2" t="s">
        <v>2549</v>
      </c>
      <c r="C497" s="2" t="s">
        <v>2437</v>
      </c>
      <c r="D497" s="2" t="s">
        <v>923</v>
      </c>
      <c r="E497" s="2"/>
      <c r="F497" s="2"/>
      <c r="G497" s="2"/>
      <c r="H497" s="2"/>
    </row>
    <row r="498" spans="1:8" x14ac:dyDescent="0.25">
      <c r="A498" s="2" t="s">
        <v>1894</v>
      </c>
      <c r="B498" s="2" t="s">
        <v>2549</v>
      </c>
      <c r="C498" s="2" t="s">
        <v>2437</v>
      </c>
      <c r="D498" s="2" t="s">
        <v>923</v>
      </c>
      <c r="E498" s="2"/>
      <c r="F498" s="2"/>
      <c r="G498" s="2"/>
      <c r="H498" s="2"/>
    </row>
    <row r="499" spans="1:8" x14ac:dyDescent="0.25">
      <c r="A499" s="2" t="s">
        <v>1895</v>
      </c>
      <c r="B499" s="2" t="s">
        <v>2549</v>
      </c>
      <c r="C499" s="2" t="s">
        <v>915</v>
      </c>
      <c r="D499" s="2" t="s">
        <v>1157</v>
      </c>
      <c r="E499" s="2"/>
      <c r="F499" s="2"/>
      <c r="G499" s="2"/>
      <c r="H499" s="2"/>
    </row>
    <row r="500" spans="1:8" x14ac:dyDescent="0.25">
      <c r="A500" s="2" t="s">
        <v>1897</v>
      </c>
      <c r="B500" s="2" t="s">
        <v>2549</v>
      </c>
      <c r="C500" s="2" t="s">
        <v>915</v>
      </c>
      <c r="D500" s="2" t="s">
        <v>1157</v>
      </c>
      <c r="E500" s="2"/>
      <c r="F500" s="2"/>
      <c r="G500" s="2"/>
      <c r="H500" s="2"/>
    </row>
    <row r="501" spans="1:8" x14ac:dyDescent="0.25">
      <c r="A501" s="2" t="s">
        <v>1898</v>
      </c>
      <c r="B501" s="2" t="s">
        <v>2549</v>
      </c>
      <c r="C501" s="2" t="s">
        <v>915</v>
      </c>
      <c r="D501" s="2" t="s">
        <v>1086</v>
      </c>
      <c r="E501" s="2"/>
      <c r="F501" s="2"/>
      <c r="G501" s="2"/>
      <c r="H501" s="2"/>
    </row>
    <row r="502" spans="1:8" x14ac:dyDescent="0.25">
      <c r="A502" s="2" t="s">
        <v>1899</v>
      </c>
      <c r="B502" s="2" t="s">
        <v>2549</v>
      </c>
      <c r="C502" s="2" t="s">
        <v>1107</v>
      </c>
      <c r="D502" s="2" t="s">
        <v>916</v>
      </c>
      <c r="E502" s="2"/>
      <c r="F502" s="2"/>
      <c r="G502" s="2"/>
      <c r="H502" s="2"/>
    </row>
    <row r="503" spans="1:8" x14ac:dyDescent="0.25">
      <c r="A503" s="2" t="s">
        <v>1900</v>
      </c>
      <c r="B503" s="2" t="s">
        <v>2549</v>
      </c>
      <c r="C503" s="2" t="s">
        <v>1107</v>
      </c>
      <c r="D503" s="2" t="s">
        <v>916</v>
      </c>
      <c r="E503" s="2"/>
      <c r="F503" s="2"/>
      <c r="G503" s="2"/>
      <c r="H503" s="2"/>
    </row>
    <row r="504" spans="1:8" x14ac:dyDescent="0.25">
      <c r="A504" s="2" t="s">
        <v>1901</v>
      </c>
      <c r="B504" s="2" t="s">
        <v>2549</v>
      </c>
      <c r="C504" s="2" t="s">
        <v>1107</v>
      </c>
      <c r="D504" s="2" t="s">
        <v>916</v>
      </c>
      <c r="E504" s="2"/>
      <c r="F504" s="2"/>
      <c r="G504" s="2"/>
      <c r="H504" s="2"/>
    </row>
    <row r="505" spans="1:8" x14ac:dyDescent="0.25">
      <c r="A505" s="2" t="s">
        <v>1902</v>
      </c>
      <c r="B505" s="2" t="s">
        <v>2550</v>
      </c>
      <c r="C505" s="2" t="s">
        <v>2423</v>
      </c>
      <c r="D505" s="2" t="s">
        <v>1031</v>
      </c>
      <c r="E505" s="2" t="s">
        <v>1093</v>
      </c>
      <c r="F505" s="2"/>
      <c r="G505" s="2"/>
      <c r="H505" s="2"/>
    </row>
    <row r="506" spans="1:8" x14ac:dyDescent="0.25">
      <c r="A506" s="2" t="s">
        <v>1903</v>
      </c>
      <c r="B506" s="2" t="s">
        <v>2550</v>
      </c>
      <c r="C506" s="2" t="s">
        <v>2423</v>
      </c>
      <c r="D506" s="2" t="s">
        <v>1019</v>
      </c>
      <c r="E506" s="2" t="s">
        <v>1031</v>
      </c>
      <c r="F506" s="2"/>
      <c r="G506" s="2"/>
      <c r="H506" s="2"/>
    </row>
    <row r="507" spans="1:8" x14ac:dyDescent="0.25">
      <c r="A507" s="2" t="s">
        <v>1904</v>
      </c>
      <c r="B507" s="2" t="s">
        <v>2550</v>
      </c>
      <c r="C507" s="2" t="s">
        <v>1072</v>
      </c>
      <c r="D507" s="2" t="s">
        <v>1093</v>
      </c>
      <c r="E507" s="2" t="s">
        <v>1170</v>
      </c>
      <c r="F507" s="2"/>
      <c r="G507" s="2"/>
      <c r="H507" s="2"/>
    </row>
    <row r="508" spans="1:8" x14ac:dyDescent="0.25">
      <c r="A508" s="2" t="s">
        <v>1905</v>
      </c>
      <c r="B508" s="2" t="s">
        <v>2550</v>
      </c>
      <c r="C508" s="2" t="s">
        <v>1027</v>
      </c>
      <c r="D508" s="2" t="s">
        <v>2517</v>
      </c>
      <c r="E508" s="2" t="s">
        <v>1099</v>
      </c>
      <c r="F508" s="2"/>
      <c r="G508" s="2"/>
      <c r="H508" s="2"/>
    </row>
    <row r="509" spans="1:8" x14ac:dyDescent="0.25">
      <c r="A509" s="2" t="s">
        <v>1906</v>
      </c>
      <c r="B509" s="2" t="s">
        <v>2550</v>
      </c>
      <c r="C509" s="2" t="s">
        <v>1027</v>
      </c>
      <c r="D509" s="2" t="s">
        <v>2517</v>
      </c>
      <c r="E509" s="2" t="s">
        <v>1099</v>
      </c>
      <c r="F509" s="2"/>
      <c r="G509" s="2"/>
      <c r="H509" s="2"/>
    </row>
    <row r="510" spans="1:8" x14ac:dyDescent="0.25">
      <c r="A510" s="2" t="s">
        <v>1907</v>
      </c>
      <c r="B510" s="2" t="s">
        <v>2550</v>
      </c>
      <c r="C510" s="2" t="s">
        <v>1041</v>
      </c>
      <c r="D510" s="2" t="s">
        <v>2505</v>
      </c>
      <c r="E510" s="2" t="s">
        <v>1168</v>
      </c>
      <c r="F510" s="2"/>
      <c r="G510" s="2"/>
      <c r="H510" s="2"/>
    </row>
    <row r="511" spans="1:8" x14ac:dyDescent="0.25">
      <c r="A511" s="2" t="s">
        <v>1908</v>
      </c>
      <c r="B511" s="2" t="s">
        <v>2550</v>
      </c>
      <c r="C511" s="2" t="s">
        <v>1041</v>
      </c>
      <c r="D511" s="2" t="s">
        <v>2505</v>
      </c>
      <c r="E511" s="2" t="s">
        <v>1168</v>
      </c>
      <c r="F511" s="2"/>
      <c r="G511" s="2"/>
      <c r="H511" s="2"/>
    </row>
    <row r="512" spans="1:8" x14ac:dyDescent="0.25">
      <c r="A512" s="2" t="s">
        <v>1909</v>
      </c>
      <c r="B512" s="2" t="s">
        <v>2549</v>
      </c>
      <c r="C512" s="2" t="s">
        <v>1002</v>
      </c>
      <c r="D512" s="2" t="s">
        <v>923</v>
      </c>
      <c r="E512" s="2"/>
      <c r="F512" s="2"/>
      <c r="G512" s="2"/>
      <c r="H512" s="2"/>
    </row>
    <row r="513" spans="1:8" x14ac:dyDescent="0.25">
      <c r="A513" s="2" t="s">
        <v>1910</v>
      </c>
      <c r="B513" s="2" t="s">
        <v>2549</v>
      </c>
      <c r="C513" s="2" t="s">
        <v>1002</v>
      </c>
      <c r="D513" s="2" t="s">
        <v>923</v>
      </c>
      <c r="E513" s="2"/>
      <c r="F513" s="2"/>
      <c r="G513" s="2"/>
      <c r="H513" s="2"/>
    </row>
    <row r="514" spans="1:8" x14ac:dyDescent="0.25">
      <c r="A514" s="2" t="s">
        <v>1911</v>
      </c>
      <c r="B514" s="2" t="s">
        <v>2549</v>
      </c>
      <c r="C514" s="2" t="s">
        <v>915</v>
      </c>
      <c r="D514" s="2" t="s">
        <v>1002</v>
      </c>
      <c r="E514" s="2"/>
      <c r="F514" s="2"/>
      <c r="G514" s="2"/>
      <c r="H514" s="2"/>
    </row>
    <row r="515" spans="1:8" x14ac:dyDescent="0.25">
      <c r="A515" s="2" t="s">
        <v>1912</v>
      </c>
      <c r="B515" s="2" t="s">
        <v>2549</v>
      </c>
      <c r="C515" s="2" t="s">
        <v>915</v>
      </c>
      <c r="D515" s="2" t="s">
        <v>1002</v>
      </c>
      <c r="E515" s="2"/>
      <c r="F515" s="2"/>
      <c r="G515" s="2"/>
      <c r="H515" s="2"/>
    </row>
    <row r="516" spans="1:8" x14ac:dyDescent="0.25">
      <c r="A516" s="2" t="s">
        <v>1913</v>
      </c>
      <c r="B516" s="2" t="s">
        <v>2549</v>
      </c>
      <c r="C516" s="2" t="s">
        <v>1002</v>
      </c>
      <c r="D516" s="2" t="s">
        <v>916</v>
      </c>
      <c r="E516" s="2"/>
      <c r="F516" s="2"/>
      <c r="G516" s="2"/>
      <c r="H516" s="2"/>
    </row>
    <row r="517" spans="1:8" x14ac:dyDescent="0.25">
      <c r="A517" s="2" t="s">
        <v>1914</v>
      </c>
      <c r="B517" s="2" t="s">
        <v>2549</v>
      </c>
      <c r="C517" s="2" t="s">
        <v>1002</v>
      </c>
      <c r="D517" s="2" t="s">
        <v>916</v>
      </c>
      <c r="E517" s="2"/>
      <c r="F517" s="2"/>
      <c r="G517" s="2"/>
      <c r="H517" s="2"/>
    </row>
    <row r="518" spans="1:8" x14ac:dyDescent="0.25">
      <c r="A518" s="2" t="s">
        <v>1915</v>
      </c>
      <c r="B518" s="2" t="s">
        <v>2550</v>
      </c>
      <c r="C518" s="2" t="s">
        <v>998</v>
      </c>
      <c r="D518" s="2" t="s">
        <v>1151</v>
      </c>
      <c r="E518" s="2" t="s">
        <v>2531</v>
      </c>
      <c r="F518" s="2"/>
      <c r="G518" s="2"/>
      <c r="H518" s="2"/>
    </row>
    <row r="519" spans="1:8" x14ac:dyDescent="0.25">
      <c r="A519" s="2" t="s">
        <v>1916</v>
      </c>
      <c r="B519" s="2" t="s">
        <v>2550</v>
      </c>
      <c r="C519" s="2" t="s">
        <v>998</v>
      </c>
      <c r="D519" s="2" t="s">
        <v>1151</v>
      </c>
      <c r="E519" s="2" t="s">
        <v>2531</v>
      </c>
      <c r="F519" s="2"/>
      <c r="G519" s="2"/>
      <c r="H519" s="2"/>
    </row>
    <row r="520" spans="1:8" x14ac:dyDescent="0.25">
      <c r="A520" s="2" t="s">
        <v>1917</v>
      </c>
      <c r="B520" s="2" t="s">
        <v>2550</v>
      </c>
      <c r="C520" s="2" t="s">
        <v>2429</v>
      </c>
      <c r="D520" s="2" t="s">
        <v>1088</v>
      </c>
      <c r="E520" s="2" t="s">
        <v>1145</v>
      </c>
      <c r="F520" s="2"/>
      <c r="G520" s="2"/>
      <c r="H520" s="2"/>
    </row>
    <row r="521" spans="1:8" x14ac:dyDescent="0.25">
      <c r="A521" s="2" t="s">
        <v>1918</v>
      </c>
      <c r="B521" s="2" t="s">
        <v>2550</v>
      </c>
      <c r="C521" s="2" t="s">
        <v>2429</v>
      </c>
      <c r="D521" s="2" t="s">
        <v>1088</v>
      </c>
      <c r="E521" s="2" t="s">
        <v>1145</v>
      </c>
      <c r="F521" s="2"/>
      <c r="G521" s="2"/>
      <c r="H521" s="2"/>
    </row>
    <row r="522" spans="1:8" x14ac:dyDescent="0.25">
      <c r="A522" s="2" t="s">
        <v>1919</v>
      </c>
      <c r="B522" s="2" t="s">
        <v>2550</v>
      </c>
      <c r="C522" s="2" t="s">
        <v>2429</v>
      </c>
      <c r="D522" s="2" t="s">
        <v>1088</v>
      </c>
      <c r="E522" s="2" t="s">
        <v>1145</v>
      </c>
      <c r="F522" s="2"/>
      <c r="G522" s="2"/>
      <c r="H522" s="2"/>
    </row>
    <row r="523" spans="1:8" x14ac:dyDescent="0.25">
      <c r="A523" s="2" t="s">
        <v>1920</v>
      </c>
      <c r="B523" s="2" t="s">
        <v>2550</v>
      </c>
      <c r="C523" s="2" t="s">
        <v>1039</v>
      </c>
      <c r="D523" s="2" t="s">
        <v>1057</v>
      </c>
      <c r="E523" s="2" t="s">
        <v>2519</v>
      </c>
      <c r="F523" s="2"/>
      <c r="G523" s="2"/>
      <c r="H523" s="2"/>
    </row>
    <row r="524" spans="1:8" x14ac:dyDescent="0.25">
      <c r="A524" s="2" t="s">
        <v>1921</v>
      </c>
      <c r="B524" s="2" t="s">
        <v>2550</v>
      </c>
      <c r="C524" s="2" t="s">
        <v>1039</v>
      </c>
      <c r="D524" s="2" t="s">
        <v>1057</v>
      </c>
      <c r="E524" s="2" t="s">
        <v>2519</v>
      </c>
      <c r="F524" s="2"/>
      <c r="G524" s="2"/>
      <c r="H524" s="2"/>
    </row>
    <row r="525" spans="1:8" x14ac:dyDescent="0.25">
      <c r="A525" s="2" t="s">
        <v>1922</v>
      </c>
      <c r="B525" s="2" t="s">
        <v>2549</v>
      </c>
      <c r="C525" s="2" t="s">
        <v>2515</v>
      </c>
      <c r="D525" s="2" t="s">
        <v>1141</v>
      </c>
      <c r="E525" s="2"/>
      <c r="F525" s="2"/>
      <c r="G525" s="2"/>
      <c r="H525" s="2"/>
    </row>
    <row r="526" spans="1:8" x14ac:dyDescent="0.25">
      <c r="A526" s="2" t="s">
        <v>1923</v>
      </c>
      <c r="B526" s="2" t="s">
        <v>2549</v>
      </c>
      <c r="C526" s="2" t="s">
        <v>2515</v>
      </c>
      <c r="D526" s="2" t="s">
        <v>1141</v>
      </c>
      <c r="E526" s="2"/>
      <c r="F526" s="2"/>
      <c r="G526" s="2"/>
      <c r="H526" s="2"/>
    </row>
    <row r="527" spans="1:8" x14ac:dyDescent="0.25">
      <c r="A527" s="2" t="s">
        <v>1924</v>
      </c>
      <c r="B527" s="2" t="s">
        <v>2549</v>
      </c>
      <c r="C527" s="2" t="s">
        <v>2515</v>
      </c>
      <c r="D527" s="2" t="s">
        <v>1141</v>
      </c>
      <c r="E527" s="2"/>
      <c r="F527" s="2"/>
      <c r="G527" s="2"/>
      <c r="H527" s="2"/>
    </row>
    <row r="528" spans="1:8" x14ac:dyDescent="0.25">
      <c r="A528" s="2" t="s">
        <v>1925</v>
      </c>
      <c r="B528" s="2" t="s">
        <v>2550</v>
      </c>
      <c r="C528" s="2" t="s">
        <v>1033</v>
      </c>
      <c r="D528" s="2" t="s">
        <v>1110</v>
      </c>
      <c r="E528" s="2" t="s">
        <v>1166</v>
      </c>
      <c r="F528" s="2"/>
      <c r="G528" s="2"/>
      <c r="H528" s="2"/>
    </row>
    <row r="529" spans="1:8" x14ac:dyDescent="0.25">
      <c r="A529" s="2" t="s">
        <v>1926</v>
      </c>
      <c r="B529" s="2" t="s">
        <v>2550</v>
      </c>
      <c r="C529" s="2" t="s">
        <v>1033</v>
      </c>
      <c r="D529" s="2" t="s">
        <v>1110</v>
      </c>
      <c r="E529" s="2" t="s">
        <v>1166</v>
      </c>
      <c r="F529" s="2"/>
      <c r="G529" s="2"/>
      <c r="H529" s="2"/>
    </row>
    <row r="530" spans="1:8" x14ac:dyDescent="0.25">
      <c r="A530" s="2" t="s">
        <v>1927</v>
      </c>
      <c r="B530" s="2" t="s">
        <v>2550</v>
      </c>
      <c r="C530" s="2" t="s">
        <v>1055</v>
      </c>
      <c r="D530" s="2" t="s">
        <v>2515</v>
      </c>
      <c r="E530" s="2" t="s">
        <v>2517</v>
      </c>
      <c r="F530" s="2"/>
      <c r="G530" s="2"/>
      <c r="H530" s="2"/>
    </row>
    <row r="531" spans="1:8" x14ac:dyDescent="0.25">
      <c r="A531" s="2" t="s">
        <v>1928</v>
      </c>
      <c r="B531" s="2" t="s">
        <v>2550</v>
      </c>
      <c r="C531" s="2" t="s">
        <v>1055</v>
      </c>
      <c r="D531" s="2" t="s">
        <v>2515</v>
      </c>
      <c r="E531" s="2" t="s">
        <v>2517</v>
      </c>
      <c r="F531" s="2"/>
      <c r="G531" s="2"/>
      <c r="H531" s="2"/>
    </row>
    <row r="532" spans="1:8" x14ac:dyDescent="0.25">
      <c r="A532" s="2" t="s">
        <v>1929</v>
      </c>
      <c r="B532" s="2" t="s">
        <v>2550</v>
      </c>
      <c r="C532" s="2" t="s">
        <v>2465</v>
      </c>
      <c r="D532" s="2" t="s">
        <v>1033</v>
      </c>
      <c r="E532" s="2" t="s">
        <v>2513</v>
      </c>
      <c r="F532" s="2"/>
      <c r="G532" s="2"/>
      <c r="H532" s="2"/>
    </row>
    <row r="533" spans="1:8" x14ac:dyDescent="0.25">
      <c r="A533" s="2" t="s">
        <v>1930</v>
      </c>
      <c r="B533" s="2" t="s">
        <v>2550</v>
      </c>
      <c r="C533" s="2" t="s">
        <v>1004</v>
      </c>
      <c r="D533" s="2" t="s">
        <v>1029</v>
      </c>
      <c r="E533" s="2" t="s">
        <v>2521</v>
      </c>
      <c r="F533" s="2"/>
      <c r="G533" s="2"/>
      <c r="H533" s="2"/>
    </row>
    <row r="534" spans="1:8" x14ac:dyDescent="0.25">
      <c r="A534" s="2" t="s">
        <v>1931</v>
      </c>
      <c r="B534" s="2" t="s">
        <v>2550</v>
      </c>
      <c r="C534" s="2" t="s">
        <v>1004</v>
      </c>
      <c r="D534" s="2" t="s">
        <v>1029</v>
      </c>
      <c r="E534" s="2" t="s">
        <v>2521</v>
      </c>
      <c r="F534" s="2"/>
      <c r="G534" s="2"/>
      <c r="H534" s="2"/>
    </row>
    <row r="535" spans="1:8" x14ac:dyDescent="0.25">
      <c r="A535" s="2" t="s">
        <v>1932</v>
      </c>
      <c r="B535" s="2" t="s">
        <v>2550</v>
      </c>
      <c r="C535" s="2" t="s">
        <v>1004</v>
      </c>
      <c r="D535" s="2" t="s">
        <v>1029</v>
      </c>
      <c r="E535" s="2" t="s">
        <v>2521</v>
      </c>
      <c r="F535" s="2"/>
      <c r="G535" s="2"/>
      <c r="H535" s="2"/>
    </row>
    <row r="536" spans="1:8" x14ac:dyDescent="0.25">
      <c r="A536" s="2" t="s">
        <v>1933</v>
      </c>
      <c r="B536" s="2" t="s">
        <v>2550</v>
      </c>
      <c r="C536" s="2" t="s">
        <v>1013</v>
      </c>
      <c r="D536" s="2" t="s">
        <v>1149</v>
      </c>
      <c r="E536" s="2" t="s">
        <v>1173</v>
      </c>
      <c r="F536" s="2"/>
      <c r="G536" s="2"/>
      <c r="H536" s="2"/>
    </row>
    <row r="537" spans="1:8" x14ac:dyDescent="0.25">
      <c r="A537" s="2" t="s">
        <v>1934</v>
      </c>
      <c r="B537" s="2" t="s">
        <v>2550</v>
      </c>
      <c r="C537" s="2" t="s">
        <v>1013</v>
      </c>
      <c r="D537" s="2" t="s">
        <v>1149</v>
      </c>
      <c r="E537" s="2" t="s">
        <v>1173</v>
      </c>
      <c r="F537" s="2"/>
      <c r="G537" s="2"/>
      <c r="H537" s="2"/>
    </row>
    <row r="538" spans="1:8" x14ac:dyDescent="0.25">
      <c r="A538" s="2" t="s">
        <v>1935</v>
      </c>
      <c r="B538" s="2" t="s">
        <v>2550</v>
      </c>
      <c r="C538" s="2" t="s">
        <v>2503</v>
      </c>
      <c r="D538" s="2" t="s">
        <v>1149</v>
      </c>
      <c r="E538" s="2" t="s">
        <v>1173</v>
      </c>
      <c r="F538" s="2"/>
      <c r="G538" s="2"/>
      <c r="H538" s="2"/>
    </row>
    <row r="539" spans="1:8" x14ac:dyDescent="0.25">
      <c r="A539" s="2" t="s">
        <v>1936</v>
      </c>
      <c r="B539" s="2" t="s">
        <v>2550</v>
      </c>
      <c r="C539" s="2" t="s">
        <v>1004</v>
      </c>
      <c r="D539" s="2" t="s">
        <v>1023</v>
      </c>
      <c r="E539" s="2" t="s">
        <v>1055</v>
      </c>
      <c r="F539" s="2"/>
      <c r="G539" s="2"/>
      <c r="H539" s="2"/>
    </row>
    <row r="540" spans="1:8" x14ac:dyDescent="0.25">
      <c r="A540" s="2" t="s">
        <v>1937</v>
      </c>
      <c r="B540" s="2" t="s">
        <v>2550</v>
      </c>
      <c r="C540" s="2" t="s">
        <v>1023</v>
      </c>
      <c r="D540" s="2" t="s">
        <v>1055</v>
      </c>
      <c r="E540" s="2" t="s">
        <v>1141</v>
      </c>
      <c r="F540" s="2"/>
      <c r="G540" s="2"/>
      <c r="H540" s="2"/>
    </row>
    <row r="541" spans="1:8" x14ac:dyDescent="0.25">
      <c r="A541" s="2" t="s">
        <v>1938</v>
      </c>
      <c r="B541" s="2" t="s">
        <v>2550</v>
      </c>
      <c r="C541" s="2" t="s">
        <v>921</v>
      </c>
      <c r="D541" s="2" t="s">
        <v>2495</v>
      </c>
      <c r="E541" s="2" t="s">
        <v>1147</v>
      </c>
      <c r="F541" s="2"/>
      <c r="G541" s="2"/>
      <c r="H541" s="2"/>
    </row>
    <row r="542" spans="1:8" x14ac:dyDescent="0.25">
      <c r="A542" s="2" t="s">
        <v>1939</v>
      </c>
      <c r="B542" s="2" t="s">
        <v>2550</v>
      </c>
      <c r="C542" s="2" t="s">
        <v>921</v>
      </c>
      <c r="D542" s="2" t="s">
        <v>1035</v>
      </c>
      <c r="E542" s="2" t="s">
        <v>2495</v>
      </c>
      <c r="F542" s="2"/>
      <c r="G542" s="2"/>
      <c r="H542" s="2"/>
    </row>
    <row r="543" spans="1:8" x14ac:dyDescent="0.25">
      <c r="A543" s="2" t="s">
        <v>1940</v>
      </c>
      <c r="B543" s="2" t="s">
        <v>2550</v>
      </c>
      <c r="C543" s="2" t="s">
        <v>921</v>
      </c>
      <c r="D543" s="2" t="s">
        <v>2495</v>
      </c>
      <c r="E543" s="2" t="s">
        <v>1147</v>
      </c>
      <c r="F543" s="2"/>
      <c r="G543" s="2"/>
      <c r="H543" s="2"/>
    </row>
    <row r="544" spans="1:8" x14ac:dyDescent="0.25">
      <c r="A544" s="2" t="s">
        <v>1941</v>
      </c>
      <c r="B544" s="2" t="s">
        <v>2551</v>
      </c>
      <c r="C544" s="2" t="s">
        <v>1077</v>
      </c>
      <c r="D544" s="2" t="s">
        <v>1082</v>
      </c>
      <c r="E544" s="2" t="s">
        <v>1127</v>
      </c>
      <c r="F544" s="2" t="s">
        <v>1147</v>
      </c>
      <c r="G544" s="2"/>
      <c r="H544" s="2"/>
    </row>
    <row r="545" spans="1:8" x14ac:dyDescent="0.25">
      <c r="A545" s="2" t="s">
        <v>1942</v>
      </c>
      <c r="B545" s="2" t="s">
        <v>2551</v>
      </c>
      <c r="C545" s="2" t="s">
        <v>1077</v>
      </c>
      <c r="D545" s="2" t="s">
        <v>1082</v>
      </c>
      <c r="E545" s="2" t="s">
        <v>1127</v>
      </c>
      <c r="F545" s="2" t="s">
        <v>1147</v>
      </c>
      <c r="G545" s="2"/>
      <c r="H545" s="2"/>
    </row>
    <row r="546" spans="1:8" x14ac:dyDescent="0.25">
      <c r="A546" s="2" t="s">
        <v>1943</v>
      </c>
      <c r="B546" s="2" t="s">
        <v>2551</v>
      </c>
      <c r="C546" s="2" t="s">
        <v>1077</v>
      </c>
      <c r="D546" s="2" t="s">
        <v>1082</v>
      </c>
      <c r="E546" s="2" t="s">
        <v>1127</v>
      </c>
      <c r="F546" s="2" t="s">
        <v>1147</v>
      </c>
      <c r="G546" s="2"/>
      <c r="H546" s="2"/>
    </row>
    <row r="547" spans="1:8" x14ac:dyDescent="0.25">
      <c r="A547" s="2" t="s">
        <v>1944</v>
      </c>
      <c r="B547" s="2" t="s">
        <v>2550</v>
      </c>
      <c r="C547" s="2" t="s">
        <v>921</v>
      </c>
      <c r="D547" s="2" t="s">
        <v>2473</v>
      </c>
      <c r="E547" s="2" t="s">
        <v>2505</v>
      </c>
      <c r="F547" s="2"/>
      <c r="G547" s="2"/>
      <c r="H547" s="2"/>
    </row>
    <row r="548" spans="1:8" x14ac:dyDescent="0.25">
      <c r="A548" s="2" t="s">
        <v>1945</v>
      </c>
      <c r="B548" s="2" t="s">
        <v>2550</v>
      </c>
      <c r="C548" s="2" t="s">
        <v>921</v>
      </c>
      <c r="D548" s="2" t="s">
        <v>2473</v>
      </c>
      <c r="E548" s="2" t="s">
        <v>2505</v>
      </c>
      <c r="F548" s="2"/>
      <c r="G548" s="2"/>
      <c r="H548" s="2"/>
    </row>
    <row r="549" spans="1:8" x14ac:dyDescent="0.25">
      <c r="A549" s="2" t="s">
        <v>1946</v>
      </c>
      <c r="B549" s="2" t="s">
        <v>2550</v>
      </c>
      <c r="C549" s="2" t="s">
        <v>921</v>
      </c>
      <c r="D549" s="2" t="s">
        <v>1035</v>
      </c>
      <c r="E549" s="2" t="s">
        <v>1070</v>
      </c>
      <c r="F549" s="2"/>
      <c r="G549" s="2"/>
      <c r="H549" s="2"/>
    </row>
    <row r="550" spans="1:8" x14ac:dyDescent="0.25">
      <c r="A550" s="2" t="s">
        <v>1947</v>
      </c>
      <c r="B550" s="2" t="s">
        <v>2550</v>
      </c>
      <c r="C550" s="2" t="s">
        <v>921</v>
      </c>
      <c r="D550" s="2" t="s">
        <v>1035</v>
      </c>
      <c r="E550" s="2" t="s">
        <v>1070</v>
      </c>
      <c r="F550" s="2"/>
      <c r="G550" s="2"/>
      <c r="H550" s="2"/>
    </row>
    <row r="551" spans="1:8" x14ac:dyDescent="0.25">
      <c r="A551" s="2" t="s">
        <v>1948</v>
      </c>
      <c r="B551" s="2" t="s">
        <v>2550</v>
      </c>
      <c r="C551" s="2" t="s">
        <v>947</v>
      </c>
      <c r="D551" s="2" t="s">
        <v>1055</v>
      </c>
      <c r="E551" s="2" t="s">
        <v>1086</v>
      </c>
      <c r="F551" s="2"/>
      <c r="G551" s="2"/>
      <c r="H551" s="2"/>
    </row>
    <row r="552" spans="1:8" x14ac:dyDescent="0.25">
      <c r="A552" s="2" t="s">
        <v>1949</v>
      </c>
      <c r="B552" s="2" t="s">
        <v>2550</v>
      </c>
      <c r="C552" s="2" t="s">
        <v>953</v>
      </c>
      <c r="D552" s="2" t="s">
        <v>1027</v>
      </c>
      <c r="E552" s="2" t="s">
        <v>2489</v>
      </c>
      <c r="F552" s="2"/>
      <c r="G552" s="2"/>
      <c r="H552" s="2"/>
    </row>
    <row r="553" spans="1:8" x14ac:dyDescent="0.25">
      <c r="A553" s="2" t="s">
        <v>1950</v>
      </c>
      <c r="B553" s="2" t="s">
        <v>2550</v>
      </c>
      <c r="C553" s="2" t="s">
        <v>953</v>
      </c>
      <c r="D553" s="2" t="s">
        <v>1027</v>
      </c>
      <c r="E553" s="2" t="s">
        <v>2489</v>
      </c>
      <c r="F553" s="2"/>
      <c r="G553" s="2"/>
      <c r="H553" s="2"/>
    </row>
    <row r="554" spans="1:8" x14ac:dyDescent="0.25">
      <c r="A554" s="2" t="s">
        <v>1951</v>
      </c>
      <c r="B554" s="2" t="s">
        <v>2550</v>
      </c>
      <c r="C554" s="2" t="s">
        <v>953</v>
      </c>
      <c r="D554" s="2" t="s">
        <v>1027</v>
      </c>
      <c r="E554" s="2" t="s">
        <v>2489</v>
      </c>
      <c r="F554" s="2"/>
      <c r="G554" s="2"/>
      <c r="H554" s="2"/>
    </row>
    <row r="555" spans="1:8" x14ac:dyDescent="0.25">
      <c r="A555" s="2" t="s">
        <v>1952</v>
      </c>
      <c r="B555" s="2" t="s">
        <v>2549</v>
      </c>
      <c r="C555" s="2" t="s">
        <v>1011</v>
      </c>
      <c r="D555" s="2" t="s">
        <v>1023</v>
      </c>
      <c r="E555" s="2"/>
      <c r="F555" s="2"/>
      <c r="G555" s="2"/>
      <c r="H555" s="2"/>
    </row>
    <row r="556" spans="1:8" x14ac:dyDescent="0.25">
      <c r="A556" s="2" t="s">
        <v>2559</v>
      </c>
      <c r="B556" s="2" t="s">
        <v>2549</v>
      </c>
      <c r="C556" s="2" t="s">
        <v>2521</v>
      </c>
      <c r="D556" s="2" t="s">
        <v>2547</v>
      </c>
      <c r="E556" s="2"/>
      <c r="F556" s="2"/>
      <c r="G556" s="2"/>
      <c r="H556" s="2"/>
    </row>
    <row r="557" spans="1:8" x14ac:dyDescent="0.25">
      <c r="A557" s="2" t="s">
        <v>1953</v>
      </c>
      <c r="B557" s="2" t="s">
        <v>2550</v>
      </c>
      <c r="C557" s="2" t="s">
        <v>921</v>
      </c>
      <c r="D557" s="2" t="s">
        <v>1139</v>
      </c>
      <c r="E557" s="2" t="s">
        <v>1173</v>
      </c>
      <c r="F557" s="2"/>
      <c r="G557" s="2"/>
      <c r="H557" s="2"/>
    </row>
    <row r="558" spans="1:8" x14ac:dyDescent="0.25">
      <c r="A558" s="2" t="s">
        <v>1954</v>
      </c>
      <c r="B558" s="2" t="s">
        <v>2550</v>
      </c>
      <c r="C558" s="2" t="s">
        <v>1107</v>
      </c>
      <c r="D558" s="2" t="s">
        <v>1141</v>
      </c>
      <c r="E558" s="2" t="s">
        <v>2543</v>
      </c>
      <c r="F558" s="2"/>
      <c r="G558" s="2"/>
      <c r="H558" s="2"/>
    </row>
    <row r="559" spans="1:8" x14ac:dyDescent="0.25">
      <c r="A559" s="2" t="s">
        <v>1955</v>
      </c>
      <c r="B559" s="2" t="s">
        <v>2550</v>
      </c>
      <c r="C559" s="2" t="s">
        <v>1107</v>
      </c>
      <c r="D559" s="2" t="s">
        <v>1141</v>
      </c>
      <c r="E559" s="2" t="s">
        <v>2543</v>
      </c>
      <c r="F559" s="2"/>
      <c r="G559" s="2"/>
      <c r="H559" s="2"/>
    </row>
    <row r="560" spans="1:8" x14ac:dyDescent="0.25">
      <c r="A560" s="2" t="s">
        <v>1956</v>
      </c>
      <c r="B560" s="2" t="s">
        <v>2550</v>
      </c>
      <c r="C560" s="2" t="s">
        <v>1027</v>
      </c>
      <c r="D560" s="2" t="s">
        <v>2489</v>
      </c>
      <c r="E560" s="2" t="s">
        <v>1105</v>
      </c>
      <c r="F560" s="2"/>
      <c r="G560" s="2"/>
      <c r="H560" s="2"/>
    </row>
    <row r="561" spans="1:8" x14ac:dyDescent="0.25">
      <c r="A561" s="2" t="s">
        <v>1957</v>
      </c>
      <c r="B561" s="2" t="s">
        <v>2550</v>
      </c>
      <c r="C561" s="2" t="s">
        <v>1027</v>
      </c>
      <c r="D561" s="2" t="s">
        <v>2489</v>
      </c>
      <c r="E561" s="2" t="s">
        <v>1105</v>
      </c>
      <c r="F561" s="2"/>
      <c r="G561" s="2"/>
      <c r="H561" s="2"/>
    </row>
    <row r="562" spans="1:8" x14ac:dyDescent="0.25">
      <c r="A562" s="2" t="s">
        <v>1958</v>
      </c>
      <c r="B562" s="2" t="s">
        <v>2550</v>
      </c>
      <c r="C562" s="2" t="s">
        <v>1045</v>
      </c>
      <c r="D562" s="2" t="s">
        <v>1159</v>
      </c>
      <c r="E562" s="2" t="s">
        <v>2545</v>
      </c>
      <c r="F562" s="2"/>
      <c r="G562" s="2"/>
      <c r="H562" s="2"/>
    </row>
    <row r="563" spans="1:8" x14ac:dyDescent="0.25">
      <c r="A563" s="2" t="s">
        <v>1959</v>
      </c>
      <c r="B563" s="2" t="s">
        <v>2552</v>
      </c>
      <c r="C563" s="2" t="s">
        <v>2493</v>
      </c>
      <c r="D563" s="2"/>
      <c r="E563" s="2"/>
      <c r="F563" s="2"/>
      <c r="G563" s="2"/>
      <c r="H563" s="2"/>
    </row>
    <row r="564" spans="1:8" x14ac:dyDescent="0.25">
      <c r="A564" s="2" t="s">
        <v>1960</v>
      </c>
      <c r="B564" s="2" t="s">
        <v>2552</v>
      </c>
      <c r="C564" s="2" t="s">
        <v>2493</v>
      </c>
      <c r="D564" s="2"/>
      <c r="E564" s="2"/>
      <c r="F564" s="2"/>
      <c r="G564" s="2"/>
      <c r="H564" s="2"/>
    </row>
    <row r="565" spans="1:8" x14ac:dyDescent="0.25">
      <c r="A565" s="2" t="s">
        <v>1961</v>
      </c>
      <c r="B565" s="2" t="s">
        <v>2550</v>
      </c>
      <c r="C565" s="2" t="s">
        <v>1124</v>
      </c>
      <c r="D565" s="2" t="s">
        <v>1141</v>
      </c>
      <c r="E565" s="2" t="s">
        <v>1149</v>
      </c>
      <c r="F565" s="2"/>
      <c r="G565" s="2"/>
      <c r="H565" s="2"/>
    </row>
    <row r="566" spans="1:8" x14ac:dyDescent="0.25">
      <c r="A566" s="2" t="s">
        <v>1962</v>
      </c>
      <c r="B566" s="2" t="s">
        <v>2550</v>
      </c>
      <c r="C566" s="2" t="s">
        <v>1124</v>
      </c>
      <c r="D566" s="2" t="s">
        <v>1141</v>
      </c>
      <c r="E566" s="2" t="s">
        <v>1149</v>
      </c>
      <c r="F566" s="2"/>
      <c r="G566" s="2"/>
      <c r="H566" s="2"/>
    </row>
    <row r="567" spans="1:8" x14ac:dyDescent="0.25">
      <c r="A567" s="2" t="s">
        <v>1963</v>
      </c>
      <c r="B567" s="2" t="s">
        <v>2552</v>
      </c>
      <c r="C567" s="2" t="s">
        <v>2443</v>
      </c>
      <c r="D567" s="2"/>
      <c r="E567" s="2"/>
      <c r="F567" s="2"/>
      <c r="G567" s="2"/>
      <c r="H567" s="2"/>
    </row>
    <row r="568" spans="1:8" x14ac:dyDescent="0.25">
      <c r="A568" s="2" t="s">
        <v>1964</v>
      </c>
      <c r="B568" s="2" t="s">
        <v>2552</v>
      </c>
      <c r="C568" s="2" t="s">
        <v>2443</v>
      </c>
      <c r="D568" s="2"/>
      <c r="E568" s="2"/>
      <c r="F568" s="2"/>
      <c r="G568" s="2"/>
      <c r="H568" s="2"/>
    </row>
    <row r="569" spans="1:8" x14ac:dyDescent="0.25">
      <c r="A569" s="2" t="s">
        <v>1965</v>
      </c>
      <c r="B569" s="2" t="s">
        <v>2550</v>
      </c>
      <c r="C569" s="2" t="s">
        <v>949</v>
      </c>
      <c r="D569" s="2" t="s">
        <v>1135</v>
      </c>
      <c r="E569" s="2" t="s">
        <v>1137</v>
      </c>
      <c r="F569" s="2"/>
      <c r="G569" s="2"/>
      <c r="H569" s="2"/>
    </row>
    <row r="570" spans="1:8" x14ac:dyDescent="0.25">
      <c r="A570" s="2" t="s">
        <v>1966</v>
      </c>
      <c r="B570" s="2" t="s">
        <v>2550</v>
      </c>
      <c r="C570" s="2" t="s">
        <v>949</v>
      </c>
      <c r="D570" s="2" t="s">
        <v>1135</v>
      </c>
      <c r="E570" s="2" t="s">
        <v>2543</v>
      </c>
      <c r="F570" s="2"/>
      <c r="G570" s="2"/>
      <c r="H570" s="2"/>
    </row>
    <row r="571" spans="1:8" x14ac:dyDescent="0.25">
      <c r="A571" s="2" t="s">
        <v>1967</v>
      </c>
      <c r="B571" s="2" t="s">
        <v>2552</v>
      </c>
      <c r="C571" s="2" t="s">
        <v>2469</v>
      </c>
      <c r="D571" s="2"/>
      <c r="E571" s="2"/>
      <c r="F571" s="2"/>
      <c r="G571" s="2"/>
      <c r="H571" s="2"/>
    </row>
    <row r="572" spans="1:8" x14ac:dyDescent="0.25">
      <c r="A572" s="2" t="s">
        <v>1969</v>
      </c>
      <c r="B572" s="2" t="s">
        <v>2552</v>
      </c>
      <c r="C572" s="2" t="s">
        <v>2469</v>
      </c>
      <c r="D572" s="2"/>
      <c r="E572" s="2"/>
      <c r="F572" s="2"/>
      <c r="G572" s="2"/>
      <c r="H572" s="2"/>
    </row>
    <row r="573" spans="1:8" x14ac:dyDescent="0.25">
      <c r="A573" s="2" t="s">
        <v>1970</v>
      </c>
      <c r="B573" s="2" t="s">
        <v>2550</v>
      </c>
      <c r="C573" s="2" t="s">
        <v>972</v>
      </c>
      <c r="D573" s="2" t="s">
        <v>1112</v>
      </c>
      <c r="E573" s="2" t="s">
        <v>1155</v>
      </c>
      <c r="F573" s="2"/>
      <c r="G573" s="2"/>
      <c r="H573" s="2"/>
    </row>
    <row r="574" spans="1:8" x14ac:dyDescent="0.25">
      <c r="A574" s="2" t="s">
        <v>1971</v>
      </c>
      <c r="B574" s="2" t="s">
        <v>2550</v>
      </c>
      <c r="C574" s="2" t="s">
        <v>972</v>
      </c>
      <c r="D574" s="2" t="s">
        <v>1112</v>
      </c>
      <c r="E574" s="2" t="s">
        <v>1155</v>
      </c>
      <c r="F574" s="2"/>
      <c r="G574" s="2"/>
      <c r="H574" s="2"/>
    </row>
    <row r="575" spans="1:8" x14ac:dyDescent="0.25">
      <c r="A575" s="2" t="s">
        <v>1972</v>
      </c>
      <c r="B575" s="2" t="s">
        <v>2550</v>
      </c>
      <c r="C575" s="2" t="s">
        <v>2435</v>
      </c>
      <c r="D575" s="2" t="s">
        <v>1000</v>
      </c>
      <c r="E575" s="2" t="s">
        <v>1103</v>
      </c>
      <c r="F575" s="2"/>
      <c r="G575" s="2"/>
      <c r="H575" s="2"/>
    </row>
    <row r="576" spans="1:8" x14ac:dyDescent="0.25">
      <c r="A576" s="2" t="s">
        <v>1973</v>
      </c>
      <c r="B576" s="2" t="s">
        <v>2550</v>
      </c>
      <c r="C576" s="2" t="s">
        <v>2435</v>
      </c>
      <c r="D576" s="2" t="s">
        <v>1000</v>
      </c>
      <c r="E576" s="2" t="s">
        <v>1103</v>
      </c>
      <c r="F576" s="2"/>
      <c r="G576" s="2"/>
      <c r="H576" s="2"/>
    </row>
    <row r="577" spans="1:8" x14ac:dyDescent="0.25">
      <c r="A577" s="2" t="s">
        <v>1974</v>
      </c>
      <c r="B577" s="2" t="s">
        <v>2550</v>
      </c>
      <c r="C577" s="2" t="s">
        <v>2435</v>
      </c>
      <c r="D577" s="2" t="s">
        <v>1000</v>
      </c>
      <c r="E577" s="2" t="s">
        <v>1103</v>
      </c>
      <c r="F577" s="2"/>
      <c r="G577" s="2"/>
      <c r="H577" s="2"/>
    </row>
    <row r="578" spans="1:8" x14ac:dyDescent="0.25">
      <c r="A578" s="2" t="s">
        <v>1975</v>
      </c>
      <c r="B578" s="2" t="s">
        <v>2550</v>
      </c>
      <c r="C578" s="2" t="s">
        <v>1045</v>
      </c>
      <c r="D578" s="2" t="s">
        <v>2495</v>
      </c>
      <c r="E578" s="2" t="s">
        <v>2513</v>
      </c>
      <c r="F578" s="2"/>
      <c r="G578" s="2"/>
      <c r="H578" s="2"/>
    </row>
    <row r="579" spans="1:8" x14ac:dyDescent="0.25">
      <c r="A579" s="2" t="s">
        <v>1976</v>
      </c>
      <c r="B579" s="2" t="s">
        <v>2550</v>
      </c>
      <c r="C579" s="2" t="s">
        <v>1045</v>
      </c>
      <c r="D579" s="2" t="s">
        <v>2495</v>
      </c>
      <c r="E579" s="2" t="s">
        <v>2513</v>
      </c>
      <c r="F579" s="2"/>
      <c r="G579" s="2"/>
      <c r="H579" s="2"/>
    </row>
    <row r="580" spans="1:8" x14ac:dyDescent="0.25">
      <c r="A580" s="2" t="s">
        <v>1977</v>
      </c>
      <c r="B580" s="2" t="s">
        <v>2550</v>
      </c>
      <c r="C580" s="2" t="s">
        <v>1045</v>
      </c>
      <c r="D580" s="2" t="s">
        <v>2495</v>
      </c>
      <c r="E580" s="2" t="s">
        <v>2513</v>
      </c>
      <c r="F580" s="2"/>
      <c r="G580" s="2"/>
      <c r="H580" s="2"/>
    </row>
    <row r="581" spans="1:8" x14ac:dyDescent="0.25">
      <c r="A581" s="2" t="s">
        <v>1978</v>
      </c>
      <c r="B581" s="2" t="s">
        <v>2550</v>
      </c>
      <c r="C581" s="2" t="s">
        <v>2429</v>
      </c>
      <c r="D581" s="2" t="s">
        <v>1013</v>
      </c>
      <c r="E581" s="2" t="s">
        <v>1031</v>
      </c>
      <c r="F581" s="2"/>
      <c r="G581" s="2"/>
      <c r="H581" s="2"/>
    </row>
    <row r="582" spans="1:8" x14ac:dyDescent="0.25">
      <c r="A582" s="2" t="s">
        <v>1979</v>
      </c>
      <c r="B582" s="2" t="s">
        <v>2550</v>
      </c>
      <c r="C582" s="2" t="s">
        <v>2429</v>
      </c>
      <c r="D582" s="2" t="s">
        <v>1013</v>
      </c>
      <c r="E582" s="2" t="s">
        <v>1031</v>
      </c>
      <c r="F582" s="2"/>
      <c r="G582" s="2"/>
      <c r="H582" s="2"/>
    </row>
    <row r="583" spans="1:8" x14ac:dyDescent="0.25">
      <c r="A583" s="2" t="s">
        <v>1980</v>
      </c>
      <c r="B583" s="2" t="s">
        <v>2549</v>
      </c>
      <c r="C583" s="2" t="s">
        <v>1017</v>
      </c>
      <c r="D583" s="2" t="s">
        <v>2543</v>
      </c>
      <c r="E583" s="2"/>
      <c r="F583" s="2"/>
      <c r="G583" s="2"/>
      <c r="H583" s="2"/>
    </row>
    <row r="584" spans="1:8" x14ac:dyDescent="0.25">
      <c r="A584" s="2" t="s">
        <v>1981</v>
      </c>
      <c r="B584" s="2" t="s">
        <v>2549</v>
      </c>
      <c r="C584" s="2" t="s">
        <v>1017</v>
      </c>
      <c r="D584" s="2" t="s">
        <v>2543</v>
      </c>
      <c r="E584" s="2"/>
      <c r="F584" s="2"/>
      <c r="G584" s="2"/>
      <c r="H584" s="2"/>
    </row>
    <row r="585" spans="1:8" x14ac:dyDescent="0.25">
      <c r="A585" s="2" t="s">
        <v>1982</v>
      </c>
      <c r="B585" s="2" t="s">
        <v>2549</v>
      </c>
      <c r="C585" s="2" t="s">
        <v>1017</v>
      </c>
      <c r="D585" s="2" t="s">
        <v>2543</v>
      </c>
      <c r="E585" s="2"/>
      <c r="F585" s="2"/>
      <c r="G585" s="2"/>
      <c r="H585" s="2"/>
    </row>
    <row r="586" spans="1:8" x14ac:dyDescent="0.25">
      <c r="A586" s="2" t="s">
        <v>1983</v>
      </c>
      <c r="B586" s="2" t="s">
        <v>2550</v>
      </c>
      <c r="C586" s="2" t="s">
        <v>921</v>
      </c>
      <c r="D586" s="2" t="s">
        <v>2519</v>
      </c>
      <c r="E586" s="2" t="s">
        <v>1101</v>
      </c>
      <c r="F586" s="2"/>
      <c r="G586" s="2"/>
      <c r="H586" s="2"/>
    </row>
    <row r="587" spans="1:8" x14ac:dyDescent="0.25">
      <c r="A587" s="2" t="s">
        <v>1984</v>
      </c>
      <c r="B587" s="2" t="s">
        <v>2550</v>
      </c>
      <c r="C587" s="2" t="s">
        <v>921</v>
      </c>
      <c r="D587" s="2" t="s">
        <v>2519</v>
      </c>
      <c r="E587" s="2" t="s">
        <v>1101</v>
      </c>
      <c r="F587" s="2"/>
      <c r="G587" s="2"/>
      <c r="H587" s="2"/>
    </row>
    <row r="588" spans="1:8" x14ac:dyDescent="0.25">
      <c r="A588" s="2" t="s">
        <v>1986</v>
      </c>
      <c r="B588" s="2" t="s">
        <v>2549</v>
      </c>
      <c r="C588" s="2" t="s">
        <v>1057</v>
      </c>
      <c r="D588" s="2" t="s">
        <v>1131</v>
      </c>
      <c r="E588" s="2"/>
      <c r="F588" s="2"/>
      <c r="G588" s="2"/>
      <c r="H588" s="2"/>
    </row>
    <row r="589" spans="1:8" x14ac:dyDescent="0.25">
      <c r="A589" s="2" t="s">
        <v>1987</v>
      </c>
      <c r="B589" s="2" t="s">
        <v>2550</v>
      </c>
      <c r="C589" s="2" t="s">
        <v>1063</v>
      </c>
      <c r="D589" s="2" t="s">
        <v>1105</v>
      </c>
      <c r="E589" s="2" t="s">
        <v>1147</v>
      </c>
      <c r="F589" s="2"/>
      <c r="G589" s="2"/>
      <c r="H589" s="2"/>
    </row>
    <row r="590" spans="1:8" x14ac:dyDescent="0.25">
      <c r="A590" s="2" t="s">
        <v>1988</v>
      </c>
      <c r="B590" s="2" t="s">
        <v>2550</v>
      </c>
      <c r="C590" s="2" t="s">
        <v>2495</v>
      </c>
      <c r="D590" s="2" t="s">
        <v>1107</v>
      </c>
      <c r="E590" s="2" t="s">
        <v>1147</v>
      </c>
      <c r="F590" s="2"/>
      <c r="G590" s="2"/>
      <c r="H590" s="2"/>
    </row>
    <row r="591" spans="1:8" x14ac:dyDescent="0.25">
      <c r="A591" s="2" t="s">
        <v>1989</v>
      </c>
      <c r="B591" s="2" t="s">
        <v>2549</v>
      </c>
      <c r="C591" s="2" t="s">
        <v>986</v>
      </c>
      <c r="D591" s="2" t="s">
        <v>2513</v>
      </c>
      <c r="E591" s="2"/>
      <c r="F591" s="2"/>
      <c r="G591" s="2"/>
      <c r="H591" s="2"/>
    </row>
    <row r="592" spans="1:8" x14ac:dyDescent="0.25">
      <c r="A592" s="2" t="s">
        <v>1990</v>
      </c>
      <c r="B592" s="2" t="s">
        <v>2549</v>
      </c>
      <c r="C592" s="2" t="s">
        <v>986</v>
      </c>
      <c r="D592" s="2" t="s">
        <v>2513</v>
      </c>
      <c r="E592" s="2"/>
      <c r="F592" s="2"/>
      <c r="G592" s="2"/>
      <c r="H592" s="2"/>
    </row>
    <row r="593" spans="1:8" x14ac:dyDescent="0.25">
      <c r="A593" s="2" t="s">
        <v>1991</v>
      </c>
      <c r="B593" s="2" t="s">
        <v>2550</v>
      </c>
      <c r="C593" s="2" t="s">
        <v>2439</v>
      </c>
      <c r="D593" s="2" t="s">
        <v>974</v>
      </c>
      <c r="E593" s="2" t="s">
        <v>1173</v>
      </c>
      <c r="F593" s="2"/>
      <c r="G593" s="2"/>
      <c r="H593" s="2"/>
    </row>
    <row r="594" spans="1:8" x14ac:dyDescent="0.25">
      <c r="A594" s="2" t="s">
        <v>1992</v>
      </c>
      <c r="B594" s="2" t="s">
        <v>2550</v>
      </c>
      <c r="C594" s="2" t="s">
        <v>2439</v>
      </c>
      <c r="D594" s="2" t="s">
        <v>974</v>
      </c>
      <c r="E594" s="2" t="s">
        <v>1173</v>
      </c>
      <c r="F594" s="2"/>
      <c r="G594" s="2"/>
      <c r="H594" s="2"/>
    </row>
    <row r="595" spans="1:8" x14ac:dyDescent="0.25">
      <c r="A595" s="2" t="s">
        <v>1993</v>
      </c>
      <c r="B595" s="2" t="s">
        <v>2550</v>
      </c>
      <c r="C595" s="2" t="s">
        <v>2465</v>
      </c>
      <c r="D595" s="2" t="s">
        <v>1013</v>
      </c>
      <c r="E595" s="2" t="s">
        <v>2513</v>
      </c>
      <c r="F595" s="2"/>
      <c r="G595" s="2"/>
      <c r="H595" s="2"/>
    </row>
    <row r="596" spans="1:8" x14ac:dyDescent="0.25">
      <c r="A596" s="2" t="s">
        <v>1994</v>
      </c>
      <c r="B596" s="2" t="s">
        <v>2550</v>
      </c>
      <c r="C596" s="2" t="s">
        <v>970</v>
      </c>
      <c r="D596" s="2" t="s">
        <v>1147</v>
      </c>
      <c r="E596" s="2" t="s">
        <v>2539</v>
      </c>
      <c r="F596" s="2"/>
      <c r="G596" s="2"/>
      <c r="H596" s="2"/>
    </row>
    <row r="597" spans="1:8" x14ac:dyDescent="0.25">
      <c r="A597" s="2" t="s">
        <v>1995</v>
      </c>
      <c r="B597" s="2" t="s">
        <v>2550</v>
      </c>
      <c r="C597" s="2" t="s">
        <v>970</v>
      </c>
      <c r="D597" s="2" t="s">
        <v>1147</v>
      </c>
      <c r="E597" s="2" t="s">
        <v>2539</v>
      </c>
      <c r="F597" s="2"/>
      <c r="G597" s="2"/>
      <c r="H597" s="2"/>
    </row>
    <row r="598" spans="1:8" x14ac:dyDescent="0.25">
      <c r="A598" s="2" t="s">
        <v>1996</v>
      </c>
      <c r="B598" s="2" t="s">
        <v>2549</v>
      </c>
      <c r="C598" s="2" t="s">
        <v>955</v>
      </c>
      <c r="D598" s="2" t="s">
        <v>2475</v>
      </c>
      <c r="E598" s="2"/>
      <c r="F598" s="2"/>
      <c r="G598" s="2"/>
      <c r="H598" s="2"/>
    </row>
    <row r="599" spans="1:8" x14ac:dyDescent="0.25">
      <c r="A599" s="2" t="s">
        <v>1997</v>
      </c>
      <c r="B599" s="2" t="s">
        <v>2549</v>
      </c>
      <c r="C599" s="2" t="s">
        <v>955</v>
      </c>
      <c r="D599" s="2" t="s">
        <v>2475</v>
      </c>
      <c r="E599" s="2"/>
      <c r="F599" s="2"/>
      <c r="G599" s="2"/>
      <c r="H599" s="2"/>
    </row>
    <row r="600" spans="1:8" x14ac:dyDescent="0.25">
      <c r="A600" s="2" t="s">
        <v>1998</v>
      </c>
      <c r="B600" s="2" t="s">
        <v>2550</v>
      </c>
      <c r="C600" s="2" t="s">
        <v>965</v>
      </c>
      <c r="D600" s="2" t="s">
        <v>1053</v>
      </c>
      <c r="E600" s="2" t="s">
        <v>1074</v>
      </c>
      <c r="F600" s="2"/>
      <c r="G600" s="2"/>
      <c r="H600" s="2"/>
    </row>
    <row r="601" spans="1:8" x14ac:dyDescent="0.25">
      <c r="A601" s="2" t="s">
        <v>2001</v>
      </c>
      <c r="B601" s="2" t="s">
        <v>2550</v>
      </c>
      <c r="C601" s="2" t="s">
        <v>965</v>
      </c>
      <c r="D601" s="2" t="s">
        <v>1053</v>
      </c>
      <c r="E601" s="2" t="s">
        <v>1074</v>
      </c>
      <c r="F601" s="2"/>
      <c r="G601" s="2"/>
      <c r="H601" s="2"/>
    </row>
    <row r="602" spans="1:8" x14ac:dyDescent="0.25">
      <c r="A602" s="2" t="s">
        <v>2002</v>
      </c>
      <c r="B602" s="2" t="s">
        <v>2550</v>
      </c>
      <c r="C602" s="2" t="s">
        <v>965</v>
      </c>
      <c r="D602" s="2" t="s">
        <v>1053</v>
      </c>
      <c r="E602" s="2" t="s">
        <v>1074</v>
      </c>
      <c r="F602" s="2"/>
      <c r="G602" s="2"/>
      <c r="H602" s="2"/>
    </row>
    <row r="603" spans="1:8" x14ac:dyDescent="0.25">
      <c r="A603" s="2" t="s">
        <v>2003</v>
      </c>
      <c r="B603" s="2" t="s">
        <v>2552</v>
      </c>
      <c r="C603" s="2" t="s">
        <v>1037</v>
      </c>
      <c r="D603" s="2"/>
      <c r="E603" s="2"/>
      <c r="F603" s="2"/>
      <c r="G603" s="2"/>
      <c r="H603" s="2"/>
    </row>
    <row r="604" spans="1:8" x14ac:dyDescent="0.25">
      <c r="A604" s="2" t="s">
        <v>2004</v>
      </c>
      <c r="B604" s="2" t="s">
        <v>2552</v>
      </c>
      <c r="C604" s="2" t="s">
        <v>1037</v>
      </c>
      <c r="D604" s="2"/>
      <c r="E604" s="2"/>
      <c r="F604" s="2"/>
      <c r="G604" s="2"/>
      <c r="H604" s="2"/>
    </row>
    <row r="605" spans="1:8" x14ac:dyDescent="0.25">
      <c r="A605" s="2" t="s">
        <v>2005</v>
      </c>
      <c r="B605" s="2" t="s">
        <v>2552</v>
      </c>
      <c r="C605" s="2" t="s">
        <v>1037</v>
      </c>
      <c r="D605" s="2"/>
      <c r="E605" s="2"/>
      <c r="F605" s="2"/>
      <c r="G605" s="2"/>
      <c r="H605" s="2"/>
    </row>
    <row r="606" spans="1:8" x14ac:dyDescent="0.25">
      <c r="A606" s="2" t="s">
        <v>2006</v>
      </c>
      <c r="B606" s="2" t="s">
        <v>2550</v>
      </c>
      <c r="C606" s="2" t="s">
        <v>2423</v>
      </c>
      <c r="D606" s="2" t="s">
        <v>1151</v>
      </c>
      <c r="E606" s="2" t="s">
        <v>2531</v>
      </c>
      <c r="F606" s="2"/>
      <c r="G606" s="2"/>
      <c r="H606" s="2"/>
    </row>
    <row r="607" spans="1:8" x14ac:dyDescent="0.25">
      <c r="A607" s="2" t="s">
        <v>2007</v>
      </c>
      <c r="B607" s="2" t="s">
        <v>2550</v>
      </c>
      <c r="C607" s="2" t="s">
        <v>2423</v>
      </c>
      <c r="D607" s="2" t="s">
        <v>1151</v>
      </c>
      <c r="E607" s="2" t="s">
        <v>2531</v>
      </c>
      <c r="F607" s="2"/>
      <c r="G607" s="2"/>
      <c r="H607" s="2"/>
    </row>
    <row r="608" spans="1:8" x14ac:dyDescent="0.25">
      <c r="A608" s="2" t="s">
        <v>2008</v>
      </c>
      <c r="B608" s="2" t="s">
        <v>2551</v>
      </c>
      <c r="C608" s="2" t="s">
        <v>990</v>
      </c>
      <c r="D608" s="2" t="s">
        <v>992</v>
      </c>
      <c r="E608" s="2" t="s">
        <v>2473</v>
      </c>
      <c r="F608" s="2" t="s">
        <v>1103</v>
      </c>
      <c r="G608" s="2"/>
      <c r="H608" s="2"/>
    </row>
    <row r="609" spans="1:8" x14ac:dyDescent="0.25">
      <c r="A609" s="2" t="s">
        <v>2009</v>
      </c>
      <c r="B609" s="2" t="s">
        <v>2551</v>
      </c>
      <c r="C609" s="2" t="s">
        <v>990</v>
      </c>
      <c r="D609" s="2" t="s">
        <v>992</v>
      </c>
      <c r="E609" s="2" t="s">
        <v>2473</v>
      </c>
      <c r="F609" s="2" t="s">
        <v>1103</v>
      </c>
      <c r="G609" s="2"/>
      <c r="H609" s="2"/>
    </row>
    <row r="610" spans="1:8" x14ac:dyDescent="0.25">
      <c r="A610" s="2" t="s">
        <v>2010</v>
      </c>
      <c r="B610" s="2" t="s">
        <v>2551</v>
      </c>
      <c r="C610" s="2" t="s">
        <v>990</v>
      </c>
      <c r="D610" s="2" t="s">
        <v>992</v>
      </c>
      <c r="E610" s="2" t="s">
        <v>2473</v>
      </c>
      <c r="F610" s="2" t="s">
        <v>1103</v>
      </c>
      <c r="G610" s="2"/>
      <c r="H610" s="2"/>
    </row>
    <row r="611" spans="1:8" x14ac:dyDescent="0.25">
      <c r="A611" s="2" t="s">
        <v>2011</v>
      </c>
      <c r="B611" s="2" t="s">
        <v>2550</v>
      </c>
      <c r="C611" s="2" t="s">
        <v>1055</v>
      </c>
      <c r="D611" s="2" t="s">
        <v>1088</v>
      </c>
      <c r="E611" s="2" t="s">
        <v>2539</v>
      </c>
      <c r="F611" s="2"/>
      <c r="G611" s="2"/>
      <c r="H611" s="2"/>
    </row>
    <row r="612" spans="1:8" x14ac:dyDescent="0.25">
      <c r="A612" s="2" t="s">
        <v>2012</v>
      </c>
      <c r="B612" s="2" t="s">
        <v>2550</v>
      </c>
      <c r="C612" s="2" t="s">
        <v>1055</v>
      </c>
      <c r="D612" s="2" t="s">
        <v>1088</v>
      </c>
      <c r="E612" s="2" t="s">
        <v>2539</v>
      </c>
      <c r="F612" s="2"/>
      <c r="G612" s="2"/>
      <c r="H612" s="2"/>
    </row>
    <row r="613" spans="1:8" x14ac:dyDescent="0.25">
      <c r="A613" s="2" t="s">
        <v>2013</v>
      </c>
      <c r="B613" s="2" t="s">
        <v>2550</v>
      </c>
      <c r="C613" s="2" t="s">
        <v>1055</v>
      </c>
      <c r="D613" s="2" t="s">
        <v>1088</v>
      </c>
      <c r="E613" s="2" t="s">
        <v>2539</v>
      </c>
      <c r="F613" s="2"/>
      <c r="G613" s="2"/>
      <c r="H613" s="2"/>
    </row>
    <row r="614" spans="1:8" x14ac:dyDescent="0.25">
      <c r="A614" s="2" t="s">
        <v>2014</v>
      </c>
      <c r="B614" s="2" t="s">
        <v>2549</v>
      </c>
      <c r="C614" s="2" t="s">
        <v>2509</v>
      </c>
      <c r="D614" s="2" t="s">
        <v>1118</v>
      </c>
      <c r="E614" s="2"/>
      <c r="F614" s="2"/>
      <c r="G614" s="2"/>
      <c r="H614" s="2"/>
    </row>
    <row r="615" spans="1:8" x14ac:dyDescent="0.25">
      <c r="A615" s="2" t="s">
        <v>2015</v>
      </c>
      <c r="B615" s="2" t="s">
        <v>2549</v>
      </c>
      <c r="C615" s="2" t="s">
        <v>1118</v>
      </c>
      <c r="D615" s="2" t="s">
        <v>1149</v>
      </c>
      <c r="E615" s="2"/>
      <c r="F615" s="2"/>
      <c r="G615" s="2"/>
      <c r="H615" s="2"/>
    </row>
    <row r="616" spans="1:8" x14ac:dyDescent="0.25">
      <c r="A616" s="2" t="s">
        <v>2016</v>
      </c>
      <c r="B616" s="2" t="s">
        <v>2552</v>
      </c>
      <c r="C616" s="2" t="s">
        <v>1037</v>
      </c>
      <c r="D616" s="2"/>
      <c r="E616" s="2"/>
      <c r="F616" s="2"/>
      <c r="G616" s="2"/>
      <c r="H616" s="2"/>
    </row>
    <row r="617" spans="1:8" x14ac:dyDescent="0.25">
      <c r="A617" s="2" t="s">
        <v>2017</v>
      </c>
      <c r="B617" s="2" t="s">
        <v>2550</v>
      </c>
      <c r="C617" s="2" t="s">
        <v>1013</v>
      </c>
      <c r="D617" s="2" t="s">
        <v>2495</v>
      </c>
      <c r="E617" s="2" t="s">
        <v>1107</v>
      </c>
      <c r="F617" s="2"/>
      <c r="G617" s="2"/>
      <c r="H617" s="2"/>
    </row>
    <row r="618" spans="1:8" x14ac:dyDescent="0.25">
      <c r="A618" s="2" t="s">
        <v>2018</v>
      </c>
      <c r="B618" s="2" t="s">
        <v>2550</v>
      </c>
      <c r="C618" s="2" t="s">
        <v>1013</v>
      </c>
      <c r="D618" s="2" t="s">
        <v>1137</v>
      </c>
      <c r="E618" s="2" t="s">
        <v>1168</v>
      </c>
      <c r="F618" s="2"/>
      <c r="G618" s="2"/>
      <c r="H618" s="2"/>
    </row>
    <row r="619" spans="1:8" x14ac:dyDescent="0.25">
      <c r="A619" s="2" t="s">
        <v>2019</v>
      </c>
      <c r="B619" s="2" t="s">
        <v>2550</v>
      </c>
      <c r="C619" s="2" t="s">
        <v>1041</v>
      </c>
      <c r="D619" s="2" t="s">
        <v>1097</v>
      </c>
      <c r="E619" s="2" t="s">
        <v>1131</v>
      </c>
      <c r="F619" s="2"/>
      <c r="G619" s="2"/>
      <c r="H619" s="2"/>
    </row>
    <row r="620" spans="1:8" x14ac:dyDescent="0.25">
      <c r="A620" s="2" t="s">
        <v>2020</v>
      </c>
      <c r="B620" s="2" t="s">
        <v>2550</v>
      </c>
      <c r="C620" s="2" t="s">
        <v>1023</v>
      </c>
      <c r="D620" s="2" t="s">
        <v>1086</v>
      </c>
      <c r="E620" s="2" t="s">
        <v>2513</v>
      </c>
      <c r="F620" s="2"/>
      <c r="G620" s="2"/>
      <c r="H620" s="2"/>
    </row>
    <row r="621" spans="1:8" x14ac:dyDescent="0.25">
      <c r="A621" s="2" t="s">
        <v>2021</v>
      </c>
      <c r="B621" s="2" t="s">
        <v>2550</v>
      </c>
      <c r="C621" s="2" t="s">
        <v>1023</v>
      </c>
      <c r="D621" s="2" t="s">
        <v>1086</v>
      </c>
      <c r="E621" s="2" t="s">
        <v>2513</v>
      </c>
      <c r="F621" s="2"/>
      <c r="G621" s="2"/>
      <c r="H621" s="2"/>
    </row>
    <row r="622" spans="1:8" x14ac:dyDescent="0.25">
      <c r="A622" s="2" t="s">
        <v>2022</v>
      </c>
      <c r="B622" s="2" t="s">
        <v>2550</v>
      </c>
      <c r="C622" s="2" t="s">
        <v>1055</v>
      </c>
      <c r="D622" s="2" t="s">
        <v>928</v>
      </c>
      <c r="E622" s="2" t="s">
        <v>2521</v>
      </c>
      <c r="F622" s="2"/>
      <c r="G622" s="2"/>
      <c r="H622" s="2"/>
    </row>
    <row r="623" spans="1:8" x14ac:dyDescent="0.25">
      <c r="A623" s="2" t="s">
        <v>2023</v>
      </c>
      <c r="B623" s="2" t="s">
        <v>2550</v>
      </c>
      <c r="C623" s="2" t="s">
        <v>1029</v>
      </c>
      <c r="D623" s="2" t="s">
        <v>1033</v>
      </c>
      <c r="E623" s="2" t="s">
        <v>1063</v>
      </c>
      <c r="F623" s="2"/>
      <c r="G623" s="2"/>
      <c r="H623" s="2"/>
    </row>
    <row r="624" spans="1:8" x14ac:dyDescent="0.25">
      <c r="A624" s="2" t="s">
        <v>2024</v>
      </c>
      <c r="B624" s="2" t="s">
        <v>2550</v>
      </c>
      <c r="C624" s="2" t="s">
        <v>1029</v>
      </c>
      <c r="D624" s="2" t="s">
        <v>1033</v>
      </c>
      <c r="E624" s="2" t="s">
        <v>1063</v>
      </c>
      <c r="F624" s="2"/>
      <c r="G624" s="2"/>
      <c r="H624" s="2"/>
    </row>
    <row r="625" spans="1:8" x14ac:dyDescent="0.25">
      <c r="A625" s="2" t="s">
        <v>2025</v>
      </c>
      <c r="B625" s="2" t="s">
        <v>2550</v>
      </c>
      <c r="C625" s="2" t="s">
        <v>2445</v>
      </c>
      <c r="D625" s="2" t="s">
        <v>1023</v>
      </c>
      <c r="E625" s="2" t="s">
        <v>1079</v>
      </c>
      <c r="F625" s="2"/>
      <c r="G625" s="2"/>
      <c r="H625" s="2"/>
    </row>
    <row r="626" spans="1:8" x14ac:dyDescent="0.25">
      <c r="A626" s="2" t="s">
        <v>2026</v>
      </c>
      <c r="B626" s="2" t="s">
        <v>2550</v>
      </c>
      <c r="C626" s="2" t="s">
        <v>2445</v>
      </c>
      <c r="D626" s="2" t="s">
        <v>1023</v>
      </c>
      <c r="E626" s="2" t="s">
        <v>1079</v>
      </c>
      <c r="F626" s="2"/>
      <c r="G626" s="2"/>
      <c r="H626" s="2"/>
    </row>
    <row r="627" spans="1:8" x14ac:dyDescent="0.25">
      <c r="A627" s="2" t="s">
        <v>2027</v>
      </c>
      <c r="B627" s="2" t="s">
        <v>2550</v>
      </c>
      <c r="C627" s="2" t="s">
        <v>1086</v>
      </c>
      <c r="D627" s="2" t="s">
        <v>2519</v>
      </c>
      <c r="E627" s="2" t="s">
        <v>1125</v>
      </c>
      <c r="F627" s="2"/>
      <c r="G627" s="2"/>
      <c r="H627" s="2"/>
    </row>
    <row r="628" spans="1:8" x14ac:dyDescent="0.25">
      <c r="A628" s="2" t="s">
        <v>2029</v>
      </c>
      <c r="B628" s="2" t="s">
        <v>2550</v>
      </c>
      <c r="C628" s="2" t="s">
        <v>1011</v>
      </c>
      <c r="D628" s="2" t="s">
        <v>1031</v>
      </c>
      <c r="E628" s="2" t="s">
        <v>2521</v>
      </c>
      <c r="F628" s="2"/>
      <c r="G628" s="2"/>
      <c r="H628" s="2"/>
    </row>
    <row r="629" spans="1:8" x14ac:dyDescent="0.25">
      <c r="A629" s="2" t="s">
        <v>2030</v>
      </c>
      <c r="B629" s="2" t="s">
        <v>2550</v>
      </c>
      <c r="C629" s="2" t="s">
        <v>2445</v>
      </c>
      <c r="D629" s="2" t="s">
        <v>1031</v>
      </c>
      <c r="E629" s="2" t="s">
        <v>2521</v>
      </c>
      <c r="F629" s="2"/>
      <c r="G629" s="2"/>
      <c r="H629" s="2"/>
    </row>
    <row r="630" spans="1:8" x14ac:dyDescent="0.25">
      <c r="A630" s="2" t="s">
        <v>2031</v>
      </c>
      <c r="B630" s="2" t="s">
        <v>2550</v>
      </c>
      <c r="C630" s="2" t="s">
        <v>2429</v>
      </c>
      <c r="D630" s="2" t="s">
        <v>2495</v>
      </c>
      <c r="E630" s="2" t="s">
        <v>2543</v>
      </c>
      <c r="F630" s="2"/>
      <c r="G630" s="2"/>
      <c r="H630" s="2"/>
    </row>
    <row r="631" spans="1:8" x14ac:dyDescent="0.25">
      <c r="A631" s="2" t="s">
        <v>2032</v>
      </c>
      <c r="B631" s="2" t="s">
        <v>2550</v>
      </c>
      <c r="C631" s="2" t="s">
        <v>2429</v>
      </c>
      <c r="D631" s="2" t="s">
        <v>2495</v>
      </c>
      <c r="E631" s="2" t="s">
        <v>2543</v>
      </c>
      <c r="F631" s="2"/>
      <c r="G631" s="2"/>
      <c r="H631" s="2"/>
    </row>
    <row r="632" spans="1:8" x14ac:dyDescent="0.25">
      <c r="A632" s="2" t="s">
        <v>2033</v>
      </c>
      <c r="B632" s="2" t="s">
        <v>2550</v>
      </c>
      <c r="C632" s="2" t="s">
        <v>992</v>
      </c>
      <c r="D632" s="2" t="s">
        <v>1002</v>
      </c>
      <c r="E632" s="2" t="s">
        <v>1177</v>
      </c>
      <c r="F632" s="2"/>
      <c r="G632" s="2"/>
      <c r="H632" s="2"/>
    </row>
    <row r="633" spans="1:8" x14ac:dyDescent="0.25">
      <c r="A633" s="2" t="s">
        <v>2034</v>
      </c>
      <c r="B633" s="2" t="s">
        <v>2550</v>
      </c>
      <c r="C633" s="2" t="s">
        <v>1011</v>
      </c>
      <c r="D633" s="2" t="s">
        <v>1147</v>
      </c>
      <c r="E633" s="2" t="s">
        <v>1164</v>
      </c>
      <c r="F633" s="2"/>
      <c r="G633" s="2"/>
      <c r="H633" s="2"/>
    </row>
    <row r="634" spans="1:8" x14ac:dyDescent="0.25">
      <c r="A634" s="2" t="s">
        <v>2035</v>
      </c>
      <c r="B634" s="2" t="s">
        <v>2552</v>
      </c>
      <c r="C634" s="2" t="s">
        <v>1011</v>
      </c>
      <c r="D634" s="2"/>
      <c r="E634" s="2"/>
      <c r="F634" s="2"/>
      <c r="G634" s="2"/>
      <c r="H634" s="2"/>
    </row>
    <row r="635" spans="1:8" x14ac:dyDescent="0.25">
      <c r="A635" s="2" t="s">
        <v>2036</v>
      </c>
      <c r="B635" s="2" t="s">
        <v>2552</v>
      </c>
      <c r="C635" s="2" t="s">
        <v>1011</v>
      </c>
      <c r="D635" s="2"/>
      <c r="E635" s="2"/>
      <c r="F635" s="2"/>
      <c r="G635" s="2"/>
      <c r="H635" s="2"/>
    </row>
    <row r="636" spans="1:8" x14ac:dyDescent="0.25">
      <c r="A636" s="2" t="s">
        <v>2037</v>
      </c>
      <c r="B636" s="2" t="s">
        <v>2552</v>
      </c>
      <c r="C636" s="2" t="s">
        <v>1037</v>
      </c>
      <c r="D636" s="2"/>
      <c r="E636" s="2"/>
      <c r="F636" s="2"/>
      <c r="G636" s="2"/>
      <c r="H636" s="2"/>
    </row>
    <row r="637" spans="1:8" x14ac:dyDescent="0.25">
      <c r="A637" s="2" t="s">
        <v>2038</v>
      </c>
      <c r="B637" s="2" t="s">
        <v>2549</v>
      </c>
      <c r="C637" s="2" t="s">
        <v>990</v>
      </c>
      <c r="D637" s="2" t="s">
        <v>1147</v>
      </c>
      <c r="E637" s="2"/>
      <c r="F637" s="2"/>
      <c r="G637" s="2"/>
      <c r="H637" s="2"/>
    </row>
    <row r="638" spans="1:8" x14ac:dyDescent="0.25">
      <c r="A638" s="2" t="s">
        <v>2039</v>
      </c>
      <c r="B638" s="2" t="s">
        <v>2549</v>
      </c>
      <c r="C638" s="2" t="s">
        <v>990</v>
      </c>
      <c r="D638" s="2" t="s">
        <v>1147</v>
      </c>
      <c r="E638" s="2"/>
      <c r="F638" s="2"/>
      <c r="G638" s="2"/>
      <c r="H638" s="2"/>
    </row>
    <row r="639" spans="1:8" x14ac:dyDescent="0.25">
      <c r="A639" s="2" t="s">
        <v>2041</v>
      </c>
      <c r="B639" s="2" t="s">
        <v>2552</v>
      </c>
      <c r="C639" s="2" t="s">
        <v>2477</v>
      </c>
      <c r="D639" s="2"/>
      <c r="E639" s="2"/>
      <c r="F639" s="2"/>
      <c r="G639" s="2"/>
      <c r="H639" s="2"/>
    </row>
    <row r="640" spans="1:8" x14ac:dyDescent="0.25">
      <c r="A640" s="2" t="s">
        <v>2043</v>
      </c>
      <c r="B640" s="2" t="s">
        <v>2552</v>
      </c>
      <c r="C640" s="2" t="s">
        <v>2477</v>
      </c>
      <c r="D640" s="2"/>
      <c r="E640" s="2"/>
      <c r="F640" s="2"/>
      <c r="G640" s="2"/>
      <c r="H640" s="2"/>
    </row>
    <row r="641" spans="1:8" x14ac:dyDescent="0.25">
      <c r="A641" s="2" t="s">
        <v>2044</v>
      </c>
      <c r="B641" s="2" t="s">
        <v>2552</v>
      </c>
      <c r="C641" s="2" t="s">
        <v>2477</v>
      </c>
      <c r="D641" s="2"/>
      <c r="E641" s="2"/>
      <c r="F641" s="2"/>
      <c r="G641" s="2"/>
      <c r="H641" s="2"/>
    </row>
    <row r="642" spans="1:8" x14ac:dyDescent="0.25">
      <c r="A642" s="2" t="s">
        <v>2560</v>
      </c>
      <c r="B642" s="2" t="s">
        <v>2550</v>
      </c>
      <c r="C642" s="2" t="s">
        <v>2445</v>
      </c>
      <c r="D642" s="2" t="s">
        <v>2505</v>
      </c>
      <c r="E642" s="2" t="s">
        <v>2513</v>
      </c>
      <c r="F642" s="2"/>
      <c r="G642" s="2"/>
      <c r="H642" s="2"/>
    </row>
    <row r="643" spans="1:8" x14ac:dyDescent="0.25">
      <c r="A643" s="2" t="s">
        <v>2561</v>
      </c>
      <c r="B643" s="2" t="s">
        <v>2550</v>
      </c>
      <c r="C643" s="2" t="s">
        <v>2445</v>
      </c>
      <c r="D643" s="2" t="s">
        <v>2505</v>
      </c>
      <c r="E643" s="2" t="s">
        <v>1171</v>
      </c>
      <c r="F643" s="2"/>
      <c r="G643" s="2"/>
      <c r="H643" s="2"/>
    </row>
    <row r="644" spans="1:8" x14ac:dyDescent="0.25">
      <c r="A644" s="2" t="s">
        <v>2045</v>
      </c>
      <c r="B644" s="2" t="s">
        <v>2552</v>
      </c>
      <c r="C644" s="2" t="s">
        <v>2538</v>
      </c>
      <c r="D644" s="2"/>
      <c r="E644" s="2"/>
      <c r="F644" s="2"/>
      <c r="G644" s="2"/>
      <c r="H644" s="2"/>
    </row>
    <row r="645" spans="1:8" x14ac:dyDescent="0.25">
      <c r="A645" s="2" t="s">
        <v>2048</v>
      </c>
      <c r="B645" s="2" t="s">
        <v>2552</v>
      </c>
      <c r="C645" s="2" t="s">
        <v>2533</v>
      </c>
      <c r="D645" s="2"/>
      <c r="E645" s="2"/>
      <c r="F645" s="2"/>
      <c r="G645" s="2"/>
      <c r="H645" s="2"/>
    </row>
    <row r="646" spans="1:8" x14ac:dyDescent="0.25">
      <c r="A646" s="2" t="s">
        <v>2562</v>
      </c>
      <c r="B646" s="2" t="s">
        <v>2550</v>
      </c>
      <c r="C646" s="2" t="s">
        <v>1027</v>
      </c>
      <c r="D646" s="2" t="s">
        <v>2515</v>
      </c>
      <c r="E646" s="2" t="s">
        <v>2521</v>
      </c>
      <c r="F646" s="2"/>
      <c r="G646" s="2"/>
      <c r="H646" s="2"/>
    </row>
    <row r="647" spans="1:8" x14ac:dyDescent="0.25">
      <c r="A647" s="2" t="s">
        <v>2563</v>
      </c>
      <c r="B647" s="2" t="s">
        <v>2550</v>
      </c>
      <c r="C647" s="2" t="s">
        <v>1079</v>
      </c>
      <c r="D647" s="2" t="s">
        <v>2533</v>
      </c>
      <c r="E647" s="2" t="s">
        <v>2538</v>
      </c>
      <c r="F647" s="2"/>
      <c r="G647" s="2"/>
      <c r="H647" s="2"/>
    </row>
    <row r="648" spans="1:8" x14ac:dyDescent="0.25">
      <c r="A648" s="2" t="s">
        <v>2564</v>
      </c>
      <c r="B648" s="2" t="s">
        <v>2549</v>
      </c>
      <c r="C648" s="2" t="s">
        <v>2477</v>
      </c>
      <c r="D648" s="2" t="s">
        <v>2477</v>
      </c>
      <c r="E648" s="2"/>
      <c r="F648" s="2"/>
      <c r="G648" s="2"/>
      <c r="H648" s="2"/>
    </row>
    <row r="649" spans="1:8" x14ac:dyDescent="0.25">
      <c r="A649" s="2" t="s">
        <v>2565</v>
      </c>
      <c r="B649" s="2" t="s">
        <v>2549</v>
      </c>
      <c r="C649" s="2" t="s">
        <v>1101</v>
      </c>
      <c r="D649" s="2" t="s">
        <v>1101</v>
      </c>
      <c r="E649" s="2"/>
      <c r="F649" s="2"/>
      <c r="G649" s="2"/>
      <c r="H649" s="2"/>
    </row>
    <row r="650" spans="1:8" x14ac:dyDescent="0.25">
      <c r="A650" s="2" t="s">
        <v>2054</v>
      </c>
      <c r="B650" s="2" t="s">
        <v>2552</v>
      </c>
      <c r="C650" s="2" t="s">
        <v>976</v>
      </c>
      <c r="D650" s="2"/>
      <c r="E650" s="2"/>
      <c r="F650" s="2"/>
      <c r="G650" s="2"/>
      <c r="H650" s="2"/>
    </row>
    <row r="651" spans="1:8" x14ac:dyDescent="0.25">
      <c r="A651" s="2" t="s">
        <v>2056</v>
      </c>
      <c r="B651" s="2" t="s">
        <v>2549</v>
      </c>
      <c r="C651" s="2" t="s">
        <v>2431</v>
      </c>
      <c r="D651" s="2" t="s">
        <v>923</v>
      </c>
      <c r="E651" s="2"/>
      <c r="F651" s="2"/>
      <c r="G651" s="2"/>
      <c r="H651" s="2"/>
    </row>
    <row r="652" spans="1:8" x14ac:dyDescent="0.25">
      <c r="A652" s="2" t="s">
        <v>2057</v>
      </c>
      <c r="B652" s="2" t="s">
        <v>2549</v>
      </c>
      <c r="C652" s="2" t="s">
        <v>2431</v>
      </c>
      <c r="D652" s="2" t="s">
        <v>923</v>
      </c>
      <c r="E652" s="2"/>
      <c r="F652" s="2"/>
      <c r="G652" s="2"/>
      <c r="H652" s="2"/>
    </row>
    <row r="653" spans="1:8" x14ac:dyDescent="0.25">
      <c r="A653" s="2" t="s">
        <v>2058</v>
      </c>
      <c r="B653" s="2" t="s">
        <v>2549</v>
      </c>
      <c r="C653" s="2" t="s">
        <v>2431</v>
      </c>
      <c r="D653" s="2" t="s">
        <v>923</v>
      </c>
      <c r="E653" s="2"/>
      <c r="F653" s="2"/>
      <c r="G653" s="2"/>
      <c r="H653" s="2"/>
    </row>
    <row r="654" spans="1:8" x14ac:dyDescent="0.25">
      <c r="A654" s="2" t="s">
        <v>2060</v>
      </c>
      <c r="B654" s="2" t="s">
        <v>2549</v>
      </c>
      <c r="C654" s="2" t="s">
        <v>915</v>
      </c>
      <c r="D654" s="2" t="s">
        <v>2483</v>
      </c>
      <c r="E654" s="2"/>
      <c r="F654" s="2"/>
      <c r="G654" s="2"/>
      <c r="H654" s="2"/>
    </row>
    <row r="655" spans="1:8" x14ac:dyDescent="0.25">
      <c r="A655" s="2" t="s">
        <v>2061</v>
      </c>
      <c r="B655" s="2" t="s">
        <v>2549</v>
      </c>
      <c r="C655" s="2" t="s">
        <v>915</v>
      </c>
      <c r="D655" s="2" t="s">
        <v>2483</v>
      </c>
      <c r="E655" s="2"/>
      <c r="F655" s="2"/>
      <c r="G655" s="2"/>
      <c r="H655" s="2"/>
    </row>
    <row r="656" spans="1:8" x14ac:dyDescent="0.25">
      <c r="A656" s="2" t="s">
        <v>2062</v>
      </c>
      <c r="B656" s="2" t="s">
        <v>2549</v>
      </c>
      <c r="C656" s="2" t="s">
        <v>915</v>
      </c>
      <c r="D656" s="2" t="s">
        <v>2483</v>
      </c>
      <c r="E656" s="2"/>
      <c r="F656" s="2"/>
      <c r="G656" s="2"/>
      <c r="H656" s="2"/>
    </row>
    <row r="657" spans="1:8" x14ac:dyDescent="0.25">
      <c r="A657" s="2" t="s">
        <v>2064</v>
      </c>
      <c r="B657" s="2" t="s">
        <v>2549</v>
      </c>
      <c r="C657" s="2" t="s">
        <v>2507</v>
      </c>
      <c r="D657" s="2" t="s">
        <v>916</v>
      </c>
      <c r="E657" s="2"/>
      <c r="F657" s="2"/>
      <c r="G657" s="2"/>
      <c r="H657" s="2"/>
    </row>
    <row r="658" spans="1:8" x14ac:dyDescent="0.25">
      <c r="A658" s="2" t="s">
        <v>2065</v>
      </c>
      <c r="B658" s="2" t="s">
        <v>2549</v>
      </c>
      <c r="C658" s="2" t="s">
        <v>2507</v>
      </c>
      <c r="D658" s="2" t="s">
        <v>916</v>
      </c>
      <c r="E658" s="2"/>
      <c r="F658" s="2"/>
      <c r="G658" s="2"/>
      <c r="H658" s="2"/>
    </row>
    <row r="659" spans="1:8" x14ac:dyDescent="0.25">
      <c r="A659" s="2" t="s">
        <v>2066</v>
      </c>
      <c r="B659" s="2" t="s">
        <v>2549</v>
      </c>
      <c r="C659" s="2" t="s">
        <v>2507</v>
      </c>
      <c r="D659" s="2" t="s">
        <v>916</v>
      </c>
      <c r="E659" s="2"/>
      <c r="F659" s="2"/>
      <c r="G659" s="2"/>
      <c r="H659" s="2"/>
    </row>
    <row r="660" spans="1:8" x14ac:dyDescent="0.25">
      <c r="A660" s="2" t="s">
        <v>2069</v>
      </c>
      <c r="B660" s="2" t="s">
        <v>2550</v>
      </c>
      <c r="C660" s="2" t="s">
        <v>2433</v>
      </c>
      <c r="D660" s="2" t="s">
        <v>1009</v>
      </c>
      <c r="E660" s="2" t="s">
        <v>1072</v>
      </c>
      <c r="F660" s="2"/>
      <c r="G660" s="2"/>
      <c r="H660" s="2"/>
    </row>
    <row r="661" spans="1:8" x14ac:dyDescent="0.25">
      <c r="A661" s="2" t="s">
        <v>2070</v>
      </c>
      <c r="B661" s="2" t="s">
        <v>2550</v>
      </c>
      <c r="C661" s="2" t="s">
        <v>2433</v>
      </c>
      <c r="D661" s="2" t="s">
        <v>1009</v>
      </c>
      <c r="E661" s="2" t="s">
        <v>1072</v>
      </c>
      <c r="F661" s="2"/>
      <c r="G661" s="2"/>
      <c r="H661" s="2"/>
    </row>
    <row r="662" spans="1:8" x14ac:dyDescent="0.25">
      <c r="A662" s="2" t="s">
        <v>2071</v>
      </c>
      <c r="B662" s="2" t="s">
        <v>2549</v>
      </c>
      <c r="C662" s="2" t="s">
        <v>2429</v>
      </c>
      <c r="D662" s="2" t="s">
        <v>2457</v>
      </c>
      <c r="E662" s="2"/>
      <c r="F662" s="2"/>
      <c r="G662" s="2"/>
      <c r="H662" s="2"/>
    </row>
    <row r="663" spans="1:8" x14ac:dyDescent="0.25">
      <c r="A663" s="2" t="s">
        <v>2072</v>
      </c>
      <c r="B663" s="2" t="s">
        <v>2549</v>
      </c>
      <c r="C663" s="2" t="s">
        <v>990</v>
      </c>
      <c r="D663" s="2" t="s">
        <v>2457</v>
      </c>
      <c r="E663" s="2"/>
      <c r="F663" s="2"/>
      <c r="G663" s="2"/>
      <c r="H663" s="2"/>
    </row>
    <row r="664" spans="1:8" x14ac:dyDescent="0.25">
      <c r="A664" s="2" t="s">
        <v>2073</v>
      </c>
      <c r="B664" s="2" t="s">
        <v>2549</v>
      </c>
      <c r="C664" s="2" t="s">
        <v>990</v>
      </c>
      <c r="D664" s="2" t="s">
        <v>2457</v>
      </c>
      <c r="E664" s="2"/>
      <c r="F664" s="2"/>
      <c r="G664" s="2"/>
      <c r="H664" s="2"/>
    </row>
    <row r="665" spans="1:8" x14ac:dyDescent="0.25">
      <c r="A665" s="2" t="s">
        <v>2074</v>
      </c>
      <c r="B665" s="2" t="s">
        <v>2550</v>
      </c>
      <c r="C665" s="2" t="s">
        <v>970</v>
      </c>
      <c r="D665" s="2" t="s">
        <v>2453</v>
      </c>
      <c r="E665" s="2" t="s">
        <v>1108</v>
      </c>
      <c r="F665" s="2"/>
      <c r="G665" s="2"/>
      <c r="H665" s="2"/>
    </row>
    <row r="666" spans="1:8" x14ac:dyDescent="0.25">
      <c r="A666" s="2" t="s">
        <v>2075</v>
      </c>
      <c r="B666" s="2" t="s">
        <v>2549</v>
      </c>
      <c r="C666" s="2" t="s">
        <v>2453</v>
      </c>
      <c r="D666" s="2" t="s">
        <v>1105</v>
      </c>
      <c r="E666" s="2"/>
      <c r="F666" s="2"/>
      <c r="G666" s="2"/>
      <c r="H666" s="2"/>
    </row>
    <row r="667" spans="1:8" x14ac:dyDescent="0.25">
      <c r="A667" s="2" t="s">
        <v>2076</v>
      </c>
      <c r="B667" s="2" t="s">
        <v>2550</v>
      </c>
      <c r="C667" s="2" t="s">
        <v>970</v>
      </c>
      <c r="D667" s="2" t="s">
        <v>2453</v>
      </c>
      <c r="E667" s="2" t="s">
        <v>1108</v>
      </c>
      <c r="F667" s="2"/>
      <c r="G667" s="2"/>
      <c r="H667" s="2"/>
    </row>
    <row r="668" spans="1:8" x14ac:dyDescent="0.25">
      <c r="A668" s="2" t="s">
        <v>2078</v>
      </c>
      <c r="B668" s="2" t="s">
        <v>2550</v>
      </c>
      <c r="C668" s="2" t="s">
        <v>2489</v>
      </c>
      <c r="D668" s="2" t="s">
        <v>1088</v>
      </c>
      <c r="E668" s="2" t="s">
        <v>2539</v>
      </c>
      <c r="F668" s="2"/>
      <c r="G668" s="2"/>
      <c r="H668" s="2"/>
    </row>
    <row r="669" spans="1:8" x14ac:dyDescent="0.25">
      <c r="A669" s="2" t="s">
        <v>2080</v>
      </c>
      <c r="B669" s="2" t="s">
        <v>2550</v>
      </c>
      <c r="C669" s="2" t="s">
        <v>2489</v>
      </c>
      <c r="D669" s="2" t="s">
        <v>1088</v>
      </c>
      <c r="E669" s="2" t="s">
        <v>2539</v>
      </c>
      <c r="F669" s="2"/>
      <c r="G669" s="2"/>
      <c r="H669" s="2"/>
    </row>
    <row r="670" spans="1:8" x14ac:dyDescent="0.25">
      <c r="A670" s="2" t="s">
        <v>2081</v>
      </c>
      <c r="B670" s="2" t="s">
        <v>2549</v>
      </c>
      <c r="C670" s="2" t="s">
        <v>2451</v>
      </c>
      <c r="D670" s="2" t="s">
        <v>2529</v>
      </c>
      <c r="E670" s="2"/>
      <c r="F670" s="2"/>
      <c r="G670" s="2"/>
      <c r="H670" s="2"/>
    </row>
    <row r="671" spans="1:8" x14ac:dyDescent="0.25">
      <c r="A671" s="2" t="s">
        <v>2082</v>
      </c>
      <c r="B671" s="2" t="s">
        <v>2549</v>
      </c>
      <c r="C671" s="2" t="s">
        <v>2451</v>
      </c>
      <c r="D671" s="2" t="s">
        <v>2529</v>
      </c>
      <c r="E671" s="2"/>
      <c r="F671" s="2"/>
      <c r="G671" s="2"/>
      <c r="H671" s="2"/>
    </row>
    <row r="672" spans="1:8" x14ac:dyDescent="0.25">
      <c r="A672" s="2" t="s">
        <v>2083</v>
      </c>
      <c r="B672" s="2" t="s">
        <v>2549</v>
      </c>
      <c r="C672" s="2" t="s">
        <v>2451</v>
      </c>
      <c r="D672" s="2" t="s">
        <v>2529</v>
      </c>
      <c r="E672" s="2"/>
      <c r="F672" s="2"/>
      <c r="G672" s="2"/>
      <c r="H672" s="2"/>
    </row>
    <row r="673" spans="1:8" x14ac:dyDescent="0.25">
      <c r="A673" s="2" t="s">
        <v>2084</v>
      </c>
      <c r="B673" s="2" t="s">
        <v>2549</v>
      </c>
      <c r="C673" s="2" t="s">
        <v>2461</v>
      </c>
      <c r="D673" s="2" t="s">
        <v>2519</v>
      </c>
      <c r="E673" s="2"/>
      <c r="F673" s="2"/>
      <c r="G673" s="2"/>
      <c r="H673" s="2"/>
    </row>
    <row r="674" spans="1:8" x14ac:dyDescent="0.25">
      <c r="A674" s="2" t="s">
        <v>2085</v>
      </c>
      <c r="B674" s="2" t="s">
        <v>2549</v>
      </c>
      <c r="C674" s="2" t="s">
        <v>2461</v>
      </c>
      <c r="D674" s="2" t="s">
        <v>2519</v>
      </c>
      <c r="E674" s="2"/>
      <c r="F674" s="2"/>
      <c r="G674" s="2"/>
      <c r="H674" s="2"/>
    </row>
    <row r="675" spans="1:8" x14ac:dyDescent="0.25">
      <c r="A675" s="2" t="s">
        <v>2086</v>
      </c>
      <c r="B675" s="2" t="s">
        <v>2550</v>
      </c>
      <c r="C675" s="2" t="s">
        <v>1029</v>
      </c>
      <c r="D675" s="2" t="s">
        <v>1055</v>
      </c>
      <c r="E675" s="2" t="s">
        <v>1099</v>
      </c>
      <c r="F675" s="2"/>
      <c r="G675" s="2"/>
      <c r="H675" s="2"/>
    </row>
    <row r="676" spans="1:8" x14ac:dyDescent="0.25">
      <c r="A676" s="2" t="s">
        <v>2088</v>
      </c>
      <c r="B676" s="2" t="s">
        <v>2550</v>
      </c>
      <c r="C676" s="2" t="s">
        <v>1029</v>
      </c>
      <c r="D676" s="2" t="s">
        <v>1055</v>
      </c>
      <c r="E676" s="2" t="s">
        <v>1099</v>
      </c>
      <c r="F676" s="2"/>
      <c r="G676" s="2"/>
      <c r="H676" s="2"/>
    </row>
    <row r="677" spans="1:8" x14ac:dyDescent="0.25">
      <c r="A677" s="2" t="s">
        <v>2089</v>
      </c>
      <c r="B677" s="2" t="s">
        <v>2552</v>
      </c>
      <c r="C677" s="2" t="s">
        <v>2455</v>
      </c>
      <c r="D677" s="2"/>
      <c r="E677" s="2"/>
      <c r="F677" s="2"/>
      <c r="G677" s="2"/>
      <c r="H677" s="2"/>
    </row>
    <row r="678" spans="1:8" x14ac:dyDescent="0.25">
      <c r="A678" s="2" t="s">
        <v>2090</v>
      </c>
      <c r="B678" s="2" t="s">
        <v>2550</v>
      </c>
      <c r="C678" s="2" t="s">
        <v>2473</v>
      </c>
      <c r="D678" s="2" t="s">
        <v>1031</v>
      </c>
      <c r="E678" s="2" t="s">
        <v>1070</v>
      </c>
      <c r="F678" s="2"/>
      <c r="G678" s="2"/>
      <c r="H678" s="2"/>
    </row>
    <row r="679" spans="1:8" x14ac:dyDescent="0.25">
      <c r="A679" s="2" t="s">
        <v>2566</v>
      </c>
      <c r="B679" s="2" t="s">
        <v>2551</v>
      </c>
      <c r="C679" s="2" t="s">
        <v>2435</v>
      </c>
      <c r="D679" s="2" t="s">
        <v>2473</v>
      </c>
      <c r="E679" s="2" t="s">
        <v>1031</v>
      </c>
      <c r="F679" s="2" t="s">
        <v>2505</v>
      </c>
      <c r="G679" s="2"/>
      <c r="H679" s="2"/>
    </row>
    <row r="680" spans="1:8" x14ac:dyDescent="0.25">
      <c r="A680" s="2" t="s">
        <v>2091</v>
      </c>
      <c r="B680" s="2" t="s">
        <v>2552</v>
      </c>
      <c r="C680" s="2" t="s">
        <v>1063</v>
      </c>
      <c r="D680" s="2"/>
      <c r="E680" s="2"/>
      <c r="F680" s="2"/>
      <c r="G680" s="2"/>
      <c r="H680" s="2"/>
    </row>
    <row r="681" spans="1:8" x14ac:dyDescent="0.25">
      <c r="A681" s="2" t="s">
        <v>2092</v>
      </c>
      <c r="B681" s="2" t="s">
        <v>2552</v>
      </c>
      <c r="C681" s="2" t="s">
        <v>1063</v>
      </c>
      <c r="D681" s="2"/>
      <c r="E681" s="2"/>
      <c r="F681" s="2"/>
      <c r="G681" s="2"/>
      <c r="H681" s="2"/>
    </row>
    <row r="682" spans="1:8" x14ac:dyDescent="0.25">
      <c r="A682" s="2" t="s">
        <v>2567</v>
      </c>
      <c r="B682" s="2" t="s">
        <v>2549</v>
      </c>
      <c r="C682" s="2" t="s">
        <v>2523</v>
      </c>
      <c r="D682" s="2" t="s">
        <v>2523</v>
      </c>
      <c r="E682" s="2"/>
      <c r="F682" s="2"/>
      <c r="G682" s="2"/>
      <c r="H682" s="2"/>
    </row>
    <row r="683" spans="1:8" x14ac:dyDescent="0.25">
      <c r="A683" s="2" t="s">
        <v>2094</v>
      </c>
      <c r="B683" s="2" t="s">
        <v>2549</v>
      </c>
      <c r="C683" s="2" t="s">
        <v>2425</v>
      </c>
      <c r="D683" s="2" t="s">
        <v>2465</v>
      </c>
      <c r="E683" s="2"/>
      <c r="F683" s="2"/>
      <c r="G683" s="2"/>
      <c r="H683" s="2"/>
    </row>
    <row r="684" spans="1:8" x14ac:dyDescent="0.25">
      <c r="A684" s="2" t="s">
        <v>2095</v>
      </c>
      <c r="B684" s="2" t="s">
        <v>2549</v>
      </c>
      <c r="C684" s="2" t="s">
        <v>2425</v>
      </c>
      <c r="D684" s="2" t="s">
        <v>2465</v>
      </c>
      <c r="E684" s="2"/>
      <c r="F684" s="2"/>
      <c r="G684" s="2"/>
      <c r="H684" s="2"/>
    </row>
    <row r="685" spans="1:8" x14ac:dyDescent="0.25">
      <c r="A685" s="2" t="s">
        <v>2097</v>
      </c>
      <c r="B685" s="2" t="s">
        <v>2549</v>
      </c>
      <c r="C685" s="2" t="s">
        <v>2527</v>
      </c>
      <c r="D685" s="2" t="s">
        <v>1168</v>
      </c>
      <c r="E685" s="2"/>
      <c r="F685" s="2"/>
      <c r="G685" s="2"/>
      <c r="H685" s="2"/>
    </row>
    <row r="686" spans="1:8" x14ac:dyDescent="0.25">
      <c r="A686" s="2" t="s">
        <v>2098</v>
      </c>
      <c r="B686" s="2" t="s">
        <v>2549</v>
      </c>
      <c r="C686" s="2" t="s">
        <v>2527</v>
      </c>
      <c r="D686" s="2" t="s">
        <v>1168</v>
      </c>
      <c r="E686" s="2"/>
      <c r="F686" s="2"/>
      <c r="G686" s="2"/>
      <c r="H686" s="2"/>
    </row>
    <row r="687" spans="1:8" x14ac:dyDescent="0.25">
      <c r="A687" s="2" t="s">
        <v>2099</v>
      </c>
      <c r="B687" s="2" t="s">
        <v>2550</v>
      </c>
      <c r="C687" s="2" t="s">
        <v>2437</v>
      </c>
      <c r="D687" s="2" t="s">
        <v>2473</v>
      </c>
      <c r="E687" s="2" t="s">
        <v>1143</v>
      </c>
      <c r="F687" s="2"/>
      <c r="G687" s="2"/>
      <c r="H687" s="2"/>
    </row>
    <row r="688" spans="1:8" x14ac:dyDescent="0.25">
      <c r="A688" s="2" t="s">
        <v>2101</v>
      </c>
      <c r="B688" s="2" t="s">
        <v>2550</v>
      </c>
      <c r="C688" s="2" t="s">
        <v>2437</v>
      </c>
      <c r="D688" s="2" t="s">
        <v>2473</v>
      </c>
      <c r="E688" s="2" t="s">
        <v>1143</v>
      </c>
      <c r="F688" s="2"/>
      <c r="G688" s="2"/>
      <c r="H688" s="2"/>
    </row>
    <row r="689" spans="1:8" x14ac:dyDescent="0.25">
      <c r="A689" s="2" t="s">
        <v>2102</v>
      </c>
      <c r="B689" s="2" t="s">
        <v>2550</v>
      </c>
      <c r="C689" s="2" t="s">
        <v>2499</v>
      </c>
      <c r="D689" s="2" t="s">
        <v>1116</v>
      </c>
      <c r="E689" s="2" t="s">
        <v>2534</v>
      </c>
      <c r="F689" s="2"/>
      <c r="G689" s="2"/>
      <c r="H689" s="2"/>
    </row>
    <row r="690" spans="1:8" x14ac:dyDescent="0.25">
      <c r="A690" s="2" t="s">
        <v>2103</v>
      </c>
      <c r="B690" s="2" t="s">
        <v>2550</v>
      </c>
      <c r="C690" s="2" t="s">
        <v>2499</v>
      </c>
      <c r="D690" s="2" t="s">
        <v>1116</v>
      </c>
      <c r="E690" s="2" t="s">
        <v>2534</v>
      </c>
      <c r="F690" s="2"/>
      <c r="G690" s="2"/>
      <c r="H690" s="2"/>
    </row>
    <row r="691" spans="1:8" x14ac:dyDescent="0.25">
      <c r="A691" s="2" t="s">
        <v>2104</v>
      </c>
      <c r="B691" s="2" t="s">
        <v>2550</v>
      </c>
      <c r="C691" s="2" t="s">
        <v>947</v>
      </c>
      <c r="D691" s="2" t="s">
        <v>1077</v>
      </c>
      <c r="E691" s="2" t="s">
        <v>2503</v>
      </c>
      <c r="F691" s="2"/>
      <c r="G691" s="2"/>
      <c r="H691" s="2"/>
    </row>
    <row r="692" spans="1:8" x14ac:dyDescent="0.25">
      <c r="A692" s="2" t="s">
        <v>2105</v>
      </c>
      <c r="B692" s="2" t="s">
        <v>2550</v>
      </c>
      <c r="C692" s="2" t="s">
        <v>947</v>
      </c>
      <c r="D692" s="2" t="s">
        <v>1077</v>
      </c>
      <c r="E692" s="2" t="s">
        <v>2503</v>
      </c>
      <c r="F692" s="2"/>
      <c r="G692" s="2"/>
      <c r="H692" s="2"/>
    </row>
    <row r="693" spans="1:8" x14ac:dyDescent="0.25">
      <c r="A693" s="2" t="s">
        <v>2106</v>
      </c>
      <c r="B693" s="2" t="s">
        <v>2552</v>
      </c>
      <c r="C693" s="2" t="s">
        <v>2485</v>
      </c>
      <c r="D693" s="2"/>
      <c r="E693" s="2"/>
      <c r="F693" s="2"/>
      <c r="G693" s="2"/>
      <c r="H693" s="2"/>
    </row>
    <row r="694" spans="1:8" x14ac:dyDescent="0.25">
      <c r="A694" s="2" t="s">
        <v>2107</v>
      </c>
      <c r="B694" s="2" t="s">
        <v>2552</v>
      </c>
      <c r="C694" s="2" t="s">
        <v>2485</v>
      </c>
      <c r="D694" s="2"/>
      <c r="E694" s="2"/>
      <c r="F694" s="2"/>
      <c r="G694" s="2"/>
      <c r="H694" s="2"/>
    </row>
    <row r="695" spans="1:8" x14ac:dyDescent="0.25">
      <c r="A695" s="2" t="s">
        <v>2108</v>
      </c>
      <c r="B695" s="2" t="s">
        <v>2550</v>
      </c>
      <c r="C695" s="2" t="s">
        <v>982</v>
      </c>
      <c r="D695" s="2" t="s">
        <v>1097</v>
      </c>
      <c r="E695" s="2" t="s">
        <v>1122</v>
      </c>
      <c r="F695" s="2"/>
      <c r="G695" s="2"/>
      <c r="H695" s="2"/>
    </row>
    <row r="696" spans="1:8" x14ac:dyDescent="0.25">
      <c r="A696" s="2" t="s">
        <v>2111</v>
      </c>
      <c r="B696" s="2" t="s">
        <v>2550</v>
      </c>
      <c r="C696" s="2" t="s">
        <v>982</v>
      </c>
      <c r="D696" s="2" t="s">
        <v>1097</v>
      </c>
      <c r="E696" s="2" t="s">
        <v>1122</v>
      </c>
      <c r="F696" s="2"/>
      <c r="G696" s="2"/>
      <c r="H696" s="2"/>
    </row>
    <row r="697" spans="1:8" x14ac:dyDescent="0.25">
      <c r="A697" s="2" t="s">
        <v>2112</v>
      </c>
      <c r="B697" s="2" t="s">
        <v>2549</v>
      </c>
      <c r="C697" s="2" t="s">
        <v>1090</v>
      </c>
      <c r="D697" s="2" t="s">
        <v>2525</v>
      </c>
      <c r="E697" s="2"/>
      <c r="F697" s="2"/>
      <c r="G697" s="2"/>
      <c r="H697" s="2"/>
    </row>
    <row r="698" spans="1:8" x14ac:dyDescent="0.25">
      <c r="A698" s="2" t="s">
        <v>2113</v>
      </c>
      <c r="B698" s="2" t="s">
        <v>2549</v>
      </c>
      <c r="C698" s="2" t="s">
        <v>1090</v>
      </c>
      <c r="D698" s="2" t="s">
        <v>2525</v>
      </c>
      <c r="E698" s="2"/>
      <c r="F698" s="2"/>
      <c r="G698" s="2"/>
      <c r="H698" s="2"/>
    </row>
    <row r="699" spans="1:8" x14ac:dyDescent="0.25">
      <c r="A699" s="2" t="s">
        <v>2114</v>
      </c>
      <c r="B699" s="2" t="s">
        <v>2549</v>
      </c>
      <c r="C699" s="2" t="s">
        <v>2511</v>
      </c>
      <c r="D699" s="2" t="s">
        <v>1120</v>
      </c>
      <c r="E699" s="2"/>
      <c r="F699" s="2"/>
      <c r="G699" s="2"/>
      <c r="H699" s="2"/>
    </row>
    <row r="700" spans="1:8" x14ac:dyDescent="0.25">
      <c r="A700" s="2" t="s">
        <v>2115</v>
      </c>
      <c r="B700" s="2" t="s">
        <v>2549</v>
      </c>
      <c r="C700" s="2" t="s">
        <v>2511</v>
      </c>
      <c r="D700" s="2" t="s">
        <v>1120</v>
      </c>
      <c r="E700" s="2"/>
      <c r="F700" s="2"/>
      <c r="G700" s="2"/>
      <c r="H700" s="2"/>
    </row>
    <row r="701" spans="1:8" x14ac:dyDescent="0.25">
      <c r="A701" s="2" t="s">
        <v>2116</v>
      </c>
      <c r="B701" s="2" t="s">
        <v>2549</v>
      </c>
      <c r="C701" s="2" t="s">
        <v>972</v>
      </c>
      <c r="D701" s="2" t="s">
        <v>2501</v>
      </c>
      <c r="E701" s="2"/>
      <c r="F701" s="2"/>
      <c r="G701" s="2"/>
      <c r="H701" s="2"/>
    </row>
    <row r="702" spans="1:8" x14ac:dyDescent="0.25">
      <c r="A702" s="2" t="s">
        <v>2117</v>
      </c>
      <c r="B702" s="2" t="s">
        <v>2550</v>
      </c>
      <c r="C702" s="2" t="s">
        <v>1041</v>
      </c>
      <c r="D702" s="2" t="s">
        <v>1055</v>
      </c>
      <c r="E702" s="2" t="s">
        <v>1168</v>
      </c>
      <c r="F702" s="2"/>
      <c r="G702" s="2"/>
      <c r="H702" s="2"/>
    </row>
    <row r="703" spans="1:8" x14ac:dyDescent="0.25">
      <c r="A703" s="2" t="s">
        <v>2119</v>
      </c>
      <c r="B703" s="2" t="s">
        <v>2550</v>
      </c>
      <c r="C703" s="2" t="s">
        <v>2433</v>
      </c>
      <c r="D703" s="2" t="s">
        <v>1072</v>
      </c>
      <c r="E703" s="2" t="s">
        <v>1074</v>
      </c>
      <c r="F703" s="2"/>
      <c r="G703" s="2"/>
      <c r="H703" s="2"/>
    </row>
    <row r="704" spans="1:8" x14ac:dyDescent="0.25">
      <c r="A704" s="2" t="s">
        <v>2120</v>
      </c>
      <c r="B704" s="2" t="s">
        <v>2549</v>
      </c>
      <c r="C704" s="2" t="s">
        <v>965</v>
      </c>
      <c r="D704" s="2" t="s">
        <v>1141</v>
      </c>
      <c r="E704" s="2"/>
      <c r="F704" s="2"/>
      <c r="G704" s="2"/>
      <c r="H704" s="2"/>
    </row>
    <row r="705" spans="1:8" x14ac:dyDescent="0.25">
      <c r="A705" s="2" t="s">
        <v>2121</v>
      </c>
      <c r="B705" s="2" t="s">
        <v>2550</v>
      </c>
      <c r="C705" s="2" t="s">
        <v>2459</v>
      </c>
      <c r="D705" s="2" t="s">
        <v>1013</v>
      </c>
      <c r="E705" s="2" t="s">
        <v>2519</v>
      </c>
      <c r="F705" s="2"/>
      <c r="G705" s="2"/>
      <c r="H705" s="2"/>
    </row>
    <row r="706" spans="1:8" x14ac:dyDescent="0.25">
      <c r="A706" s="2" t="s">
        <v>2122</v>
      </c>
      <c r="B706" s="2" t="s">
        <v>2550</v>
      </c>
      <c r="C706" s="2" t="s">
        <v>2459</v>
      </c>
      <c r="D706" s="2" t="s">
        <v>1013</v>
      </c>
      <c r="E706" s="2" t="s">
        <v>2519</v>
      </c>
      <c r="F706" s="2"/>
      <c r="G706" s="2"/>
      <c r="H706" s="2"/>
    </row>
    <row r="707" spans="1:8" x14ac:dyDescent="0.25">
      <c r="A707" s="2" t="s">
        <v>2123</v>
      </c>
      <c r="B707" s="2" t="s">
        <v>2550</v>
      </c>
      <c r="C707" s="2" t="s">
        <v>2459</v>
      </c>
      <c r="D707" s="2" t="s">
        <v>1013</v>
      </c>
      <c r="E707" s="2" t="s">
        <v>2519</v>
      </c>
      <c r="F707" s="2"/>
      <c r="G707" s="2"/>
      <c r="H707" s="2"/>
    </row>
    <row r="708" spans="1:8" x14ac:dyDescent="0.25">
      <c r="A708" s="2" t="s">
        <v>2124</v>
      </c>
      <c r="B708" s="2" t="s">
        <v>2549</v>
      </c>
      <c r="C708" s="2" t="s">
        <v>2483</v>
      </c>
      <c r="D708" s="2" t="s">
        <v>2505</v>
      </c>
      <c r="E708" s="2"/>
      <c r="F708" s="2"/>
      <c r="G708" s="2"/>
      <c r="H708" s="2"/>
    </row>
    <row r="709" spans="1:8" x14ac:dyDescent="0.25">
      <c r="A709" s="2" t="s">
        <v>2127</v>
      </c>
      <c r="B709" s="2" t="s">
        <v>2550</v>
      </c>
      <c r="C709" s="2" t="s">
        <v>1000</v>
      </c>
      <c r="D709" s="2" t="s">
        <v>2463</v>
      </c>
      <c r="E709" s="2" t="s">
        <v>1061</v>
      </c>
      <c r="F709" s="2"/>
      <c r="G709" s="2"/>
      <c r="H709" s="2"/>
    </row>
    <row r="710" spans="1:8" x14ac:dyDescent="0.25">
      <c r="A710" s="2" t="s">
        <v>2129</v>
      </c>
      <c r="B710" s="2" t="s">
        <v>2550</v>
      </c>
      <c r="C710" s="2" t="s">
        <v>1000</v>
      </c>
      <c r="D710" s="2" t="s">
        <v>2463</v>
      </c>
      <c r="E710" s="2" t="s">
        <v>1061</v>
      </c>
      <c r="F710" s="2"/>
      <c r="G710" s="2"/>
      <c r="H710" s="2"/>
    </row>
    <row r="711" spans="1:8" x14ac:dyDescent="0.25">
      <c r="A711" s="2" t="s">
        <v>2568</v>
      </c>
      <c r="B711" s="2" t="s">
        <v>2550</v>
      </c>
      <c r="C711" s="2" t="s">
        <v>1000</v>
      </c>
      <c r="D711" s="2" t="s">
        <v>1025</v>
      </c>
      <c r="E711" s="2" t="s">
        <v>1072</v>
      </c>
      <c r="F711" s="2"/>
      <c r="G711" s="2"/>
      <c r="H711" s="2"/>
    </row>
    <row r="712" spans="1:8" x14ac:dyDescent="0.25">
      <c r="A712" s="2" t="s">
        <v>2569</v>
      </c>
      <c r="B712" s="2" t="s">
        <v>2550</v>
      </c>
      <c r="C712" s="2" t="s">
        <v>1000</v>
      </c>
      <c r="D712" s="2" t="s">
        <v>1025</v>
      </c>
      <c r="E712" s="2" t="s">
        <v>1072</v>
      </c>
      <c r="F712" s="2"/>
      <c r="G712" s="2"/>
      <c r="H712" s="2"/>
    </row>
    <row r="713" spans="1:8" x14ac:dyDescent="0.25">
      <c r="A713" s="2" t="s">
        <v>2131</v>
      </c>
      <c r="B713" s="2" t="s">
        <v>2550</v>
      </c>
      <c r="C713" s="2" t="s">
        <v>1017</v>
      </c>
      <c r="D713" s="2" t="s">
        <v>1070</v>
      </c>
      <c r="E713" s="2" t="s">
        <v>1141</v>
      </c>
      <c r="F713" s="2"/>
      <c r="G713" s="2"/>
      <c r="H713" s="2"/>
    </row>
    <row r="714" spans="1:8" x14ac:dyDescent="0.25">
      <c r="A714" s="2" t="s">
        <v>2132</v>
      </c>
      <c r="B714" s="2" t="s">
        <v>2550</v>
      </c>
      <c r="C714" s="2" t="s">
        <v>1017</v>
      </c>
      <c r="D714" s="2" t="s">
        <v>1070</v>
      </c>
      <c r="E714" s="2" t="s">
        <v>1141</v>
      </c>
      <c r="F714" s="2"/>
      <c r="G714" s="2"/>
      <c r="H714" s="2"/>
    </row>
    <row r="715" spans="1:8" x14ac:dyDescent="0.25">
      <c r="A715" s="2" t="s">
        <v>2133</v>
      </c>
      <c r="B715" s="2" t="s">
        <v>2550</v>
      </c>
      <c r="C715" s="2" t="s">
        <v>1000</v>
      </c>
      <c r="D715" s="2" t="s">
        <v>2473</v>
      </c>
      <c r="E715" s="2" t="s">
        <v>2531</v>
      </c>
      <c r="F715" s="2"/>
      <c r="G715" s="2"/>
      <c r="H715" s="2"/>
    </row>
    <row r="716" spans="1:8" x14ac:dyDescent="0.25">
      <c r="A716" s="2" t="s">
        <v>2134</v>
      </c>
      <c r="B716" s="2" t="s">
        <v>2550</v>
      </c>
      <c r="C716" s="2" t="s">
        <v>1000</v>
      </c>
      <c r="D716" s="2" t="s">
        <v>2473</v>
      </c>
      <c r="E716" s="2" t="s">
        <v>2531</v>
      </c>
      <c r="F716" s="2"/>
      <c r="G716" s="2"/>
      <c r="H716" s="2"/>
    </row>
    <row r="717" spans="1:8" x14ac:dyDescent="0.25">
      <c r="A717" s="2" t="s">
        <v>2135</v>
      </c>
      <c r="B717" s="2" t="s">
        <v>2552</v>
      </c>
      <c r="C717" s="2" t="s">
        <v>2447</v>
      </c>
      <c r="D717" s="2"/>
      <c r="E717" s="2"/>
      <c r="F717" s="2"/>
      <c r="G717" s="2"/>
      <c r="H717" s="2"/>
    </row>
    <row r="718" spans="1:8" x14ac:dyDescent="0.25">
      <c r="A718" s="2" t="s">
        <v>2137</v>
      </c>
      <c r="B718" s="2" t="s">
        <v>2552</v>
      </c>
      <c r="C718" s="2" t="s">
        <v>2441</v>
      </c>
      <c r="D718" s="2"/>
      <c r="E718" s="2"/>
      <c r="F718" s="2"/>
      <c r="G718" s="2"/>
      <c r="H718" s="2"/>
    </row>
    <row r="719" spans="1:8" x14ac:dyDescent="0.25">
      <c r="A719" s="2" t="s">
        <v>2139</v>
      </c>
      <c r="B719" s="2" t="s">
        <v>2552</v>
      </c>
      <c r="C719" s="2" t="s">
        <v>2427</v>
      </c>
      <c r="D719" s="2"/>
      <c r="E719" s="2"/>
      <c r="F719" s="2"/>
      <c r="G719" s="2"/>
      <c r="H719" s="2"/>
    </row>
    <row r="720" spans="1:8" x14ac:dyDescent="0.25">
      <c r="A720" s="2"/>
      <c r="B720" s="2"/>
      <c r="C720" s="2"/>
      <c r="D720" s="2"/>
      <c r="E720" s="2"/>
      <c r="F720" s="2"/>
      <c r="G720" s="2"/>
      <c r="H720" s="2"/>
    </row>
  </sheetData>
  <conditionalFormatting sqref="B1:H1">
    <cfRule type="containsText" dxfId="351" priority="1" stopIfTrue="1" operator="containsText" text="Ghost">
      <formula>NOT(ISERROR(SEARCH("Ghost",B1)))</formula>
    </cfRule>
    <cfRule type="containsText" dxfId="350" priority="2" stopIfTrue="1" operator="containsText" text="Psychic">
      <formula>NOT(ISERROR(SEARCH("Psychic",B1)))</formula>
    </cfRule>
    <cfRule type="containsText" dxfId="349" priority="3" stopIfTrue="1" operator="containsText" text="Normal">
      <formula>NOT(ISERROR(SEARCH("Normal",B1)))</formula>
    </cfRule>
    <cfRule type="containsText" dxfId="348" priority="4" stopIfTrue="1" operator="containsText" text="Fire">
      <formula>NOT(ISERROR(SEARCH("Fire",B1)))</formula>
    </cfRule>
    <cfRule type="containsText" dxfId="347" priority="5" stopIfTrue="1" operator="containsText" text="Bug">
      <formula>NOT(ISERROR(SEARCH("Bug",B1)))</formula>
    </cfRule>
    <cfRule type="containsText" dxfId="346" priority="6" stopIfTrue="1" operator="containsText" text="Dark">
      <formula>NOT(ISERROR(SEARCH("Dark",B1)))</formula>
    </cfRule>
    <cfRule type="containsText" dxfId="345" priority="7" stopIfTrue="1" operator="containsText" text="Dragon">
      <formula>NOT(ISERROR(SEARCH("Dragon",B1)))</formula>
    </cfRule>
    <cfRule type="containsText" dxfId="344" priority="8" stopIfTrue="1" operator="containsText" text="Electric">
      <formula>NOT(ISERROR(SEARCH("Electric",B1)))</formula>
    </cfRule>
    <cfRule type="containsText" dxfId="343" priority="9" stopIfTrue="1" operator="containsText" text="Fairy">
      <formula>NOT(ISERROR(SEARCH("Fairy",B1)))</formula>
    </cfRule>
    <cfRule type="containsText" dxfId="342" priority="10" stopIfTrue="1" operator="containsText" text="Fighting">
      <formula>NOT(ISERROR(SEARCH("Fighting",B1)))</formula>
    </cfRule>
    <cfRule type="containsText" dxfId="341" priority="11" stopIfTrue="1" operator="containsText" text="Flying">
      <formula>NOT(ISERROR(SEARCH("Flying",B1)))</formula>
    </cfRule>
    <cfRule type="containsText" dxfId="340" priority="12" stopIfTrue="1" operator="containsText" text="Grass">
      <formula>NOT(ISERROR(SEARCH("Grass",B1)))</formula>
    </cfRule>
    <cfRule type="containsText" dxfId="339" priority="13" stopIfTrue="1" operator="containsText" text="Ground">
      <formula>NOT(ISERROR(SEARCH("Ground",B1)))</formula>
    </cfRule>
    <cfRule type="containsText" dxfId="338" priority="14" stopIfTrue="1" operator="containsText" text="Ice">
      <formula>NOT(ISERROR(SEARCH("Ice",B1)))</formula>
    </cfRule>
    <cfRule type="containsText" dxfId="337" priority="15" stopIfTrue="1" operator="containsText" text="Poison">
      <formula>NOT(ISERROR(SEARCH("Poison",B1)))</formula>
    </cfRule>
    <cfRule type="containsText" dxfId="336" priority="16" stopIfTrue="1" operator="containsText" text="Rock">
      <formula>NOT(ISERROR(SEARCH("Rock",B1)))</formula>
    </cfRule>
    <cfRule type="containsText" dxfId="335" priority="17" stopIfTrue="1" operator="containsText" text="Steel">
      <formula>NOT(ISERROR(SEARCH("Steel",B1)))</formula>
    </cfRule>
    <cfRule type="containsText" dxfId="334" priority="18" stopIfTrue="1" operator="containsText" text="Water">
      <formula>NOT(ISERROR(SEARCH("Water",B1)))</formula>
    </cfRule>
    <cfRule type="containsText" dxfId="333" priority="19" stopIfTrue="1" operator="containsText" text="Status">
      <formula>NOT(ISERROR(SEARCH("Status",B1)))</formula>
    </cfRule>
    <cfRule type="containsText" dxfId="332" priority="20" stopIfTrue="1" operator="containsText" text="Physical">
      <formula>NOT(ISERROR(SEARCH("Physical",B1)))</formula>
    </cfRule>
    <cfRule type="containsText" dxfId="331" priority="21" stopIfTrue="1" operator="containsText" text="Special">
      <formula>NOT(ISERROR(SEARCH("Special",B1)))</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NatureSheet"/>
  <dimension ref="A1:J65"/>
  <sheetViews>
    <sheetView workbookViewId="0">
      <selection activeCell="J1" sqref="J1"/>
    </sheetView>
  </sheetViews>
  <sheetFormatPr defaultRowHeight="15" x14ac:dyDescent="0.25"/>
  <cols>
    <col min="1" max="1" width="26.28515625" customWidth="1"/>
    <col min="4" max="6" width="10" customWidth="1"/>
  </cols>
  <sheetData>
    <row r="1" spans="1:10" ht="16.5" x14ac:dyDescent="0.25">
      <c r="A1" t="s">
        <v>625</v>
      </c>
      <c r="B1" s="42" t="s">
        <v>149</v>
      </c>
      <c r="C1" s="42" t="s">
        <v>150</v>
      </c>
      <c r="D1" s="42" t="s">
        <v>884</v>
      </c>
      <c r="E1" s="42" t="s">
        <v>885</v>
      </c>
      <c r="F1" s="42" t="s">
        <v>151</v>
      </c>
      <c r="J1" s="34" t="s">
        <v>91</v>
      </c>
    </row>
    <row r="2" spans="1:10" x14ac:dyDescent="0.25">
      <c r="A2" s="77" t="s">
        <v>874</v>
      </c>
      <c r="B2">
        <v>1.1000000000000001</v>
      </c>
      <c r="C2">
        <v>1</v>
      </c>
      <c r="D2">
        <v>0.9</v>
      </c>
      <c r="E2">
        <v>1</v>
      </c>
      <c r="F2">
        <v>1</v>
      </c>
      <c r="J2">
        <v>0</v>
      </c>
    </row>
    <row r="3" spans="1:10" x14ac:dyDescent="0.25">
      <c r="A3" s="78" t="s">
        <v>852</v>
      </c>
      <c r="B3">
        <v>1</v>
      </c>
      <c r="C3">
        <v>1</v>
      </c>
      <c r="D3">
        <v>1</v>
      </c>
      <c r="E3">
        <v>1</v>
      </c>
      <c r="F3">
        <v>1</v>
      </c>
      <c r="J3">
        <v>1</v>
      </c>
    </row>
    <row r="4" spans="1:10" x14ac:dyDescent="0.25">
      <c r="A4" s="73" t="s">
        <v>867</v>
      </c>
      <c r="B4">
        <v>0.9</v>
      </c>
      <c r="C4">
        <v>1.1000000000000001</v>
      </c>
      <c r="D4">
        <v>1</v>
      </c>
      <c r="E4">
        <v>1</v>
      </c>
      <c r="F4">
        <v>1</v>
      </c>
      <c r="J4">
        <v>2</v>
      </c>
    </row>
    <row r="5" spans="1:10" x14ac:dyDescent="0.25">
      <c r="A5" s="73" t="s">
        <v>880</v>
      </c>
      <c r="B5">
        <v>1.1000000000000001</v>
      </c>
      <c r="C5">
        <v>1</v>
      </c>
      <c r="D5">
        <v>1</v>
      </c>
      <c r="E5">
        <v>1</v>
      </c>
      <c r="F5">
        <v>0.9</v>
      </c>
      <c r="J5">
        <v>3</v>
      </c>
    </row>
    <row r="6" spans="1:10" x14ac:dyDescent="0.25">
      <c r="A6" s="73" t="s">
        <v>888</v>
      </c>
      <c r="B6">
        <v>0.9</v>
      </c>
      <c r="C6">
        <v>1</v>
      </c>
      <c r="D6">
        <v>1</v>
      </c>
      <c r="E6">
        <v>1.1000000000000001</v>
      </c>
      <c r="F6">
        <v>1</v>
      </c>
      <c r="J6">
        <v>4</v>
      </c>
    </row>
    <row r="7" spans="1:10" x14ac:dyDescent="0.25">
      <c r="A7" s="74" t="s">
        <v>887</v>
      </c>
      <c r="B7">
        <v>1</v>
      </c>
      <c r="C7">
        <v>1</v>
      </c>
      <c r="D7">
        <v>0.9</v>
      </c>
      <c r="E7">
        <v>1.1000000000000001</v>
      </c>
      <c r="F7">
        <v>1</v>
      </c>
      <c r="J7">
        <v>5</v>
      </c>
    </row>
    <row r="8" spans="1:10" x14ac:dyDescent="0.25">
      <c r="A8" s="75" t="s">
        <v>845</v>
      </c>
      <c r="B8">
        <v>1</v>
      </c>
      <c r="C8">
        <v>1</v>
      </c>
      <c r="D8">
        <v>1</v>
      </c>
      <c r="E8">
        <v>1</v>
      </c>
      <c r="F8">
        <v>1</v>
      </c>
      <c r="J8">
        <v>6</v>
      </c>
    </row>
    <row r="9" spans="1:10" x14ac:dyDescent="0.25">
      <c r="A9" s="76" t="s">
        <v>872</v>
      </c>
      <c r="B9">
        <v>1</v>
      </c>
      <c r="C9">
        <v>0.9</v>
      </c>
      <c r="D9">
        <v>1</v>
      </c>
      <c r="E9">
        <v>1.1000000000000001</v>
      </c>
      <c r="F9">
        <v>1</v>
      </c>
      <c r="J9">
        <v>7</v>
      </c>
    </row>
    <row r="10" spans="1:10" x14ac:dyDescent="0.25">
      <c r="A10" s="75" t="s">
        <v>839</v>
      </c>
      <c r="B10">
        <v>1</v>
      </c>
      <c r="C10">
        <v>1</v>
      </c>
      <c r="D10">
        <v>1</v>
      </c>
      <c r="E10">
        <v>1</v>
      </c>
      <c r="F10">
        <v>1</v>
      </c>
      <c r="J10">
        <v>8</v>
      </c>
    </row>
    <row r="11" spans="1:10" x14ac:dyDescent="0.25">
      <c r="A11" s="76" t="s">
        <v>873</v>
      </c>
      <c r="B11">
        <v>1</v>
      </c>
      <c r="C11">
        <f>I2</f>
        <v>0</v>
      </c>
      <c r="D11">
        <v>1</v>
      </c>
      <c r="E11">
        <v>1</v>
      </c>
      <c r="F11">
        <f>I3</f>
        <v>0</v>
      </c>
      <c r="J11">
        <v>9</v>
      </c>
    </row>
    <row r="12" spans="1:10" x14ac:dyDescent="0.25">
      <c r="A12" s="77" t="s">
        <v>875</v>
      </c>
      <c r="B12">
        <v>1</v>
      </c>
      <c r="C12">
        <v>1.1000000000000001</v>
      </c>
      <c r="D12">
        <v>0.9</v>
      </c>
      <c r="E12">
        <v>1</v>
      </c>
      <c r="F12">
        <v>1</v>
      </c>
      <c r="J12">
        <v>10</v>
      </c>
    </row>
    <row r="13" spans="1:10" x14ac:dyDescent="0.25">
      <c r="A13" s="73" t="s">
        <v>886</v>
      </c>
      <c r="B13">
        <v>1</v>
      </c>
      <c r="C13">
        <v>1</v>
      </c>
      <c r="D13">
        <v>0.9</v>
      </c>
      <c r="E13">
        <v>1</v>
      </c>
      <c r="F13">
        <v>1.1000000000000001</v>
      </c>
      <c r="J13">
        <v>11</v>
      </c>
    </row>
    <row r="14" spans="1:10" x14ac:dyDescent="0.25">
      <c r="A14" s="73" t="s">
        <v>877</v>
      </c>
      <c r="B14">
        <v>1</v>
      </c>
      <c r="C14">
        <v>1.1000000000000001</v>
      </c>
      <c r="D14">
        <v>1</v>
      </c>
      <c r="E14">
        <v>0.9</v>
      </c>
      <c r="F14">
        <v>1</v>
      </c>
      <c r="J14">
        <v>12</v>
      </c>
    </row>
    <row r="15" spans="1:10" x14ac:dyDescent="0.25">
      <c r="A15" s="73" t="s">
        <v>870</v>
      </c>
      <c r="B15">
        <v>1.1000000000000001</v>
      </c>
      <c r="C15">
        <v>0.9</v>
      </c>
      <c r="D15">
        <v>1</v>
      </c>
      <c r="E15">
        <v>1</v>
      </c>
      <c r="F15">
        <v>1</v>
      </c>
      <c r="J15">
        <v>13</v>
      </c>
    </row>
    <row r="16" spans="1:10" x14ac:dyDescent="0.25">
      <c r="A16" s="73" t="s">
        <v>871</v>
      </c>
      <c r="B16">
        <v>1</v>
      </c>
      <c r="C16">
        <v>0.9</v>
      </c>
      <c r="D16">
        <v>1.1000000000000001</v>
      </c>
      <c r="E16">
        <v>1</v>
      </c>
      <c r="F16">
        <v>1</v>
      </c>
      <c r="J16">
        <v>14</v>
      </c>
    </row>
    <row r="17" spans="1:10" x14ac:dyDescent="0.25">
      <c r="A17" s="74" t="s">
        <v>868</v>
      </c>
      <c r="B17">
        <v>0.9</v>
      </c>
      <c r="C17">
        <v>1</v>
      </c>
      <c r="D17">
        <v>1.1000000000000001</v>
      </c>
      <c r="E17">
        <v>1</v>
      </c>
      <c r="F17">
        <v>1</v>
      </c>
      <c r="J17">
        <v>15</v>
      </c>
    </row>
    <row r="18" spans="1:10" x14ac:dyDescent="0.25">
      <c r="A18" s="76" t="s">
        <v>879</v>
      </c>
      <c r="B18">
        <v>1</v>
      </c>
      <c r="C18">
        <v>1</v>
      </c>
      <c r="D18">
        <v>1</v>
      </c>
      <c r="E18">
        <v>0.9</v>
      </c>
      <c r="F18">
        <v>1.1000000000000001</v>
      </c>
      <c r="J18">
        <v>16</v>
      </c>
    </row>
    <row r="19" spans="1:10" x14ac:dyDescent="0.25">
      <c r="A19" s="76" t="s">
        <v>876</v>
      </c>
      <c r="B19">
        <v>1.1000000000000001</v>
      </c>
      <c r="C19">
        <v>1</v>
      </c>
      <c r="D19">
        <v>1</v>
      </c>
      <c r="E19">
        <v>0.9</v>
      </c>
      <c r="F19">
        <v>1</v>
      </c>
      <c r="J19">
        <v>17</v>
      </c>
    </row>
    <row r="20" spans="1:10" x14ac:dyDescent="0.25">
      <c r="A20" s="76" t="s">
        <v>881</v>
      </c>
      <c r="B20">
        <v>1</v>
      </c>
      <c r="C20">
        <v>1</v>
      </c>
      <c r="D20">
        <v>1.1000000000000001</v>
      </c>
      <c r="E20">
        <v>1</v>
      </c>
      <c r="F20">
        <v>0.9</v>
      </c>
      <c r="J20">
        <v>18</v>
      </c>
    </row>
    <row r="21" spans="1:10" x14ac:dyDescent="0.25">
      <c r="A21" s="75" t="s">
        <v>857</v>
      </c>
      <c r="B21">
        <v>1</v>
      </c>
      <c r="C21">
        <v>1</v>
      </c>
      <c r="D21">
        <v>1</v>
      </c>
      <c r="E21">
        <v>1</v>
      </c>
      <c r="F21">
        <v>1</v>
      </c>
      <c r="J21">
        <v>19</v>
      </c>
    </row>
    <row r="22" spans="1:10" x14ac:dyDescent="0.25">
      <c r="A22" s="79" t="s">
        <v>878</v>
      </c>
      <c r="B22">
        <v>1</v>
      </c>
      <c r="C22">
        <v>1</v>
      </c>
      <c r="D22">
        <v>0.9</v>
      </c>
      <c r="E22">
        <v>1.1000000000000001</v>
      </c>
      <c r="F22">
        <v>1</v>
      </c>
      <c r="J22">
        <v>20</v>
      </c>
    </row>
    <row r="23" spans="1:10" x14ac:dyDescent="0.25">
      <c r="A23" s="80" t="s">
        <v>882</v>
      </c>
      <c r="B23">
        <v>1</v>
      </c>
      <c r="C23">
        <f>I3</f>
        <v>0</v>
      </c>
      <c r="D23">
        <v>1</v>
      </c>
      <c r="E23">
        <v>1</v>
      </c>
      <c r="F23">
        <f>I2</f>
        <v>0</v>
      </c>
      <c r="J23">
        <v>21</v>
      </c>
    </row>
    <row r="24" spans="1:10" x14ac:dyDescent="0.25">
      <c r="A24" s="80" t="s">
        <v>883</v>
      </c>
      <c r="B24">
        <v>1</v>
      </c>
      <c r="C24">
        <v>1</v>
      </c>
      <c r="D24">
        <v>1</v>
      </c>
      <c r="E24">
        <v>1.1000000000000001</v>
      </c>
      <c r="F24">
        <v>0.9</v>
      </c>
      <c r="J24">
        <v>22</v>
      </c>
    </row>
    <row r="25" spans="1:10" x14ac:dyDescent="0.25">
      <c r="A25" s="81" t="s">
        <v>863</v>
      </c>
      <c r="B25">
        <v>1</v>
      </c>
      <c r="C25">
        <v>1</v>
      </c>
      <c r="D25">
        <v>1</v>
      </c>
      <c r="E25">
        <v>1</v>
      </c>
      <c r="F25">
        <v>1</v>
      </c>
      <c r="J25">
        <v>23</v>
      </c>
    </row>
    <row r="26" spans="1:10" x14ac:dyDescent="0.25">
      <c r="A26" s="80" t="s">
        <v>869</v>
      </c>
      <c r="B26">
        <v>0.9</v>
      </c>
      <c r="C26">
        <v>1</v>
      </c>
      <c r="D26">
        <v>1</v>
      </c>
      <c r="E26">
        <v>1</v>
      </c>
      <c r="F26">
        <v>1.1000000000000001</v>
      </c>
      <c r="J26">
        <v>24</v>
      </c>
    </row>
    <row r="27" spans="1:10" x14ac:dyDescent="0.25">
      <c r="J27">
        <v>25</v>
      </c>
    </row>
    <row r="28" spans="1:10" x14ac:dyDescent="0.25">
      <c r="J28">
        <v>26</v>
      </c>
    </row>
    <row r="29" spans="1:10" x14ac:dyDescent="0.25">
      <c r="J29">
        <v>27</v>
      </c>
    </row>
    <row r="30" spans="1:10" x14ac:dyDescent="0.25">
      <c r="J30">
        <v>28</v>
      </c>
    </row>
    <row r="31" spans="1:10" x14ac:dyDescent="0.25">
      <c r="J31">
        <v>29</v>
      </c>
    </row>
    <row r="32" spans="1:10" x14ac:dyDescent="0.25">
      <c r="J32">
        <v>30</v>
      </c>
    </row>
    <row r="33" spans="10:10" x14ac:dyDescent="0.25">
      <c r="J33">
        <v>31</v>
      </c>
    </row>
    <row r="34" spans="10:10" x14ac:dyDescent="0.25">
      <c r="J34">
        <v>32</v>
      </c>
    </row>
    <row r="35" spans="10:10" x14ac:dyDescent="0.25">
      <c r="J35">
        <v>33</v>
      </c>
    </row>
    <row r="36" spans="10:10" x14ac:dyDescent="0.25">
      <c r="J36">
        <v>34</v>
      </c>
    </row>
    <row r="37" spans="10:10" x14ac:dyDescent="0.25">
      <c r="J37">
        <v>35</v>
      </c>
    </row>
    <row r="38" spans="10:10" x14ac:dyDescent="0.25">
      <c r="J38">
        <v>36</v>
      </c>
    </row>
    <row r="39" spans="10:10" x14ac:dyDescent="0.25">
      <c r="J39">
        <v>37</v>
      </c>
    </row>
    <row r="40" spans="10:10" x14ac:dyDescent="0.25">
      <c r="J40">
        <v>38</v>
      </c>
    </row>
    <row r="41" spans="10:10" x14ac:dyDescent="0.25">
      <c r="J41">
        <v>39</v>
      </c>
    </row>
    <row r="42" spans="10:10" x14ac:dyDescent="0.25">
      <c r="J42">
        <v>40</v>
      </c>
    </row>
    <row r="43" spans="10:10" x14ac:dyDescent="0.25">
      <c r="J43">
        <v>41</v>
      </c>
    </row>
    <row r="44" spans="10:10" x14ac:dyDescent="0.25">
      <c r="J44">
        <v>42</v>
      </c>
    </row>
    <row r="45" spans="10:10" x14ac:dyDescent="0.25">
      <c r="J45">
        <v>43</v>
      </c>
    </row>
    <row r="46" spans="10:10" x14ac:dyDescent="0.25">
      <c r="J46">
        <v>44</v>
      </c>
    </row>
    <row r="47" spans="10:10" x14ac:dyDescent="0.25">
      <c r="J47">
        <v>45</v>
      </c>
    </row>
    <row r="48" spans="10:10" x14ac:dyDescent="0.25">
      <c r="J48">
        <v>46</v>
      </c>
    </row>
    <row r="49" spans="10:10" x14ac:dyDescent="0.25">
      <c r="J49">
        <v>47</v>
      </c>
    </row>
    <row r="50" spans="10:10" x14ac:dyDescent="0.25">
      <c r="J50">
        <v>48</v>
      </c>
    </row>
    <row r="51" spans="10:10" x14ac:dyDescent="0.25">
      <c r="J51">
        <v>49</v>
      </c>
    </row>
    <row r="52" spans="10:10" x14ac:dyDescent="0.25">
      <c r="J52">
        <v>50</v>
      </c>
    </row>
    <row r="53" spans="10:10" x14ac:dyDescent="0.25">
      <c r="J53">
        <v>51</v>
      </c>
    </row>
    <row r="54" spans="10:10" x14ac:dyDescent="0.25">
      <c r="J54">
        <v>52</v>
      </c>
    </row>
    <row r="55" spans="10:10" x14ac:dyDescent="0.25">
      <c r="J55">
        <v>53</v>
      </c>
    </row>
    <row r="56" spans="10:10" x14ac:dyDescent="0.25">
      <c r="J56">
        <v>54</v>
      </c>
    </row>
    <row r="57" spans="10:10" x14ac:dyDescent="0.25">
      <c r="J57">
        <v>55</v>
      </c>
    </row>
    <row r="58" spans="10:10" x14ac:dyDescent="0.25">
      <c r="J58">
        <v>56</v>
      </c>
    </row>
    <row r="59" spans="10:10" x14ac:dyDescent="0.25">
      <c r="J59">
        <v>57</v>
      </c>
    </row>
    <row r="60" spans="10:10" x14ac:dyDescent="0.25">
      <c r="J60">
        <v>58</v>
      </c>
    </row>
    <row r="61" spans="10:10" x14ac:dyDescent="0.25">
      <c r="J61">
        <v>59</v>
      </c>
    </row>
    <row r="62" spans="10:10" x14ac:dyDescent="0.25">
      <c r="J62">
        <v>60</v>
      </c>
    </row>
    <row r="63" spans="10:10" x14ac:dyDescent="0.25">
      <c r="J63">
        <v>61</v>
      </c>
    </row>
    <row r="64" spans="10:10" x14ac:dyDescent="0.25">
      <c r="J64">
        <v>62</v>
      </c>
    </row>
    <row r="65" spans="10:10" x14ac:dyDescent="0.25">
      <c r="J65">
        <v>63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TypeChartSheet"/>
  <dimension ref="A1:M99"/>
  <sheetViews>
    <sheetView workbookViewId="0">
      <pane xSplit="1" topLeftCell="B1" activePane="topRight" state="frozen"/>
      <selection pane="topRight" activeCell="D4" sqref="D4"/>
    </sheetView>
  </sheetViews>
  <sheetFormatPr defaultColWidth="8.7109375" defaultRowHeight="15" x14ac:dyDescent="0.25"/>
  <cols>
    <col min="2" max="2" width="30.28515625" customWidth="1"/>
    <col min="3" max="3" width="38.5703125" customWidth="1"/>
    <col min="4" max="4" width="12.140625" customWidth="1"/>
    <col min="5" max="5" width="60" bestFit="1" customWidth="1"/>
    <col min="6" max="6" width="26.140625" bestFit="1" customWidth="1"/>
    <col min="7" max="7" width="15.85546875" bestFit="1" customWidth="1"/>
  </cols>
  <sheetData>
    <row r="1" spans="1:7" x14ac:dyDescent="0.25">
      <c r="B1" t="s">
        <v>65</v>
      </c>
      <c r="C1" t="s">
        <v>66</v>
      </c>
      <c r="D1" t="s">
        <v>67</v>
      </c>
      <c r="E1" t="s">
        <v>154</v>
      </c>
      <c r="F1" t="s">
        <v>155</v>
      </c>
      <c r="G1" t="s">
        <v>68</v>
      </c>
    </row>
    <row r="2" spans="1:7" x14ac:dyDescent="0.25">
      <c r="A2" s="3" t="s">
        <v>12</v>
      </c>
      <c r="B2" t="s">
        <v>41</v>
      </c>
      <c r="C2" t="s">
        <v>683</v>
      </c>
      <c r="E2" t="s">
        <v>69</v>
      </c>
      <c r="F2" t="s">
        <v>70</v>
      </c>
    </row>
    <row r="3" spans="1:7" x14ac:dyDescent="0.25">
      <c r="A3" s="3" t="s">
        <v>13</v>
      </c>
      <c r="B3" t="s">
        <v>40</v>
      </c>
      <c r="C3" t="s">
        <v>684</v>
      </c>
      <c r="E3" t="s">
        <v>71</v>
      </c>
      <c r="F3" t="s">
        <v>677</v>
      </c>
      <c r="G3" t="s">
        <v>7</v>
      </c>
    </row>
    <row r="4" spans="1:7" x14ac:dyDescent="0.25">
      <c r="A4" s="3" t="s">
        <v>14</v>
      </c>
      <c r="B4" t="s">
        <v>14</v>
      </c>
      <c r="C4" t="s">
        <v>24</v>
      </c>
      <c r="D4" t="s">
        <v>672</v>
      </c>
      <c r="E4" t="s">
        <v>72</v>
      </c>
      <c r="F4" t="s">
        <v>678</v>
      </c>
    </row>
    <row r="5" spans="1:7" x14ac:dyDescent="0.25">
      <c r="A5" s="3" t="s">
        <v>15</v>
      </c>
      <c r="B5" t="s">
        <v>42</v>
      </c>
      <c r="C5" t="s">
        <v>43</v>
      </c>
      <c r="D5" t="s">
        <v>20</v>
      </c>
      <c r="E5" t="s">
        <v>73</v>
      </c>
      <c r="F5" t="s">
        <v>20</v>
      </c>
    </row>
    <row r="6" spans="1:7" x14ac:dyDescent="0.25">
      <c r="A6" s="3" t="s">
        <v>672</v>
      </c>
      <c r="B6" t="s">
        <v>673</v>
      </c>
      <c r="C6" t="s">
        <v>674</v>
      </c>
      <c r="E6" t="s">
        <v>675</v>
      </c>
      <c r="F6" t="s">
        <v>676</v>
      </c>
      <c r="G6" t="s">
        <v>14</v>
      </c>
    </row>
    <row r="7" spans="1:7" x14ac:dyDescent="0.25">
      <c r="A7" s="3" t="s">
        <v>16</v>
      </c>
      <c r="B7" t="s">
        <v>88</v>
      </c>
      <c r="C7" t="s">
        <v>685</v>
      </c>
      <c r="D7" t="s">
        <v>8</v>
      </c>
      <c r="E7" t="s">
        <v>74</v>
      </c>
      <c r="F7" t="s">
        <v>679</v>
      </c>
    </row>
    <row r="8" spans="1:7" x14ac:dyDescent="0.25">
      <c r="A8" s="3" t="s">
        <v>17</v>
      </c>
      <c r="B8" t="s">
        <v>44</v>
      </c>
      <c r="C8" t="s">
        <v>45</v>
      </c>
      <c r="E8" t="s">
        <v>680</v>
      </c>
      <c r="F8" t="s">
        <v>49</v>
      </c>
    </row>
    <row r="9" spans="1:7" x14ac:dyDescent="0.25">
      <c r="A9" s="3" t="s">
        <v>18</v>
      </c>
      <c r="B9" t="s">
        <v>46</v>
      </c>
      <c r="C9" t="s">
        <v>47</v>
      </c>
      <c r="E9" t="s">
        <v>46</v>
      </c>
      <c r="F9" t="s">
        <v>75</v>
      </c>
      <c r="G9" t="s">
        <v>20</v>
      </c>
    </row>
    <row r="10" spans="1:7" x14ac:dyDescent="0.25">
      <c r="A10" s="3" t="s">
        <v>8</v>
      </c>
      <c r="B10" t="s">
        <v>40</v>
      </c>
      <c r="C10" t="s">
        <v>48</v>
      </c>
      <c r="D10" t="s">
        <v>22</v>
      </c>
      <c r="E10" t="s">
        <v>76</v>
      </c>
      <c r="F10" t="s">
        <v>71</v>
      </c>
      <c r="G10" t="s">
        <v>77</v>
      </c>
    </row>
    <row r="11" spans="1:7" x14ac:dyDescent="0.25">
      <c r="A11" s="3" t="s">
        <v>19</v>
      </c>
      <c r="B11" t="s">
        <v>49</v>
      </c>
      <c r="C11" t="s">
        <v>50</v>
      </c>
      <c r="E11" t="s">
        <v>78</v>
      </c>
      <c r="F11" t="s">
        <v>79</v>
      </c>
    </row>
    <row r="12" spans="1:7" x14ac:dyDescent="0.25">
      <c r="A12" s="3" t="s">
        <v>20</v>
      </c>
      <c r="B12" t="s">
        <v>127</v>
      </c>
      <c r="C12" t="s">
        <v>51</v>
      </c>
      <c r="D12" t="s">
        <v>18</v>
      </c>
      <c r="E12" t="s">
        <v>80</v>
      </c>
      <c r="F12" t="s">
        <v>81</v>
      </c>
      <c r="G12" t="s">
        <v>15</v>
      </c>
    </row>
    <row r="13" spans="1:7" x14ac:dyDescent="0.25">
      <c r="A13" s="3" t="s">
        <v>21</v>
      </c>
      <c r="B13" t="s">
        <v>52</v>
      </c>
      <c r="C13" t="s">
        <v>53</v>
      </c>
      <c r="E13" t="s">
        <v>21</v>
      </c>
      <c r="F13" t="s">
        <v>82</v>
      </c>
    </row>
    <row r="14" spans="1:7" x14ac:dyDescent="0.25">
      <c r="A14" s="3" t="s">
        <v>22</v>
      </c>
      <c r="C14" t="s">
        <v>54</v>
      </c>
      <c r="D14" t="s">
        <v>8</v>
      </c>
      <c r="F14" t="s">
        <v>16</v>
      </c>
      <c r="G14" t="s">
        <v>8</v>
      </c>
    </row>
    <row r="15" spans="1:7" x14ac:dyDescent="0.25">
      <c r="A15" s="3" t="s">
        <v>9</v>
      </c>
      <c r="B15" t="s">
        <v>686</v>
      </c>
      <c r="C15" t="s">
        <v>55</v>
      </c>
      <c r="D15" t="s">
        <v>24</v>
      </c>
      <c r="E15" t="s">
        <v>681</v>
      </c>
      <c r="F15" t="s">
        <v>83</v>
      </c>
    </row>
    <row r="16" spans="1:7" x14ac:dyDescent="0.25">
      <c r="A16" s="3" t="s">
        <v>7</v>
      </c>
      <c r="B16" t="s">
        <v>56</v>
      </c>
      <c r="C16" t="s">
        <v>57</v>
      </c>
      <c r="D16" t="s">
        <v>13</v>
      </c>
      <c r="E16" t="s">
        <v>84</v>
      </c>
      <c r="F16" t="s">
        <v>85</v>
      </c>
    </row>
    <row r="17" spans="1:12" x14ac:dyDescent="0.25">
      <c r="A17" s="3" t="s">
        <v>23</v>
      </c>
      <c r="B17" t="s">
        <v>58</v>
      </c>
      <c r="C17" t="s">
        <v>59</v>
      </c>
      <c r="E17" t="s">
        <v>86</v>
      </c>
      <c r="F17" t="s">
        <v>87</v>
      </c>
    </row>
    <row r="18" spans="1:12" x14ac:dyDescent="0.25">
      <c r="A18" s="3" t="s">
        <v>24</v>
      </c>
      <c r="B18" t="s">
        <v>687</v>
      </c>
      <c r="C18" t="s">
        <v>60</v>
      </c>
      <c r="E18" t="s">
        <v>682</v>
      </c>
      <c r="F18" t="s">
        <v>89</v>
      </c>
      <c r="G18" t="s">
        <v>9</v>
      </c>
    </row>
    <row r="19" spans="1:12" x14ac:dyDescent="0.25">
      <c r="A19" s="3" t="s">
        <v>25</v>
      </c>
      <c r="B19" t="s">
        <v>61</v>
      </c>
      <c r="C19" t="s">
        <v>62</v>
      </c>
      <c r="E19" t="s">
        <v>53</v>
      </c>
      <c r="F19" t="s">
        <v>90</v>
      </c>
    </row>
    <row r="20" spans="1:12" x14ac:dyDescent="0.25">
      <c r="A20" s="16" t="s">
        <v>91</v>
      </c>
    </row>
    <row r="21" spans="1:12" ht="15" customHeight="1" x14ac:dyDescent="0.25">
      <c r="B21" t="s">
        <v>700</v>
      </c>
      <c r="G21" s="4"/>
    </row>
    <row r="22" spans="1:12" x14ac:dyDescent="0.25">
      <c r="A22" s="3" t="s">
        <v>12</v>
      </c>
      <c r="B22" t="s">
        <v>13</v>
      </c>
      <c r="C22" s="34" t="s">
        <v>19</v>
      </c>
      <c r="D22" s="34" t="s">
        <v>7</v>
      </c>
      <c r="E22" s="34" t="s">
        <v>157</v>
      </c>
      <c r="F22" s="34" t="s">
        <v>157</v>
      </c>
      <c r="G22" s="34" t="s">
        <v>157</v>
      </c>
      <c r="H22" s="34" t="s">
        <v>157</v>
      </c>
      <c r="I22" s="34" t="s">
        <v>157</v>
      </c>
      <c r="J22" s="34" t="s">
        <v>157</v>
      </c>
      <c r="K22" s="34" t="s">
        <v>157</v>
      </c>
      <c r="L22" s="34" t="s">
        <v>157</v>
      </c>
    </row>
    <row r="23" spans="1:12" x14ac:dyDescent="0.25">
      <c r="A23" s="3" t="s">
        <v>13</v>
      </c>
      <c r="B23" t="s">
        <v>8</v>
      </c>
      <c r="C23" s="34" t="s">
        <v>7</v>
      </c>
      <c r="D23" s="34" t="s">
        <v>157</v>
      </c>
      <c r="E23" s="34" t="s">
        <v>157</v>
      </c>
      <c r="F23" s="34" t="s">
        <v>157</v>
      </c>
      <c r="G23" s="34" t="s">
        <v>157</v>
      </c>
      <c r="H23" s="34" t="s">
        <v>157</v>
      </c>
      <c r="I23" s="34" t="s">
        <v>157</v>
      </c>
      <c r="J23" s="34" t="s">
        <v>157</v>
      </c>
      <c r="K23" s="34" t="s">
        <v>157</v>
      </c>
      <c r="L23" s="34" t="s">
        <v>157</v>
      </c>
    </row>
    <row r="24" spans="1:12" x14ac:dyDescent="0.25">
      <c r="A24" s="3" t="s">
        <v>14</v>
      </c>
      <c r="B24" t="s">
        <v>14</v>
      </c>
      <c r="C24" s="34" t="s">
        <v>157</v>
      </c>
      <c r="D24" s="34" t="s">
        <v>157</v>
      </c>
      <c r="E24" s="34" t="s">
        <v>157</v>
      </c>
      <c r="F24" s="34" t="s">
        <v>157</v>
      </c>
      <c r="G24" s="34" t="s">
        <v>157</v>
      </c>
      <c r="H24" s="34" t="s">
        <v>157</v>
      </c>
      <c r="I24" s="34" t="s">
        <v>157</v>
      </c>
      <c r="J24" s="34" t="s">
        <v>157</v>
      </c>
      <c r="K24" s="34" t="s">
        <v>157</v>
      </c>
      <c r="L24" s="34" t="s">
        <v>157</v>
      </c>
    </row>
    <row r="25" spans="1:12" x14ac:dyDescent="0.25">
      <c r="A25" s="3" t="s">
        <v>15</v>
      </c>
      <c r="B25" t="s">
        <v>18</v>
      </c>
      <c r="C25" s="34" t="s">
        <v>25</v>
      </c>
      <c r="D25" s="34" t="s">
        <v>157</v>
      </c>
      <c r="E25" s="34" t="s">
        <v>157</v>
      </c>
      <c r="F25" s="34" t="s">
        <v>157</v>
      </c>
      <c r="G25" s="34" t="s">
        <v>157</v>
      </c>
      <c r="H25" s="34" t="s">
        <v>157</v>
      </c>
      <c r="I25" s="34" t="s">
        <v>157</v>
      </c>
      <c r="J25" s="34" t="s">
        <v>157</v>
      </c>
      <c r="K25" s="34" t="s">
        <v>157</v>
      </c>
      <c r="L25" s="34" t="s">
        <v>157</v>
      </c>
    </row>
    <row r="26" spans="1:12" x14ac:dyDescent="0.25">
      <c r="A26" s="3" t="s">
        <v>672</v>
      </c>
      <c r="B26" s="34" t="s">
        <v>13</v>
      </c>
      <c r="C26" s="34" t="s">
        <v>14</v>
      </c>
      <c r="D26" s="34" t="s">
        <v>16</v>
      </c>
      <c r="E26" s="34" t="s">
        <v>157</v>
      </c>
      <c r="F26" s="34" t="s">
        <v>157</v>
      </c>
      <c r="G26" s="34" t="s">
        <v>157</v>
      </c>
      <c r="H26" s="34" t="s">
        <v>157</v>
      </c>
      <c r="I26" s="34" t="s">
        <v>157</v>
      </c>
      <c r="J26" s="34" t="s">
        <v>157</v>
      </c>
      <c r="K26" s="34" t="s">
        <v>157</v>
      </c>
      <c r="L26" s="34" t="s">
        <v>157</v>
      </c>
    </row>
    <row r="27" spans="1:12" x14ac:dyDescent="0.25">
      <c r="A27" s="3" t="s">
        <v>16</v>
      </c>
      <c r="B27" t="s">
        <v>13</v>
      </c>
      <c r="C27" s="34" t="s">
        <v>21</v>
      </c>
      <c r="D27" s="34" t="s">
        <v>22</v>
      </c>
      <c r="E27" s="34" t="s">
        <v>23</v>
      </c>
      <c r="F27" s="34" t="s">
        <v>24</v>
      </c>
      <c r="G27" s="34" t="s">
        <v>157</v>
      </c>
      <c r="H27" s="34" t="s">
        <v>157</v>
      </c>
      <c r="I27" s="34" t="s">
        <v>157</v>
      </c>
      <c r="J27" s="34" t="s">
        <v>157</v>
      </c>
      <c r="K27" s="34" t="s">
        <v>157</v>
      </c>
      <c r="L27" s="34" t="s">
        <v>157</v>
      </c>
    </row>
    <row r="28" spans="1:12" x14ac:dyDescent="0.25">
      <c r="A28" s="3" t="s">
        <v>17</v>
      </c>
      <c r="B28" t="s">
        <v>12</v>
      </c>
      <c r="C28" s="34" t="s">
        <v>19</v>
      </c>
      <c r="D28" s="34" t="s">
        <v>21</v>
      </c>
      <c r="E28" s="34" t="s">
        <v>24</v>
      </c>
      <c r="F28" s="34" t="s">
        <v>157</v>
      </c>
      <c r="G28" s="34" t="s">
        <v>157</v>
      </c>
      <c r="H28" s="34" t="s">
        <v>157</v>
      </c>
      <c r="I28" s="34" t="s">
        <v>157</v>
      </c>
      <c r="J28" s="34" t="s">
        <v>157</v>
      </c>
      <c r="K28" s="34" t="s">
        <v>157</v>
      </c>
      <c r="L28" s="34" t="s">
        <v>157</v>
      </c>
    </row>
    <row r="29" spans="1:12" x14ac:dyDescent="0.25">
      <c r="A29" s="3" t="s">
        <v>18</v>
      </c>
      <c r="B29" t="s">
        <v>12</v>
      </c>
      <c r="C29" s="34" t="s">
        <v>16</v>
      </c>
      <c r="D29" s="34" t="s">
        <v>19</v>
      </c>
      <c r="E29" s="34" t="s">
        <v>157</v>
      </c>
      <c r="F29" s="34" t="s">
        <v>157</v>
      </c>
      <c r="G29" s="34" t="s">
        <v>157</v>
      </c>
      <c r="H29" s="34" t="s">
        <v>157</v>
      </c>
      <c r="I29" s="34" t="s">
        <v>157</v>
      </c>
      <c r="J29" s="34" t="s">
        <v>157</v>
      </c>
      <c r="K29" s="34" t="s">
        <v>157</v>
      </c>
      <c r="L29" s="34" t="s">
        <v>157</v>
      </c>
    </row>
    <row r="30" spans="1:12" x14ac:dyDescent="0.25">
      <c r="A30" s="3" t="s">
        <v>8</v>
      </c>
      <c r="B30" t="s">
        <v>8</v>
      </c>
      <c r="C30" s="34" t="s">
        <v>7</v>
      </c>
      <c r="D30" s="34" t="s">
        <v>157</v>
      </c>
      <c r="E30" s="34" t="s">
        <v>157</v>
      </c>
      <c r="F30" s="34" t="s">
        <v>157</v>
      </c>
      <c r="G30" s="34" t="s">
        <v>157</v>
      </c>
      <c r="H30" s="34" t="s">
        <v>157</v>
      </c>
      <c r="I30" s="34" t="s">
        <v>157</v>
      </c>
      <c r="J30" s="34" t="s">
        <v>157</v>
      </c>
      <c r="K30" s="34" t="s">
        <v>157</v>
      </c>
      <c r="L30" s="34" t="s">
        <v>157</v>
      </c>
    </row>
    <row r="31" spans="1:12" x14ac:dyDescent="0.25">
      <c r="A31" s="3" t="s">
        <v>19</v>
      </c>
      <c r="B31" t="s">
        <v>20</v>
      </c>
      <c r="C31" s="34" t="s">
        <v>23</v>
      </c>
      <c r="D31" s="34" t="s">
        <v>25</v>
      </c>
      <c r="E31" s="34" t="s">
        <v>157</v>
      </c>
      <c r="F31" s="34" t="s">
        <v>157</v>
      </c>
      <c r="G31" s="34" t="s">
        <v>157</v>
      </c>
      <c r="H31" s="34" t="s">
        <v>157</v>
      </c>
      <c r="I31" s="34" t="s">
        <v>157</v>
      </c>
      <c r="J31" s="34" t="s">
        <v>157</v>
      </c>
      <c r="K31" s="34" t="s">
        <v>157</v>
      </c>
      <c r="L31" s="34" t="s">
        <v>157</v>
      </c>
    </row>
    <row r="32" spans="1:12" x14ac:dyDescent="0.25">
      <c r="A32" s="3" t="s">
        <v>20</v>
      </c>
      <c r="B32" t="s">
        <v>15</v>
      </c>
      <c r="C32" s="34" t="s">
        <v>17</v>
      </c>
      <c r="D32" s="34" t="s">
        <v>9</v>
      </c>
      <c r="E32" s="34" t="s">
        <v>23</v>
      </c>
      <c r="F32" s="34" t="s">
        <v>24</v>
      </c>
      <c r="G32" s="34" t="s">
        <v>157</v>
      </c>
      <c r="H32" s="34" t="s">
        <v>157</v>
      </c>
      <c r="I32" s="34" t="s">
        <v>157</v>
      </c>
      <c r="J32" s="34" t="s">
        <v>157</v>
      </c>
      <c r="K32" s="34" t="s">
        <v>157</v>
      </c>
      <c r="L32" s="34" t="s">
        <v>157</v>
      </c>
    </row>
    <row r="33" spans="1:12" x14ac:dyDescent="0.25">
      <c r="A33" s="3" t="s">
        <v>21</v>
      </c>
      <c r="B33" t="s">
        <v>14</v>
      </c>
      <c r="C33" s="34" t="s">
        <v>18</v>
      </c>
      <c r="D33" s="34" t="s">
        <v>19</v>
      </c>
      <c r="E33" s="34" t="s">
        <v>20</v>
      </c>
      <c r="F33" s="34" t="s">
        <v>157</v>
      </c>
      <c r="G33" s="34" t="s">
        <v>157</v>
      </c>
      <c r="H33" s="34" t="s">
        <v>157</v>
      </c>
      <c r="I33" s="34" t="s">
        <v>157</v>
      </c>
      <c r="J33" s="34" t="s">
        <v>157</v>
      </c>
      <c r="K33" s="34" t="s">
        <v>157</v>
      </c>
      <c r="L33" s="34" t="s">
        <v>157</v>
      </c>
    </row>
    <row r="34" spans="1:12" x14ac:dyDescent="0.25">
      <c r="A34" s="3" t="s">
        <v>22</v>
      </c>
      <c r="B34" s="34" t="s">
        <v>157</v>
      </c>
      <c r="C34" s="34" t="s">
        <v>157</v>
      </c>
      <c r="D34" s="34" t="s">
        <v>157</v>
      </c>
      <c r="E34" s="34" t="s">
        <v>157</v>
      </c>
      <c r="F34" s="34" t="s">
        <v>157</v>
      </c>
      <c r="G34" s="34" t="s">
        <v>157</v>
      </c>
      <c r="H34" s="34" t="s">
        <v>157</v>
      </c>
      <c r="I34" s="34" t="s">
        <v>157</v>
      </c>
      <c r="J34" s="34" t="s">
        <v>157</v>
      </c>
      <c r="K34" s="34" t="s">
        <v>157</v>
      </c>
      <c r="L34" s="34" t="s">
        <v>157</v>
      </c>
    </row>
    <row r="35" spans="1:12" x14ac:dyDescent="0.25">
      <c r="A35" s="3" t="s">
        <v>9</v>
      </c>
      <c r="B35" s="56" t="s">
        <v>672</v>
      </c>
      <c r="C35" t="s">
        <v>19</v>
      </c>
      <c r="D35" s="34" t="s">
        <v>157</v>
      </c>
      <c r="E35" s="34" t="s">
        <v>157</v>
      </c>
      <c r="F35" s="34" t="s">
        <v>157</v>
      </c>
      <c r="G35" s="34" t="s">
        <v>157</v>
      </c>
      <c r="H35" s="34" t="s">
        <v>157</v>
      </c>
      <c r="I35" s="34" t="s">
        <v>157</v>
      </c>
      <c r="J35" s="34" t="s">
        <v>157</v>
      </c>
      <c r="K35" s="34" t="s">
        <v>157</v>
      </c>
      <c r="L35" s="34" t="s">
        <v>157</v>
      </c>
    </row>
    <row r="36" spans="1:12" x14ac:dyDescent="0.25">
      <c r="A36" s="3" t="s">
        <v>7</v>
      </c>
      <c r="B36" t="s">
        <v>16</v>
      </c>
      <c r="C36" s="34" t="s">
        <v>9</v>
      </c>
      <c r="D36" s="34" t="s">
        <v>157</v>
      </c>
      <c r="E36" s="34" t="s">
        <v>157</v>
      </c>
      <c r="F36" s="34" t="s">
        <v>157</v>
      </c>
      <c r="G36" s="34" t="s">
        <v>157</v>
      </c>
      <c r="H36" s="34" t="s">
        <v>157</v>
      </c>
      <c r="I36" s="34" t="s">
        <v>157</v>
      </c>
      <c r="J36" s="34" t="s">
        <v>157</v>
      </c>
      <c r="K36" s="34" t="s">
        <v>157</v>
      </c>
      <c r="L36" s="34" t="s">
        <v>157</v>
      </c>
    </row>
    <row r="37" spans="1:12" x14ac:dyDescent="0.25">
      <c r="A37" s="3" t="s">
        <v>23</v>
      </c>
      <c r="B37" t="s">
        <v>12</v>
      </c>
      <c r="C37" s="34" t="s">
        <v>17</v>
      </c>
      <c r="D37" s="34" t="s">
        <v>18</v>
      </c>
      <c r="E37" s="34" t="s">
        <v>21</v>
      </c>
      <c r="F37" s="34" t="s">
        <v>157</v>
      </c>
      <c r="G37" s="34" t="s">
        <v>157</v>
      </c>
      <c r="H37" s="34" t="s">
        <v>157</v>
      </c>
      <c r="I37" s="34" t="s">
        <v>157</v>
      </c>
      <c r="J37" s="34" t="s">
        <v>157</v>
      </c>
      <c r="K37" s="34" t="s">
        <v>157</v>
      </c>
      <c r="L37" s="34" t="s">
        <v>157</v>
      </c>
    </row>
    <row r="38" spans="1:12" x14ac:dyDescent="0.25">
      <c r="A38" s="3" t="s">
        <v>24</v>
      </c>
      <c r="B38" s="56" t="s">
        <v>672</v>
      </c>
      <c r="C38" t="s">
        <v>21</v>
      </c>
      <c r="D38" s="34" t="s">
        <v>23</v>
      </c>
      <c r="E38" s="34" t="s">
        <v>157</v>
      </c>
      <c r="F38" s="34" t="s">
        <v>157</v>
      </c>
      <c r="G38" s="34" t="s">
        <v>157</v>
      </c>
      <c r="H38" s="34" t="s">
        <v>157</v>
      </c>
      <c r="I38" s="34" t="s">
        <v>157</v>
      </c>
      <c r="J38" s="34" t="s">
        <v>157</v>
      </c>
      <c r="K38" s="34" t="s">
        <v>157</v>
      </c>
      <c r="L38" s="34" t="s">
        <v>157</v>
      </c>
    </row>
    <row r="39" spans="1:12" x14ac:dyDescent="0.25">
      <c r="A39" s="3" t="s">
        <v>25</v>
      </c>
      <c r="B39" t="s">
        <v>17</v>
      </c>
      <c r="C39" s="34" t="s">
        <v>20</v>
      </c>
      <c r="D39" s="34" t="s">
        <v>23</v>
      </c>
      <c r="E39" s="34" t="s">
        <v>157</v>
      </c>
      <c r="F39" s="34" t="s">
        <v>157</v>
      </c>
      <c r="G39" s="34" t="s">
        <v>157</v>
      </c>
      <c r="H39" s="34" t="s">
        <v>157</v>
      </c>
      <c r="I39" s="34" t="s">
        <v>157</v>
      </c>
      <c r="J39" s="34" t="s">
        <v>157</v>
      </c>
      <c r="K39" s="34" t="s">
        <v>157</v>
      </c>
      <c r="L39" s="34" t="s">
        <v>157</v>
      </c>
    </row>
    <row r="40" spans="1:12" x14ac:dyDescent="0.25">
      <c r="A40" s="46"/>
      <c r="C40" s="34"/>
      <c r="D40" s="34"/>
      <c r="E40" s="34"/>
      <c r="F40" s="34"/>
      <c r="G40" s="34"/>
      <c r="H40" s="34"/>
      <c r="I40" s="34"/>
      <c r="J40" s="34"/>
      <c r="K40" s="34"/>
    </row>
    <row r="41" spans="1:12" x14ac:dyDescent="0.25">
      <c r="B41" t="s">
        <v>699</v>
      </c>
    </row>
    <row r="42" spans="1:12" x14ac:dyDescent="0.25">
      <c r="A42" s="3" t="s">
        <v>12</v>
      </c>
      <c r="B42" t="s">
        <v>17</v>
      </c>
      <c r="C42" t="s">
        <v>18</v>
      </c>
      <c r="D42" t="s">
        <v>23</v>
      </c>
      <c r="E42" s="34" t="s">
        <v>157</v>
      </c>
      <c r="F42" s="34" t="s">
        <v>157</v>
      </c>
      <c r="G42" s="34" t="s">
        <v>157</v>
      </c>
      <c r="H42" s="34" t="s">
        <v>157</v>
      </c>
      <c r="I42" s="34" t="s">
        <v>157</v>
      </c>
      <c r="J42" s="34" t="s">
        <v>157</v>
      </c>
      <c r="K42" s="34" t="s">
        <v>157</v>
      </c>
      <c r="L42" s="34" t="s">
        <v>157</v>
      </c>
    </row>
    <row r="43" spans="1:12" x14ac:dyDescent="0.25">
      <c r="A43" s="3" t="s">
        <v>13</v>
      </c>
      <c r="B43" t="s">
        <v>12</v>
      </c>
      <c r="C43" s="56" t="s">
        <v>672</v>
      </c>
      <c r="D43" s="28" t="s">
        <v>16</v>
      </c>
      <c r="E43" s="34" t="s">
        <v>157</v>
      </c>
      <c r="F43" s="34" t="s">
        <v>157</v>
      </c>
      <c r="G43" s="34" t="s">
        <v>157</v>
      </c>
      <c r="H43" s="34" t="s">
        <v>157</v>
      </c>
      <c r="I43" s="34" t="s">
        <v>157</v>
      </c>
      <c r="J43" s="34" t="s">
        <v>157</v>
      </c>
      <c r="K43" s="34" t="s">
        <v>157</v>
      </c>
      <c r="L43" s="34" t="s">
        <v>157</v>
      </c>
    </row>
    <row r="44" spans="1:12" x14ac:dyDescent="0.25">
      <c r="A44" s="3" t="s">
        <v>14</v>
      </c>
      <c r="B44" t="s">
        <v>14</v>
      </c>
      <c r="C44" s="56" t="s">
        <v>672</v>
      </c>
      <c r="D44" t="s">
        <v>21</v>
      </c>
      <c r="E44" s="34" t="s">
        <v>157</v>
      </c>
      <c r="F44" s="34" t="s">
        <v>157</v>
      </c>
      <c r="G44" s="34" t="s">
        <v>157</v>
      </c>
      <c r="H44" s="34" t="s">
        <v>157</v>
      </c>
      <c r="I44" s="34" t="s">
        <v>157</v>
      </c>
      <c r="J44" s="34" t="s">
        <v>157</v>
      </c>
      <c r="K44" s="34" t="s">
        <v>157</v>
      </c>
      <c r="L44" s="34" t="s">
        <v>157</v>
      </c>
    </row>
    <row r="45" spans="1:12" x14ac:dyDescent="0.25">
      <c r="A45" s="3" t="s">
        <v>15</v>
      </c>
      <c r="B45" t="s">
        <v>20</v>
      </c>
      <c r="C45" s="34" t="s">
        <v>157</v>
      </c>
      <c r="D45" s="34" t="s">
        <v>157</v>
      </c>
      <c r="E45" s="34" t="s">
        <v>157</v>
      </c>
      <c r="F45" s="34" t="s">
        <v>157</v>
      </c>
      <c r="G45" s="34" t="s">
        <v>157</v>
      </c>
      <c r="H45" s="34" t="s">
        <v>157</v>
      </c>
      <c r="I45" s="34" t="s">
        <v>157</v>
      </c>
      <c r="J45" s="34" t="s">
        <v>157</v>
      </c>
      <c r="K45" s="34" t="s">
        <v>157</v>
      </c>
      <c r="L45" s="34" t="s">
        <v>157</v>
      </c>
    </row>
    <row r="46" spans="1:12" x14ac:dyDescent="0.25">
      <c r="A46" s="3" t="s">
        <v>672</v>
      </c>
      <c r="B46" s="34" t="s">
        <v>9</v>
      </c>
      <c r="C46" s="34" t="s">
        <v>24</v>
      </c>
      <c r="D46" s="34" t="s">
        <v>157</v>
      </c>
      <c r="E46" s="34" t="s">
        <v>157</v>
      </c>
      <c r="F46" s="34" t="s">
        <v>157</v>
      </c>
      <c r="G46" s="34" t="s">
        <v>157</v>
      </c>
      <c r="H46" s="34" t="s">
        <v>157</v>
      </c>
      <c r="I46" s="34" t="s">
        <v>157</v>
      </c>
      <c r="J46" s="34" t="s">
        <v>157</v>
      </c>
      <c r="K46" s="34" t="s">
        <v>157</v>
      </c>
      <c r="L46" s="34" t="s">
        <v>157</v>
      </c>
    </row>
    <row r="47" spans="1:12" x14ac:dyDescent="0.25">
      <c r="A47" s="3" t="s">
        <v>16</v>
      </c>
      <c r="B47" s="56" t="s">
        <v>672</v>
      </c>
      <c r="C47" t="s">
        <v>18</v>
      </c>
      <c r="D47" t="s">
        <v>7</v>
      </c>
      <c r="E47" s="34" t="s">
        <v>157</v>
      </c>
      <c r="F47" s="34" t="s">
        <v>157</v>
      </c>
      <c r="G47" s="34" t="s">
        <v>157</v>
      </c>
      <c r="H47" s="34" t="s">
        <v>157</v>
      </c>
      <c r="I47" s="34" t="s">
        <v>157</v>
      </c>
      <c r="J47" s="34" t="s">
        <v>157</v>
      </c>
      <c r="K47" s="34" t="s">
        <v>157</v>
      </c>
      <c r="L47" s="34" t="s">
        <v>157</v>
      </c>
    </row>
    <row r="48" spans="1:12" x14ac:dyDescent="0.25">
      <c r="A48" s="3" t="s">
        <v>17</v>
      </c>
      <c r="B48" t="s">
        <v>20</v>
      </c>
      <c r="C48" t="s">
        <v>23</v>
      </c>
      <c r="D48" t="s">
        <v>25</v>
      </c>
      <c r="E48" s="34" t="s">
        <v>157</v>
      </c>
      <c r="F48" s="34" t="s">
        <v>157</v>
      </c>
      <c r="G48" s="34" t="s">
        <v>157</v>
      </c>
      <c r="H48" s="34" t="s">
        <v>157</v>
      </c>
      <c r="I48" s="34" t="s">
        <v>157</v>
      </c>
      <c r="J48" s="34" t="s">
        <v>157</v>
      </c>
      <c r="K48" s="34" t="s">
        <v>157</v>
      </c>
      <c r="L48" s="34" t="s">
        <v>157</v>
      </c>
    </row>
    <row r="49" spans="1:12" x14ac:dyDescent="0.25">
      <c r="A49" s="3" t="s">
        <v>18</v>
      </c>
      <c r="B49" t="s">
        <v>15</v>
      </c>
      <c r="C49" t="s">
        <v>21</v>
      </c>
      <c r="D49" t="s">
        <v>23</v>
      </c>
      <c r="E49" s="34" t="s">
        <v>157</v>
      </c>
      <c r="F49" s="34" t="s">
        <v>157</v>
      </c>
      <c r="G49" s="34" t="s">
        <v>157</v>
      </c>
      <c r="H49" s="34" t="s">
        <v>157</v>
      </c>
      <c r="I49" s="34" t="s">
        <v>157</v>
      </c>
      <c r="J49" s="34" t="s">
        <v>157</v>
      </c>
      <c r="K49" s="34" t="s">
        <v>157</v>
      </c>
      <c r="L49" s="34" t="s">
        <v>157</v>
      </c>
    </row>
    <row r="50" spans="1:12" x14ac:dyDescent="0.25">
      <c r="A50" s="3" t="s">
        <v>8</v>
      </c>
      <c r="B50" t="s">
        <v>13</v>
      </c>
      <c r="C50" t="s">
        <v>8</v>
      </c>
      <c r="D50" s="34" t="s">
        <v>157</v>
      </c>
      <c r="E50" s="34" t="s">
        <v>157</v>
      </c>
      <c r="F50" s="34" t="s">
        <v>157</v>
      </c>
      <c r="G50" s="34" t="s">
        <v>157</v>
      </c>
      <c r="H50" s="34" t="s">
        <v>157</v>
      </c>
      <c r="I50" s="34" t="s">
        <v>157</v>
      </c>
      <c r="J50" s="34" t="s">
        <v>157</v>
      </c>
      <c r="K50" s="34" t="s">
        <v>157</v>
      </c>
      <c r="L50" s="34" t="s">
        <v>157</v>
      </c>
    </row>
    <row r="51" spans="1:12" x14ac:dyDescent="0.25">
      <c r="A51" s="3" t="s">
        <v>19</v>
      </c>
      <c r="B51" t="s">
        <v>12</v>
      </c>
      <c r="C51" t="s">
        <v>17</v>
      </c>
      <c r="D51" t="s">
        <v>18</v>
      </c>
      <c r="E51" t="s">
        <v>21</v>
      </c>
      <c r="F51" t="s">
        <v>9</v>
      </c>
      <c r="G51" s="34" t="s">
        <v>157</v>
      </c>
      <c r="H51" s="34" t="s">
        <v>157</v>
      </c>
      <c r="I51" s="34" t="s">
        <v>157</v>
      </c>
      <c r="J51" s="34" t="s">
        <v>157</v>
      </c>
      <c r="K51" s="34" t="s">
        <v>157</v>
      </c>
      <c r="L51" s="34" t="s">
        <v>157</v>
      </c>
    </row>
    <row r="52" spans="1:12" x14ac:dyDescent="0.25">
      <c r="A52" s="3" t="s">
        <v>20</v>
      </c>
      <c r="B52" t="s">
        <v>19</v>
      </c>
      <c r="C52" t="s">
        <v>21</v>
      </c>
      <c r="D52" t="s">
        <v>25</v>
      </c>
      <c r="E52" s="34" t="s">
        <v>157</v>
      </c>
      <c r="F52" s="34" t="s">
        <v>157</v>
      </c>
      <c r="G52" s="34" t="s">
        <v>157</v>
      </c>
      <c r="H52" s="34" t="s">
        <v>157</v>
      </c>
      <c r="I52" s="34" t="s">
        <v>157</v>
      </c>
      <c r="J52" s="34" t="s">
        <v>157</v>
      </c>
      <c r="K52" s="34" t="s">
        <v>157</v>
      </c>
      <c r="L52" s="34" t="s">
        <v>157</v>
      </c>
    </row>
    <row r="53" spans="1:12" x14ac:dyDescent="0.25">
      <c r="A53" s="3" t="s">
        <v>21</v>
      </c>
      <c r="B53" t="s">
        <v>16</v>
      </c>
      <c r="C53" t="s">
        <v>17</v>
      </c>
      <c r="D53" t="s">
        <v>23</v>
      </c>
      <c r="E53" t="s">
        <v>24</v>
      </c>
      <c r="F53" s="34" t="s">
        <v>157</v>
      </c>
      <c r="G53" s="34" t="s">
        <v>157</v>
      </c>
      <c r="H53" s="34" t="s">
        <v>157</v>
      </c>
      <c r="I53" s="34" t="s">
        <v>157</v>
      </c>
      <c r="J53" s="34" t="s">
        <v>157</v>
      </c>
      <c r="K53" s="34" t="s">
        <v>157</v>
      </c>
      <c r="L53" s="34" t="s">
        <v>157</v>
      </c>
    </row>
    <row r="54" spans="1:12" x14ac:dyDescent="0.25">
      <c r="A54" s="3" t="s">
        <v>22</v>
      </c>
      <c r="B54" t="s">
        <v>16</v>
      </c>
      <c r="C54" s="34" t="s">
        <v>157</v>
      </c>
      <c r="D54" s="34" t="s">
        <v>157</v>
      </c>
      <c r="E54" s="34" t="s">
        <v>157</v>
      </c>
      <c r="F54" s="34" t="s">
        <v>157</v>
      </c>
      <c r="G54" s="34" t="s">
        <v>157</v>
      </c>
      <c r="H54" s="34" t="s">
        <v>157</v>
      </c>
      <c r="I54" s="34" t="s">
        <v>157</v>
      </c>
      <c r="J54" s="34" t="s">
        <v>157</v>
      </c>
      <c r="K54" s="34" t="s">
        <v>157</v>
      </c>
      <c r="L54" s="34" t="s">
        <v>157</v>
      </c>
    </row>
    <row r="55" spans="1:12" x14ac:dyDescent="0.25">
      <c r="A55" s="3" t="s">
        <v>9</v>
      </c>
      <c r="B55" t="s">
        <v>20</v>
      </c>
      <c r="C55" t="s">
        <v>7</v>
      </c>
      <c r="D55" s="34" t="s">
        <v>157</v>
      </c>
      <c r="E55" s="34" t="s">
        <v>157</v>
      </c>
      <c r="F55" s="34" t="s">
        <v>157</v>
      </c>
      <c r="G55" s="34" t="s">
        <v>157</v>
      </c>
      <c r="H55" s="34" t="s">
        <v>157</v>
      </c>
      <c r="I55" s="34" t="s">
        <v>157</v>
      </c>
      <c r="J55" s="34" t="s">
        <v>157</v>
      </c>
      <c r="K55" s="34" t="s">
        <v>157</v>
      </c>
      <c r="L55" s="34" t="s">
        <v>157</v>
      </c>
    </row>
    <row r="56" spans="1:12" x14ac:dyDescent="0.25">
      <c r="A56" s="3" t="s">
        <v>7</v>
      </c>
      <c r="B56" t="s">
        <v>12</v>
      </c>
      <c r="C56" t="s">
        <v>13</v>
      </c>
      <c r="D56" t="s">
        <v>8</v>
      </c>
      <c r="E56" s="34" t="s">
        <v>157</v>
      </c>
      <c r="F56" s="34" t="s">
        <v>157</v>
      </c>
      <c r="G56" s="34" t="s">
        <v>157</v>
      </c>
      <c r="H56" s="34" t="s">
        <v>157</v>
      </c>
      <c r="I56" s="34" t="s">
        <v>157</v>
      </c>
      <c r="J56" s="34" t="s">
        <v>157</v>
      </c>
      <c r="K56" s="34" t="s">
        <v>157</v>
      </c>
      <c r="L56" s="34" t="s">
        <v>157</v>
      </c>
    </row>
    <row r="57" spans="1:12" x14ac:dyDescent="0.25">
      <c r="A57" s="3" t="s">
        <v>23</v>
      </c>
      <c r="B57" t="s">
        <v>16</v>
      </c>
      <c r="C57" t="s">
        <v>20</v>
      </c>
      <c r="D57" t="s">
        <v>25</v>
      </c>
      <c r="E57" s="34" t="s">
        <v>157</v>
      </c>
      <c r="F57" s="34" t="s">
        <v>157</v>
      </c>
      <c r="G57" s="34" t="s">
        <v>157</v>
      </c>
      <c r="H57" s="34" t="s">
        <v>157</v>
      </c>
      <c r="I57" s="34" t="s">
        <v>157</v>
      </c>
      <c r="J57" s="34" t="s">
        <v>157</v>
      </c>
      <c r="K57" s="34" t="s">
        <v>157</v>
      </c>
      <c r="L57" s="34" t="s">
        <v>157</v>
      </c>
    </row>
    <row r="58" spans="1:12" x14ac:dyDescent="0.25">
      <c r="A58" s="3" t="s">
        <v>24</v>
      </c>
      <c r="B58" t="s">
        <v>17</v>
      </c>
      <c r="C58" t="s">
        <v>16</v>
      </c>
      <c r="D58" t="s">
        <v>20</v>
      </c>
      <c r="E58" s="34" t="s">
        <v>157</v>
      </c>
      <c r="F58" s="34" t="s">
        <v>157</v>
      </c>
      <c r="G58" s="34" t="s">
        <v>157</v>
      </c>
      <c r="H58" s="34" t="s">
        <v>157</v>
      </c>
      <c r="I58" s="34" t="s">
        <v>157</v>
      </c>
      <c r="J58" s="34" t="s">
        <v>157</v>
      </c>
      <c r="K58" s="34" t="s">
        <v>157</v>
      </c>
      <c r="L58" s="34" t="s">
        <v>157</v>
      </c>
    </row>
    <row r="59" spans="1:12" x14ac:dyDescent="0.25">
      <c r="A59" s="3" t="s">
        <v>25</v>
      </c>
      <c r="B59" t="s">
        <v>15</v>
      </c>
      <c r="C59" t="s">
        <v>19</v>
      </c>
      <c r="D59" t="s">
        <v>20</v>
      </c>
      <c r="E59" s="34" t="s">
        <v>157</v>
      </c>
      <c r="F59" s="34" t="s">
        <v>157</v>
      </c>
      <c r="G59" s="34" t="s">
        <v>157</v>
      </c>
      <c r="H59" s="34" t="s">
        <v>157</v>
      </c>
      <c r="I59" s="34" t="s">
        <v>157</v>
      </c>
      <c r="J59" s="34" t="s">
        <v>157</v>
      </c>
      <c r="K59" s="34" t="s">
        <v>157</v>
      </c>
      <c r="L59" s="34" t="s">
        <v>157</v>
      </c>
    </row>
    <row r="61" spans="1:12" x14ac:dyDescent="0.25">
      <c r="B61" t="s">
        <v>697</v>
      </c>
    </row>
    <row r="62" spans="1:12" x14ac:dyDescent="0.25">
      <c r="A62" s="3" t="s">
        <v>12</v>
      </c>
      <c r="B62" t="s">
        <v>16</v>
      </c>
      <c r="C62" t="s">
        <v>19</v>
      </c>
      <c r="D62" t="s">
        <v>20</v>
      </c>
      <c r="E62" s="34" t="s">
        <v>157</v>
      </c>
      <c r="F62" s="34" t="s">
        <v>157</v>
      </c>
      <c r="G62" s="34" t="s">
        <v>157</v>
      </c>
      <c r="H62" s="34" t="s">
        <v>157</v>
      </c>
      <c r="I62" s="34" t="s">
        <v>157</v>
      </c>
      <c r="J62" s="34" t="s">
        <v>157</v>
      </c>
      <c r="K62" s="34" t="s">
        <v>157</v>
      </c>
      <c r="L62" s="34" t="s">
        <v>157</v>
      </c>
    </row>
    <row r="63" spans="1:12" x14ac:dyDescent="0.25">
      <c r="A63" s="3" t="s">
        <v>13</v>
      </c>
      <c r="B63" t="s">
        <v>13</v>
      </c>
      <c r="C63" t="s">
        <v>8</v>
      </c>
      <c r="D63" s="34" t="s">
        <v>157</v>
      </c>
      <c r="E63" s="34" t="s">
        <v>157</v>
      </c>
      <c r="F63" s="34" t="s">
        <v>157</v>
      </c>
      <c r="G63" s="34" t="s">
        <v>157</v>
      </c>
      <c r="H63" s="34" t="s">
        <v>157</v>
      </c>
      <c r="I63" s="34" t="s">
        <v>157</v>
      </c>
      <c r="J63" s="34" t="s">
        <v>157</v>
      </c>
      <c r="K63" s="34" t="s">
        <v>157</v>
      </c>
      <c r="L63" s="34" t="s">
        <v>157</v>
      </c>
    </row>
    <row r="64" spans="1:12" x14ac:dyDescent="0.25">
      <c r="A64" s="3" t="s">
        <v>14</v>
      </c>
      <c r="B64" t="s">
        <v>15</v>
      </c>
      <c r="C64" t="s">
        <v>17</v>
      </c>
      <c r="D64" t="s">
        <v>19</v>
      </c>
      <c r="E64" t="s">
        <v>25</v>
      </c>
      <c r="F64" s="34" t="s">
        <v>157</v>
      </c>
      <c r="G64" s="34" t="s">
        <v>157</v>
      </c>
      <c r="H64" s="34" t="s">
        <v>157</v>
      </c>
      <c r="I64" s="34" t="s">
        <v>157</v>
      </c>
      <c r="J64" s="34" t="s">
        <v>157</v>
      </c>
      <c r="K64" s="34" t="s">
        <v>157</v>
      </c>
      <c r="L64" s="34" t="s">
        <v>157</v>
      </c>
    </row>
    <row r="65" spans="1:13" x14ac:dyDescent="0.25">
      <c r="A65" s="3" t="s">
        <v>15</v>
      </c>
      <c r="B65" t="s">
        <v>15</v>
      </c>
      <c r="C65" t="s">
        <v>24</v>
      </c>
      <c r="D65" s="34" t="s">
        <v>157</v>
      </c>
      <c r="E65" s="34" t="s">
        <v>157</v>
      </c>
      <c r="F65" s="34" t="s">
        <v>157</v>
      </c>
      <c r="G65" s="34" t="s">
        <v>157</v>
      </c>
      <c r="H65" s="34" t="s">
        <v>157</v>
      </c>
      <c r="I65" s="34" t="s">
        <v>157</v>
      </c>
      <c r="J65" s="34" t="s">
        <v>157</v>
      </c>
      <c r="K65" s="34" t="s">
        <v>157</v>
      </c>
      <c r="L65" s="34" t="s">
        <v>157</v>
      </c>
    </row>
    <row r="66" spans="1:13" x14ac:dyDescent="0.25">
      <c r="A66" s="3" t="s">
        <v>672</v>
      </c>
      <c r="B66" s="34" t="s">
        <v>12</v>
      </c>
      <c r="C66" s="34" t="s">
        <v>13</v>
      </c>
      <c r="D66" s="34" t="s">
        <v>14</v>
      </c>
      <c r="E66" s="34" t="s">
        <v>16</v>
      </c>
      <c r="F66" s="34" t="s">
        <v>157</v>
      </c>
      <c r="G66" s="34" t="s">
        <v>157</v>
      </c>
      <c r="H66" s="34" t="s">
        <v>157</v>
      </c>
      <c r="I66" s="34" t="s">
        <v>157</v>
      </c>
      <c r="J66" s="34" t="s">
        <v>157</v>
      </c>
      <c r="K66" s="34" t="s">
        <v>157</v>
      </c>
      <c r="L66" s="34" t="s">
        <v>157</v>
      </c>
      <c r="M66" t="s">
        <v>157</v>
      </c>
    </row>
    <row r="67" spans="1:13" x14ac:dyDescent="0.25">
      <c r="A67" s="3" t="s">
        <v>16</v>
      </c>
      <c r="B67" t="s">
        <v>12</v>
      </c>
      <c r="C67" t="s">
        <v>13</v>
      </c>
      <c r="D67" t="s">
        <v>23</v>
      </c>
      <c r="E67" s="34" t="s">
        <v>157</v>
      </c>
      <c r="F67" s="34" t="s">
        <v>157</v>
      </c>
      <c r="G67" s="34" t="s">
        <v>157</v>
      </c>
      <c r="H67" s="34" t="s">
        <v>157</v>
      </c>
      <c r="I67" s="34" t="s">
        <v>157</v>
      </c>
      <c r="J67" s="34" t="s">
        <v>157</v>
      </c>
      <c r="K67" s="34" t="s">
        <v>157</v>
      </c>
      <c r="L67" t="s">
        <v>157</v>
      </c>
    </row>
    <row r="68" spans="1:13" x14ac:dyDescent="0.25">
      <c r="A68" s="3" t="s">
        <v>17</v>
      </c>
      <c r="B68" t="s">
        <v>12</v>
      </c>
      <c r="C68" s="56" t="s">
        <v>672</v>
      </c>
      <c r="D68" t="s">
        <v>17</v>
      </c>
      <c r="E68" t="s">
        <v>19</v>
      </c>
      <c r="F68" t="s">
        <v>21</v>
      </c>
      <c r="G68" t="s">
        <v>24</v>
      </c>
      <c r="H68" s="34" t="s">
        <v>157</v>
      </c>
      <c r="I68" s="34" t="s">
        <v>157</v>
      </c>
      <c r="J68" s="34" t="s">
        <v>157</v>
      </c>
      <c r="K68" s="34" t="s">
        <v>157</v>
      </c>
      <c r="L68" s="34" t="s">
        <v>157</v>
      </c>
    </row>
    <row r="69" spans="1:13" x14ac:dyDescent="0.25">
      <c r="A69" s="3" t="s">
        <v>18</v>
      </c>
      <c r="B69" t="s">
        <v>12</v>
      </c>
      <c r="C69" t="s">
        <v>16</v>
      </c>
      <c r="D69" t="s">
        <v>19</v>
      </c>
      <c r="E69" s="34" t="s">
        <v>157</v>
      </c>
      <c r="F69" s="34" t="s">
        <v>157</v>
      </c>
      <c r="G69" s="34" t="s">
        <v>157</v>
      </c>
      <c r="H69" s="34" t="s">
        <v>157</v>
      </c>
      <c r="I69" s="34" t="s">
        <v>157</v>
      </c>
      <c r="J69" s="34" t="s">
        <v>157</v>
      </c>
      <c r="K69" s="34" t="s">
        <v>157</v>
      </c>
      <c r="L69" s="34" t="s">
        <v>157</v>
      </c>
    </row>
    <row r="70" spans="1:13" x14ac:dyDescent="0.25">
      <c r="A70" s="3" t="s">
        <v>8</v>
      </c>
      <c r="B70" t="s">
        <v>12</v>
      </c>
      <c r="C70" t="s">
        <v>9</v>
      </c>
      <c r="D70" s="34" t="s">
        <v>157</v>
      </c>
      <c r="E70" s="34" t="s">
        <v>157</v>
      </c>
      <c r="F70" s="34" t="s">
        <v>157</v>
      </c>
      <c r="G70" s="34" t="s">
        <v>157</v>
      </c>
      <c r="H70" s="34" t="s">
        <v>157</v>
      </c>
      <c r="I70" s="34" t="s">
        <v>157</v>
      </c>
      <c r="J70" s="34" t="s">
        <v>157</v>
      </c>
      <c r="K70" s="34" t="s">
        <v>157</v>
      </c>
      <c r="L70" s="34" t="s">
        <v>157</v>
      </c>
    </row>
    <row r="71" spans="1:13" x14ac:dyDescent="0.25">
      <c r="A71" s="3" t="s">
        <v>19</v>
      </c>
      <c r="B71" t="s">
        <v>15</v>
      </c>
      <c r="C71" t="s">
        <v>19</v>
      </c>
      <c r="D71" t="s">
        <v>20</v>
      </c>
      <c r="E71" t="s">
        <v>25</v>
      </c>
      <c r="F71" s="34" t="s">
        <v>157</v>
      </c>
      <c r="G71" s="34" t="s">
        <v>157</v>
      </c>
      <c r="H71" s="34" t="s">
        <v>157</v>
      </c>
      <c r="I71" s="34" t="s">
        <v>157</v>
      </c>
      <c r="J71" s="34" t="s">
        <v>157</v>
      </c>
      <c r="K71" s="34" t="s">
        <v>157</v>
      </c>
      <c r="L71" s="34" t="s">
        <v>157</v>
      </c>
    </row>
    <row r="72" spans="1:13" x14ac:dyDescent="0.25">
      <c r="A72" s="3" t="s">
        <v>20</v>
      </c>
      <c r="B72" t="s">
        <v>9</v>
      </c>
      <c r="C72" t="s">
        <v>23</v>
      </c>
      <c r="D72" s="34" t="s">
        <v>157</v>
      </c>
      <c r="E72" s="34" t="s">
        <v>157</v>
      </c>
      <c r="F72" s="34" t="s">
        <v>157</v>
      </c>
      <c r="G72" s="34" t="s">
        <v>157</v>
      </c>
      <c r="H72" s="34" t="s">
        <v>157</v>
      </c>
      <c r="I72" s="34" t="s">
        <v>157</v>
      </c>
      <c r="J72" s="34" t="s">
        <v>157</v>
      </c>
      <c r="K72" s="34" t="s">
        <v>157</v>
      </c>
      <c r="L72" s="34" t="s">
        <v>157</v>
      </c>
    </row>
    <row r="73" spans="1:13" x14ac:dyDescent="0.25">
      <c r="A73" s="3" t="s">
        <v>21</v>
      </c>
      <c r="B73" t="s">
        <v>21</v>
      </c>
      <c r="C73" s="34" t="s">
        <v>157</v>
      </c>
      <c r="D73" s="34" t="s">
        <v>157</v>
      </c>
      <c r="E73" s="34" t="s">
        <v>157</v>
      </c>
      <c r="F73" s="34" t="s">
        <v>157</v>
      </c>
      <c r="G73" s="34" t="s">
        <v>157</v>
      </c>
      <c r="H73" s="34" t="s">
        <v>157</v>
      </c>
      <c r="I73" s="34" t="s">
        <v>157</v>
      </c>
      <c r="J73" s="34" t="s">
        <v>157</v>
      </c>
      <c r="K73" s="34" t="s">
        <v>157</v>
      </c>
      <c r="L73" s="34" t="s">
        <v>157</v>
      </c>
    </row>
    <row r="74" spans="1:13" x14ac:dyDescent="0.25">
      <c r="A74" s="3" t="s">
        <v>22</v>
      </c>
      <c r="B74" s="34" t="s">
        <v>157</v>
      </c>
      <c r="C74" s="34" t="s">
        <v>157</v>
      </c>
      <c r="D74" s="34" t="s">
        <v>157</v>
      </c>
      <c r="E74" s="34" t="s">
        <v>157</v>
      </c>
      <c r="F74" s="34" t="s">
        <v>157</v>
      </c>
      <c r="G74" s="34" t="s">
        <v>157</v>
      </c>
      <c r="H74" s="34" t="s">
        <v>157</v>
      </c>
      <c r="I74" s="34" t="s">
        <v>157</v>
      </c>
      <c r="J74" s="34" t="s">
        <v>157</v>
      </c>
      <c r="K74" s="34" t="s">
        <v>157</v>
      </c>
      <c r="L74" s="34" t="s">
        <v>157</v>
      </c>
    </row>
    <row r="75" spans="1:13" x14ac:dyDescent="0.25">
      <c r="A75" s="3" t="s">
        <v>9</v>
      </c>
      <c r="B75" t="s">
        <v>12</v>
      </c>
      <c r="C75" s="56" t="s">
        <v>672</v>
      </c>
      <c r="D75" t="s">
        <v>16</v>
      </c>
      <c r="E75" t="s">
        <v>9</v>
      </c>
      <c r="F75" s="34" t="s">
        <v>157</v>
      </c>
      <c r="G75" s="34" t="s">
        <v>157</v>
      </c>
      <c r="H75" s="34" t="s">
        <v>157</v>
      </c>
      <c r="I75" s="34" t="s">
        <v>157</v>
      </c>
      <c r="J75" s="34" t="s">
        <v>157</v>
      </c>
      <c r="K75" s="34" t="s">
        <v>157</v>
      </c>
      <c r="L75" s="34" t="s">
        <v>157</v>
      </c>
    </row>
    <row r="76" spans="1:13" x14ac:dyDescent="0.25">
      <c r="A76" s="3" t="s">
        <v>7</v>
      </c>
      <c r="B76" t="s">
        <v>16</v>
      </c>
      <c r="C76" t="s">
        <v>7</v>
      </c>
      <c r="D76" s="34" t="s">
        <v>157</v>
      </c>
      <c r="E76" s="34" t="s">
        <v>157</v>
      </c>
      <c r="F76" s="34" t="s">
        <v>157</v>
      </c>
      <c r="G76" s="34" t="s">
        <v>157</v>
      </c>
      <c r="H76" s="34" t="s">
        <v>157</v>
      </c>
      <c r="I76" s="34" t="s">
        <v>157</v>
      </c>
      <c r="J76" s="34" t="s">
        <v>157</v>
      </c>
      <c r="K76" s="34" t="s">
        <v>157</v>
      </c>
      <c r="L76" s="34" t="s">
        <v>157</v>
      </c>
    </row>
    <row r="77" spans="1:13" x14ac:dyDescent="0.25">
      <c r="A77" s="3" t="s">
        <v>23</v>
      </c>
      <c r="B77" t="s">
        <v>17</v>
      </c>
      <c r="C77" t="s">
        <v>18</v>
      </c>
      <c r="D77" t="s">
        <v>22</v>
      </c>
      <c r="E77" t="s">
        <v>9</v>
      </c>
      <c r="F77" s="34" t="s">
        <v>157</v>
      </c>
      <c r="G77" s="34" t="s">
        <v>157</v>
      </c>
      <c r="H77" s="34" t="s">
        <v>157</v>
      </c>
      <c r="I77" s="34" t="s">
        <v>157</v>
      </c>
      <c r="J77" s="34" t="s">
        <v>157</v>
      </c>
      <c r="K77" s="34" t="s">
        <v>157</v>
      </c>
      <c r="L77" s="34" t="s">
        <v>157</v>
      </c>
    </row>
    <row r="78" spans="1:13" x14ac:dyDescent="0.25">
      <c r="A78" s="3" t="s">
        <v>24</v>
      </c>
      <c r="B78" t="s">
        <v>12</v>
      </c>
      <c r="C78" t="s">
        <v>13</v>
      </c>
      <c r="D78" t="s">
        <v>14</v>
      </c>
      <c r="E78" s="56" t="s">
        <v>672</v>
      </c>
      <c r="F78" t="s">
        <v>18</v>
      </c>
      <c r="G78" t="s">
        <v>8</v>
      </c>
      <c r="H78" t="s">
        <v>21</v>
      </c>
      <c r="I78" t="s">
        <v>22</v>
      </c>
      <c r="J78" t="s">
        <v>7</v>
      </c>
      <c r="K78" t="s">
        <v>23</v>
      </c>
      <c r="L78" t="s">
        <v>24</v>
      </c>
    </row>
    <row r="79" spans="1:13" x14ac:dyDescent="0.25">
      <c r="A79" s="3" t="s">
        <v>25</v>
      </c>
      <c r="B79" t="s">
        <v>17</v>
      </c>
      <c r="C79" t="s">
        <v>21</v>
      </c>
      <c r="D79" t="s">
        <v>24</v>
      </c>
      <c r="E79" t="s">
        <v>25</v>
      </c>
      <c r="F79" s="34" t="s">
        <v>157</v>
      </c>
      <c r="G79" s="34" t="s">
        <v>157</v>
      </c>
      <c r="H79" s="34" t="s">
        <v>157</v>
      </c>
      <c r="I79" s="34" t="s">
        <v>157</v>
      </c>
      <c r="J79" s="34" t="s">
        <v>157</v>
      </c>
      <c r="K79" s="34" t="s">
        <v>157</v>
      </c>
      <c r="L79" s="34" t="s">
        <v>157</v>
      </c>
    </row>
    <row r="81" spans="1:12" x14ac:dyDescent="0.25">
      <c r="B81" t="s">
        <v>698</v>
      </c>
    </row>
    <row r="82" spans="1:12" x14ac:dyDescent="0.25">
      <c r="A82" s="3" t="s">
        <v>12</v>
      </c>
      <c r="B82" s="56" t="s">
        <v>672</v>
      </c>
      <c r="C82" t="s">
        <v>16</v>
      </c>
      <c r="D82" t="s">
        <v>17</v>
      </c>
      <c r="E82" t="s">
        <v>18</v>
      </c>
      <c r="F82" t="s">
        <v>8</v>
      </c>
      <c r="G82" t="s">
        <v>9</v>
      </c>
      <c r="H82" t="s">
        <v>24</v>
      </c>
      <c r="I82" s="34" t="s">
        <v>157</v>
      </c>
      <c r="J82" s="34" t="s">
        <v>157</v>
      </c>
      <c r="K82" s="34" t="s">
        <v>157</v>
      </c>
      <c r="L82" s="34" t="s">
        <v>157</v>
      </c>
    </row>
    <row r="83" spans="1:12" x14ac:dyDescent="0.25">
      <c r="A83" s="3" t="s">
        <v>13</v>
      </c>
      <c r="B83" t="s">
        <v>13</v>
      </c>
      <c r="C83" s="56" t="s">
        <v>672</v>
      </c>
      <c r="D83" t="s">
        <v>16</v>
      </c>
      <c r="E83" t="s">
        <v>24</v>
      </c>
      <c r="F83" s="34" t="s">
        <v>157</v>
      </c>
      <c r="G83" s="34" t="s">
        <v>157</v>
      </c>
      <c r="H83" s="34" t="s">
        <v>157</v>
      </c>
      <c r="I83" s="34" t="s">
        <v>157</v>
      </c>
      <c r="J83" s="34" t="s">
        <v>157</v>
      </c>
      <c r="K83" s="34" t="s">
        <v>157</v>
      </c>
      <c r="L83" s="34" t="s">
        <v>157</v>
      </c>
    </row>
    <row r="84" spans="1:12" x14ac:dyDescent="0.25">
      <c r="A84" s="3" t="s">
        <v>14</v>
      </c>
      <c r="B84" s="56" t="s">
        <v>672</v>
      </c>
      <c r="C84" t="s">
        <v>24</v>
      </c>
      <c r="D84" s="34" t="s">
        <v>157</v>
      </c>
      <c r="E84" s="34" t="s">
        <v>157</v>
      </c>
      <c r="F84" s="34" t="s">
        <v>157</v>
      </c>
      <c r="G84" s="34" t="s">
        <v>157</v>
      </c>
      <c r="H84" s="34" t="s">
        <v>157</v>
      </c>
      <c r="I84" s="34" t="s">
        <v>157</v>
      </c>
      <c r="J84" s="34" t="s">
        <v>157</v>
      </c>
      <c r="K84" s="34" t="s">
        <v>157</v>
      </c>
      <c r="L84" s="34" t="s">
        <v>157</v>
      </c>
    </row>
    <row r="85" spans="1:12" x14ac:dyDescent="0.25">
      <c r="A85" s="3" t="s">
        <v>15</v>
      </c>
      <c r="B85" t="s">
        <v>14</v>
      </c>
      <c r="C85" t="s">
        <v>15</v>
      </c>
      <c r="D85" t="s">
        <v>19</v>
      </c>
      <c r="E85" s="34" t="s">
        <v>157</v>
      </c>
      <c r="F85" s="34" t="s">
        <v>157</v>
      </c>
      <c r="G85" s="34" t="s">
        <v>157</v>
      </c>
      <c r="H85" s="34" t="s">
        <v>157</v>
      </c>
      <c r="I85" s="34" t="s">
        <v>157</v>
      </c>
      <c r="J85" s="34" t="s">
        <v>157</v>
      </c>
      <c r="K85" s="34" t="s">
        <v>157</v>
      </c>
      <c r="L85" s="34" t="s">
        <v>157</v>
      </c>
    </row>
    <row r="86" spans="1:12" x14ac:dyDescent="0.25">
      <c r="A86" s="3" t="s">
        <v>672</v>
      </c>
      <c r="B86" t="s">
        <v>17</v>
      </c>
      <c r="C86" s="34" t="s">
        <v>9</v>
      </c>
      <c r="D86" s="34" t="s">
        <v>24</v>
      </c>
      <c r="E86" s="34" t="s">
        <v>157</v>
      </c>
      <c r="F86" s="34" t="s">
        <v>157</v>
      </c>
      <c r="G86" s="34" t="s">
        <v>157</v>
      </c>
      <c r="H86" s="34" t="s">
        <v>157</v>
      </c>
      <c r="I86" s="34" t="s">
        <v>157</v>
      </c>
      <c r="J86" s="34" t="s">
        <v>157</v>
      </c>
      <c r="K86" s="34" t="s">
        <v>157</v>
      </c>
      <c r="L86" s="34" t="s">
        <v>157</v>
      </c>
    </row>
    <row r="87" spans="1:12" x14ac:dyDescent="0.25">
      <c r="A87" s="3" t="s">
        <v>16</v>
      </c>
      <c r="B87" t="s">
        <v>12</v>
      </c>
      <c r="C87" s="56" t="s">
        <v>672</v>
      </c>
      <c r="D87" t="s">
        <v>16</v>
      </c>
      <c r="E87" t="s">
        <v>18</v>
      </c>
      <c r="F87" t="s">
        <v>9</v>
      </c>
      <c r="G87" t="s">
        <v>7</v>
      </c>
      <c r="H87" s="34" t="s">
        <v>157</v>
      </c>
      <c r="I87" s="34" t="s">
        <v>157</v>
      </c>
      <c r="J87" s="34" t="s">
        <v>157</v>
      </c>
      <c r="K87" s="34" t="s">
        <v>157</v>
      </c>
      <c r="L87" s="34" t="s">
        <v>157</v>
      </c>
    </row>
    <row r="88" spans="1:12" x14ac:dyDescent="0.25">
      <c r="A88" s="3" t="s">
        <v>17</v>
      </c>
      <c r="B88" t="s">
        <v>14</v>
      </c>
      <c r="C88" t="s">
        <v>17</v>
      </c>
      <c r="D88" t="s">
        <v>23</v>
      </c>
      <c r="E88" t="s">
        <v>25</v>
      </c>
      <c r="F88" s="34" t="s">
        <v>157</v>
      </c>
      <c r="G88" s="34" t="s">
        <v>157</v>
      </c>
      <c r="H88" s="34" t="s">
        <v>157</v>
      </c>
      <c r="I88" s="34" t="s">
        <v>157</v>
      </c>
      <c r="J88" s="34" t="s">
        <v>157</v>
      </c>
      <c r="K88" s="34" t="s">
        <v>157</v>
      </c>
      <c r="L88" s="34" t="s">
        <v>157</v>
      </c>
    </row>
    <row r="89" spans="1:12" x14ac:dyDescent="0.25">
      <c r="A89" s="3" t="s">
        <v>18</v>
      </c>
      <c r="B89" t="s">
        <v>15</v>
      </c>
      <c r="C89" t="s">
        <v>23</v>
      </c>
      <c r="D89" t="s">
        <v>24</v>
      </c>
      <c r="E89" s="34" t="s">
        <v>157</v>
      </c>
      <c r="F89" s="34" t="s">
        <v>157</v>
      </c>
      <c r="G89" s="34" t="s">
        <v>157</v>
      </c>
      <c r="H89" s="34" t="s">
        <v>157</v>
      </c>
      <c r="I89" s="34" t="s">
        <v>157</v>
      </c>
      <c r="J89" s="34" t="s">
        <v>157</v>
      </c>
      <c r="K89" s="34" t="s">
        <v>157</v>
      </c>
      <c r="L89" s="34" t="s">
        <v>157</v>
      </c>
    </row>
    <row r="90" spans="1:12" x14ac:dyDescent="0.25">
      <c r="A90" s="3" t="s">
        <v>8</v>
      </c>
      <c r="B90" t="s">
        <v>13</v>
      </c>
      <c r="C90" t="s">
        <v>24</v>
      </c>
      <c r="D90" s="34" t="s">
        <v>157</v>
      </c>
      <c r="E90" s="34" t="s">
        <v>157</v>
      </c>
      <c r="F90" s="34" t="s">
        <v>157</v>
      </c>
      <c r="G90" s="34" t="s">
        <v>157</v>
      </c>
      <c r="H90" s="34" t="s">
        <v>157</v>
      </c>
      <c r="I90" s="34" t="s">
        <v>157</v>
      </c>
      <c r="J90" s="34" t="s">
        <v>157</v>
      </c>
      <c r="K90" s="34" t="s">
        <v>157</v>
      </c>
      <c r="L90" s="34" t="s">
        <v>157</v>
      </c>
    </row>
    <row r="91" spans="1:12" x14ac:dyDescent="0.25">
      <c r="A91" s="3" t="s">
        <v>19</v>
      </c>
      <c r="B91" t="s">
        <v>12</v>
      </c>
      <c r="C91" t="s">
        <v>14</v>
      </c>
      <c r="D91" t="s">
        <v>17</v>
      </c>
      <c r="E91" t="s">
        <v>18</v>
      </c>
      <c r="F91" t="s">
        <v>19</v>
      </c>
      <c r="G91" t="s">
        <v>9</v>
      </c>
      <c r="H91" s="34" t="s">
        <v>157</v>
      </c>
      <c r="I91" s="34" t="s">
        <v>157</v>
      </c>
      <c r="J91" s="34" t="s">
        <v>157</v>
      </c>
      <c r="K91" s="34" t="s">
        <v>157</v>
      </c>
      <c r="L91" s="34" t="s">
        <v>157</v>
      </c>
    </row>
    <row r="92" spans="1:12" x14ac:dyDescent="0.25">
      <c r="A92" s="3" t="s">
        <v>20</v>
      </c>
      <c r="B92" t="s">
        <v>12</v>
      </c>
      <c r="C92" t="s">
        <v>19</v>
      </c>
      <c r="D92" s="34" t="s">
        <v>157</v>
      </c>
      <c r="E92" s="34" t="s">
        <v>157</v>
      </c>
      <c r="F92" s="34" t="s">
        <v>157</v>
      </c>
      <c r="G92" s="34" t="s">
        <v>157</v>
      </c>
      <c r="H92" s="34" t="s">
        <v>157</v>
      </c>
      <c r="I92" s="34" t="s">
        <v>157</v>
      </c>
      <c r="J92" s="34" t="s">
        <v>157</v>
      </c>
      <c r="K92" s="34" t="s">
        <v>157</v>
      </c>
      <c r="L92" s="34" t="s">
        <v>157</v>
      </c>
    </row>
    <row r="93" spans="1:12" x14ac:dyDescent="0.25">
      <c r="A93" s="3" t="s">
        <v>21</v>
      </c>
      <c r="B93" t="s">
        <v>17</v>
      </c>
      <c r="C93" t="s">
        <v>21</v>
      </c>
      <c r="D93" t="s">
        <v>24</v>
      </c>
      <c r="E93" t="s">
        <v>25</v>
      </c>
      <c r="F93" s="34" t="s">
        <v>157</v>
      </c>
      <c r="G93" s="34" t="s">
        <v>157</v>
      </c>
      <c r="H93" s="34" t="s">
        <v>157</v>
      </c>
      <c r="I93" s="34" t="s">
        <v>157</v>
      </c>
      <c r="J93" s="34" t="s">
        <v>157</v>
      </c>
      <c r="K93" s="34" t="s">
        <v>157</v>
      </c>
      <c r="L93" s="34" t="s">
        <v>157</v>
      </c>
    </row>
    <row r="94" spans="1:12" x14ac:dyDescent="0.25">
      <c r="A94" s="3" t="s">
        <v>22</v>
      </c>
      <c r="B94" t="s">
        <v>23</v>
      </c>
      <c r="C94" t="s">
        <v>24</v>
      </c>
      <c r="D94" s="34" t="s">
        <v>157</v>
      </c>
      <c r="E94" s="34" t="s">
        <v>157</v>
      </c>
      <c r="F94" s="34" t="s">
        <v>157</v>
      </c>
      <c r="G94" s="34" t="s">
        <v>157</v>
      </c>
      <c r="H94" s="34" t="s">
        <v>157</v>
      </c>
      <c r="I94" s="34" t="s">
        <v>157</v>
      </c>
      <c r="J94" s="34" t="s">
        <v>157</v>
      </c>
      <c r="K94" s="34" t="s">
        <v>157</v>
      </c>
      <c r="L94" s="34" t="s">
        <v>157</v>
      </c>
    </row>
    <row r="95" spans="1:12" x14ac:dyDescent="0.25">
      <c r="A95" s="3" t="s">
        <v>9</v>
      </c>
      <c r="B95" t="s">
        <v>8</v>
      </c>
      <c r="C95" t="s">
        <v>20</v>
      </c>
      <c r="D95" t="s">
        <v>9</v>
      </c>
      <c r="E95" t="s">
        <v>23</v>
      </c>
      <c r="F95" s="34" t="s">
        <v>157</v>
      </c>
      <c r="G95" s="34" t="s">
        <v>157</v>
      </c>
      <c r="H95" s="34" t="s">
        <v>157</v>
      </c>
      <c r="I95" s="34" t="s">
        <v>157</v>
      </c>
      <c r="J95" s="34" t="s">
        <v>157</v>
      </c>
      <c r="K95" s="34" t="s">
        <v>157</v>
      </c>
      <c r="L95" s="34" t="s">
        <v>157</v>
      </c>
    </row>
    <row r="96" spans="1:12" x14ac:dyDescent="0.25">
      <c r="A96" s="3" t="s">
        <v>7</v>
      </c>
      <c r="B96" t="s">
        <v>7</v>
      </c>
      <c r="C96" t="s">
        <v>24</v>
      </c>
      <c r="D96" s="34" t="s">
        <v>157</v>
      </c>
      <c r="E96" s="34" t="s">
        <v>157</v>
      </c>
      <c r="F96" s="34" t="s">
        <v>157</v>
      </c>
      <c r="G96" s="34" t="s">
        <v>157</v>
      </c>
      <c r="H96" s="34" t="s">
        <v>157</v>
      </c>
      <c r="I96" s="34" t="s">
        <v>157</v>
      </c>
      <c r="J96" s="34" t="s">
        <v>157</v>
      </c>
      <c r="K96" s="34" t="s">
        <v>157</v>
      </c>
      <c r="L96" s="34" t="s">
        <v>157</v>
      </c>
    </row>
    <row r="97" spans="1:12" x14ac:dyDescent="0.25">
      <c r="A97" s="3" t="s">
        <v>23</v>
      </c>
      <c r="B97" t="s">
        <v>16</v>
      </c>
      <c r="C97" t="s">
        <v>20</v>
      </c>
      <c r="D97" t="s">
        <v>24</v>
      </c>
      <c r="E97" s="34" t="s">
        <v>157</v>
      </c>
      <c r="F97" s="34" t="s">
        <v>157</v>
      </c>
      <c r="G97" s="34" t="s">
        <v>157</v>
      </c>
      <c r="H97" s="34" t="s">
        <v>157</v>
      </c>
      <c r="I97" s="34" t="s">
        <v>157</v>
      </c>
      <c r="J97" s="34" t="s">
        <v>157</v>
      </c>
      <c r="K97" s="34" t="s">
        <v>157</v>
      </c>
      <c r="L97" s="34" t="s">
        <v>157</v>
      </c>
    </row>
    <row r="98" spans="1:12" x14ac:dyDescent="0.25">
      <c r="A98" s="3" t="s">
        <v>24</v>
      </c>
      <c r="B98" t="s">
        <v>15</v>
      </c>
      <c r="C98" t="s">
        <v>17</v>
      </c>
      <c r="D98" t="s">
        <v>24</v>
      </c>
      <c r="E98" t="s">
        <v>25</v>
      </c>
      <c r="F98" s="34" t="s">
        <v>157</v>
      </c>
      <c r="G98" s="34" t="s">
        <v>157</v>
      </c>
      <c r="H98" s="34" t="s">
        <v>157</v>
      </c>
      <c r="I98" s="34" t="s">
        <v>157</v>
      </c>
      <c r="J98" s="34" t="s">
        <v>157</v>
      </c>
      <c r="K98" s="34" t="s">
        <v>157</v>
      </c>
      <c r="L98" s="34" t="s">
        <v>157</v>
      </c>
    </row>
    <row r="99" spans="1:12" x14ac:dyDescent="0.25">
      <c r="A99" s="3" t="s">
        <v>25</v>
      </c>
      <c r="B99" t="s">
        <v>14</v>
      </c>
      <c r="C99" t="s">
        <v>19</v>
      </c>
      <c r="D99" t="s">
        <v>25</v>
      </c>
      <c r="E99" s="34" t="s">
        <v>157</v>
      </c>
      <c r="F99" s="34" t="s">
        <v>157</v>
      </c>
      <c r="G99" s="34" t="s">
        <v>157</v>
      </c>
      <c r="H99" s="34" t="s">
        <v>157</v>
      </c>
      <c r="I99" s="34" t="s">
        <v>157</v>
      </c>
      <c r="J99" s="34" t="s">
        <v>157</v>
      </c>
      <c r="K99" s="34" t="s">
        <v>157</v>
      </c>
      <c r="L99" s="34" t="s">
        <v>157</v>
      </c>
    </row>
  </sheetData>
  <conditionalFormatting sqref="A2:A20 A62:A65 A67:A79 B47 B84">
    <cfRule type="containsText" dxfId="330" priority="349" operator="containsText" text="Water">
      <formula>NOT(ISERROR(SEARCH("Water",A2)))</formula>
    </cfRule>
    <cfRule type="containsText" dxfId="329" priority="350" operator="containsText" text="Steel">
      <formula>NOT(ISERROR(SEARCH("Steel",A2)))</formula>
    </cfRule>
    <cfRule type="containsText" dxfId="328" priority="351" operator="containsText" text="Rock">
      <formula>NOT(ISERROR(SEARCH("Rock",A2)))</formula>
    </cfRule>
    <cfRule type="containsText" dxfId="327" priority="352" operator="containsText" text="Poison">
      <formula>NOT(ISERROR(SEARCH("Poison",A2)))</formula>
    </cfRule>
    <cfRule type="containsText" dxfId="326" priority="353" operator="containsText" text="Ice">
      <formula>NOT(ISERROR(SEARCH("Ice",A2)))</formula>
    </cfRule>
    <cfRule type="containsText" dxfId="325" priority="354" operator="containsText" text="Ground">
      <formula>NOT(ISERROR(SEARCH("Ground",A2)))</formula>
    </cfRule>
    <cfRule type="containsText" dxfId="324" priority="355" operator="containsText" text="Grass">
      <formula>NOT(ISERROR(SEARCH("Grass",A2)))</formula>
    </cfRule>
    <cfRule type="containsText" dxfId="323" priority="356" operator="containsText" text="Flying">
      <formula>NOT(ISERROR(SEARCH("Flying",A2)))</formula>
    </cfRule>
    <cfRule type="containsText" dxfId="322" priority="357" operator="containsText" text="Fighting">
      <formula>NOT(ISERROR(SEARCH("Fighting",A2)))</formula>
    </cfRule>
    <cfRule type="containsText" dxfId="321" priority="358" operator="containsText" text="Electric">
      <formula>NOT(ISERROR(SEARCH("Electric",A2)))</formula>
    </cfRule>
    <cfRule type="containsText" dxfId="320" priority="359" operator="containsText" text="Dragon">
      <formula>NOT(ISERROR(SEARCH("Dragon",A2)))</formula>
    </cfRule>
    <cfRule type="containsText" dxfId="319" priority="360" operator="containsText" text="Dark">
      <formula>NOT(ISERROR(SEARCH("Dark",A2)))</formula>
    </cfRule>
    <cfRule type="containsText" dxfId="318" priority="361" operator="containsText" text="Bug">
      <formula>NOT(ISERROR(SEARCH("Bug",A2)))</formula>
    </cfRule>
    <cfRule type="containsText" dxfId="317" priority="362" operator="containsText" text="Fire">
      <formula>NOT(ISERROR(SEARCH("Fire",A2)))</formula>
    </cfRule>
    <cfRule type="containsText" dxfId="316" priority="363" operator="containsText" text="Normal">
      <formula>NOT(ISERROR(SEARCH("Normal",A2)))</formula>
    </cfRule>
    <cfRule type="containsText" dxfId="315" priority="364" operator="containsText" text="Psychic">
      <formula>NOT(ISERROR(SEARCH("Psychic",A2)))</formula>
    </cfRule>
    <cfRule type="containsText" dxfId="314" priority="365" operator="containsText" text="Ghost">
      <formula>NOT(ISERROR(SEARCH("Ghost",A2)))</formula>
    </cfRule>
  </conditionalFormatting>
  <conditionalFormatting sqref="G21">
    <cfRule type="containsText" dxfId="313" priority="348" operator="containsText" text="Physical">
      <formula>NOT(ISERROR(SEARCH("Physical",G21)))</formula>
    </cfRule>
  </conditionalFormatting>
  <conditionalFormatting sqref="G21">
    <cfRule type="containsText" dxfId="312" priority="347" operator="containsText" text="Special">
      <formula>NOT(ISERROR(SEARCH("Special",G21)))</formula>
    </cfRule>
  </conditionalFormatting>
  <conditionalFormatting sqref="G21">
    <cfRule type="containsText" dxfId="311" priority="346" operator="containsText" text="Status">
      <formula>NOT(ISERROR(SEARCH("Status",G21)))</formula>
    </cfRule>
  </conditionalFormatting>
  <conditionalFormatting sqref="A42:A45 A47:A59">
    <cfRule type="containsText" dxfId="310" priority="312" operator="containsText" text="Water">
      <formula>NOT(ISERROR(SEARCH("Water",A42)))</formula>
    </cfRule>
    <cfRule type="containsText" dxfId="309" priority="313" operator="containsText" text="Steel">
      <formula>NOT(ISERROR(SEARCH("Steel",A42)))</formula>
    </cfRule>
    <cfRule type="containsText" dxfId="308" priority="314" operator="containsText" text="Rock">
      <formula>NOT(ISERROR(SEARCH("Rock",A42)))</formula>
    </cfRule>
    <cfRule type="containsText" dxfId="307" priority="315" operator="containsText" text="Poison">
      <formula>NOT(ISERROR(SEARCH("Poison",A42)))</formula>
    </cfRule>
    <cfRule type="containsText" dxfId="306" priority="316" operator="containsText" text="Ice">
      <formula>NOT(ISERROR(SEARCH("Ice",A42)))</formula>
    </cfRule>
    <cfRule type="containsText" dxfId="305" priority="317" operator="containsText" text="Ground">
      <formula>NOT(ISERROR(SEARCH("Ground",A42)))</formula>
    </cfRule>
    <cfRule type="containsText" dxfId="304" priority="318" operator="containsText" text="Grass">
      <formula>NOT(ISERROR(SEARCH("Grass",A42)))</formula>
    </cfRule>
    <cfRule type="containsText" dxfId="303" priority="319" operator="containsText" text="Flying">
      <formula>NOT(ISERROR(SEARCH("Flying",A42)))</formula>
    </cfRule>
    <cfRule type="containsText" dxfId="302" priority="320" operator="containsText" text="Fighting">
      <formula>NOT(ISERROR(SEARCH("Fighting",A42)))</formula>
    </cfRule>
    <cfRule type="containsText" dxfId="301" priority="321" operator="containsText" text="Electric">
      <formula>NOT(ISERROR(SEARCH("Electric",A42)))</formula>
    </cfRule>
    <cfRule type="containsText" dxfId="300" priority="322" operator="containsText" text="Dragon">
      <formula>NOT(ISERROR(SEARCH("Dragon",A42)))</formula>
    </cfRule>
    <cfRule type="containsText" dxfId="299" priority="323" operator="containsText" text="Dark">
      <formula>NOT(ISERROR(SEARCH("Dark",A42)))</formula>
    </cfRule>
    <cfRule type="containsText" dxfId="298" priority="324" operator="containsText" text="Bug">
      <formula>NOT(ISERROR(SEARCH("Bug",A42)))</formula>
    </cfRule>
    <cfRule type="containsText" dxfId="297" priority="325" operator="containsText" text="Fire">
      <formula>NOT(ISERROR(SEARCH("Fire",A42)))</formula>
    </cfRule>
    <cfRule type="containsText" dxfId="296" priority="326" operator="containsText" text="Normal">
      <formula>NOT(ISERROR(SEARCH("Normal",A42)))</formula>
    </cfRule>
    <cfRule type="containsText" dxfId="295" priority="327" operator="containsText" text="Psychic">
      <formula>NOT(ISERROR(SEARCH("Psychic",A42)))</formula>
    </cfRule>
    <cfRule type="containsText" dxfId="294" priority="328" operator="containsText" text="Ghost">
      <formula>NOT(ISERROR(SEARCH("Ghost",A42)))</formula>
    </cfRule>
  </conditionalFormatting>
  <conditionalFormatting sqref="A22:A25 A27:A40">
    <cfRule type="containsText" dxfId="293" priority="295" operator="containsText" text="Water">
      <formula>NOT(ISERROR(SEARCH("Water",A22)))</formula>
    </cfRule>
    <cfRule type="containsText" dxfId="292" priority="296" operator="containsText" text="Steel">
      <formula>NOT(ISERROR(SEARCH("Steel",A22)))</formula>
    </cfRule>
    <cfRule type="containsText" dxfId="291" priority="297" operator="containsText" text="Rock">
      <formula>NOT(ISERROR(SEARCH("Rock",A22)))</formula>
    </cfRule>
    <cfRule type="containsText" dxfId="290" priority="298" operator="containsText" text="Poison">
      <formula>NOT(ISERROR(SEARCH("Poison",A22)))</formula>
    </cfRule>
    <cfRule type="containsText" dxfId="289" priority="299" operator="containsText" text="Ice">
      <formula>NOT(ISERROR(SEARCH("Ice",A22)))</formula>
    </cfRule>
    <cfRule type="containsText" dxfId="288" priority="300" operator="containsText" text="Ground">
      <formula>NOT(ISERROR(SEARCH("Ground",A22)))</formula>
    </cfRule>
    <cfRule type="containsText" dxfId="287" priority="301" operator="containsText" text="Grass">
      <formula>NOT(ISERROR(SEARCH("Grass",A22)))</formula>
    </cfRule>
    <cfRule type="containsText" dxfId="286" priority="302" operator="containsText" text="Flying">
      <formula>NOT(ISERROR(SEARCH("Flying",A22)))</formula>
    </cfRule>
    <cfRule type="containsText" dxfId="285" priority="303" operator="containsText" text="Fighting">
      <formula>NOT(ISERROR(SEARCH("Fighting",A22)))</formula>
    </cfRule>
    <cfRule type="containsText" dxfId="284" priority="304" operator="containsText" text="Electric">
      <formula>NOT(ISERROR(SEARCH("Electric",A22)))</formula>
    </cfRule>
    <cfRule type="containsText" dxfId="283" priority="305" operator="containsText" text="Dragon">
      <formula>NOT(ISERROR(SEARCH("Dragon",A22)))</formula>
    </cfRule>
    <cfRule type="containsText" dxfId="282" priority="306" operator="containsText" text="Dark">
      <formula>NOT(ISERROR(SEARCH("Dark",A22)))</formula>
    </cfRule>
    <cfRule type="containsText" dxfId="281" priority="307" operator="containsText" text="Bug">
      <formula>NOT(ISERROR(SEARCH("Bug",A22)))</formula>
    </cfRule>
    <cfRule type="containsText" dxfId="280" priority="308" operator="containsText" text="Fire">
      <formula>NOT(ISERROR(SEARCH("Fire",A22)))</formula>
    </cfRule>
    <cfRule type="containsText" dxfId="279" priority="309" operator="containsText" text="Normal">
      <formula>NOT(ISERROR(SEARCH("Normal",A22)))</formula>
    </cfRule>
    <cfRule type="containsText" dxfId="278" priority="310" operator="containsText" text="Psychic">
      <formula>NOT(ISERROR(SEARCH("Psychic",A22)))</formula>
    </cfRule>
    <cfRule type="containsText" dxfId="277" priority="311" operator="containsText" text="Ghost">
      <formula>NOT(ISERROR(SEARCH("Ghost",A22)))</formula>
    </cfRule>
  </conditionalFormatting>
  <conditionalFormatting sqref="A82:A85 A87:A99">
    <cfRule type="containsText" dxfId="276" priority="261" operator="containsText" text="Water">
      <formula>NOT(ISERROR(SEARCH("Water",A82)))</formula>
    </cfRule>
    <cfRule type="containsText" dxfId="275" priority="262" operator="containsText" text="Steel">
      <formula>NOT(ISERROR(SEARCH("Steel",A82)))</formula>
    </cfRule>
    <cfRule type="containsText" dxfId="274" priority="263" operator="containsText" text="Rock">
      <formula>NOT(ISERROR(SEARCH("Rock",A82)))</formula>
    </cfRule>
    <cfRule type="containsText" dxfId="273" priority="264" operator="containsText" text="Poison">
      <formula>NOT(ISERROR(SEARCH("Poison",A82)))</formula>
    </cfRule>
    <cfRule type="containsText" dxfId="272" priority="265" operator="containsText" text="Ice">
      <formula>NOT(ISERROR(SEARCH("Ice",A82)))</formula>
    </cfRule>
    <cfRule type="containsText" dxfId="271" priority="266" operator="containsText" text="Ground">
      <formula>NOT(ISERROR(SEARCH("Ground",A82)))</formula>
    </cfRule>
    <cfRule type="containsText" dxfId="270" priority="267" operator="containsText" text="Grass">
      <formula>NOT(ISERROR(SEARCH("Grass",A82)))</formula>
    </cfRule>
    <cfRule type="containsText" dxfId="269" priority="268" operator="containsText" text="Flying">
      <formula>NOT(ISERROR(SEARCH("Flying",A82)))</formula>
    </cfRule>
    <cfRule type="containsText" dxfId="268" priority="269" operator="containsText" text="Fighting">
      <formula>NOT(ISERROR(SEARCH("Fighting",A82)))</formula>
    </cfRule>
    <cfRule type="containsText" dxfId="267" priority="270" operator="containsText" text="Electric">
      <formula>NOT(ISERROR(SEARCH("Electric",A82)))</formula>
    </cfRule>
    <cfRule type="containsText" dxfId="266" priority="271" operator="containsText" text="Dragon">
      <formula>NOT(ISERROR(SEARCH("Dragon",A82)))</formula>
    </cfRule>
    <cfRule type="containsText" dxfId="265" priority="272" operator="containsText" text="Dark">
      <formula>NOT(ISERROR(SEARCH("Dark",A82)))</formula>
    </cfRule>
    <cfRule type="containsText" dxfId="264" priority="273" operator="containsText" text="Bug">
      <formula>NOT(ISERROR(SEARCH("Bug",A82)))</formula>
    </cfRule>
    <cfRule type="containsText" dxfId="263" priority="274" operator="containsText" text="Fire">
      <formula>NOT(ISERROR(SEARCH("Fire",A82)))</formula>
    </cfRule>
    <cfRule type="containsText" dxfId="262" priority="275" operator="containsText" text="Normal">
      <formula>NOT(ISERROR(SEARCH("Normal",A82)))</formula>
    </cfRule>
    <cfRule type="containsText" dxfId="261" priority="276" operator="containsText" text="Psychic">
      <formula>NOT(ISERROR(SEARCH("Psychic",A82)))</formula>
    </cfRule>
    <cfRule type="containsText" dxfId="260" priority="277" operator="containsText" text="Ghost">
      <formula>NOT(ISERROR(SEARCH("Ghost",A82)))</formula>
    </cfRule>
  </conditionalFormatting>
  <conditionalFormatting sqref="A2:A19">
    <cfRule type="containsText" dxfId="259" priority="260" operator="containsText" text="Fairy">
      <formula>NOT(ISERROR(SEARCH("Fairy",A2)))</formula>
    </cfRule>
  </conditionalFormatting>
  <conditionalFormatting sqref="A26">
    <cfRule type="containsText" dxfId="258" priority="242" operator="containsText" text="Fairy">
      <formula>NOT(ISERROR(SEARCH("Fairy",A26)))</formula>
    </cfRule>
  </conditionalFormatting>
  <conditionalFormatting sqref="A26">
    <cfRule type="containsText" dxfId="257" priority="243" operator="containsText" text="Water">
      <formula>NOT(ISERROR(SEARCH("Water",A26)))</formula>
    </cfRule>
    <cfRule type="containsText" dxfId="256" priority="244" operator="containsText" text="Steel">
      <formula>NOT(ISERROR(SEARCH("Steel",A26)))</formula>
    </cfRule>
    <cfRule type="containsText" dxfId="255" priority="245" operator="containsText" text="Rock">
      <formula>NOT(ISERROR(SEARCH("Rock",A26)))</formula>
    </cfRule>
    <cfRule type="containsText" dxfId="254" priority="246" operator="containsText" text="Poison">
      <formula>NOT(ISERROR(SEARCH("Poison",A26)))</formula>
    </cfRule>
    <cfRule type="containsText" dxfId="253" priority="247" operator="containsText" text="Ice">
      <formula>NOT(ISERROR(SEARCH("Ice",A26)))</formula>
    </cfRule>
    <cfRule type="containsText" dxfId="252" priority="248" operator="containsText" text="Ground">
      <formula>NOT(ISERROR(SEARCH("Ground",A26)))</formula>
    </cfRule>
    <cfRule type="containsText" dxfId="251" priority="249" operator="containsText" text="Grass">
      <formula>NOT(ISERROR(SEARCH("Grass",A26)))</formula>
    </cfRule>
    <cfRule type="containsText" dxfId="250" priority="250" operator="containsText" text="Flying">
      <formula>NOT(ISERROR(SEARCH("Flying",A26)))</formula>
    </cfRule>
    <cfRule type="containsText" dxfId="249" priority="251" operator="containsText" text="Fighting">
      <formula>NOT(ISERROR(SEARCH("Fighting",A26)))</formula>
    </cfRule>
    <cfRule type="containsText" dxfId="248" priority="252" operator="containsText" text="Electric">
      <formula>NOT(ISERROR(SEARCH("Electric",A26)))</formula>
    </cfRule>
    <cfRule type="containsText" dxfId="247" priority="253" operator="containsText" text="Dragon">
      <formula>NOT(ISERROR(SEARCH("Dragon",A26)))</formula>
    </cfRule>
    <cfRule type="containsText" dxfId="246" priority="254" operator="containsText" text="Dark">
      <formula>NOT(ISERROR(SEARCH("Dark",A26)))</formula>
    </cfRule>
    <cfRule type="containsText" dxfId="245" priority="255" operator="containsText" text="Bug">
      <formula>NOT(ISERROR(SEARCH("Bug",A26)))</formula>
    </cfRule>
    <cfRule type="containsText" dxfId="244" priority="256" operator="containsText" text="Fire">
      <formula>NOT(ISERROR(SEARCH("Fire",A26)))</formula>
    </cfRule>
    <cfRule type="containsText" dxfId="243" priority="257" operator="containsText" text="Normal">
      <formula>NOT(ISERROR(SEARCH("Normal",A26)))</formula>
    </cfRule>
    <cfRule type="containsText" dxfId="242" priority="258" operator="containsText" text="Psychic">
      <formula>NOT(ISERROR(SEARCH("Psychic",A26)))</formula>
    </cfRule>
    <cfRule type="containsText" dxfId="241" priority="259" operator="containsText" text="Ghost">
      <formula>NOT(ISERROR(SEARCH("Ghost",A26)))</formula>
    </cfRule>
  </conditionalFormatting>
  <conditionalFormatting sqref="A46">
    <cfRule type="containsText" dxfId="240" priority="224" operator="containsText" text="Fairy">
      <formula>NOT(ISERROR(SEARCH("Fairy",A46)))</formula>
    </cfRule>
  </conditionalFormatting>
  <conditionalFormatting sqref="A46">
    <cfRule type="containsText" dxfId="239" priority="225" operator="containsText" text="Water">
      <formula>NOT(ISERROR(SEARCH("Water",A46)))</formula>
    </cfRule>
    <cfRule type="containsText" dxfId="238" priority="226" operator="containsText" text="Steel">
      <formula>NOT(ISERROR(SEARCH("Steel",A46)))</formula>
    </cfRule>
    <cfRule type="containsText" dxfId="237" priority="227" operator="containsText" text="Rock">
      <formula>NOT(ISERROR(SEARCH("Rock",A46)))</formula>
    </cfRule>
    <cfRule type="containsText" dxfId="236" priority="228" operator="containsText" text="Poison">
      <formula>NOT(ISERROR(SEARCH("Poison",A46)))</formula>
    </cfRule>
    <cfRule type="containsText" dxfId="235" priority="229" operator="containsText" text="Ice">
      <formula>NOT(ISERROR(SEARCH("Ice",A46)))</formula>
    </cfRule>
    <cfRule type="containsText" dxfId="234" priority="230" operator="containsText" text="Ground">
      <formula>NOT(ISERROR(SEARCH("Ground",A46)))</formula>
    </cfRule>
    <cfRule type="containsText" dxfId="233" priority="231" operator="containsText" text="Grass">
      <formula>NOT(ISERROR(SEARCH("Grass",A46)))</formula>
    </cfRule>
    <cfRule type="containsText" dxfId="232" priority="232" operator="containsText" text="Flying">
      <formula>NOT(ISERROR(SEARCH("Flying",A46)))</formula>
    </cfRule>
    <cfRule type="containsText" dxfId="231" priority="233" operator="containsText" text="Fighting">
      <formula>NOT(ISERROR(SEARCH("Fighting",A46)))</formula>
    </cfRule>
    <cfRule type="containsText" dxfId="230" priority="234" operator="containsText" text="Electric">
      <formula>NOT(ISERROR(SEARCH("Electric",A46)))</formula>
    </cfRule>
    <cfRule type="containsText" dxfId="229" priority="235" operator="containsText" text="Dragon">
      <formula>NOT(ISERROR(SEARCH("Dragon",A46)))</formula>
    </cfRule>
    <cfRule type="containsText" dxfId="228" priority="236" operator="containsText" text="Dark">
      <formula>NOT(ISERROR(SEARCH("Dark",A46)))</formula>
    </cfRule>
    <cfRule type="containsText" dxfId="227" priority="237" operator="containsText" text="Bug">
      <formula>NOT(ISERROR(SEARCH("Bug",A46)))</formula>
    </cfRule>
    <cfRule type="containsText" dxfId="226" priority="238" operator="containsText" text="Fire">
      <formula>NOT(ISERROR(SEARCH("Fire",A46)))</formula>
    </cfRule>
    <cfRule type="containsText" dxfId="225" priority="239" operator="containsText" text="Normal">
      <formula>NOT(ISERROR(SEARCH("Normal",A46)))</formula>
    </cfRule>
    <cfRule type="containsText" dxfId="224" priority="240" operator="containsText" text="Psychic">
      <formula>NOT(ISERROR(SEARCH("Psychic",A46)))</formula>
    </cfRule>
    <cfRule type="containsText" dxfId="223" priority="241" operator="containsText" text="Ghost">
      <formula>NOT(ISERROR(SEARCH("Ghost",A46)))</formula>
    </cfRule>
  </conditionalFormatting>
  <conditionalFormatting sqref="A66">
    <cfRule type="containsText" dxfId="222" priority="206" operator="containsText" text="Fairy">
      <formula>NOT(ISERROR(SEARCH("Fairy",A66)))</formula>
    </cfRule>
  </conditionalFormatting>
  <conditionalFormatting sqref="A66">
    <cfRule type="containsText" dxfId="221" priority="207" operator="containsText" text="Water">
      <formula>NOT(ISERROR(SEARCH("Water",A66)))</formula>
    </cfRule>
    <cfRule type="containsText" dxfId="220" priority="208" operator="containsText" text="Steel">
      <formula>NOT(ISERROR(SEARCH("Steel",A66)))</formula>
    </cfRule>
    <cfRule type="containsText" dxfId="219" priority="209" operator="containsText" text="Rock">
      <formula>NOT(ISERROR(SEARCH("Rock",A66)))</formula>
    </cfRule>
    <cfRule type="containsText" dxfId="218" priority="210" operator="containsText" text="Poison">
      <formula>NOT(ISERROR(SEARCH("Poison",A66)))</formula>
    </cfRule>
    <cfRule type="containsText" dxfId="217" priority="211" operator="containsText" text="Ice">
      <formula>NOT(ISERROR(SEARCH("Ice",A66)))</formula>
    </cfRule>
    <cfRule type="containsText" dxfId="216" priority="212" operator="containsText" text="Ground">
      <formula>NOT(ISERROR(SEARCH("Ground",A66)))</formula>
    </cfRule>
    <cfRule type="containsText" dxfId="215" priority="213" operator="containsText" text="Grass">
      <formula>NOT(ISERROR(SEARCH("Grass",A66)))</formula>
    </cfRule>
    <cfRule type="containsText" dxfId="214" priority="214" operator="containsText" text="Flying">
      <formula>NOT(ISERROR(SEARCH("Flying",A66)))</formula>
    </cfRule>
    <cfRule type="containsText" dxfId="213" priority="215" operator="containsText" text="Fighting">
      <formula>NOT(ISERROR(SEARCH("Fighting",A66)))</formula>
    </cfRule>
    <cfRule type="containsText" dxfId="212" priority="216" operator="containsText" text="Electric">
      <formula>NOT(ISERROR(SEARCH("Electric",A66)))</formula>
    </cfRule>
    <cfRule type="containsText" dxfId="211" priority="217" operator="containsText" text="Dragon">
      <formula>NOT(ISERROR(SEARCH("Dragon",A66)))</formula>
    </cfRule>
    <cfRule type="containsText" dxfId="210" priority="218" operator="containsText" text="Dark">
      <formula>NOT(ISERROR(SEARCH("Dark",A66)))</formula>
    </cfRule>
    <cfRule type="containsText" dxfId="209" priority="219" operator="containsText" text="Bug">
      <formula>NOT(ISERROR(SEARCH("Bug",A66)))</formula>
    </cfRule>
    <cfRule type="containsText" dxfId="208" priority="220" operator="containsText" text="Fire">
      <formula>NOT(ISERROR(SEARCH("Fire",A66)))</formula>
    </cfRule>
    <cfRule type="containsText" dxfId="207" priority="221" operator="containsText" text="Normal">
      <formula>NOT(ISERROR(SEARCH("Normal",A66)))</formula>
    </cfRule>
    <cfRule type="containsText" dxfId="206" priority="222" operator="containsText" text="Psychic">
      <formula>NOT(ISERROR(SEARCH("Psychic",A66)))</formula>
    </cfRule>
    <cfRule type="containsText" dxfId="205" priority="223" operator="containsText" text="Ghost">
      <formula>NOT(ISERROR(SEARCH("Ghost",A66)))</formula>
    </cfRule>
  </conditionalFormatting>
  <conditionalFormatting sqref="A86">
    <cfRule type="containsText" dxfId="204" priority="188" operator="containsText" text="Fairy">
      <formula>NOT(ISERROR(SEARCH("Fairy",A86)))</formula>
    </cfRule>
  </conditionalFormatting>
  <conditionalFormatting sqref="A86">
    <cfRule type="containsText" dxfId="203" priority="189" operator="containsText" text="Water">
      <formula>NOT(ISERROR(SEARCH("Water",A86)))</formula>
    </cfRule>
    <cfRule type="containsText" dxfId="202" priority="190" operator="containsText" text="Steel">
      <formula>NOT(ISERROR(SEARCH("Steel",A86)))</formula>
    </cfRule>
    <cfRule type="containsText" dxfId="201" priority="191" operator="containsText" text="Rock">
      <formula>NOT(ISERROR(SEARCH("Rock",A86)))</formula>
    </cfRule>
    <cfRule type="containsText" dxfId="200" priority="192" operator="containsText" text="Poison">
      <formula>NOT(ISERROR(SEARCH("Poison",A86)))</formula>
    </cfRule>
    <cfRule type="containsText" dxfId="199" priority="193" operator="containsText" text="Ice">
      <formula>NOT(ISERROR(SEARCH("Ice",A86)))</formula>
    </cfRule>
    <cfRule type="containsText" dxfId="198" priority="194" operator="containsText" text="Ground">
      <formula>NOT(ISERROR(SEARCH("Ground",A86)))</formula>
    </cfRule>
    <cfRule type="containsText" dxfId="197" priority="195" operator="containsText" text="Grass">
      <formula>NOT(ISERROR(SEARCH("Grass",A86)))</formula>
    </cfRule>
    <cfRule type="containsText" dxfId="196" priority="196" operator="containsText" text="Flying">
      <formula>NOT(ISERROR(SEARCH("Flying",A86)))</formula>
    </cfRule>
    <cfRule type="containsText" dxfId="195" priority="197" operator="containsText" text="Fighting">
      <formula>NOT(ISERROR(SEARCH("Fighting",A86)))</formula>
    </cfRule>
    <cfRule type="containsText" dxfId="194" priority="198" operator="containsText" text="Electric">
      <formula>NOT(ISERROR(SEARCH("Electric",A86)))</formula>
    </cfRule>
    <cfRule type="containsText" dxfId="193" priority="199" operator="containsText" text="Dragon">
      <formula>NOT(ISERROR(SEARCH("Dragon",A86)))</formula>
    </cfRule>
    <cfRule type="containsText" dxfId="192" priority="200" operator="containsText" text="Dark">
      <formula>NOT(ISERROR(SEARCH("Dark",A86)))</formula>
    </cfRule>
    <cfRule type="containsText" dxfId="191" priority="201" operator="containsText" text="Bug">
      <formula>NOT(ISERROR(SEARCH("Bug",A86)))</formula>
    </cfRule>
    <cfRule type="containsText" dxfId="190" priority="202" operator="containsText" text="Fire">
      <formula>NOT(ISERROR(SEARCH("Fire",A86)))</formula>
    </cfRule>
    <cfRule type="containsText" dxfId="189" priority="203" operator="containsText" text="Normal">
      <formula>NOT(ISERROR(SEARCH("Normal",A86)))</formula>
    </cfRule>
    <cfRule type="containsText" dxfId="188" priority="204" operator="containsText" text="Psychic">
      <formula>NOT(ISERROR(SEARCH("Psychic",A86)))</formula>
    </cfRule>
    <cfRule type="containsText" dxfId="187" priority="205" operator="containsText" text="Ghost">
      <formula>NOT(ISERROR(SEARCH("Ghost",A86)))</formula>
    </cfRule>
  </conditionalFormatting>
  <conditionalFormatting sqref="C44">
    <cfRule type="containsText" dxfId="186" priority="171" operator="containsText" text="Water">
      <formula>NOT(ISERROR(SEARCH("Water",C44)))</formula>
    </cfRule>
    <cfRule type="containsText" dxfId="185" priority="172" operator="containsText" text="Steel">
      <formula>NOT(ISERROR(SEARCH("Steel",C44)))</formula>
    </cfRule>
    <cfRule type="containsText" dxfId="184" priority="173" operator="containsText" text="Rock">
      <formula>NOT(ISERROR(SEARCH("Rock",C44)))</formula>
    </cfRule>
    <cfRule type="containsText" dxfId="183" priority="174" operator="containsText" text="Poison">
      <formula>NOT(ISERROR(SEARCH("Poison",C44)))</formula>
    </cfRule>
    <cfRule type="containsText" dxfId="182" priority="175" operator="containsText" text="Ice">
      <formula>NOT(ISERROR(SEARCH("Ice",C44)))</formula>
    </cfRule>
    <cfRule type="containsText" dxfId="181" priority="176" operator="containsText" text="Ground">
      <formula>NOT(ISERROR(SEARCH("Ground",C44)))</formula>
    </cfRule>
    <cfRule type="containsText" dxfId="180" priority="177" operator="containsText" text="Grass">
      <formula>NOT(ISERROR(SEARCH("Grass",C44)))</formula>
    </cfRule>
    <cfRule type="containsText" dxfId="179" priority="178" operator="containsText" text="Flying">
      <formula>NOT(ISERROR(SEARCH("Flying",C44)))</formula>
    </cfRule>
    <cfRule type="containsText" dxfId="178" priority="179" operator="containsText" text="Fighting">
      <formula>NOT(ISERROR(SEARCH("Fighting",C44)))</formula>
    </cfRule>
    <cfRule type="containsText" dxfId="177" priority="180" operator="containsText" text="Electric">
      <formula>NOT(ISERROR(SEARCH("Electric",C44)))</formula>
    </cfRule>
    <cfRule type="containsText" dxfId="176" priority="181" operator="containsText" text="Dragon">
      <formula>NOT(ISERROR(SEARCH("Dragon",C44)))</formula>
    </cfRule>
    <cfRule type="containsText" dxfId="175" priority="182" operator="containsText" text="Dark">
      <formula>NOT(ISERROR(SEARCH("Dark",C44)))</formula>
    </cfRule>
    <cfRule type="containsText" dxfId="174" priority="183" operator="containsText" text="Bug">
      <formula>NOT(ISERROR(SEARCH("Bug",C44)))</formula>
    </cfRule>
    <cfRule type="containsText" dxfId="173" priority="184" operator="containsText" text="Fire">
      <formula>NOT(ISERROR(SEARCH("Fire",C44)))</formula>
    </cfRule>
    <cfRule type="containsText" dxfId="172" priority="185" operator="containsText" text="Normal">
      <formula>NOT(ISERROR(SEARCH("Normal",C44)))</formula>
    </cfRule>
    <cfRule type="containsText" dxfId="171" priority="186" operator="containsText" text="Psychic">
      <formula>NOT(ISERROR(SEARCH("Psychic",C44)))</formula>
    </cfRule>
    <cfRule type="containsText" dxfId="170" priority="187" operator="containsText" text="Ghost">
      <formula>NOT(ISERROR(SEARCH("Ghost",C44)))</formula>
    </cfRule>
  </conditionalFormatting>
  <conditionalFormatting sqref="C43">
    <cfRule type="containsText" dxfId="169" priority="154" operator="containsText" text="Water">
      <formula>NOT(ISERROR(SEARCH("Water",C43)))</formula>
    </cfRule>
    <cfRule type="containsText" dxfId="168" priority="155" operator="containsText" text="Steel">
      <formula>NOT(ISERROR(SEARCH("Steel",C43)))</formula>
    </cfRule>
    <cfRule type="containsText" dxfId="167" priority="156" operator="containsText" text="Rock">
      <formula>NOT(ISERROR(SEARCH("Rock",C43)))</formula>
    </cfRule>
    <cfRule type="containsText" dxfId="166" priority="157" operator="containsText" text="Poison">
      <formula>NOT(ISERROR(SEARCH("Poison",C43)))</formula>
    </cfRule>
    <cfRule type="containsText" dxfId="165" priority="158" operator="containsText" text="Ice">
      <formula>NOT(ISERROR(SEARCH("Ice",C43)))</formula>
    </cfRule>
    <cfRule type="containsText" dxfId="164" priority="159" operator="containsText" text="Ground">
      <formula>NOT(ISERROR(SEARCH("Ground",C43)))</formula>
    </cfRule>
    <cfRule type="containsText" dxfId="163" priority="160" operator="containsText" text="Grass">
      <formula>NOT(ISERROR(SEARCH("Grass",C43)))</formula>
    </cfRule>
    <cfRule type="containsText" dxfId="162" priority="161" operator="containsText" text="Flying">
      <formula>NOT(ISERROR(SEARCH("Flying",C43)))</formula>
    </cfRule>
    <cfRule type="containsText" dxfId="161" priority="162" operator="containsText" text="Fighting">
      <formula>NOT(ISERROR(SEARCH("Fighting",C43)))</formula>
    </cfRule>
    <cfRule type="containsText" dxfId="160" priority="163" operator="containsText" text="Electric">
      <formula>NOT(ISERROR(SEARCH("Electric",C43)))</formula>
    </cfRule>
    <cfRule type="containsText" dxfId="159" priority="164" operator="containsText" text="Dragon">
      <formula>NOT(ISERROR(SEARCH("Dragon",C43)))</formula>
    </cfRule>
    <cfRule type="containsText" dxfId="158" priority="165" operator="containsText" text="Dark">
      <formula>NOT(ISERROR(SEARCH("Dark",C43)))</formula>
    </cfRule>
    <cfRule type="containsText" dxfId="157" priority="166" operator="containsText" text="Bug">
      <formula>NOT(ISERROR(SEARCH("Bug",C43)))</formula>
    </cfRule>
    <cfRule type="containsText" dxfId="156" priority="167" operator="containsText" text="Fire">
      <formula>NOT(ISERROR(SEARCH("Fire",C43)))</formula>
    </cfRule>
    <cfRule type="containsText" dxfId="155" priority="168" operator="containsText" text="Normal">
      <formula>NOT(ISERROR(SEARCH("Normal",C43)))</formula>
    </cfRule>
    <cfRule type="containsText" dxfId="154" priority="169" operator="containsText" text="Psychic">
      <formula>NOT(ISERROR(SEARCH("Psychic",C43)))</formula>
    </cfRule>
    <cfRule type="containsText" dxfId="153" priority="170" operator="containsText" text="Ghost">
      <formula>NOT(ISERROR(SEARCH("Ghost",C43)))</formula>
    </cfRule>
  </conditionalFormatting>
  <conditionalFormatting sqref="B35">
    <cfRule type="containsText" dxfId="152" priority="120" operator="containsText" text="Water">
      <formula>NOT(ISERROR(SEARCH("Water",B35)))</formula>
    </cfRule>
    <cfRule type="containsText" dxfId="151" priority="121" operator="containsText" text="Steel">
      <formula>NOT(ISERROR(SEARCH("Steel",B35)))</formula>
    </cfRule>
    <cfRule type="containsText" dxfId="150" priority="122" operator="containsText" text="Rock">
      <formula>NOT(ISERROR(SEARCH("Rock",B35)))</formula>
    </cfRule>
    <cfRule type="containsText" dxfId="149" priority="123" operator="containsText" text="Poison">
      <formula>NOT(ISERROR(SEARCH("Poison",B35)))</formula>
    </cfRule>
    <cfRule type="containsText" dxfId="148" priority="124" operator="containsText" text="Ice">
      <formula>NOT(ISERROR(SEARCH("Ice",B35)))</formula>
    </cfRule>
    <cfRule type="containsText" dxfId="147" priority="125" operator="containsText" text="Ground">
      <formula>NOT(ISERROR(SEARCH("Ground",B35)))</formula>
    </cfRule>
    <cfRule type="containsText" dxfId="146" priority="126" operator="containsText" text="Grass">
      <formula>NOT(ISERROR(SEARCH("Grass",B35)))</formula>
    </cfRule>
    <cfRule type="containsText" dxfId="145" priority="127" operator="containsText" text="Flying">
      <formula>NOT(ISERROR(SEARCH("Flying",B35)))</formula>
    </cfRule>
    <cfRule type="containsText" dxfId="144" priority="128" operator="containsText" text="Fighting">
      <formula>NOT(ISERROR(SEARCH("Fighting",B35)))</formula>
    </cfRule>
    <cfRule type="containsText" dxfId="143" priority="129" operator="containsText" text="Electric">
      <formula>NOT(ISERROR(SEARCH("Electric",B35)))</formula>
    </cfRule>
    <cfRule type="containsText" dxfId="142" priority="130" operator="containsText" text="Dragon">
      <formula>NOT(ISERROR(SEARCH("Dragon",B35)))</formula>
    </cfRule>
    <cfRule type="containsText" dxfId="141" priority="131" operator="containsText" text="Dark">
      <formula>NOT(ISERROR(SEARCH("Dark",B35)))</formula>
    </cfRule>
    <cfRule type="containsText" dxfId="140" priority="132" operator="containsText" text="Bug">
      <formula>NOT(ISERROR(SEARCH("Bug",B35)))</formula>
    </cfRule>
    <cfRule type="containsText" dxfId="139" priority="133" operator="containsText" text="Fire">
      <formula>NOT(ISERROR(SEARCH("Fire",B35)))</formula>
    </cfRule>
    <cfRule type="containsText" dxfId="138" priority="134" operator="containsText" text="Normal">
      <formula>NOT(ISERROR(SEARCH("Normal",B35)))</formula>
    </cfRule>
    <cfRule type="containsText" dxfId="137" priority="135" operator="containsText" text="Psychic">
      <formula>NOT(ISERROR(SEARCH("Psychic",B35)))</formula>
    </cfRule>
    <cfRule type="containsText" dxfId="136" priority="136" operator="containsText" text="Ghost">
      <formula>NOT(ISERROR(SEARCH("Ghost",B35)))</formula>
    </cfRule>
  </conditionalFormatting>
  <conditionalFormatting sqref="B38">
    <cfRule type="containsText" dxfId="135" priority="103" operator="containsText" text="Water">
      <formula>NOT(ISERROR(SEARCH("Water",B38)))</formula>
    </cfRule>
    <cfRule type="containsText" dxfId="134" priority="104" operator="containsText" text="Steel">
      <formula>NOT(ISERROR(SEARCH("Steel",B38)))</formula>
    </cfRule>
    <cfRule type="containsText" dxfId="133" priority="105" operator="containsText" text="Rock">
      <formula>NOT(ISERROR(SEARCH("Rock",B38)))</formula>
    </cfRule>
    <cfRule type="containsText" dxfId="132" priority="106" operator="containsText" text="Poison">
      <formula>NOT(ISERROR(SEARCH("Poison",B38)))</formula>
    </cfRule>
    <cfRule type="containsText" dxfId="131" priority="107" operator="containsText" text="Ice">
      <formula>NOT(ISERROR(SEARCH("Ice",B38)))</formula>
    </cfRule>
    <cfRule type="containsText" dxfId="130" priority="108" operator="containsText" text="Ground">
      <formula>NOT(ISERROR(SEARCH("Ground",B38)))</formula>
    </cfRule>
    <cfRule type="containsText" dxfId="129" priority="109" operator="containsText" text="Grass">
      <formula>NOT(ISERROR(SEARCH("Grass",B38)))</formula>
    </cfRule>
    <cfRule type="containsText" dxfId="128" priority="110" operator="containsText" text="Flying">
      <formula>NOT(ISERROR(SEARCH("Flying",B38)))</formula>
    </cfRule>
    <cfRule type="containsText" dxfId="127" priority="111" operator="containsText" text="Fighting">
      <formula>NOT(ISERROR(SEARCH("Fighting",B38)))</formula>
    </cfRule>
    <cfRule type="containsText" dxfId="126" priority="112" operator="containsText" text="Electric">
      <formula>NOT(ISERROR(SEARCH("Electric",B38)))</formula>
    </cfRule>
    <cfRule type="containsText" dxfId="125" priority="113" operator="containsText" text="Dragon">
      <formula>NOT(ISERROR(SEARCH("Dragon",B38)))</formula>
    </cfRule>
    <cfRule type="containsText" dxfId="124" priority="114" operator="containsText" text="Dark">
      <formula>NOT(ISERROR(SEARCH("Dark",B38)))</formula>
    </cfRule>
    <cfRule type="containsText" dxfId="123" priority="115" operator="containsText" text="Bug">
      <formula>NOT(ISERROR(SEARCH("Bug",B38)))</formula>
    </cfRule>
    <cfRule type="containsText" dxfId="122" priority="116" operator="containsText" text="Fire">
      <formula>NOT(ISERROR(SEARCH("Fire",B38)))</formula>
    </cfRule>
    <cfRule type="containsText" dxfId="121" priority="117" operator="containsText" text="Normal">
      <formula>NOT(ISERROR(SEARCH("Normal",B38)))</formula>
    </cfRule>
    <cfRule type="containsText" dxfId="120" priority="118" operator="containsText" text="Psychic">
      <formula>NOT(ISERROR(SEARCH("Psychic",B38)))</formula>
    </cfRule>
    <cfRule type="containsText" dxfId="119" priority="119" operator="containsText" text="Ghost">
      <formula>NOT(ISERROR(SEARCH("Ghost",B38)))</formula>
    </cfRule>
  </conditionalFormatting>
  <conditionalFormatting sqref="C87">
    <cfRule type="containsText" dxfId="118" priority="86" operator="containsText" text="Water">
      <formula>NOT(ISERROR(SEARCH("Water",C87)))</formula>
    </cfRule>
    <cfRule type="containsText" dxfId="117" priority="87" operator="containsText" text="Steel">
      <formula>NOT(ISERROR(SEARCH("Steel",C87)))</formula>
    </cfRule>
    <cfRule type="containsText" dxfId="116" priority="88" operator="containsText" text="Rock">
      <formula>NOT(ISERROR(SEARCH("Rock",C87)))</formula>
    </cfRule>
    <cfRule type="containsText" dxfId="115" priority="89" operator="containsText" text="Poison">
      <formula>NOT(ISERROR(SEARCH("Poison",C87)))</formula>
    </cfRule>
    <cfRule type="containsText" dxfId="114" priority="90" operator="containsText" text="Ice">
      <formula>NOT(ISERROR(SEARCH("Ice",C87)))</formula>
    </cfRule>
    <cfRule type="containsText" dxfId="113" priority="91" operator="containsText" text="Ground">
      <formula>NOT(ISERROR(SEARCH("Ground",C87)))</formula>
    </cfRule>
    <cfRule type="containsText" dxfId="112" priority="92" operator="containsText" text="Grass">
      <formula>NOT(ISERROR(SEARCH("Grass",C87)))</formula>
    </cfRule>
    <cfRule type="containsText" dxfId="111" priority="93" operator="containsText" text="Flying">
      <formula>NOT(ISERROR(SEARCH("Flying",C87)))</formula>
    </cfRule>
    <cfRule type="containsText" dxfId="110" priority="94" operator="containsText" text="Fighting">
      <formula>NOT(ISERROR(SEARCH("Fighting",C87)))</formula>
    </cfRule>
    <cfRule type="containsText" dxfId="109" priority="95" operator="containsText" text="Electric">
      <formula>NOT(ISERROR(SEARCH("Electric",C87)))</formula>
    </cfRule>
    <cfRule type="containsText" dxfId="108" priority="96" operator="containsText" text="Dragon">
      <formula>NOT(ISERROR(SEARCH("Dragon",C87)))</formula>
    </cfRule>
    <cfRule type="containsText" dxfId="107" priority="97" operator="containsText" text="Dark">
      <formula>NOT(ISERROR(SEARCH("Dark",C87)))</formula>
    </cfRule>
    <cfRule type="containsText" dxfId="106" priority="98" operator="containsText" text="Bug">
      <formula>NOT(ISERROR(SEARCH("Bug",C87)))</formula>
    </cfRule>
    <cfRule type="containsText" dxfId="105" priority="99" operator="containsText" text="Fire">
      <formula>NOT(ISERROR(SEARCH("Fire",C87)))</formula>
    </cfRule>
    <cfRule type="containsText" dxfId="104" priority="100" operator="containsText" text="Normal">
      <formula>NOT(ISERROR(SEARCH("Normal",C87)))</formula>
    </cfRule>
    <cfRule type="containsText" dxfId="103" priority="101" operator="containsText" text="Psychic">
      <formula>NOT(ISERROR(SEARCH("Psychic",C87)))</formula>
    </cfRule>
    <cfRule type="containsText" dxfId="102" priority="102" operator="containsText" text="Ghost">
      <formula>NOT(ISERROR(SEARCH("Ghost",C87)))</formula>
    </cfRule>
  </conditionalFormatting>
  <conditionalFormatting sqref="B82">
    <cfRule type="containsText" dxfId="101" priority="69" operator="containsText" text="Water">
      <formula>NOT(ISERROR(SEARCH("Water",B82)))</formula>
    </cfRule>
    <cfRule type="containsText" dxfId="100" priority="70" operator="containsText" text="Steel">
      <formula>NOT(ISERROR(SEARCH("Steel",B82)))</formula>
    </cfRule>
    <cfRule type="containsText" dxfId="99" priority="71" operator="containsText" text="Rock">
      <formula>NOT(ISERROR(SEARCH("Rock",B82)))</formula>
    </cfRule>
    <cfRule type="containsText" dxfId="98" priority="72" operator="containsText" text="Poison">
      <formula>NOT(ISERROR(SEARCH("Poison",B82)))</formula>
    </cfRule>
    <cfRule type="containsText" dxfId="97" priority="73" operator="containsText" text="Ice">
      <formula>NOT(ISERROR(SEARCH("Ice",B82)))</formula>
    </cfRule>
    <cfRule type="containsText" dxfId="96" priority="74" operator="containsText" text="Ground">
      <formula>NOT(ISERROR(SEARCH("Ground",B82)))</formula>
    </cfRule>
    <cfRule type="containsText" dxfId="95" priority="75" operator="containsText" text="Grass">
      <formula>NOT(ISERROR(SEARCH("Grass",B82)))</formula>
    </cfRule>
    <cfRule type="containsText" dxfId="94" priority="76" operator="containsText" text="Flying">
      <formula>NOT(ISERROR(SEARCH("Flying",B82)))</formula>
    </cfRule>
    <cfRule type="containsText" dxfId="93" priority="77" operator="containsText" text="Fighting">
      <formula>NOT(ISERROR(SEARCH("Fighting",B82)))</formula>
    </cfRule>
    <cfRule type="containsText" dxfId="92" priority="78" operator="containsText" text="Electric">
      <formula>NOT(ISERROR(SEARCH("Electric",B82)))</formula>
    </cfRule>
    <cfRule type="containsText" dxfId="91" priority="79" operator="containsText" text="Dragon">
      <formula>NOT(ISERROR(SEARCH("Dragon",B82)))</formula>
    </cfRule>
    <cfRule type="containsText" dxfId="90" priority="80" operator="containsText" text="Dark">
      <formula>NOT(ISERROR(SEARCH("Dark",B82)))</formula>
    </cfRule>
    <cfRule type="containsText" dxfId="89" priority="81" operator="containsText" text="Bug">
      <formula>NOT(ISERROR(SEARCH("Bug",B82)))</formula>
    </cfRule>
    <cfRule type="containsText" dxfId="88" priority="82" operator="containsText" text="Fire">
      <formula>NOT(ISERROR(SEARCH("Fire",B82)))</formula>
    </cfRule>
    <cfRule type="containsText" dxfId="87" priority="83" operator="containsText" text="Normal">
      <formula>NOT(ISERROR(SEARCH("Normal",B82)))</formula>
    </cfRule>
    <cfRule type="containsText" dxfId="86" priority="84" operator="containsText" text="Psychic">
      <formula>NOT(ISERROR(SEARCH("Psychic",B82)))</formula>
    </cfRule>
    <cfRule type="containsText" dxfId="85" priority="85" operator="containsText" text="Ghost">
      <formula>NOT(ISERROR(SEARCH("Ghost",B82)))</formula>
    </cfRule>
  </conditionalFormatting>
  <conditionalFormatting sqref="C83">
    <cfRule type="containsText" dxfId="84" priority="52" operator="containsText" text="Water">
      <formula>NOT(ISERROR(SEARCH("Water",C83)))</formula>
    </cfRule>
    <cfRule type="containsText" dxfId="83" priority="53" operator="containsText" text="Steel">
      <formula>NOT(ISERROR(SEARCH("Steel",C83)))</formula>
    </cfRule>
    <cfRule type="containsText" dxfId="82" priority="54" operator="containsText" text="Rock">
      <formula>NOT(ISERROR(SEARCH("Rock",C83)))</formula>
    </cfRule>
    <cfRule type="containsText" dxfId="81" priority="55" operator="containsText" text="Poison">
      <formula>NOT(ISERROR(SEARCH("Poison",C83)))</formula>
    </cfRule>
    <cfRule type="containsText" dxfId="80" priority="56" operator="containsText" text="Ice">
      <formula>NOT(ISERROR(SEARCH("Ice",C83)))</formula>
    </cfRule>
    <cfRule type="containsText" dxfId="79" priority="57" operator="containsText" text="Ground">
      <formula>NOT(ISERROR(SEARCH("Ground",C83)))</formula>
    </cfRule>
    <cfRule type="containsText" dxfId="78" priority="58" operator="containsText" text="Grass">
      <formula>NOT(ISERROR(SEARCH("Grass",C83)))</formula>
    </cfRule>
    <cfRule type="containsText" dxfId="77" priority="59" operator="containsText" text="Flying">
      <formula>NOT(ISERROR(SEARCH("Flying",C83)))</formula>
    </cfRule>
    <cfRule type="containsText" dxfId="76" priority="60" operator="containsText" text="Fighting">
      <formula>NOT(ISERROR(SEARCH("Fighting",C83)))</formula>
    </cfRule>
    <cfRule type="containsText" dxfId="75" priority="61" operator="containsText" text="Electric">
      <formula>NOT(ISERROR(SEARCH("Electric",C83)))</formula>
    </cfRule>
    <cfRule type="containsText" dxfId="74" priority="62" operator="containsText" text="Dragon">
      <formula>NOT(ISERROR(SEARCH("Dragon",C83)))</formula>
    </cfRule>
    <cfRule type="containsText" dxfId="73" priority="63" operator="containsText" text="Dark">
      <formula>NOT(ISERROR(SEARCH("Dark",C83)))</formula>
    </cfRule>
    <cfRule type="containsText" dxfId="72" priority="64" operator="containsText" text="Bug">
      <formula>NOT(ISERROR(SEARCH("Bug",C83)))</formula>
    </cfRule>
    <cfRule type="containsText" dxfId="71" priority="65" operator="containsText" text="Fire">
      <formula>NOT(ISERROR(SEARCH("Fire",C83)))</formula>
    </cfRule>
    <cfRule type="containsText" dxfId="70" priority="66" operator="containsText" text="Normal">
      <formula>NOT(ISERROR(SEARCH("Normal",C83)))</formula>
    </cfRule>
    <cfRule type="containsText" dxfId="69" priority="67" operator="containsText" text="Psychic">
      <formula>NOT(ISERROR(SEARCH("Psychic",C83)))</formula>
    </cfRule>
    <cfRule type="containsText" dxfId="68" priority="68" operator="containsText" text="Ghost">
      <formula>NOT(ISERROR(SEARCH("Ghost",C83)))</formula>
    </cfRule>
  </conditionalFormatting>
  <conditionalFormatting sqref="C68">
    <cfRule type="containsText" dxfId="67" priority="35" operator="containsText" text="Water">
      <formula>NOT(ISERROR(SEARCH("Water",C68)))</formula>
    </cfRule>
    <cfRule type="containsText" dxfId="66" priority="36" operator="containsText" text="Steel">
      <formula>NOT(ISERROR(SEARCH("Steel",C68)))</formula>
    </cfRule>
    <cfRule type="containsText" dxfId="65" priority="37" operator="containsText" text="Rock">
      <formula>NOT(ISERROR(SEARCH("Rock",C68)))</formula>
    </cfRule>
    <cfRule type="containsText" dxfId="64" priority="38" operator="containsText" text="Poison">
      <formula>NOT(ISERROR(SEARCH("Poison",C68)))</formula>
    </cfRule>
    <cfRule type="containsText" dxfId="63" priority="39" operator="containsText" text="Ice">
      <formula>NOT(ISERROR(SEARCH("Ice",C68)))</formula>
    </cfRule>
    <cfRule type="containsText" dxfId="62" priority="40" operator="containsText" text="Ground">
      <formula>NOT(ISERROR(SEARCH("Ground",C68)))</formula>
    </cfRule>
    <cfRule type="containsText" dxfId="61" priority="41" operator="containsText" text="Grass">
      <formula>NOT(ISERROR(SEARCH("Grass",C68)))</formula>
    </cfRule>
    <cfRule type="containsText" dxfId="60" priority="42" operator="containsText" text="Flying">
      <formula>NOT(ISERROR(SEARCH("Flying",C68)))</formula>
    </cfRule>
    <cfRule type="containsText" dxfId="59" priority="43" operator="containsText" text="Fighting">
      <formula>NOT(ISERROR(SEARCH("Fighting",C68)))</formula>
    </cfRule>
    <cfRule type="containsText" dxfId="58" priority="44" operator="containsText" text="Electric">
      <formula>NOT(ISERROR(SEARCH("Electric",C68)))</formula>
    </cfRule>
    <cfRule type="containsText" dxfId="57" priority="45" operator="containsText" text="Dragon">
      <formula>NOT(ISERROR(SEARCH("Dragon",C68)))</formula>
    </cfRule>
    <cfRule type="containsText" dxfId="56" priority="46" operator="containsText" text="Dark">
      <formula>NOT(ISERROR(SEARCH("Dark",C68)))</formula>
    </cfRule>
    <cfRule type="containsText" dxfId="55" priority="47" operator="containsText" text="Bug">
      <formula>NOT(ISERROR(SEARCH("Bug",C68)))</formula>
    </cfRule>
    <cfRule type="containsText" dxfId="54" priority="48" operator="containsText" text="Fire">
      <formula>NOT(ISERROR(SEARCH("Fire",C68)))</formula>
    </cfRule>
    <cfRule type="containsText" dxfId="53" priority="49" operator="containsText" text="Normal">
      <formula>NOT(ISERROR(SEARCH("Normal",C68)))</formula>
    </cfRule>
    <cfRule type="containsText" dxfId="52" priority="50" operator="containsText" text="Psychic">
      <formula>NOT(ISERROR(SEARCH("Psychic",C68)))</formula>
    </cfRule>
    <cfRule type="containsText" dxfId="51" priority="51" operator="containsText" text="Ghost">
      <formula>NOT(ISERROR(SEARCH("Ghost",C68)))</formula>
    </cfRule>
  </conditionalFormatting>
  <conditionalFormatting sqref="C75">
    <cfRule type="containsText" dxfId="50" priority="18" operator="containsText" text="Water">
      <formula>NOT(ISERROR(SEARCH("Water",C75)))</formula>
    </cfRule>
    <cfRule type="containsText" dxfId="49" priority="19" operator="containsText" text="Steel">
      <formula>NOT(ISERROR(SEARCH("Steel",C75)))</formula>
    </cfRule>
    <cfRule type="containsText" dxfId="48" priority="20" operator="containsText" text="Rock">
      <formula>NOT(ISERROR(SEARCH("Rock",C75)))</formula>
    </cfRule>
    <cfRule type="containsText" dxfId="47" priority="21" operator="containsText" text="Poison">
      <formula>NOT(ISERROR(SEARCH("Poison",C75)))</formula>
    </cfRule>
    <cfRule type="containsText" dxfId="46" priority="22" operator="containsText" text="Ice">
      <formula>NOT(ISERROR(SEARCH("Ice",C75)))</formula>
    </cfRule>
    <cfRule type="containsText" dxfId="45" priority="23" operator="containsText" text="Ground">
      <formula>NOT(ISERROR(SEARCH("Ground",C75)))</formula>
    </cfRule>
    <cfRule type="containsText" dxfId="44" priority="24" operator="containsText" text="Grass">
      <formula>NOT(ISERROR(SEARCH("Grass",C75)))</formula>
    </cfRule>
    <cfRule type="containsText" dxfId="43" priority="25" operator="containsText" text="Flying">
      <formula>NOT(ISERROR(SEARCH("Flying",C75)))</formula>
    </cfRule>
    <cfRule type="containsText" dxfId="42" priority="26" operator="containsText" text="Fighting">
      <formula>NOT(ISERROR(SEARCH("Fighting",C75)))</formula>
    </cfRule>
    <cfRule type="containsText" dxfId="41" priority="27" operator="containsText" text="Electric">
      <formula>NOT(ISERROR(SEARCH("Electric",C75)))</formula>
    </cfRule>
    <cfRule type="containsText" dxfId="40" priority="28" operator="containsText" text="Dragon">
      <formula>NOT(ISERROR(SEARCH("Dragon",C75)))</formula>
    </cfRule>
    <cfRule type="containsText" dxfId="39" priority="29" operator="containsText" text="Dark">
      <formula>NOT(ISERROR(SEARCH("Dark",C75)))</formula>
    </cfRule>
    <cfRule type="containsText" dxfId="38" priority="30" operator="containsText" text="Bug">
      <formula>NOT(ISERROR(SEARCH("Bug",C75)))</formula>
    </cfRule>
    <cfRule type="containsText" dxfId="37" priority="31" operator="containsText" text="Fire">
      <formula>NOT(ISERROR(SEARCH("Fire",C75)))</formula>
    </cfRule>
    <cfRule type="containsText" dxfId="36" priority="32" operator="containsText" text="Normal">
      <formula>NOT(ISERROR(SEARCH("Normal",C75)))</formula>
    </cfRule>
    <cfRule type="containsText" dxfId="35" priority="33" operator="containsText" text="Psychic">
      <formula>NOT(ISERROR(SEARCH("Psychic",C75)))</formula>
    </cfRule>
    <cfRule type="containsText" dxfId="34" priority="34" operator="containsText" text="Ghost">
      <formula>NOT(ISERROR(SEARCH("Ghost",C75)))</formula>
    </cfRule>
  </conditionalFormatting>
  <conditionalFormatting sqref="E78">
    <cfRule type="containsText" dxfId="33" priority="1" operator="containsText" text="Water">
      <formula>NOT(ISERROR(SEARCH("Water",E78)))</formula>
    </cfRule>
    <cfRule type="containsText" dxfId="32" priority="2" operator="containsText" text="Steel">
      <formula>NOT(ISERROR(SEARCH("Steel",E78)))</formula>
    </cfRule>
    <cfRule type="containsText" dxfId="31" priority="3" operator="containsText" text="Rock">
      <formula>NOT(ISERROR(SEARCH("Rock",E78)))</formula>
    </cfRule>
    <cfRule type="containsText" dxfId="30" priority="4" operator="containsText" text="Poison">
      <formula>NOT(ISERROR(SEARCH("Poison",E78)))</formula>
    </cfRule>
    <cfRule type="containsText" dxfId="29" priority="5" operator="containsText" text="Ice">
      <formula>NOT(ISERROR(SEARCH("Ice",E78)))</formula>
    </cfRule>
    <cfRule type="containsText" dxfId="28" priority="6" operator="containsText" text="Ground">
      <formula>NOT(ISERROR(SEARCH("Ground",E78)))</formula>
    </cfRule>
    <cfRule type="containsText" dxfId="27" priority="7" operator="containsText" text="Grass">
      <formula>NOT(ISERROR(SEARCH("Grass",E78)))</formula>
    </cfRule>
    <cfRule type="containsText" dxfId="26" priority="8" operator="containsText" text="Flying">
      <formula>NOT(ISERROR(SEARCH("Flying",E78)))</formula>
    </cfRule>
    <cfRule type="containsText" dxfId="25" priority="9" operator="containsText" text="Fighting">
      <formula>NOT(ISERROR(SEARCH("Fighting",E78)))</formula>
    </cfRule>
    <cfRule type="containsText" dxfId="24" priority="10" operator="containsText" text="Electric">
      <formula>NOT(ISERROR(SEARCH("Electric",E78)))</formula>
    </cfRule>
    <cfRule type="containsText" dxfId="23" priority="11" operator="containsText" text="Dragon">
      <formula>NOT(ISERROR(SEARCH("Dragon",E78)))</formula>
    </cfRule>
    <cfRule type="containsText" dxfId="22" priority="12" operator="containsText" text="Dark">
      <formula>NOT(ISERROR(SEARCH("Dark",E78)))</formula>
    </cfRule>
    <cfRule type="containsText" dxfId="21" priority="13" operator="containsText" text="Bug">
      <formula>NOT(ISERROR(SEARCH("Bug",E78)))</formula>
    </cfRule>
    <cfRule type="containsText" dxfId="20" priority="14" operator="containsText" text="Fire">
      <formula>NOT(ISERROR(SEARCH("Fire",E78)))</formula>
    </cfRule>
    <cfRule type="containsText" dxfId="19" priority="15" operator="containsText" text="Normal">
      <formula>NOT(ISERROR(SEARCH("Normal",E78)))</formula>
    </cfRule>
    <cfRule type="containsText" dxfId="18" priority="16" operator="containsText" text="Psychic">
      <formula>NOT(ISERROR(SEARCH("Psychic",E78)))</formula>
    </cfRule>
    <cfRule type="containsText" dxfId="17" priority="17" operator="containsText" text="Ghost">
      <formula>NOT(ISERROR(SEARCH("Ghost",E78)))</formula>
    </cfRule>
  </conditionalFormatting>
  <dataValidations disablePrompts="1" count="1">
    <dataValidation type="list" allowBlank="1" showInputMessage="1" showErrorMessage="1" sqref="G21">
      <formula1>"Physical, Special, Status"</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PartySavesSheet"/>
  <dimension ref="A1:X30"/>
  <sheetViews>
    <sheetView workbookViewId="0">
      <pane ySplit="1" topLeftCell="A2" activePane="bottomLeft" state="frozen"/>
      <selection pane="bottomLeft" activeCell="D30" sqref="D30"/>
    </sheetView>
  </sheetViews>
  <sheetFormatPr defaultColWidth="15.7109375" defaultRowHeight="15" x14ac:dyDescent="0.25"/>
  <cols>
    <col min="1" max="1" width="9.85546875" customWidth="1"/>
    <col min="4" max="4" width="8.85546875" customWidth="1"/>
  </cols>
  <sheetData>
    <row r="1" spans="1:24" ht="16.5" x14ac:dyDescent="0.25">
      <c r="A1" s="27" t="s">
        <v>121</v>
      </c>
      <c r="B1" s="27" t="s">
        <v>120</v>
      </c>
      <c r="C1" s="27" t="s">
        <v>701</v>
      </c>
      <c r="D1" s="27" t="s">
        <v>126</v>
      </c>
      <c r="E1" s="27" t="s">
        <v>0</v>
      </c>
      <c r="F1" s="27" t="s">
        <v>890</v>
      </c>
      <c r="G1" s="27" t="s">
        <v>933</v>
      </c>
      <c r="H1" s="27" t="s">
        <v>122</v>
      </c>
      <c r="I1" s="27" t="s">
        <v>123</v>
      </c>
      <c r="J1" s="27" t="s">
        <v>124</v>
      </c>
      <c r="K1" s="27" t="s">
        <v>125</v>
      </c>
      <c r="L1" s="27" t="s">
        <v>892</v>
      </c>
      <c r="M1" s="27" t="s">
        <v>893</v>
      </c>
      <c r="N1" s="27" t="s">
        <v>894</v>
      </c>
      <c r="O1" s="27" t="s">
        <v>895</v>
      </c>
      <c r="P1" s="27" t="s">
        <v>896</v>
      </c>
      <c r="Q1" s="27" t="s">
        <v>897</v>
      </c>
      <c r="R1" s="27" t="s">
        <v>898</v>
      </c>
      <c r="S1" s="27" t="s">
        <v>899</v>
      </c>
      <c r="T1" s="27" t="s">
        <v>900</v>
      </c>
      <c r="U1" s="27" t="s">
        <v>901</v>
      </c>
      <c r="V1" s="27" t="s">
        <v>902</v>
      </c>
      <c r="W1" s="27" t="s">
        <v>903</v>
      </c>
      <c r="X1" s="27" t="s">
        <v>914</v>
      </c>
    </row>
    <row r="2" spans="1:24" x14ac:dyDescent="0.25">
      <c r="A2" t="s">
        <v>121</v>
      </c>
      <c r="B2" t="s">
        <v>912</v>
      </c>
      <c r="C2" t="s">
        <v>907</v>
      </c>
      <c r="D2">
        <v>4</v>
      </c>
      <c r="E2" t="s">
        <v>713</v>
      </c>
      <c r="F2" t="s">
        <v>888</v>
      </c>
      <c r="H2" t="s">
        <v>326</v>
      </c>
      <c r="I2" t="s">
        <v>579</v>
      </c>
      <c r="L2" t="s">
        <v>91</v>
      </c>
      <c r="M2" t="s">
        <v>904</v>
      </c>
      <c r="N2" t="s">
        <v>904</v>
      </c>
      <c r="O2" t="s">
        <v>91</v>
      </c>
      <c r="P2" t="s">
        <v>904</v>
      </c>
      <c r="Q2" t="s">
        <v>91</v>
      </c>
      <c r="R2" t="s">
        <v>91</v>
      </c>
      <c r="S2" t="s">
        <v>91</v>
      </c>
      <c r="T2" t="s">
        <v>91</v>
      </c>
      <c r="U2" t="s">
        <v>91</v>
      </c>
      <c r="V2" t="s">
        <v>91</v>
      </c>
      <c r="W2" t="s">
        <v>91</v>
      </c>
      <c r="X2" t="s">
        <v>926</v>
      </c>
    </row>
    <row r="3" spans="1:24" x14ac:dyDescent="0.25">
      <c r="A3" t="s">
        <v>121</v>
      </c>
      <c r="B3" t="s">
        <v>912</v>
      </c>
      <c r="C3" t="s">
        <v>907</v>
      </c>
      <c r="D3">
        <v>3</v>
      </c>
      <c r="E3" t="s">
        <v>711</v>
      </c>
      <c r="F3" t="s">
        <v>880</v>
      </c>
      <c r="H3" t="s">
        <v>688</v>
      </c>
      <c r="I3" t="s">
        <v>578</v>
      </c>
      <c r="L3" t="s">
        <v>904</v>
      </c>
      <c r="M3" t="s">
        <v>904</v>
      </c>
      <c r="N3" t="s">
        <v>904</v>
      </c>
      <c r="O3" t="s">
        <v>91</v>
      </c>
      <c r="P3" t="s">
        <v>91</v>
      </c>
      <c r="Q3" t="s">
        <v>91</v>
      </c>
      <c r="R3" t="s">
        <v>91</v>
      </c>
      <c r="S3" t="s">
        <v>91</v>
      </c>
      <c r="T3" t="s">
        <v>91</v>
      </c>
      <c r="U3" t="s">
        <v>91</v>
      </c>
      <c r="V3" t="s">
        <v>91</v>
      </c>
      <c r="W3" t="s">
        <v>91</v>
      </c>
      <c r="X3" t="s">
        <v>927</v>
      </c>
    </row>
    <row r="4" spans="1:24" x14ac:dyDescent="0.25">
      <c r="A4" t="s">
        <v>121</v>
      </c>
      <c r="B4" t="s">
        <v>912</v>
      </c>
      <c r="C4" t="s">
        <v>907</v>
      </c>
      <c r="D4">
        <v>1</v>
      </c>
      <c r="E4" t="s">
        <v>467</v>
      </c>
      <c r="F4" t="s">
        <v>883</v>
      </c>
      <c r="H4" t="s">
        <v>689</v>
      </c>
      <c r="L4" t="s">
        <v>904</v>
      </c>
      <c r="M4" t="s">
        <v>91</v>
      </c>
      <c r="N4" t="s">
        <v>91</v>
      </c>
      <c r="O4" t="s">
        <v>904</v>
      </c>
      <c r="P4" t="s">
        <v>904</v>
      </c>
      <c r="Q4" t="s">
        <v>904</v>
      </c>
      <c r="R4" t="s">
        <v>91</v>
      </c>
      <c r="S4" t="s">
        <v>91</v>
      </c>
      <c r="T4" t="s">
        <v>91</v>
      </c>
      <c r="U4" t="s">
        <v>91</v>
      </c>
      <c r="V4" t="s">
        <v>91</v>
      </c>
      <c r="W4" t="s">
        <v>91</v>
      </c>
      <c r="X4" t="s">
        <v>925</v>
      </c>
    </row>
    <row r="5" spans="1:24" x14ac:dyDescent="0.25">
      <c r="A5" t="s">
        <v>121</v>
      </c>
      <c r="B5" t="s">
        <v>912</v>
      </c>
      <c r="C5" t="s">
        <v>907</v>
      </c>
      <c r="D5">
        <v>2</v>
      </c>
      <c r="E5" t="s">
        <v>438</v>
      </c>
      <c r="F5" t="s">
        <v>887</v>
      </c>
      <c r="L5" t="s">
        <v>904</v>
      </c>
      <c r="M5" t="s">
        <v>91</v>
      </c>
      <c r="N5" t="s">
        <v>904</v>
      </c>
      <c r="O5" t="s">
        <v>91</v>
      </c>
      <c r="P5" t="s">
        <v>904</v>
      </c>
      <c r="Q5" t="s">
        <v>904</v>
      </c>
      <c r="R5" t="s">
        <v>91</v>
      </c>
      <c r="S5" t="s">
        <v>91</v>
      </c>
      <c r="T5" t="s">
        <v>91</v>
      </c>
      <c r="U5" t="s">
        <v>91</v>
      </c>
      <c r="V5" t="s">
        <v>91</v>
      </c>
      <c r="W5" t="s">
        <v>91</v>
      </c>
      <c r="X5" t="s">
        <v>924</v>
      </c>
    </row>
    <row r="6" spans="1:24" x14ac:dyDescent="0.25">
      <c r="A6" t="s">
        <v>121</v>
      </c>
      <c r="B6" t="s">
        <v>909</v>
      </c>
      <c r="C6" t="s">
        <v>907</v>
      </c>
      <c r="D6">
        <v>1</v>
      </c>
      <c r="E6" t="s">
        <v>906</v>
      </c>
      <c r="F6" t="s">
        <v>869</v>
      </c>
      <c r="G6" t="s">
        <v>932</v>
      </c>
      <c r="H6" t="s">
        <v>164</v>
      </c>
      <c r="I6" t="s">
        <v>228</v>
      </c>
      <c r="J6" t="s">
        <v>705</v>
      </c>
      <c r="K6" t="s">
        <v>908</v>
      </c>
      <c r="L6" t="s">
        <v>904</v>
      </c>
      <c r="M6" t="s">
        <v>91</v>
      </c>
      <c r="N6" t="s">
        <v>904</v>
      </c>
      <c r="O6" t="s">
        <v>904</v>
      </c>
      <c r="P6" t="s">
        <v>904</v>
      </c>
      <c r="Q6" t="s">
        <v>904</v>
      </c>
      <c r="R6" t="s">
        <v>891</v>
      </c>
      <c r="S6" t="s">
        <v>27</v>
      </c>
      <c r="T6" t="s">
        <v>27</v>
      </c>
      <c r="U6" t="s">
        <v>905</v>
      </c>
      <c r="V6" t="s">
        <v>27</v>
      </c>
      <c r="W6" t="s">
        <v>905</v>
      </c>
      <c r="X6" t="s">
        <v>929</v>
      </c>
    </row>
    <row r="7" spans="1:24" x14ac:dyDescent="0.25">
      <c r="A7" t="s">
        <v>121</v>
      </c>
      <c r="B7" t="s">
        <v>909</v>
      </c>
      <c r="C7" t="s">
        <v>907</v>
      </c>
      <c r="D7">
        <v>2</v>
      </c>
      <c r="E7" t="s">
        <v>217</v>
      </c>
      <c r="F7" t="s">
        <v>888</v>
      </c>
      <c r="G7" t="s">
        <v>930</v>
      </c>
      <c r="H7" t="s">
        <v>165</v>
      </c>
      <c r="I7" t="s">
        <v>140</v>
      </c>
      <c r="J7" t="s">
        <v>199</v>
      </c>
      <c r="K7" t="s">
        <v>146</v>
      </c>
      <c r="L7" t="s">
        <v>904</v>
      </c>
      <c r="M7" t="s">
        <v>91</v>
      </c>
      <c r="N7" t="s">
        <v>904</v>
      </c>
      <c r="O7" t="s">
        <v>904</v>
      </c>
      <c r="P7" t="s">
        <v>904</v>
      </c>
      <c r="Q7" t="s">
        <v>904</v>
      </c>
      <c r="R7" t="s">
        <v>905</v>
      </c>
      <c r="S7" t="s">
        <v>27</v>
      </c>
      <c r="T7" t="s">
        <v>27</v>
      </c>
      <c r="U7" t="s">
        <v>891</v>
      </c>
      <c r="V7" t="s">
        <v>905</v>
      </c>
      <c r="W7" t="s">
        <v>27</v>
      </c>
      <c r="X7" t="s">
        <v>921</v>
      </c>
    </row>
    <row r="8" spans="1:24" x14ac:dyDescent="0.25">
      <c r="A8" t="s">
        <v>121</v>
      </c>
      <c r="B8" t="s">
        <v>909</v>
      </c>
      <c r="C8" t="s">
        <v>907</v>
      </c>
      <c r="D8">
        <v>3</v>
      </c>
      <c r="E8" t="s">
        <v>244</v>
      </c>
      <c r="F8" t="s">
        <v>867</v>
      </c>
      <c r="G8" t="s">
        <v>931</v>
      </c>
      <c r="H8" t="s">
        <v>706</v>
      </c>
      <c r="I8" t="s">
        <v>577</v>
      </c>
      <c r="J8" t="s">
        <v>139</v>
      </c>
      <c r="K8" t="s">
        <v>707</v>
      </c>
      <c r="L8" t="s">
        <v>904</v>
      </c>
      <c r="M8" t="s">
        <v>91</v>
      </c>
      <c r="N8" t="s">
        <v>904</v>
      </c>
      <c r="O8" t="s">
        <v>904</v>
      </c>
      <c r="P8" t="s">
        <v>904</v>
      </c>
      <c r="Q8" t="s">
        <v>904</v>
      </c>
      <c r="R8" t="s">
        <v>905</v>
      </c>
      <c r="S8" t="s">
        <v>27</v>
      </c>
      <c r="T8" t="s">
        <v>905</v>
      </c>
      <c r="U8" t="s">
        <v>891</v>
      </c>
      <c r="V8" t="s">
        <v>27</v>
      </c>
      <c r="W8" t="s">
        <v>27</v>
      </c>
      <c r="X8" t="s">
        <v>916</v>
      </c>
    </row>
    <row r="9" spans="1:24" x14ac:dyDescent="0.25">
      <c r="A9" t="s">
        <v>121</v>
      </c>
      <c r="B9" t="s">
        <v>909</v>
      </c>
      <c r="C9" t="s">
        <v>907</v>
      </c>
      <c r="D9">
        <v>4</v>
      </c>
      <c r="E9" t="s">
        <v>716</v>
      </c>
      <c r="F9" t="s">
        <v>886</v>
      </c>
      <c r="H9" t="s">
        <v>134</v>
      </c>
      <c r="I9" t="s">
        <v>578</v>
      </c>
      <c r="J9" t="s">
        <v>143</v>
      </c>
      <c r="K9" t="s">
        <v>580</v>
      </c>
      <c r="L9" t="s">
        <v>904</v>
      </c>
      <c r="M9" t="s">
        <v>904</v>
      </c>
      <c r="N9" t="s">
        <v>904</v>
      </c>
      <c r="O9" t="s">
        <v>91</v>
      </c>
      <c r="P9" t="s">
        <v>904</v>
      </c>
      <c r="Q9" t="s">
        <v>904</v>
      </c>
      <c r="R9" t="s">
        <v>891</v>
      </c>
      <c r="S9" t="s">
        <v>905</v>
      </c>
      <c r="T9" t="s">
        <v>27</v>
      </c>
      <c r="U9" t="s">
        <v>27</v>
      </c>
      <c r="V9" t="s">
        <v>27</v>
      </c>
      <c r="W9" t="s">
        <v>905</v>
      </c>
      <c r="X9" t="s">
        <v>928</v>
      </c>
    </row>
    <row r="10" spans="1:24" x14ac:dyDescent="0.25">
      <c r="A10" t="s">
        <v>121</v>
      </c>
      <c r="B10" t="s">
        <v>911</v>
      </c>
      <c r="C10" t="s">
        <v>907</v>
      </c>
      <c r="D10">
        <v>4</v>
      </c>
      <c r="E10" t="s">
        <v>715</v>
      </c>
      <c r="F10" t="s">
        <v>886</v>
      </c>
      <c r="H10" t="s">
        <v>578</v>
      </c>
      <c r="L10" t="s">
        <v>904</v>
      </c>
      <c r="M10" t="s">
        <v>904</v>
      </c>
      <c r="N10" t="s">
        <v>904</v>
      </c>
      <c r="O10" t="s">
        <v>904</v>
      </c>
      <c r="P10" t="s">
        <v>904</v>
      </c>
      <c r="Q10" t="s">
        <v>91</v>
      </c>
      <c r="R10" t="s">
        <v>91</v>
      </c>
      <c r="S10" t="s">
        <v>91</v>
      </c>
      <c r="T10" t="s">
        <v>91</v>
      </c>
      <c r="U10" t="s">
        <v>91</v>
      </c>
      <c r="V10" t="s">
        <v>91</v>
      </c>
      <c r="W10" t="s">
        <v>91</v>
      </c>
      <c r="X10" t="s">
        <v>936</v>
      </c>
    </row>
    <row r="11" spans="1:24" x14ac:dyDescent="0.25">
      <c r="A11" t="s">
        <v>121</v>
      </c>
      <c r="B11" t="s">
        <v>911</v>
      </c>
      <c r="C11" t="s">
        <v>907</v>
      </c>
      <c r="D11">
        <v>3</v>
      </c>
      <c r="E11" t="s">
        <v>715</v>
      </c>
      <c r="F11" t="s">
        <v>886</v>
      </c>
      <c r="L11" t="s">
        <v>904</v>
      </c>
      <c r="M11" t="s">
        <v>904</v>
      </c>
      <c r="N11" t="s">
        <v>904</v>
      </c>
      <c r="O11" t="s">
        <v>904</v>
      </c>
      <c r="P11" t="s">
        <v>91</v>
      </c>
      <c r="Q11" t="s">
        <v>904</v>
      </c>
      <c r="R11" t="s">
        <v>91</v>
      </c>
      <c r="S11" t="s">
        <v>91</v>
      </c>
      <c r="T11" t="s">
        <v>91</v>
      </c>
      <c r="U11" t="s">
        <v>91</v>
      </c>
      <c r="V11" t="s">
        <v>91</v>
      </c>
      <c r="W11" t="s">
        <v>91</v>
      </c>
      <c r="X11" t="s">
        <v>935</v>
      </c>
    </row>
    <row r="12" spans="1:24" x14ac:dyDescent="0.25">
      <c r="A12" t="s">
        <v>121</v>
      </c>
      <c r="B12" t="s">
        <v>911</v>
      </c>
      <c r="C12" t="s">
        <v>907</v>
      </c>
      <c r="D12">
        <v>2</v>
      </c>
      <c r="E12" t="s">
        <v>715</v>
      </c>
      <c r="F12" t="s">
        <v>886</v>
      </c>
      <c r="L12" t="s">
        <v>904</v>
      </c>
      <c r="M12" t="s">
        <v>904</v>
      </c>
      <c r="N12" t="s">
        <v>904</v>
      </c>
      <c r="O12" t="s">
        <v>904</v>
      </c>
      <c r="P12" t="s">
        <v>904</v>
      </c>
      <c r="Q12" t="s">
        <v>91</v>
      </c>
      <c r="R12" t="s">
        <v>91</v>
      </c>
      <c r="S12" t="s">
        <v>91</v>
      </c>
      <c r="T12" t="s">
        <v>91</v>
      </c>
      <c r="U12" t="s">
        <v>91</v>
      </c>
      <c r="V12" t="s">
        <v>91</v>
      </c>
      <c r="W12" t="s">
        <v>91</v>
      </c>
      <c r="X12" t="s">
        <v>935</v>
      </c>
    </row>
    <row r="13" spans="1:24" x14ac:dyDescent="0.25">
      <c r="A13" t="s">
        <v>121</v>
      </c>
      <c r="B13" t="s">
        <v>911</v>
      </c>
      <c r="C13" t="s">
        <v>907</v>
      </c>
      <c r="D13">
        <v>1</v>
      </c>
      <c r="E13" t="s">
        <v>130</v>
      </c>
      <c r="F13" t="s">
        <v>867</v>
      </c>
      <c r="H13" t="s">
        <v>706</v>
      </c>
      <c r="L13" t="s">
        <v>91</v>
      </c>
      <c r="M13" t="s">
        <v>91</v>
      </c>
      <c r="N13" t="s">
        <v>91</v>
      </c>
      <c r="O13" t="s">
        <v>91</v>
      </c>
      <c r="P13" t="s">
        <v>91</v>
      </c>
      <c r="Q13" t="s">
        <v>91</v>
      </c>
      <c r="R13" t="s">
        <v>91</v>
      </c>
      <c r="S13" t="s">
        <v>91</v>
      </c>
      <c r="T13" t="s">
        <v>91</v>
      </c>
      <c r="U13" t="s">
        <v>91</v>
      </c>
      <c r="V13" t="s">
        <v>91</v>
      </c>
      <c r="W13" t="s">
        <v>91</v>
      </c>
      <c r="X13" t="s">
        <v>934</v>
      </c>
    </row>
    <row r="14" spans="1:24" x14ac:dyDescent="0.25">
      <c r="A14" t="s">
        <v>121</v>
      </c>
      <c r="B14" t="s">
        <v>937</v>
      </c>
      <c r="C14" t="s">
        <v>907</v>
      </c>
      <c r="D14">
        <v>1</v>
      </c>
      <c r="E14" t="s">
        <v>129</v>
      </c>
      <c r="F14" t="s">
        <v>869</v>
      </c>
      <c r="H14" t="s">
        <v>164</v>
      </c>
      <c r="L14" t="s">
        <v>904</v>
      </c>
      <c r="M14" t="s">
        <v>91</v>
      </c>
      <c r="N14" t="s">
        <v>904</v>
      </c>
      <c r="O14" t="s">
        <v>904</v>
      </c>
      <c r="P14" t="s">
        <v>904</v>
      </c>
      <c r="Q14" t="s">
        <v>904</v>
      </c>
      <c r="R14" t="s">
        <v>91</v>
      </c>
      <c r="S14" t="s">
        <v>91</v>
      </c>
      <c r="T14" t="s">
        <v>91</v>
      </c>
      <c r="U14" t="s">
        <v>91</v>
      </c>
      <c r="V14" t="s">
        <v>91</v>
      </c>
      <c r="W14" t="s">
        <v>91</v>
      </c>
      <c r="X14" t="s">
        <v>915</v>
      </c>
    </row>
    <row r="15" spans="1:24" x14ac:dyDescent="0.25">
      <c r="A15" t="s">
        <v>121</v>
      </c>
      <c r="B15" t="s">
        <v>937</v>
      </c>
      <c r="C15" t="s">
        <v>907</v>
      </c>
      <c r="D15">
        <v>2</v>
      </c>
      <c r="E15" t="s">
        <v>130</v>
      </c>
      <c r="F15" t="s">
        <v>867</v>
      </c>
      <c r="H15" t="s">
        <v>706</v>
      </c>
      <c r="L15" t="s">
        <v>904</v>
      </c>
      <c r="M15" t="s">
        <v>91</v>
      </c>
      <c r="N15" t="s">
        <v>904</v>
      </c>
      <c r="O15" t="s">
        <v>904</v>
      </c>
      <c r="P15" t="s">
        <v>904</v>
      </c>
      <c r="Q15" t="s">
        <v>904</v>
      </c>
      <c r="R15" t="s">
        <v>91</v>
      </c>
      <c r="S15" t="s">
        <v>91</v>
      </c>
      <c r="T15" t="s">
        <v>91</v>
      </c>
      <c r="U15" t="s">
        <v>91</v>
      </c>
      <c r="V15" t="s">
        <v>91</v>
      </c>
      <c r="W15" t="s">
        <v>91</v>
      </c>
      <c r="X15" t="s">
        <v>922</v>
      </c>
    </row>
    <row r="16" spans="1:24" x14ac:dyDescent="0.25">
      <c r="A16" t="s">
        <v>121</v>
      </c>
      <c r="B16" t="s">
        <v>937</v>
      </c>
      <c r="C16" t="s">
        <v>907</v>
      </c>
      <c r="D16">
        <v>3</v>
      </c>
      <c r="E16" t="s">
        <v>128</v>
      </c>
      <c r="F16" t="s">
        <v>888</v>
      </c>
      <c r="H16" t="s">
        <v>165</v>
      </c>
      <c r="L16" t="s">
        <v>904</v>
      </c>
      <c r="M16" t="s">
        <v>91</v>
      </c>
      <c r="N16" t="s">
        <v>904</v>
      </c>
      <c r="O16" t="s">
        <v>904</v>
      </c>
      <c r="P16" t="s">
        <v>904</v>
      </c>
      <c r="Q16" t="s">
        <v>904</v>
      </c>
      <c r="R16" t="s">
        <v>91</v>
      </c>
      <c r="S16" t="s">
        <v>91</v>
      </c>
      <c r="T16" t="s">
        <v>91</v>
      </c>
      <c r="U16" t="s">
        <v>91</v>
      </c>
      <c r="V16" t="s">
        <v>91</v>
      </c>
      <c r="W16" t="s">
        <v>91</v>
      </c>
      <c r="X16" t="s">
        <v>921</v>
      </c>
    </row>
    <row r="17" spans="1:24" x14ac:dyDescent="0.25">
      <c r="A17" t="s">
        <v>121</v>
      </c>
      <c r="B17" t="s">
        <v>937</v>
      </c>
      <c r="C17" t="s">
        <v>907</v>
      </c>
      <c r="D17">
        <v>4</v>
      </c>
      <c r="E17" t="s">
        <v>709</v>
      </c>
      <c r="F17" t="s">
        <v>888</v>
      </c>
      <c r="H17" t="s">
        <v>703</v>
      </c>
      <c r="I17" t="s">
        <v>140</v>
      </c>
      <c r="J17" t="s">
        <v>702</v>
      </c>
      <c r="L17" t="s">
        <v>904</v>
      </c>
      <c r="M17" t="s">
        <v>91</v>
      </c>
      <c r="N17" t="s">
        <v>904</v>
      </c>
      <c r="O17" t="s">
        <v>904</v>
      </c>
      <c r="P17" t="s">
        <v>904</v>
      </c>
      <c r="Q17" t="s">
        <v>904</v>
      </c>
      <c r="R17" t="s">
        <v>91</v>
      </c>
      <c r="S17" t="s">
        <v>91</v>
      </c>
      <c r="T17" t="s">
        <v>91</v>
      </c>
      <c r="U17" t="s">
        <v>91</v>
      </c>
      <c r="V17" t="s">
        <v>91</v>
      </c>
      <c r="W17" t="s">
        <v>91</v>
      </c>
      <c r="X17" t="s">
        <v>923</v>
      </c>
    </row>
    <row r="18" spans="1:24" x14ac:dyDescent="0.25">
      <c r="A18" t="s">
        <v>121</v>
      </c>
      <c r="B18" t="s">
        <v>937</v>
      </c>
      <c r="C18" t="s">
        <v>907</v>
      </c>
      <c r="D18">
        <v>5</v>
      </c>
      <c r="E18" t="s">
        <v>710</v>
      </c>
      <c r="F18" t="s">
        <v>874</v>
      </c>
      <c r="H18" t="s">
        <v>690</v>
      </c>
      <c r="I18" t="s">
        <v>164</v>
      </c>
      <c r="J18" t="s">
        <v>688</v>
      </c>
      <c r="K18" t="s">
        <v>242</v>
      </c>
      <c r="L18" t="s">
        <v>904</v>
      </c>
      <c r="M18" t="s">
        <v>904</v>
      </c>
      <c r="N18" t="s">
        <v>904</v>
      </c>
      <c r="O18" t="s">
        <v>91</v>
      </c>
      <c r="P18" t="s">
        <v>904</v>
      </c>
      <c r="Q18" t="s">
        <v>904</v>
      </c>
      <c r="R18" t="s">
        <v>91</v>
      </c>
      <c r="S18" t="s">
        <v>91</v>
      </c>
      <c r="T18" t="s">
        <v>91</v>
      </c>
      <c r="U18" t="s">
        <v>91</v>
      </c>
      <c r="V18" t="s">
        <v>91</v>
      </c>
      <c r="W18" t="s">
        <v>91</v>
      </c>
      <c r="X18" t="s">
        <v>916</v>
      </c>
    </row>
    <row r="19" spans="1:24" x14ac:dyDescent="0.25">
      <c r="A19" t="s">
        <v>121</v>
      </c>
      <c r="B19" t="s">
        <v>937</v>
      </c>
      <c r="C19" t="s">
        <v>907</v>
      </c>
      <c r="D19">
        <v>6</v>
      </c>
      <c r="E19" t="s">
        <v>712</v>
      </c>
      <c r="F19" t="s">
        <v>874</v>
      </c>
      <c r="H19" t="s">
        <v>576</v>
      </c>
      <c r="I19" t="s">
        <v>689</v>
      </c>
      <c r="J19" t="s">
        <v>708</v>
      </c>
      <c r="L19" t="s">
        <v>904</v>
      </c>
      <c r="M19" t="s">
        <v>904</v>
      </c>
      <c r="N19" t="s">
        <v>904</v>
      </c>
      <c r="O19" t="s">
        <v>91</v>
      </c>
      <c r="P19" t="s">
        <v>904</v>
      </c>
      <c r="Q19" t="s">
        <v>904</v>
      </c>
      <c r="R19" t="s">
        <v>91</v>
      </c>
      <c r="S19" t="s">
        <v>91</v>
      </c>
      <c r="T19" t="s">
        <v>91</v>
      </c>
      <c r="U19" t="s">
        <v>91</v>
      </c>
      <c r="V19" t="s">
        <v>91</v>
      </c>
      <c r="W19" t="s">
        <v>91</v>
      </c>
      <c r="X19" t="s">
        <v>916</v>
      </c>
    </row>
    <row r="20" spans="1:24" x14ac:dyDescent="0.25">
      <c r="A20" t="s">
        <v>121</v>
      </c>
      <c r="B20" t="s">
        <v>938</v>
      </c>
      <c r="C20" t="s">
        <v>907</v>
      </c>
      <c r="D20">
        <v>4</v>
      </c>
      <c r="E20" t="s">
        <v>130</v>
      </c>
      <c r="F20" t="s">
        <v>867</v>
      </c>
      <c r="H20" t="s">
        <v>706</v>
      </c>
      <c r="L20" t="s">
        <v>904</v>
      </c>
      <c r="M20" t="s">
        <v>91</v>
      </c>
      <c r="N20" t="s">
        <v>904</v>
      </c>
      <c r="O20" t="s">
        <v>904</v>
      </c>
      <c r="P20" t="s">
        <v>904</v>
      </c>
      <c r="Q20" t="s">
        <v>91</v>
      </c>
      <c r="R20" t="s">
        <v>91</v>
      </c>
      <c r="S20" t="s">
        <v>91</v>
      </c>
      <c r="T20" t="s">
        <v>91</v>
      </c>
      <c r="U20" t="s">
        <v>91</v>
      </c>
      <c r="V20" t="s">
        <v>91</v>
      </c>
      <c r="W20" t="s">
        <v>91</v>
      </c>
      <c r="X20" t="s">
        <v>922</v>
      </c>
    </row>
    <row r="21" spans="1:24" x14ac:dyDescent="0.25">
      <c r="A21" t="s">
        <v>121</v>
      </c>
      <c r="B21" t="s">
        <v>938</v>
      </c>
      <c r="C21" t="s">
        <v>907</v>
      </c>
      <c r="D21">
        <v>2</v>
      </c>
      <c r="E21" t="s">
        <v>129</v>
      </c>
      <c r="F21" t="s">
        <v>869</v>
      </c>
      <c r="L21" t="s">
        <v>91</v>
      </c>
      <c r="M21" t="s">
        <v>904</v>
      </c>
      <c r="N21" t="s">
        <v>904</v>
      </c>
      <c r="O21" t="s">
        <v>91</v>
      </c>
      <c r="P21" t="s">
        <v>904</v>
      </c>
      <c r="Q21" t="s">
        <v>904</v>
      </c>
      <c r="R21" t="s">
        <v>91</v>
      </c>
      <c r="S21" t="s">
        <v>91</v>
      </c>
      <c r="T21" t="s">
        <v>91</v>
      </c>
      <c r="U21" t="s">
        <v>91</v>
      </c>
      <c r="V21" t="s">
        <v>91</v>
      </c>
      <c r="W21" t="s">
        <v>91</v>
      </c>
      <c r="X21" t="s">
        <v>939</v>
      </c>
    </row>
    <row r="22" spans="1:24" x14ac:dyDescent="0.25">
      <c r="A22" t="s">
        <v>121</v>
      </c>
      <c r="B22" t="s">
        <v>938</v>
      </c>
      <c r="C22" t="s">
        <v>907</v>
      </c>
      <c r="D22">
        <v>1</v>
      </c>
      <c r="E22" t="s">
        <v>129</v>
      </c>
      <c r="F22" t="s">
        <v>869</v>
      </c>
      <c r="L22" t="s">
        <v>904</v>
      </c>
      <c r="M22" t="s">
        <v>91</v>
      </c>
      <c r="N22" t="s">
        <v>904</v>
      </c>
      <c r="O22" t="s">
        <v>904</v>
      </c>
      <c r="P22" t="s">
        <v>91</v>
      </c>
      <c r="Q22" t="s">
        <v>904</v>
      </c>
      <c r="R22" t="s">
        <v>91</v>
      </c>
      <c r="S22" t="s">
        <v>91</v>
      </c>
      <c r="T22" t="s">
        <v>91</v>
      </c>
      <c r="U22" t="s">
        <v>91</v>
      </c>
      <c r="V22" t="s">
        <v>91</v>
      </c>
      <c r="W22" t="s">
        <v>91</v>
      </c>
      <c r="X22" t="s">
        <v>940</v>
      </c>
    </row>
    <row r="23" spans="1:24" x14ac:dyDescent="0.25">
      <c r="A23" t="s">
        <v>121</v>
      </c>
      <c r="B23" t="s">
        <v>938</v>
      </c>
      <c r="C23" t="s">
        <v>907</v>
      </c>
      <c r="D23">
        <v>3</v>
      </c>
      <c r="E23" t="s">
        <v>130</v>
      </c>
      <c r="F23" t="s">
        <v>867</v>
      </c>
      <c r="H23" t="s">
        <v>706</v>
      </c>
      <c r="L23" t="s">
        <v>91</v>
      </c>
      <c r="M23" t="s">
        <v>91</v>
      </c>
      <c r="N23" t="s">
        <v>904</v>
      </c>
      <c r="O23" t="s">
        <v>904</v>
      </c>
      <c r="P23" t="s">
        <v>904</v>
      </c>
      <c r="Q23" t="s">
        <v>904</v>
      </c>
      <c r="R23" t="s">
        <v>91</v>
      </c>
      <c r="S23" t="s">
        <v>91</v>
      </c>
      <c r="T23" t="s">
        <v>91</v>
      </c>
      <c r="U23" t="s">
        <v>91</v>
      </c>
      <c r="V23" t="s">
        <v>91</v>
      </c>
      <c r="W23" t="s">
        <v>91</v>
      </c>
      <c r="X23" t="s">
        <v>941</v>
      </c>
    </row>
    <row r="24" spans="1:24" x14ac:dyDescent="0.25">
      <c r="A24" t="s">
        <v>121</v>
      </c>
      <c r="B24" t="s">
        <v>942</v>
      </c>
      <c r="C24" t="s">
        <v>907</v>
      </c>
      <c r="D24">
        <v>1</v>
      </c>
      <c r="E24" t="s">
        <v>715</v>
      </c>
      <c r="F24" t="s">
        <v>886</v>
      </c>
      <c r="L24" t="s">
        <v>904</v>
      </c>
      <c r="M24" t="s">
        <v>904</v>
      </c>
      <c r="N24" t="s">
        <v>904</v>
      </c>
      <c r="O24" t="s">
        <v>904</v>
      </c>
      <c r="P24" t="s">
        <v>904</v>
      </c>
      <c r="Q24" t="s">
        <v>904</v>
      </c>
      <c r="R24" t="s">
        <v>91</v>
      </c>
      <c r="S24" t="s">
        <v>91</v>
      </c>
      <c r="T24" t="s">
        <v>91</v>
      </c>
      <c r="U24" t="s">
        <v>91</v>
      </c>
      <c r="V24" t="s">
        <v>91</v>
      </c>
      <c r="W24" t="s">
        <v>91</v>
      </c>
      <c r="X24" t="s">
        <v>943</v>
      </c>
    </row>
    <row r="25" spans="1:24" x14ac:dyDescent="0.25">
      <c r="A25" t="s">
        <v>121</v>
      </c>
      <c r="B25" t="s">
        <v>910</v>
      </c>
      <c r="C25" t="s">
        <v>907</v>
      </c>
      <c r="D25">
        <v>1</v>
      </c>
      <c r="E25" t="s">
        <v>717</v>
      </c>
      <c r="F25" t="s">
        <v>886</v>
      </c>
      <c r="H25" t="s">
        <v>242</v>
      </c>
      <c r="L25" t="s">
        <v>904</v>
      </c>
      <c r="M25" t="s">
        <v>91</v>
      </c>
      <c r="N25" t="s">
        <v>904</v>
      </c>
      <c r="O25" t="s">
        <v>91</v>
      </c>
      <c r="P25" t="s">
        <v>91</v>
      </c>
      <c r="Q25" t="s">
        <v>904</v>
      </c>
      <c r="R25" t="s">
        <v>91</v>
      </c>
      <c r="S25" t="s">
        <v>91</v>
      </c>
      <c r="T25" t="s">
        <v>91</v>
      </c>
      <c r="U25" t="s">
        <v>91</v>
      </c>
      <c r="V25" t="s">
        <v>91</v>
      </c>
      <c r="W25" t="s">
        <v>91</v>
      </c>
      <c r="X25" t="s">
        <v>917</v>
      </c>
    </row>
    <row r="26" spans="1:24" x14ac:dyDescent="0.25">
      <c r="A26" t="s">
        <v>121</v>
      </c>
      <c r="B26" t="s">
        <v>910</v>
      </c>
      <c r="C26" t="s">
        <v>907</v>
      </c>
      <c r="D26">
        <v>2</v>
      </c>
      <c r="E26" t="s">
        <v>718</v>
      </c>
      <c r="F26" t="s">
        <v>845</v>
      </c>
      <c r="H26" t="s">
        <v>287</v>
      </c>
      <c r="L26" t="s">
        <v>91</v>
      </c>
      <c r="M26" t="s">
        <v>27</v>
      </c>
      <c r="N26" t="s">
        <v>91</v>
      </c>
      <c r="O26" t="s">
        <v>91</v>
      </c>
      <c r="P26" t="s">
        <v>91</v>
      </c>
      <c r="Q26" t="s">
        <v>91</v>
      </c>
      <c r="R26" t="s">
        <v>91</v>
      </c>
      <c r="S26" t="s">
        <v>91</v>
      </c>
      <c r="T26" t="s">
        <v>91</v>
      </c>
      <c r="U26" t="s">
        <v>91</v>
      </c>
      <c r="V26" t="s">
        <v>91</v>
      </c>
      <c r="W26" t="s">
        <v>91</v>
      </c>
      <c r="X26" t="s">
        <v>918</v>
      </c>
    </row>
    <row r="27" spans="1:24" x14ac:dyDescent="0.25">
      <c r="A27" t="s">
        <v>121</v>
      </c>
      <c r="B27" t="s">
        <v>910</v>
      </c>
      <c r="C27" t="s">
        <v>907</v>
      </c>
      <c r="D27">
        <v>3</v>
      </c>
      <c r="E27" t="s">
        <v>716</v>
      </c>
      <c r="F27" t="s">
        <v>883</v>
      </c>
      <c r="L27" t="s">
        <v>91</v>
      </c>
      <c r="M27" t="s">
        <v>91</v>
      </c>
      <c r="N27" t="s">
        <v>904</v>
      </c>
      <c r="O27" t="s">
        <v>904</v>
      </c>
      <c r="P27" t="s">
        <v>91</v>
      </c>
      <c r="Q27" t="s">
        <v>904</v>
      </c>
      <c r="R27" t="s">
        <v>91</v>
      </c>
      <c r="S27" t="s">
        <v>91</v>
      </c>
      <c r="T27" t="s">
        <v>91</v>
      </c>
      <c r="U27" t="s">
        <v>91</v>
      </c>
      <c r="V27" t="s">
        <v>91</v>
      </c>
      <c r="W27" t="s">
        <v>91</v>
      </c>
      <c r="X27" t="s">
        <v>919</v>
      </c>
    </row>
    <row r="28" spans="1:24" x14ac:dyDescent="0.25">
      <c r="A28" t="s">
        <v>121</v>
      </c>
      <c r="B28" t="s">
        <v>910</v>
      </c>
      <c r="C28" t="s">
        <v>907</v>
      </c>
      <c r="D28">
        <v>4</v>
      </c>
      <c r="E28" t="s">
        <v>719</v>
      </c>
      <c r="F28" t="s">
        <v>868</v>
      </c>
      <c r="L28" t="s">
        <v>91</v>
      </c>
      <c r="M28" t="s">
        <v>91</v>
      </c>
      <c r="N28" t="s">
        <v>91</v>
      </c>
      <c r="O28" t="s">
        <v>91</v>
      </c>
      <c r="P28" t="s">
        <v>91</v>
      </c>
      <c r="Q28" t="s">
        <v>91</v>
      </c>
      <c r="R28" t="s">
        <v>91</v>
      </c>
      <c r="S28" t="s">
        <v>91</v>
      </c>
      <c r="T28" t="s">
        <v>91</v>
      </c>
      <c r="U28" t="s">
        <v>91</v>
      </c>
      <c r="V28" t="s">
        <v>91</v>
      </c>
      <c r="W28" t="s">
        <v>91</v>
      </c>
      <c r="X28" t="s">
        <v>944</v>
      </c>
    </row>
    <row r="29" spans="1:24" x14ac:dyDescent="0.25">
      <c r="A29" t="s">
        <v>121</v>
      </c>
      <c r="B29" t="s">
        <v>910</v>
      </c>
      <c r="C29" t="s">
        <v>907</v>
      </c>
      <c r="D29">
        <v>5</v>
      </c>
      <c r="E29" t="s">
        <v>714</v>
      </c>
      <c r="F29" t="s">
        <v>883</v>
      </c>
      <c r="L29" t="s">
        <v>91</v>
      </c>
      <c r="M29" t="s">
        <v>91</v>
      </c>
      <c r="N29" t="s">
        <v>91</v>
      </c>
      <c r="O29" t="s">
        <v>91</v>
      </c>
      <c r="P29" t="s">
        <v>91</v>
      </c>
      <c r="Q29" t="s">
        <v>91</v>
      </c>
      <c r="R29" t="s">
        <v>91</v>
      </c>
      <c r="S29" t="s">
        <v>91</v>
      </c>
      <c r="T29" t="s">
        <v>91</v>
      </c>
      <c r="U29" t="s">
        <v>91</v>
      </c>
      <c r="V29" t="s">
        <v>91</v>
      </c>
      <c r="W29" t="s">
        <v>91</v>
      </c>
      <c r="X29" t="s">
        <v>920</v>
      </c>
    </row>
    <row r="30" spans="1:24" x14ac:dyDescent="0.25">
      <c r="A30" t="s">
        <v>121</v>
      </c>
      <c r="B30" t="s">
        <v>945</v>
      </c>
      <c r="C30" t="s">
        <v>907</v>
      </c>
      <c r="D30">
        <v>1</v>
      </c>
      <c r="E30" t="s">
        <v>906</v>
      </c>
      <c r="F30" t="s">
        <v>868</v>
      </c>
      <c r="G30" t="s">
        <v>932</v>
      </c>
      <c r="H30" t="s">
        <v>228</v>
      </c>
      <c r="I30" t="s">
        <v>908</v>
      </c>
      <c r="J30" t="s">
        <v>705</v>
      </c>
      <c r="K30" t="s">
        <v>704</v>
      </c>
      <c r="L30" t="s">
        <v>91</v>
      </c>
      <c r="M30" t="s">
        <v>91</v>
      </c>
      <c r="N30" t="s">
        <v>91</v>
      </c>
      <c r="O30" t="s">
        <v>904</v>
      </c>
      <c r="P30" t="s">
        <v>91</v>
      </c>
      <c r="Q30" t="s">
        <v>904</v>
      </c>
      <c r="R30" t="s">
        <v>891</v>
      </c>
      <c r="S30" t="s">
        <v>91</v>
      </c>
      <c r="T30" t="s">
        <v>91</v>
      </c>
      <c r="U30" t="s">
        <v>905</v>
      </c>
      <c r="V30" t="s">
        <v>91</v>
      </c>
      <c r="W30" t="s">
        <v>905</v>
      </c>
      <c r="X30" t="s">
        <v>946</v>
      </c>
    </row>
  </sheetData>
  <sheetProtection sheet="1" objects="1" scenarios="1"/>
  <dataConsolidate/>
  <conditionalFormatting sqref="H1:K1">
    <cfRule type="containsText" dxfId="16" priority="1" operator="containsText" text="Water">
      <formula>NOT(ISERROR(SEARCH("Water",H1)))</formula>
    </cfRule>
    <cfRule type="containsText" dxfId="15" priority="2" operator="containsText" text="Steel">
      <formula>NOT(ISERROR(SEARCH("Steel",H1)))</formula>
    </cfRule>
    <cfRule type="containsText" dxfId="14" priority="3" operator="containsText" text="Rock">
      <formula>NOT(ISERROR(SEARCH("Rock",H1)))</formula>
    </cfRule>
    <cfRule type="containsText" dxfId="13" priority="4" operator="containsText" text="Ice">
      <formula>NOT(ISERROR(SEARCH("Ice",H1)))</formula>
    </cfRule>
    <cfRule type="containsText" dxfId="12" priority="5" operator="containsText" text="Ground">
      <formula>NOT(ISERROR(SEARCH("Ground",H1)))</formula>
    </cfRule>
    <cfRule type="containsText" dxfId="11" priority="6" operator="containsText" text="Grass">
      <formula>NOT(ISERROR(SEARCH("Grass",H1)))</formula>
    </cfRule>
    <cfRule type="containsText" dxfId="10" priority="7" operator="containsText" text="Poison">
      <formula>NOT(ISERROR(SEARCH("Poison",H1)))</formula>
    </cfRule>
    <cfRule type="containsText" dxfId="9" priority="8" operator="containsText" text="Flying">
      <formula>NOT(ISERROR(SEARCH("Flying",H1)))</formula>
    </cfRule>
    <cfRule type="containsText" dxfId="8" priority="9" operator="containsText" text="Fighting">
      <formula>NOT(ISERROR(SEARCH("Fighting",H1)))</formula>
    </cfRule>
    <cfRule type="containsText" dxfId="7" priority="10" operator="containsText" text="Electric">
      <formula>NOT(ISERROR(SEARCH("Electric",H1)))</formula>
    </cfRule>
    <cfRule type="containsText" dxfId="6" priority="11" operator="containsText" text="Dragon">
      <formula>NOT(ISERROR(SEARCH("Dragon",H1)))</formula>
    </cfRule>
    <cfRule type="containsText" dxfId="5" priority="12" operator="containsText" text="Dark">
      <formula>NOT(ISERROR(SEARCH("Dark",H1)))</formula>
    </cfRule>
    <cfRule type="containsText" dxfId="4" priority="13" operator="containsText" text="Bug">
      <formula>NOT(ISERROR(SEARCH("Bug",H1)))</formula>
    </cfRule>
    <cfRule type="containsText" dxfId="3" priority="14" operator="containsText" text="Fire">
      <formula>NOT(ISERROR(SEARCH("Fire",H1)))</formula>
    </cfRule>
    <cfRule type="containsText" dxfId="2" priority="15" operator="containsText" text="Normal">
      <formula>NOT(ISERROR(SEARCH("Normal",H1)))</formula>
    </cfRule>
    <cfRule type="containsText" dxfId="1" priority="16" operator="containsText" text="Psychic">
      <formula>NOT(ISERROR(SEARCH("Psychic",H1)))</formula>
    </cfRule>
    <cfRule type="containsText" dxfId="0" priority="17" operator="containsText" text="Ghost">
      <formula>NOT(ISERROR(SEARCH("Ghost",H1)))</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egacyWebDataParsing"/>
  <dimension ref="A1"/>
  <sheetViews>
    <sheetView workbookViewId="0">
      <selection activeCell="N5" sqref="N5"/>
    </sheetView>
  </sheetViews>
  <sheetFormatPr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LegacyWebDataParsing.PokedexHtmlButton_Click">
                <anchor moveWithCells="1" sizeWithCells="1">
                  <from>
                    <xdr:col>1</xdr:col>
                    <xdr:colOff>9525</xdr:colOff>
                    <xdr:row>2</xdr:row>
                    <xdr:rowOff>9525</xdr:rowOff>
                  </from>
                  <to>
                    <xdr:col>4</xdr:col>
                    <xdr:colOff>600075</xdr:colOff>
                    <xdr:row>5</xdr:row>
                    <xdr:rowOff>0</xdr:rowOff>
                  </to>
                </anchor>
              </controlPr>
            </control>
          </mc:Choice>
        </mc:AlternateContent>
        <mc:AlternateContent xmlns:mc="http://schemas.openxmlformats.org/markup-compatibility/2006">
          <mc:Choice Requires="x14">
            <control shapeId="3074" r:id="rId5" name="Button 2">
              <controlPr defaultSize="0" print="0" autoFill="0" autoPict="0" macro="[0]!LegacyWebDataParsing.MovedexHtmlButton_Click">
                <anchor moveWithCells="1" sizeWithCells="1">
                  <from>
                    <xdr:col>1</xdr:col>
                    <xdr:colOff>0</xdr:colOff>
                    <xdr:row>6</xdr:row>
                    <xdr:rowOff>9525</xdr:rowOff>
                  </from>
                  <to>
                    <xdr:col>4</xdr:col>
                    <xdr:colOff>590550</xdr:colOff>
                    <xdr:row>9</xdr:row>
                    <xdr:rowOff>0</xdr:rowOff>
                  </to>
                </anchor>
              </controlPr>
            </control>
          </mc:Choice>
        </mc:AlternateContent>
        <mc:AlternateContent xmlns:mc="http://schemas.openxmlformats.org/markup-compatibility/2006">
          <mc:Choice Requires="x14">
            <control shapeId="3075" r:id="rId6" name="Button 3">
              <controlPr defaultSize="0" print="0" autoFill="0" autoPict="0" macro="[0]!LegacyWebDataParsing.TriggerUnitTests_Click">
                <anchor moveWithCells="1" sizeWithCells="1">
                  <from>
                    <xdr:col>7</xdr:col>
                    <xdr:colOff>0</xdr:colOff>
                    <xdr:row>1</xdr:row>
                    <xdr:rowOff>180975</xdr:rowOff>
                  </from>
                  <to>
                    <xdr:col>9</xdr:col>
                    <xdr:colOff>600075</xdr:colOff>
                    <xdr:row>4</xdr:row>
                    <xdr:rowOff>0</xdr:rowOff>
                  </to>
                </anchor>
              </controlPr>
            </control>
          </mc:Choice>
        </mc:AlternateContent>
        <mc:AlternateContent xmlns:mc="http://schemas.openxmlformats.org/markup-compatibility/2006">
          <mc:Choice Requires="x14">
            <control shapeId="3076" r:id="rId7" name="Button 4">
              <controlPr defaultSize="0" print="0" autoFill="0" autoPict="0" macro="[0]!LegacyWebDataParsing.TriggerUserDrivenUnitTests_Click">
                <anchor moveWithCells="1" sizeWithCells="1">
                  <from>
                    <xdr:col>7</xdr:col>
                    <xdr:colOff>9525</xdr:colOff>
                    <xdr:row>5</xdr:row>
                    <xdr:rowOff>9525</xdr:rowOff>
                  </from>
                  <to>
                    <xdr:col>10</xdr:col>
                    <xdr:colOff>0</xdr:colOff>
                    <xdr:row>7</xdr:row>
                    <xdr:rowOff>19050</xdr:rowOff>
                  </to>
                </anchor>
              </controlPr>
            </control>
          </mc:Choice>
        </mc:AlternateContent>
        <mc:AlternateContent xmlns:mc="http://schemas.openxmlformats.org/markup-compatibility/2006">
          <mc:Choice Requires="x14">
            <control shapeId="3077" r:id="rId8" name="Button 5">
              <controlPr defaultSize="0" print="0" autoFill="0" autoPict="0" macro="[0]!LegacyWebDataParsing.TriggerSheetIntegrationTests_Click">
                <anchor moveWithCells="1" sizeWithCells="1">
                  <from>
                    <xdr:col>7</xdr:col>
                    <xdr:colOff>0</xdr:colOff>
                    <xdr:row>8</xdr:row>
                    <xdr:rowOff>0</xdr:rowOff>
                  </from>
                  <to>
                    <xdr:col>9</xdr:col>
                    <xdr:colOff>600075</xdr:colOff>
                    <xdr:row>10</xdr:row>
                    <xdr:rowOff>9525</xdr:rowOff>
                  </to>
                </anchor>
              </controlPr>
            </control>
          </mc:Choice>
        </mc:AlternateContent>
        <mc:AlternateContent xmlns:mc="http://schemas.openxmlformats.org/markup-compatibility/2006">
          <mc:Choice Requires="x14">
            <control shapeId="3078" r:id="rId9" name="Button 6">
              <controlPr defaultSize="0" print="0" autoFill="0" autoPict="0" macro="[0]!ThisWorkbook.Workbook_Open">
                <anchor moveWithCells="1" sizeWithCells="1">
                  <from>
                    <xdr:col>11</xdr:col>
                    <xdr:colOff>600075</xdr:colOff>
                    <xdr:row>2</xdr:row>
                    <xdr:rowOff>0</xdr:rowOff>
                  </from>
                  <to>
                    <xdr:col>14</xdr:col>
                    <xdr:colOff>600075</xdr:colOff>
                    <xdr:row>4</xdr:row>
                    <xdr:rowOff>0</xdr:rowOff>
                  </to>
                </anchor>
              </controlPr>
            </control>
          </mc:Choice>
        </mc:AlternateContent>
        <mc:AlternateContent xmlns:mc="http://schemas.openxmlformats.org/markup-compatibility/2006">
          <mc:Choice Requires="x14">
            <control shapeId="3079" r:id="rId10" name="Button 7">
              <controlPr defaultSize="0" print="0" autoFill="0" autoPict="0" macro="[0]!LegacyWebDataParsing.GenerateItemdexHtmlTable">
                <anchor moveWithCells="1" sizeWithCells="1">
                  <from>
                    <xdr:col>1</xdr:col>
                    <xdr:colOff>0</xdr:colOff>
                    <xdr:row>9</xdr:row>
                    <xdr:rowOff>180975</xdr:rowOff>
                  </from>
                  <to>
                    <xdr:col>4</xdr:col>
                    <xdr:colOff>590550</xdr:colOff>
                    <xdr:row>12</xdr:row>
                    <xdr:rowOff>171450</xdr:rowOff>
                  </to>
                </anchor>
              </controlPr>
            </control>
          </mc:Choice>
        </mc:AlternateContent>
        <mc:AlternateContent xmlns:mc="http://schemas.openxmlformats.org/markup-compatibility/2006">
          <mc:Choice Requires="x14">
            <control shapeId="3080" r:id="rId11" name="Button 8">
              <controlPr defaultSize="0" print="0" autoFill="0" autoPict="0" macro="[0]!LegacyWebDataParsing.GenerateAbilitydexHtmlTable">
                <anchor moveWithCells="1" sizeWithCells="1">
                  <from>
                    <xdr:col>1</xdr:col>
                    <xdr:colOff>9525</xdr:colOff>
                    <xdr:row>14</xdr:row>
                    <xdr:rowOff>9525</xdr:rowOff>
                  </from>
                  <to>
                    <xdr:col>4</xdr:col>
                    <xdr:colOff>600075</xdr:colOff>
                    <xdr:row>17</xdr:row>
                    <xdr:rowOff>0</xdr:rowOff>
                  </to>
                </anchor>
              </controlPr>
            </control>
          </mc:Choice>
        </mc:AlternateContent>
        <mc:AlternateContent xmlns:mc="http://schemas.openxmlformats.org/markup-compatibility/2006">
          <mc:Choice Requires="x14">
            <control shapeId="3081" r:id="rId12" name="Button 9">
              <controlPr defaultSize="0" print="0" autoFill="0" autoPict="0" macro="[0]!LegacyWebDataParsing.PokemonAbilitydexHtmlButton_Click">
                <anchor moveWithCells="1" sizeWithCells="1">
                  <from>
                    <xdr:col>1</xdr:col>
                    <xdr:colOff>19050</xdr:colOff>
                    <xdr:row>18</xdr:row>
                    <xdr:rowOff>9525</xdr:rowOff>
                  </from>
                  <to>
                    <xdr:col>5</xdr:col>
                    <xdr:colOff>0</xdr:colOff>
                    <xdr:row>21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Welcome to PokePP!</vt:lpstr>
      <vt:lpstr>Party Pkm</vt:lpstr>
      <vt:lpstr>Type Table</vt:lpstr>
      <vt:lpstr>Analysis</vt:lpstr>
      <vt:lpstr>Pokedex</vt:lpstr>
      <vt:lpstr>Movedex</vt:lpstr>
      <vt:lpstr>Abilitydex</vt:lpstr>
      <vt:lpstr>Itemdex</vt:lpstr>
      <vt:lpstr>PokemonAbilities</vt:lpstr>
      <vt:lpstr>Hidden Nature Chart</vt:lpstr>
      <vt:lpstr>Hidden Type Chart</vt:lpstr>
      <vt:lpstr>Hidden Party Saves</vt:lpstr>
      <vt:lpstr>Dev</vt:lpstr>
      <vt:lpstr>Natures</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Kaylyn</dc:creator>
  <cp:lastModifiedBy>bajuwa</cp:lastModifiedBy>
  <dcterms:created xsi:type="dcterms:W3CDTF">2013-05-21T00:15:03Z</dcterms:created>
  <dcterms:modified xsi:type="dcterms:W3CDTF">2014-04-24T19:46:24Z</dcterms:modified>
</cp:coreProperties>
</file>